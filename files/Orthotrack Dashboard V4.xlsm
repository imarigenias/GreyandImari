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hidePivotFieldList="1" defaultThemeVersion="166925"/>
  <mc:AlternateContent xmlns:mc="http://schemas.openxmlformats.org/markup-compatibility/2006">
    <mc:Choice Requires="x15">
      <x15ac:absPath xmlns:x15ac="http://schemas.microsoft.com/office/spreadsheetml/2010/11/ac" url="/Users/greyskelton/Documents/Documents - Grey’s MacBook Pro/Emory/MotionLab/GreyandImari/"/>
    </mc:Choice>
  </mc:AlternateContent>
  <xr:revisionPtr revIDLastSave="0" documentId="13_ncr:1_{9E359280-4C81-3E4C-97D3-E3FC278CC556}" xr6:coauthVersionLast="47" xr6:coauthVersionMax="47" xr10:uidLastSave="{00000000-0000-0000-0000-000000000000}"/>
  <bookViews>
    <workbookView xWindow="820" yWindow="-21600" windowWidth="38400" windowHeight="21600" activeTab="4" xr2:uid="{E2F9A0A0-B75E-4931-831E-26F987545C61}"/>
  </bookViews>
  <sheets>
    <sheet name="Pivot" sheetId="6" r:id="rId1"/>
    <sheet name="NonPivot Summary" sheetId="8" r:id="rId2"/>
    <sheet name="PivotLists" sheetId="5" r:id="rId3"/>
    <sheet name="Collapsed - Orthotrack outcomes" sheetId="1" r:id="rId4"/>
    <sheet name="Comparison Tool" sheetId="12" r:id="rId5"/>
    <sheet name="ICD_summary" sheetId="10" r:id="rId6"/>
    <sheet name="ideas for R DF organization" sheetId="13" r:id="rId7"/>
  </sheets>
  <externalReferences>
    <externalReference r:id="rId8"/>
  </externalReferences>
  <definedNames>
    <definedName name="_xlnm._FilterDatabase" localSheetId="5" hidden="1">ICD_summary!$I$2:$L$2</definedName>
    <definedName name="SelFeilds">_xlfn.ANCHORARRAY([1]PivotLists!$M$4)</definedName>
    <definedName name="SelFields">_xlfn.ANCHORARRAY(PivotLists!$M$4)</definedName>
    <definedName name="SelFn">PivotLists!$E$3</definedName>
    <definedName name="Slicer_Function">#N/A</definedName>
    <definedName name="Slicer_Group">#N/A</definedName>
  </definedNames>
  <calcPr calcId="191029"/>
  <pivotCaches>
    <pivotCache cacheId="0" r:id="rId9"/>
    <pivotCache cacheId="1" r:id="rId10"/>
    <pivotCache cacheId="2"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19" i="12" l="1"/>
  <c r="AR20" i="12"/>
  <c r="AR21" i="12"/>
  <c r="AR22" i="12"/>
  <c r="AR23" i="12"/>
  <c r="AR24" i="12"/>
  <c r="AR25" i="12"/>
  <c r="AR26" i="12"/>
  <c r="AR27" i="12"/>
  <c r="AR28" i="12"/>
  <c r="AR18" i="12"/>
  <c r="AQ28" i="12"/>
  <c r="AQ27" i="12"/>
  <c r="AQ26" i="12"/>
  <c r="AQ25" i="12"/>
  <c r="AQ24" i="12"/>
  <c r="AQ23" i="12"/>
  <c r="AQ22" i="12"/>
  <c r="AQ21" i="12"/>
  <c r="AQ20" i="12"/>
  <c r="AQ19" i="12"/>
  <c r="AQ18" i="12"/>
  <c r="AP19" i="12"/>
  <c r="AP20" i="12"/>
  <c r="AP21" i="12"/>
  <c r="AP22" i="12"/>
  <c r="AP23" i="12"/>
  <c r="AP24" i="12"/>
  <c r="AP25" i="12"/>
  <c r="AP26" i="12"/>
  <c r="AP27" i="12"/>
  <c r="AP28" i="12"/>
  <c r="AP18" i="12"/>
  <c r="AO27" i="12"/>
  <c r="AO18" i="12"/>
  <c r="AO25" i="12"/>
  <c r="AO24" i="12"/>
  <c r="AO23" i="12"/>
  <c r="AO19" i="12"/>
  <c r="AO20" i="12"/>
  <c r="AO21" i="12"/>
  <c r="AO22" i="12"/>
  <c r="AO26" i="12"/>
  <c r="AO28" i="12"/>
  <c r="Z26" i="12"/>
  <c r="Z25" i="12"/>
  <c r="Z24" i="12"/>
  <c r="Z23" i="12"/>
  <c r="Z22" i="12"/>
  <c r="Z21" i="12"/>
  <c r="Z20" i="12"/>
  <c r="Z19" i="12"/>
  <c r="Z18" i="12"/>
  <c r="J2" i="1"/>
  <c r="H3" i="1"/>
  <c r="H2" i="1"/>
  <c r="M27" i="10"/>
  <c r="AA28" i="12"/>
  <c r="Z28" i="12"/>
  <c r="AA27" i="12"/>
  <c r="Z27" i="12"/>
  <c r="AA26" i="12"/>
  <c r="AA25" i="12"/>
  <c r="AA24" i="12"/>
  <c r="AA23" i="12"/>
  <c r="AA22" i="12"/>
  <c r="AA21" i="12"/>
  <c r="AA19" i="12"/>
  <c r="AA20" i="12"/>
  <c r="AA18" i="12"/>
  <c r="I18" i="12"/>
  <c r="U16" i="12"/>
  <c r="F16" i="12"/>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J38" i="10"/>
  <c r="M4" i="10"/>
  <c r="M29" i="10"/>
  <c r="M28" i="10"/>
  <c r="M26" i="10"/>
  <c r="M25" i="10"/>
  <c r="M24" i="10"/>
  <c r="M23" i="10"/>
  <c r="M22" i="10"/>
  <c r="M21" i="10"/>
  <c r="M20" i="10"/>
  <c r="M19" i="10"/>
  <c r="M18" i="10"/>
  <c r="M17" i="10"/>
  <c r="M16" i="10"/>
  <c r="M15" i="10"/>
  <c r="M14" i="10"/>
  <c r="M13" i="10"/>
  <c r="M12" i="10"/>
  <c r="M11" i="10"/>
  <c r="M10" i="10"/>
  <c r="M9" i="10"/>
  <c r="M8" i="10"/>
  <c r="M7" i="10"/>
  <c r="M6" i="10"/>
  <c r="M5" i="10"/>
  <c r="M3" i="10"/>
  <c r="I15" i="12"/>
  <c r="J21" i="12"/>
  <c r="H16" i="8"/>
  <c r="J18" i="12"/>
  <c r="J38" i="12"/>
  <c r="J37" i="12"/>
  <c r="J36" i="12"/>
  <c r="J35" i="12"/>
  <c r="J34" i="12"/>
  <c r="J33" i="12"/>
  <c r="J32" i="12"/>
  <c r="J31" i="12"/>
  <c r="J30" i="12"/>
  <c r="J29" i="12"/>
  <c r="J28" i="12"/>
  <c r="J27" i="12"/>
  <c r="J26" i="12"/>
  <c r="J25" i="12"/>
  <c r="J24" i="12"/>
  <c r="J23" i="12"/>
  <c r="J22" i="12"/>
  <c r="J20" i="12"/>
  <c r="J19" i="12"/>
  <c r="I38" i="12"/>
  <c r="I37" i="12"/>
  <c r="I36" i="12"/>
  <c r="I35" i="12"/>
  <c r="I34" i="12"/>
  <c r="I33" i="12"/>
  <c r="I32" i="12"/>
  <c r="I31" i="12"/>
  <c r="I30" i="12"/>
  <c r="I29" i="12"/>
  <c r="I28" i="12"/>
  <c r="I27" i="12"/>
  <c r="I26" i="12"/>
  <c r="I25" i="12"/>
  <c r="I24" i="12"/>
  <c r="I23" i="12"/>
  <c r="I22" i="12"/>
  <c r="I21" i="12"/>
  <c r="I20" i="12"/>
  <c r="I19" i="12"/>
  <c r="W24" i="12" a="1"/>
  <c r="W19" i="12" a="1"/>
  <c r="K20" i="12"/>
  <c r="W22" i="12" a="1"/>
  <c r="W18" i="12" a="1"/>
  <c r="W23" i="12" a="1"/>
  <c r="W30" i="12" a="1"/>
  <c r="K32" i="12"/>
  <c r="K19" i="12"/>
  <c r="W26" i="12" a="1"/>
  <c r="W34" i="12" a="1"/>
  <c r="W29" i="12" a="1"/>
  <c r="W35" i="12" a="1"/>
  <c r="W31" i="12" a="1"/>
  <c r="K35" i="12"/>
  <c r="K30" i="12"/>
  <c r="W27" i="12" a="1"/>
  <c r="W36" i="12" a="1"/>
  <c r="K24" i="12"/>
  <c r="W21" i="12" a="1"/>
  <c r="K38" i="12"/>
  <c r="K34" i="12"/>
  <c r="K26" i="12"/>
  <c r="W25" i="12" a="1"/>
  <c r="K36" i="12"/>
  <c r="K18" i="12"/>
  <c r="K29" i="12"/>
  <c r="K25" i="12"/>
  <c r="K31" i="12"/>
  <c r="K21" i="12"/>
  <c r="K37" i="12"/>
  <c r="K28" i="12"/>
  <c r="K23" i="12"/>
  <c r="W37" i="12" a="1"/>
  <c r="K22" i="12"/>
  <c r="W38" i="12" a="1"/>
  <c r="W33" i="12" a="1"/>
  <c r="W20" i="12" a="1"/>
  <c r="W28" i="12" a="1"/>
  <c r="K33" i="12"/>
  <c r="K27" i="12"/>
  <c r="W32" i="12" a="1"/>
  <c r="AB20" i="12" l="1"/>
  <c r="AB21" i="12"/>
  <c r="AD21" i="12" s="1"/>
  <c r="AB26" i="12"/>
  <c r="V15" i="12"/>
  <c r="AB18" i="12"/>
  <c r="AB22" i="12"/>
  <c r="AB25" i="12"/>
  <c r="AB19" i="12"/>
  <c r="AB23" i="12"/>
  <c r="AB27" i="12"/>
  <c r="AB24" i="12"/>
  <c r="AB28" i="12"/>
  <c r="AC21" i="12"/>
  <c r="AD25" i="12"/>
  <c r="AC26" i="12"/>
  <c r="AC20" i="12"/>
  <c r="V36" i="12"/>
  <c r="V32" i="12"/>
  <c r="V28" i="12"/>
  <c r="V24" i="12"/>
  <c r="V20" i="12"/>
  <c r="AC18" i="12"/>
  <c r="AC22" i="12"/>
  <c r="AD27" i="12"/>
  <c r="V18" i="12"/>
  <c r="V35" i="12"/>
  <c r="V31" i="12"/>
  <c r="V27" i="12"/>
  <c r="V23" i="12"/>
  <c r="V19" i="12"/>
  <c r="AD19" i="12"/>
  <c r="AD23" i="12"/>
  <c r="AC24" i="12"/>
  <c r="AC28" i="12"/>
  <c r="V38" i="12"/>
  <c r="V34" i="12"/>
  <c r="V30" i="12"/>
  <c r="V26" i="12"/>
  <c r="V22" i="12"/>
  <c r="V37" i="12"/>
  <c r="V33" i="12"/>
  <c r="V29" i="12"/>
  <c r="V25" i="12"/>
  <c r="V21" i="12"/>
  <c r="W19" i="12"/>
  <c r="W25" i="12"/>
  <c r="W29" i="12"/>
  <c r="W33" i="12"/>
  <c r="W37" i="12"/>
  <c r="W21" i="12"/>
  <c r="W23" i="12"/>
  <c r="W27" i="12"/>
  <c r="W31" i="12"/>
  <c r="W35" i="12"/>
  <c r="W20" i="12"/>
  <c r="W26" i="12"/>
  <c r="W30" i="12"/>
  <c r="W32" i="12"/>
  <c r="W36" i="12"/>
  <c r="W22" i="12"/>
  <c r="W24" i="12"/>
  <c r="W28" i="12"/>
  <c r="W34" i="12"/>
  <c r="W38" i="12"/>
  <c r="W18" i="12"/>
  <c r="U36" i="12"/>
  <c r="U32" i="12"/>
  <c r="U28" i="12"/>
  <c r="U24" i="12"/>
  <c r="U20" i="12"/>
  <c r="U18" i="12"/>
  <c r="U35" i="12"/>
  <c r="U31" i="12"/>
  <c r="U27" i="12"/>
  <c r="U23" i="12"/>
  <c r="U19" i="12"/>
  <c r="U38" i="12"/>
  <c r="U34" i="12"/>
  <c r="AK23" i="12" s="1"/>
  <c r="U30" i="12"/>
  <c r="U26" i="12"/>
  <c r="U22" i="12"/>
  <c r="U37" i="12"/>
  <c r="U33" i="12"/>
  <c r="U29" i="12"/>
  <c r="U25" i="12"/>
  <c r="U21" i="12"/>
  <c r="G4" i="8"/>
  <c r="H75" i="8"/>
  <c r="Q16" i="12"/>
  <c r="M16" i="12"/>
  <c r="AA45" i="8"/>
  <c r="Z45" i="8"/>
  <c r="Y45" i="8"/>
  <c r="X45" i="8"/>
  <c r="W45" i="8"/>
  <c r="V45" i="8"/>
  <c r="U45" i="8"/>
  <c r="T45" i="8"/>
  <c r="S45" i="8"/>
  <c r="R45" i="8"/>
  <c r="Q45" i="8"/>
  <c r="P45" i="8"/>
  <c r="O45" i="8"/>
  <c r="N45" i="8"/>
  <c r="M45" i="8"/>
  <c r="L45" i="8"/>
  <c r="K45" i="8"/>
  <c r="J45" i="8"/>
  <c r="I45" i="8"/>
  <c r="H45" i="8"/>
  <c r="G45" i="8"/>
  <c r="G10" i="8"/>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H87" i="8"/>
  <c r="U12" i="8"/>
  <c r="AB93" i="8"/>
  <c r="AA93" i="8"/>
  <c r="Z93" i="8"/>
  <c r="Y93" i="8"/>
  <c r="X93" i="8"/>
  <c r="W93" i="8"/>
  <c r="V93" i="8"/>
  <c r="U93" i="8"/>
  <c r="T93" i="8"/>
  <c r="S93" i="8"/>
  <c r="R93" i="8"/>
  <c r="Q93" i="8"/>
  <c r="P93" i="8"/>
  <c r="O93" i="8"/>
  <c r="N93" i="8"/>
  <c r="M93" i="8"/>
  <c r="L93" i="8"/>
  <c r="K93" i="8"/>
  <c r="J93" i="8"/>
  <c r="I93" i="8"/>
  <c r="AB92" i="8"/>
  <c r="AA92" i="8"/>
  <c r="Z92" i="8"/>
  <c r="Y92" i="8"/>
  <c r="X92" i="8"/>
  <c r="W92" i="8"/>
  <c r="V92" i="8"/>
  <c r="U92" i="8"/>
  <c r="T92" i="8"/>
  <c r="S92" i="8"/>
  <c r="R92" i="8"/>
  <c r="Q92" i="8"/>
  <c r="P92" i="8"/>
  <c r="O92" i="8"/>
  <c r="N92" i="8"/>
  <c r="M92" i="8"/>
  <c r="L92" i="8"/>
  <c r="K92" i="8"/>
  <c r="J92" i="8"/>
  <c r="I92" i="8"/>
  <c r="AB91" i="8"/>
  <c r="AA91" i="8"/>
  <c r="Z91" i="8"/>
  <c r="Y91" i="8"/>
  <c r="X91" i="8"/>
  <c r="W91" i="8"/>
  <c r="V91" i="8"/>
  <c r="U91" i="8"/>
  <c r="T91" i="8"/>
  <c r="S91" i="8"/>
  <c r="R91" i="8"/>
  <c r="Q91" i="8"/>
  <c r="P91" i="8"/>
  <c r="O91" i="8"/>
  <c r="N91" i="8"/>
  <c r="M91" i="8"/>
  <c r="L91" i="8"/>
  <c r="K91" i="8"/>
  <c r="J91" i="8"/>
  <c r="I91" i="8"/>
  <c r="AB90" i="8"/>
  <c r="AA90" i="8"/>
  <c r="Z90" i="8"/>
  <c r="Y90" i="8"/>
  <c r="X90" i="8"/>
  <c r="W90" i="8"/>
  <c r="V90" i="8"/>
  <c r="U90" i="8"/>
  <c r="T90" i="8"/>
  <c r="S90" i="8"/>
  <c r="R90" i="8"/>
  <c r="Q90" i="8"/>
  <c r="P90" i="8"/>
  <c r="O90" i="8"/>
  <c r="N90" i="8"/>
  <c r="M90" i="8"/>
  <c r="L90" i="8"/>
  <c r="K90" i="8"/>
  <c r="J90" i="8"/>
  <c r="I90" i="8"/>
  <c r="AB89" i="8"/>
  <c r="AA89" i="8"/>
  <c r="Z89" i="8"/>
  <c r="Y89" i="8"/>
  <c r="X89" i="8"/>
  <c r="W89" i="8"/>
  <c r="V89" i="8"/>
  <c r="U89" i="8"/>
  <c r="T89" i="8"/>
  <c r="S89" i="8"/>
  <c r="R89" i="8"/>
  <c r="Q89" i="8"/>
  <c r="P89" i="8"/>
  <c r="O89" i="8"/>
  <c r="N89" i="8"/>
  <c r="M89" i="8"/>
  <c r="L89" i="8"/>
  <c r="K89" i="8"/>
  <c r="J89" i="8"/>
  <c r="I89" i="8"/>
  <c r="AB88" i="8"/>
  <c r="AA88" i="8"/>
  <c r="Z88" i="8"/>
  <c r="Y88" i="8"/>
  <c r="X88" i="8"/>
  <c r="W88" i="8"/>
  <c r="V88" i="8"/>
  <c r="U88" i="8"/>
  <c r="T88" i="8"/>
  <c r="S88" i="8"/>
  <c r="R88" i="8"/>
  <c r="Q88" i="8"/>
  <c r="P88" i="8"/>
  <c r="O88" i="8"/>
  <c r="N88" i="8"/>
  <c r="M88" i="8"/>
  <c r="L88" i="8"/>
  <c r="K88" i="8"/>
  <c r="J88" i="8"/>
  <c r="I88" i="8"/>
  <c r="AB87" i="8"/>
  <c r="AA87" i="8"/>
  <c r="Z87" i="8"/>
  <c r="Y87" i="8"/>
  <c r="X87" i="8"/>
  <c r="W87" i="8"/>
  <c r="V87" i="8"/>
  <c r="U87" i="8"/>
  <c r="T87" i="8"/>
  <c r="S87" i="8"/>
  <c r="R87" i="8"/>
  <c r="Q87" i="8"/>
  <c r="P87" i="8"/>
  <c r="O87" i="8"/>
  <c r="N87" i="8"/>
  <c r="M87" i="8"/>
  <c r="L87" i="8"/>
  <c r="K87" i="8"/>
  <c r="J87" i="8"/>
  <c r="I87" i="8"/>
  <c r="AB86" i="8"/>
  <c r="AA86" i="8"/>
  <c r="Z86" i="8"/>
  <c r="Y86" i="8"/>
  <c r="X86" i="8"/>
  <c r="W86" i="8"/>
  <c r="V86" i="8"/>
  <c r="U86" i="8"/>
  <c r="T86" i="8"/>
  <c r="S86" i="8"/>
  <c r="R86" i="8"/>
  <c r="Q86" i="8"/>
  <c r="P86" i="8"/>
  <c r="O86" i="8"/>
  <c r="N86" i="8"/>
  <c r="M86" i="8"/>
  <c r="L86" i="8"/>
  <c r="K86" i="8"/>
  <c r="J86" i="8"/>
  <c r="I86" i="8"/>
  <c r="H93" i="8"/>
  <c r="H92" i="8"/>
  <c r="H91" i="8"/>
  <c r="H90" i="8"/>
  <c r="H89" i="8"/>
  <c r="H88" i="8"/>
  <c r="H86" i="8"/>
  <c r="H81" i="8"/>
  <c r="I74" i="8"/>
  <c r="H74" i="8"/>
  <c r="Z78" i="8"/>
  <c r="AB81" i="8"/>
  <c r="AA81" i="8"/>
  <c r="Z81" i="8"/>
  <c r="Y81" i="8"/>
  <c r="X81" i="8"/>
  <c r="W81" i="8"/>
  <c r="V81" i="8"/>
  <c r="U81" i="8"/>
  <c r="T81" i="8"/>
  <c r="S81" i="8"/>
  <c r="R81" i="8"/>
  <c r="Q81" i="8"/>
  <c r="P81" i="8"/>
  <c r="O81" i="8"/>
  <c r="N81" i="8"/>
  <c r="M81" i="8"/>
  <c r="L81" i="8"/>
  <c r="K81" i="8"/>
  <c r="J81" i="8"/>
  <c r="I81" i="8"/>
  <c r="AB80" i="8"/>
  <c r="AA80" i="8"/>
  <c r="Z80" i="8"/>
  <c r="Y80" i="8"/>
  <c r="X80" i="8"/>
  <c r="W80" i="8"/>
  <c r="V80" i="8"/>
  <c r="U80" i="8"/>
  <c r="T80" i="8"/>
  <c r="S80" i="8"/>
  <c r="R80" i="8"/>
  <c r="Q80" i="8"/>
  <c r="P80" i="8"/>
  <c r="O80" i="8"/>
  <c r="N80" i="8"/>
  <c r="M80" i="8"/>
  <c r="L80" i="8"/>
  <c r="K80" i="8"/>
  <c r="J80" i="8"/>
  <c r="I80" i="8"/>
  <c r="H80" i="8"/>
  <c r="AB79" i="8"/>
  <c r="AA79" i="8"/>
  <c r="Z79" i="8"/>
  <c r="Y79" i="8"/>
  <c r="X79" i="8"/>
  <c r="W79" i="8"/>
  <c r="V79" i="8"/>
  <c r="U79" i="8"/>
  <c r="T79" i="8"/>
  <c r="S79" i="8"/>
  <c r="R79" i="8"/>
  <c r="Q79" i="8"/>
  <c r="P79" i="8"/>
  <c r="O79" i="8"/>
  <c r="N79" i="8"/>
  <c r="M79" i="8"/>
  <c r="L79" i="8"/>
  <c r="K79" i="8"/>
  <c r="J79" i="8"/>
  <c r="I79" i="8"/>
  <c r="H79" i="8"/>
  <c r="AB78" i="8"/>
  <c r="AA78" i="8"/>
  <c r="Y78" i="8"/>
  <c r="X78" i="8"/>
  <c r="W78" i="8"/>
  <c r="V78" i="8"/>
  <c r="U78" i="8"/>
  <c r="T78" i="8"/>
  <c r="S78" i="8"/>
  <c r="R78" i="8"/>
  <c r="Q78" i="8"/>
  <c r="P78" i="8"/>
  <c r="O78" i="8"/>
  <c r="N78" i="8"/>
  <c r="M78" i="8"/>
  <c r="L78" i="8"/>
  <c r="K78" i="8"/>
  <c r="J78" i="8"/>
  <c r="I78" i="8"/>
  <c r="H78" i="8"/>
  <c r="AB77" i="8"/>
  <c r="AA77" i="8"/>
  <c r="Z77" i="8"/>
  <c r="Y77" i="8"/>
  <c r="X77" i="8"/>
  <c r="W77" i="8"/>
  <c r="V77" i="8"/>
  <c r="U77" i="8"/>
  <c r="T77" i="8"/>
  <c r="S77" i="8"/>
  <c r="R77" i="8"/>
  <c r="Q77" i="8"/>
  <c r="P77" i="8"/>
  <c r="O77" i="8"/>
  <c r="N77" i="8"/>
  <c r="M77" i="8"/>
  <c r="L77" i="8"/>
  <c r="K77" i="8"/>
  <c r="J77" i="8"/>
  <c r="I77" i="8"/>
  <c r="H77" i="8"/>
  <c r="AB76" i="8"/>
  <c r="AA76" i="8"/>
  <c r="Z76" i="8"/>
  <c r="Y76" i="8"/>
  <c r="X76" i="8"/>
  <c r="W76" i="8"/>
  <c r="V76" i="8"/>
  <c r="U76" i="8"/>
  <c r="T76" i="8"/>
  <c r="S76" i="8"/>
  <c r="R76" i="8"/>
  <c r="Q76" i="8"/>
  <c r="P76" i="8"/>
  <c r="O76" i="8"/>
  <c r="N76" i="8"/>
  <c r="M76" i="8"/>
  <c r="L76" i="8"/>
  <c r="K76" i="8"/>
  <c r="J76" i="8"/>
  <c r="I76" i="8"/>
  <c r="H76" i="8"/>
  <c r="AB75" i="8"/>
  <c r="AA75" i="8"/>
  <c r="Z75" i="8"/>
  <c r="Y75" i="8"/>
  <c r="X75" i="8"/>
  <c r="W75" i="8"/>
  <c r="V75" i="8"/>
  <c r="U75" i="8"/>
  <c r="T75" i="8"/>
  <c r="S75" i="8"/>
  <c r="R75" i="8"/>
  <c r="Q75" i="8"/>
  <c r="P75" i="8"/>
  <c r="O75" i="8"/>
  <c r="N75" i="8"/>
  <c r="M75" i="8"/>
  <c r="L75" i="8"/>
  <c r="K75" i="8"/>
  <c r="J75" i="8"/>
  <c r="I75" i="8"/>
  <c r="AB74" i="8"/>
  <c r="AA74" i="8"/>
  <c r="Z74" i="8"/>
  <c r="Y74" i="8"/>
  <c r="X74" i="8"/>
  <c r="W74" i="8"/>
  <c r="V74" i="8"/>
  <c r="U74" i="8"/>
  <c r="T74" i="8"/>
  <c r="S74" i="8"/>
  <c r="R74" i="8"/>
  <c r="Q74" i="8"/>
  <c r="P74" i="8"/>
  <c r="O74" i="8"/>
  <c r="N74" i="8"/>
  <c r="M74" i="8"/>
  <c r="L74" i="8"/>
  <c r="K74" i="8"/>
  <c r="J74" i="8"/>
  <c r="I69" i="8"/>
  <c r="I68" i="8"/>
  <c r="I67" i="8"/>
  <c r="I66" i="8"/>
  <c r="I65" i="8"/>
  <c r="I64" i="8"/>
  <c r="I63" i="8"/>
  <c r="H69" i="8"/>
  <c r="H68" i="8"/>
  <c r="H67" i="8"/>
  <c r="H66" i="8"/>
  <c r="H65" i="8"/>
  <c r="H64" i="8"/>
  <c r="H63" i="8"/>
  <c r="H62" i="8"/>
  <c r="I62" i="8"/>
  <c r="K9" i="10"/>
  <c r="G15" i="8"/>
  <c r="K37" i="10"/>
  <c r="J37" i="10"/>
  <c r="K36" i="10"/>
  <c r="J36" i="10"/>
  <c r="K35" i="10"/>
  <c r="J35" i="10"/>
  <c r="K21" i="10"/>
  <c r="J21" i="10"/>
  <c r="K34" i="10"/>
  <c r="J34" i="10"/>
  <c r="K10" i="10"/>
  <c r="J10" i="10"/>
  <c r="K33" i="10"/>
  <c r="J33" i="10"/>
  <c r="K32" i="10"/>
  <c r="J32" i="10"/>
  <c r="K31" i="10"/>
  <c r="J31" i="10"/>
  <c r="K20" i="10"/>
  <c r="J20" i="10"/>
  <c r="K13" i="10"/>
  <c r="J13" i="10"/>
  <c r="K30" i="10"/>
  <c r="J30" i="10"/>
  <c r="K29" i="10"/>
  <c r="J29" i="10"/>
  <c r="K19" i="10"/>
  <c r="J19" i="10"/>
  <c r="K28" i="10"/>
  <c r="J28" i="10"/>
  <c r="K27" i="10"/>
  <c r="J27" i="10"/>
  <c r="K8" i="10"/>
  <c r="J8" i="10"/>
  <c r="K26" i="10"/>
  <c r="J26" i="10"/>
  <c r="K25" i="10"/>
  <c r="J25" i="10"/>
  <c r="J9" i="10"/>
  <c r="K11" i="10"/>
  <c r="J11" i="10"/>
  <c r="K5" i="10"/>
  <c r="J5" i="10"/>
  <c r="K24" i="10"/>
  <c r="J24" i="10"/>
  <c r="K4" i="10"/>
  <c r="J4" i="10"/>
  <c r="K15" i="10"/>
  <c r="J15" i="10"/>
  <c r="K12" i="10"/>
  <c r="J12" i="10"/>
  <c r="K3" i="10"/>
  <c r="J3" i="10"/>
  <c r="K23" i="10"/>
  <c r="J23" i="10"/>
  <c r="K22" i="10"/>
  <c r="J22" i="10"/>
  <c r="K18" i="10"/>
  <c r="J18" i="10"/>
  <c r="K17" i="10"/>
  <c r="J17" i="10"/>
  <c r="K16" i="10"/>
  <c r="J16" i="10"/>
  <c r="K14" i="10"/>
  <c r="J14" i="10"/>
  <c r="K7" i="10"/>
  <c r="J7" i="10"/>
  <c r="K6" i="10"/>
  <c r="J6" i="10"/>
  <c r="O21" i="12" a="1"/>
  <c r="O27" i="12" a="1"/>
  <c r="S31" i="12" a="1"/>
  <c r="S23" i="12" a="1"/>
  <c r="O18" i="12" a="1"/>
  <c r="S30" i="12" a="1"/>
  <c r="O20" i="12" a="1"/>
  <c r="S26" i="12" a="1"/>
  <c r="O19" i="12" a="1"/>
  <c r="S22" i="12" a="1"/>
  <c r="O35" i="12" a="1"/>
  <c r="S18" i="12" a="1"/>
  <c r="O30" i="12" a="1"/>
  <c r="S28" i="12" a="1"/>
  <c r="O26" i="12" a="1"/>
  <c r="S34" i="12" a="1"/>
  <c r="O22" i="12" a="1"/>
  <c r="O24" i="12" a="1"/>
  <c r="S24" i="12" a="1"/>
  <c r="O37" i="12" a="1"/>
  <c r="S20" i="12" a="1"/>
  <c r="S35" i="12" a="1"/>
  <c r="S36" i="12" a="1"/>
  <c r="O38" i="12" a="1"/>
  <c r="S38" i="12" a="1"/>
  <c r="O32" i="12" a="1"/>
  <c r="S32" i="12" a="1"/>
  <c r="O28" i="12" a="1"/>
  <c r="O29" i="12" a="1"/>
  <c r="S25" i="12" a="1"/>
  <c r="O25" i="12" a="1"/>
  <c r="S21" i="12" a="1"/>
  <c r="O23" i="12" a="1"/>
  <c r="S37" i="12" a="1"/>
  <c r="O33" i="12" a="1"/>
  <c r="S33" i="12" a="1"/>
  <c r="O31" i="12" a="1"/>
  <c r="S29" i="12" a="1"/>
  <c r="S19" i="12" a="1"/>
  <c r="S27" i="12" a="1"/>
  <c r="O36" i="12" a="1"/>
  <c r="O34" i="12" a="1"/>
  <c r="AK19" i="12" l="1"/>
  <c r="O21" i="12"/>
  <c r="AK21" i="12"/>
  <c r="AK26" i="12"/>
  <c r="AK22" i="12"/>
  <c r="AK25" i="12"/>
  <c r="AK27" i="12"/>
  <c r="AK28" i="12"/>
  <c r="AK18" i="12"/>
  <c r="AK24" i="12"/>
  <c r="AK20" i="12"/>
  <c r="AD26" i="12"/>
  <c r="AC27" i="12"/>
  <c r="AC25" i="12"/>
  <c r="AD24" i="12"/>
  <c r="AC23" i="12"/>
  <c r="AD22" i="12"/>
  <c r="AD20" i="12"/>
  <c r="AC19" i="12"/>
  <c r="AD28" i="12"/>
  <c r="AD18" i="12"/>
  <c r="S18" i="12"/>
  <c r="M18" i="12"/>
  <c r="N18" i="12"/>
  <c r="R15" i="12"/>
  <c r="Y44" i="8"/>
  <c r="Y46" i="8"/>
  <c r="Q18" i="12"/>
  <c r="O36" i="12"/>
  <c r="O34" i="12"/>
  <c r="O30" i="12"/>
  <c r="O26" i="12"/>
  <c r="O22" i="12"/>
  <c r="O20" i="12"/>
  <c r="O19" i="12"/>
  <c r="O38" i="12"/>
  <c r="O32" i="12"/>
  <c r="O28" i="12"/>
  <c r="O24" i="12"/>
  <c r="O37" i="12"/>
  <c r="O35" i="12"/>
  <c r="O33" i="12"/>
  <c r="O31" i="12"/>
  <c r="O29" i="12"/>
  <c r="O25" i="12"/>
  <c r="O23" i="12"/>
  <c r="O27" i="12"/>
  <c r="O18" i="12"/>
  <c r="S27" i="12"/>
  <c r="S36" i="12"/>
  <c r="S34" i="12"/>
  <c r="S30" i="12"/>
  <c r="S26" i="12"/>
  <c r="S22" i="12"/>
  <c r="S38" i="12"/>
  <c r="S32" i="12"/>
  <c r="S28" i="12"/>
  <c r="S24" i="12"/>
  <c r="S20" i="12"/>
  <c r="S37" i="12"/>
  <c r="S33" i="12"/>
  <c r="S29" i="12"/>
  <c r="S25" i="12"/>
  <c r="S21" i="12"/>
  <c r="S35" i="12"/>
  <c r="S31" i="12"/>
  <c r="S23" i="12"/>
  <c r="S19" i="12"/>
  <c r="G38" i="8"/>
  <c r="G42" i="8"/>
  <c r="G36" i="8"/>
  <c r="J36" i="8"/>
  <c r="N36" i="8"/>
  <c r="R36" i="8"/>
  <c r="V36" i="8"/>
  <c r="Z36" i="8"/>
  <c r="J37" i="8"/>
  <c r="N37" i="8"/>
  <c r="R37" i="8"/>
  <c r="V37" i="8"/>
  <c r="Z37" i="8"/>
  <c r="J38" i="8"/>
  <c r="N38" i="8"/>
  <c r="R38" i="8"/>
  <c r="V38" i="8"/>
  <c r="Z38" i="8"/>
  <c r="J39" i="8"/>
  <c r="N39" i="8"/>
  <c r="R39" i="8"/>
  <c r="V39" i="8"/>
  <c r="Z39" i="8"/>
  <c r="J40" i="8"/>
  <c r="N40" i="8"/>
  <c r="R40" i="8"/>
  <c r="V40" i="8"/>
  <c r="Z40" i="8"/>
  <c r="J41" i="8"/>
  <c r="N41" i="8"/>
  <c r="R41" i="8"/>
  <c r="V41" i="8"/>
  <c r="Z41" i="8"/>
  <c r="J42" i="8"/>
  <c r="N42" i="8"/>
  <c r="R42" i="8"/>
  <c r="V42" i="8"/>
  <c r="Z42" i="8"/>
  <c r="J43" i="8"/>
  <c r="N43" i="8"/>
  <c r="R43" i="8"/>
  <c r="V43" i="8"/>
  <c r="Z43" i="8"/>
  <c r="J44" i="8"/>
  <c r="N44" i="8"/>
  <c r="R44" i="8"/>
  <c r="V44" i="8"/>
  <c r="Z44" i="8"/>
  <c r="J46" i="8"/>
  <c r="N46" i="8"/>
  <c r="R46" i="8"/>
  <c r="V46" i="8"/>
  <c r="Z46" i="8"/>
  <c r="G39" i="8"/>
  <c r="G43" i="8"/>
  <c r="K36" i="8"/>
  <c r="O36" i="8"/>
  <c r="S36" i="8"/>
  <c r="W36" i="8"/>
  <c r="AA36" i="8"/>
  <c r="K37" i="8"/>
  <c r="O37" i="8"/>
  <c r="S37" i="8"/>
  <c r="W37" i="8"/>
  <c r="AA37" i="8"/>
  <c r="K38" i="8"/>
  <c r="O38" i="8"/>
  <c r="S38" i="8"/>
  <c r="W38" i="8"/>
  <c r="AA38" i="8"/>
  <c r="K39" i="8"/>
  <c r="O39" i="8"/>
  <c r="S39" i="8"/>
  <c r="W39" i="8"/>
  <c r="AA39" i="8"/>
  <c r="K40" i="8"/>
  <c r="O40" i="8"/>
  <c r="S40" i="8"/>
  <c r="W40" i="8"/>
  <c r="AA40" i="8"/>
  <c r="K41" i="8"/>
  <c r="O41" i="8"/>
  <c r="S41" i="8"/>
  <c r="W41" i="8"/>
  <c r="AA41" i="8"/>
  <c r="K42" i="8"/>
  <c r="O42" i="8"/>
  <c r="S42" i="8"/>
  <c r="W42" i="8"/>
  <c r="AA42" i="8"/>
  <c r="K43" i="8"/>
  <c r="O43" i="8"/>
  <c r="S43" i="8"/>
  <c r="W43" i="8"/>
  <c r="AA43" i="8"/>
  <c r="K44" i="8"/>
  <c r="O44" i="8"/>
  <c r="S44" i="8"/>
  <c r="W44" i="8"/>
  <c r="AA44" i="8"/>
  <c r="K46" i="8"/>
  <c r="O46" i="8"/>
  <c r="S46" i="8"/>
  <c r="W46" i="8"/>
  <c r="AA46" i="8"/>
  <c r="G40" i="8"/>
  <c r="G44" i="8"/>
  <c r="H36" i="8"/>
  <c r="L36" i="8"/>
  <c r="P36" i="8"/>
  <c r="T36" i="8"/>
  <c r="X36" i="8"/>
  <c r="H37" i="8"/>
  <c r="L37" i="8"/>
  <c r="P37" i="8"/>
  <c r="T37" i="8"/>
  <c r="X37" i="8"/>
  <c r="H38" i="8"/>
  <c r="L38" i="8"/>
  <c r="P38" i="8"/>
  <c r="T38" i="8"/>
  <c r="X38" i="8"/>
  <c r="H39" i="8"/>
  <c r="L39" i="8"/>
  <c r="P39" i="8"/>
  <c r="T39" i="8"/>
  <c r="X39" i="8"/>
  <c r="H40" i="8"/>
  <c r="L40" i="8"/>
  <c r="P40" i="8"/>
  <c r="T40" i="8"/>
  <c r="X40" i="8"/>
  <c r="H41" i="8"/>
  <c r="L41" i="8"/>
  <c r="P41" i="8"/>
  <c r="T41" i="8"/>
  <c r="X41" i="8"/>
  <c r="H42" i="8"/>
  <c r="L42" i="8"/>
  <c r="P42" i="8"/>
  <c r="T42" i="8"/>
  <c r="X42" i="8"/>
  <c r="H43" i="8"/>
  <c r="L43" i="8"/>
  <c r="P43" i="8"/>
  <c r="T43" i="8"/>
  <c r="X43" i="8"/>
  <c r="H44" i="8"/>
  <c r="L44" i="8"/>
  <c r="P44" i="8"/>
  <c r="T44" i="8"/>
  <c r="X44" i="8"/>
  <c r="H46" i="8"/>
  <c r="L46" i="8"/>
  <c r="P46" i="8"/>
  <c r="T46" i="8"/>
  <c r="X46" i="8"/>
  <c r="G37" i="8"/>
  <c r="G41" i="8"/>
  <c r="G46" i="8"/>
  <c r="I36" i="8"/>
  <c r="M36" i="8"/>
  <c r="Q36" i="8"/>
  <c r="U36" i="8"/>
  <c r="Y36" i="8"/>
  <c r="I37" i="8"/>
  <c r="M37" i="8"/>
  <c r="Q37" i="8"/>
  <c r="U37" i="8"/>
  <c r="Y37" i="8"/>
  <c r="I38" i="8"/>
  <c r="M38" i="8"/>
  <c r="Q38" i="8"/>
  <c r="U38" i="8"/>
  <c r="Y38" i="8"/>
  <c r="I39" i="8"/>
  <c r="M39" i="8"/>
  <c r="Q39" i="8"/>
  <c r="U39" i="8"/>
  <c r="Y39" i="8"/>
  <c r="I40" i="8"/>
  <c r="M40" i="8"/>
  <c r="Q40" i="8"/>
  <c r="U40" i="8"/>
  <c r="Y40" i="8"/>
  <c r="I41" i="8"/>
  <c r="M41" i="8"/>
  <c r="Q41" i="8"/>
  <c r="U41" i="8"/>
  <c r="Y41" i="8"/>
  <c r="I42" i="8"/>
  <c r="M42" i="8"/>
  <c r="Q42" i="8"/>
  <c r="U42" i="8"/>
  <c r="Y42" i="8"/>
  <c r="I43" i="8"/>
  <c r="M43" i="8"/>
  <c r="Q43" i="8"/>
  <c r="U43" i="8"/>
  <c r="Y43" i="8"/>
  <c r="I44" i="8"/>
  <c r="M44" i="8"/>
  <c r="Q44" i="8"/>
  <c r="U44" i="8"/>
  <c r="I46" i="8"/>
  <c r="M46" i="8"/>
  <c r="Q46" i="8"/>
  <c r="U46" i="8"/>
  <c r="N15" i="12"/>
  <c r="Q38" i="12"/>
  <c r="R35" i="12"/>
  <c r="Q34" i="12"/>
  <c r="R31" i="12"/>
  <c r="Q30" i="12"/>
  <c r="R27" i="12"/>
  <c r="Q26" i="12"/>
  <c r="R23" i="12"/>
  <c r="Q22" i="12"/>
  <c r="R19" i="12"/>
  <c r="R36" i="12"/>
  <c r="Q35" i="12"/>
  <c r="R32" i="12"/>
  <c r="Q31" i="12"/>
  <c r="R28" i="12"/>
  <c r="Q27" i="12"/>
  <c r="R24" i="12"/>
  <c r="Q23" i="12"/>
  <c r="R20" i="12"/>
  <c r="Q19" i="12"/>
  <c r="R37" i="12"/>
  <c r="Q36" i="12"/>
  <c r="R33" i="12"/>
  <c r="Q32" i="12"/>
  <c r="R29" i="12"/>
  <c r="Q28" i="12"/>
  <c r="R25" i="12"/>
  <c r="Q24" i="12"/>
  <c r="R21" i="12"/>
  <c r="Q20" i="12"/>
  <c r="R38" i="12"/>
  <c r="Q37" i="12"/>
  <c r="R34" i="12"/>
  <c r="Q33" i="12"/>
  <c r="R30" i="12"/>
  <c r="Q29" i="12"/>
  <c r="R26" i="12"/>
  <c r="Q25" i="12"/>
  <c r="R22" i="12"/>
  <c r="Q21" i="12"/>
  <c r="R18" i="12"/>
  <c r="N38" i="12"/>
  <c r="N34" i="12"/>
  <c r="N30" i="12"/>
  <c r="N26" i="12"/>
  <c r="N22" i="12"/>
  <c r="N37" i="12"/>
  <c r="N33" i="12"/>
  <c r="N29" i="12"/>
  <c r="N25" i="12"/>
  <c r="N21" i="12"/>
  <c r="N36" i="12"/>
  <c r="N32" i="12"/>
  <c r="N28" i="12"/>
  <c r="N24" i="12"/>
  <c r="N20" i="12"/>
  <c r="N35" i="12"/>
  <c r="N31" i="12"/>
  <c r="N27" i="12"/>
  <c r="N23" i="12"/>
  <c r="N19" i="12"/>
  <c r="M38" i="12"/>
  <c r="M34" i="12"/>
  <c r="AE23" i="12" s="1"/>
  <c r="M30" i="12"/>
  <c r="M26" i="12"/>
  <c r="M22" i="12"/>
  <c r="M37" i="12"/>
  <c r="M33" i="12"/>
  <c r="M29" i="12"/>
  <c r="M25" i="12"/>
  <c r="M21" i="12"/>
  <c r="M36" i="12"/>
  <c r="M32" i="12"/>
  <c r="M28" i="12"/>
  <c r="M24" i="12"/>
  <c r="M20" i="12"/>
  <c r="M35" i="12"/>
  <c r="M31" i="12"/>
  <c r="M27" i="12"/>
  <c r="M23" i="12"/>
  <c r="M19" i="12"/>
  <c r="J65" i="8"/>
  <c r="J69" i="8"/>
  <c r="J66" i="8"/>
  <c r="J64" i="8"/>
  <c r="J68" i="8"/>
  <c r="J62" i="8"/>
  <c r="J63" i="8"/>
  <c r="J67" i="8"/>
  <c r="AA12" i="8"/>
  <c r="Z12" i="8"/>
  <c r="Y12" i="8"/>
  <c r="X12" i="8"/>
  <c r="W12" i="8"/>
  <c r="V12" i="8"/>
  <c r="T12" i="8"/>
  <c r="S12" i="8"/>
  <c r="R12" i="8"/>
  <c r="Q12" i="8"/>
  <c r="P12" i="8"/>
  <c r="O12" i="8"/>
  <c r="N12" i="8"/>
  <c r="M12" i="8"/>
  <c r="L12" i="8"/>
  <c r="K12" i="8"/>
  <c r="J12" i="8"/>
  <c r="I12" i="8"/>
  <c r="H12" i="8"/>
  <c r="AA11" i="8"/>
  <c r="Z11" i="8"/>
  <c r="Y11" i="8"/>
  <c r="X11" i="8"/>
  <c r="W11" i="8"/>
  <c r="V11" i="8"/>
  <c r="U11" i="8"/>
  <c r="T11" i="8"/>
  <c r="S11" i="8"/>
  <c r="R11" i="8"/>
  <c r="Q11" i="8"/>
  <c r="P11" i="8"/>
  <c r="O11" i="8"/>
  <c r="N11" i="8"/>
  <c r="M11" i="8"/>
  <c r="L11" i="8"/>
  <c r="K11" i="8"/>
  <c r="J11" i="8"/>
  <c r="I11" i="8"/>
  <c r="H11" i="8"/>
  <c r="AA10" i="8"/>
  <c r="Z10" i="8"/>
  <c r="Y10" i="8"/>
  <c r="X10" i="8"/>
  <c r="W10" i="8"/>
  <c r="V10" i="8"/>
  <c r="U10" i="8"/>
  <c r="T10" i="8"/>
  <c r="S10" i="8"/>
  <c r="R10" i="8"/>
  <c r="Q10" i="8"/>
  <c r="P10" i="8"/>
  <c r="O10" i="8"/>
  <c r="N10" i="8"/>
  <c r="M10" i="8"/>
  <c r="L10" i="8"/>
  <c r="K10" i="8"/>
  <c r="J10" i="8"/>
  <c r="I10" i="8"/>
  <c r="H10" i="8"/>
  <c r="G12" i="8"/>
  <c r="G11" i="8"/>
  <c r="AA22" i="8"/>
  <c r="Z22" i="8"/>
  <c r="Y22" i="8"/>
  <c r="X22" i="8"/>
  <c r="W22" i="8"/>
  <c r="V22" i="8"/>
  <c r="U22" i="8"/>
  <c r="T22" i="8"/>
  <c r="S22" i="8"/>
  <c r="R22" i="8"/>
  <c r="Q22" i="8"/>
  <c r="P22" i="8"/>
  <c r="O22" i="8"/>
  <c r="N22" i="8"/>
  <c r="M22" i="8"/>
  <c r="L22" i="8"/>
  <c r="K22" i="8"/>
  <c r="J22" i="8"/>
  <c r="I22" i="8"/>
  <c r="AA21" i="8"/>
  <c r="Z21" i="8"/>
  <c r="Y21" i="8"/>
  <c r="X21" i="8"/>
  <c r="W21" i="8"/>
  <c r="V21" i="8"/>
  <c r="U21" i="8"/>
  <c r="T21" i="8"/>
  <c r="S21" i="8"/>
  <c r="R21" i="8"/>
  <c r="Q21" i="8"/>
  <c r="P21" i="8"/>
  <c r="O21" i="8"/>
  <c r="N21" i="8"/>
  <c r="M21" i="8"/>
  <c r="L21" i="8"/>
  <c r="K21" i="8"/>
  <c r="J21" i="8"/>
  <c r="I21" i="8"/>
  <c r="H22" i="8"/>
  <c r="H21" i="8"/>
  <c r="G22" i="8"/>
  <c r="G21" i="8"/>
  <c r="H50" i="8"/>
  <c r="H49" i="8"/>
  <c r="G50" i="8"/>
  <c r="G49" i="8"/>
  <c r="E23" i="8"/>
  <c r="E24" i="8" s="1"/>
  <c r="D23" i="8"/>
  <c r="Z23" i="8" s="1"/>
  <c r="AA6" i="8"/>
  <c r="Z6" i="8"/>
  <c r="Y6" i="8"/>
  <c r="X6" i="8"/>
  <c r="W6" i="8"/>
  <c r="V6" i="8"/>
  <c r="U6" i="8"/>
  <c r="T6" i="8"/>
  <c r="S6" i="8"/>
  <c r="R6" i="8"/>
  <c r="Q6" i="8"/>
  <c r="P6" i="8"/>
  <c r="O6" i="8"/>
  <c r="N6" i="8"/>
  <c r="M6" i="8"/>
  <c r="L6" i="8"/>
  <c r="K6" i="8"/>
  <c r="J6" i="8"/>
  <c r="I6" i="8"/>
  <c r="H6" i="8"/>
  <c r="AA5" i="8"/>
  <c r="Z5" i="8"/>
  <c r="Y5" i="8"/>
  <c r="X5" i="8"/>
  <c r="W5" i="8"/>
  <c r="V5" i="8"/>
  <c r="U5" i="8"/>
  <c r="T5" i="8"/>
  <c r="S5" i="8"/>
  <c r="R5" i="8"/>
  <c r="Q5" i="8"/>
  <c r="P5" i="8"/>
  <c r="O5" i="8"/>
  <c r="N5" i="8"/>
  <c r="M5" i="8"/>
  <c r="L5" i="8"/>
  <c r="K5" i="8"/>
  <c r="J5" i="8"/>
  <c r="I5" i="8"/>
  <c r="H5" i="8"/>
  <c r="AA4" i="8"/>
  <c r="Z4" i="8"/>
  <c r="Y4" i="8"/>
  <c r="X4" i="8"/>
  <c r="W4" i="8"/>
  <c r="V4" i="8"/>
  <c r="U4" i="8"/>
  <c r="T4" i="8"/>
  <c r="S4" i="8"/>
  <c r="R4" i="8"/>
  <c r="Q4" i="8"/>
  <c r="P4" i="8"/>
  <c r="O4" i="8"/>
  <c r="N4" i="8"/>
  <c r="M4" i="8"/>
  <c r="L4" i="8"/>
  <c r="K4" i="8"/>
  <c r="J4" i="8"/>
  <c r="I4" i="8"/>
  <c r="H4" i="8"/>
  <c r="G6" i="8"/>
  <c r="G5" i="8"/>
  <c r="H17" i="8"/>
  <c r="H15" i="8"/>
  <c r="G17" i="8"/>
  <c r="G16" i="8"/>
  <c r="N4" i="6"/>
  <c r="M4" i="6"/>
  <c r="N5" i="6"/>
  <c r="M5" i="6"/>
  <c r="J6" i="6"/>
  <c r="K6" i="6"/>
  <c r="K7" i="6" s="1"/>
  <c r="M4" i="5" a="1"/>
  <c r="M4" i="5" s="1"/>
  <c r="AE20" i="12" l="1"/>
  <c r="AE25" i="12"/>
  <c r="AE24" i="12"/>
  <c r="AE22" i="12"/>
  <c r="AE18" i="12"/>
  <c r="AE19" i="12"/>
  <c r="AE27" i="12"/>
  <c r="AE21" i="12"/>
  <c r="AE28" i="12"/>
  <c r="AE26" i="12"/>
  <c r="AM23" i="12"/>
  <c r="AL23" i="12"/>
  <c r="AL21" i="12"/>
  <c r="AM21" i="12"/>
  <c r="AM20" i="12"/>
  <c r="AL20" i="12"/>
  <c r="AM19" i="12"/>
  <c r="AL19" i="12"/>
  <c r="AH25" i="12"/>
  <c r="AH18" i="12"/>
  <c r="AH22" i="12"/>
  <c r="AH24" i="12"/>
  <c r="AH19" i="12"/>
  <c r="AH23" i="12"/>
  <c r="AH27" i="12"/>
  <c r="AH20" i="12"/>
  <c r="AH26" i="12"/>
  <c r="AH28" i="12"/>
  <c r="AH21" i="12"/>
  <c r="I49" i="8"/>
  <c r="G51" i="8"/>
  <c r="H51" i="8"/>
  <c r="G23" i="8"/>
  <c r="K23" i="8"/>
  <c r="O23" i="8"/>
  <c r="S23" i="8"/>
  <c r="W23" i="8"/>
  <c r="AA23" i="8"/>
  <c r="L23" i="8"/>
  <c r="P23" i="8"/>
  <c r="T23" i="8"/>
  <c r="X23" i="8"/>
  <c r="I23" i="8"/>
  <c r="M23" i="8"/>
  <c r="Q23" i="8"/>
  <c r="U23" i="8"/>
  <c r="Y23" i="8"/>
  <c r="I50" i="8"/>
  <c r="H23" i="8"/>
  <c r="J23" i="8"/>
  <c r="N23" i="8"/>
  <c r="R23" i="8"/>
  <c r="V23" i="8"/>
  <c r="N6" i="6"/>
  <c r="I15" i="8"/>
  <c r="I17" i="8"/>
  <c r="D25" i="8"/>
  <c r="E25" i="8"/>
  <c r="D24" i="8"/>
  <c r="I16" i="8"/>
  <c r="J8" i="6"/>
  <c r="K8" i="6"/>
  <c r="J9" i="6" s="1"/>
  <c r="J7" i="6"/>
  <c r="M6" i="6"/>
  <c r="AI21" i="12" l="1"/>
  <c r="AJ21" i="12"/>
  <c r="AJ26" i="12"/>
  <c r="AI26" i="12"/>
  <c r="AG20" i="12"/>
  <c r="AF20" i="12"/>
  <c r="AG25" i="12"/>
  <c r="AF25" i="12"/>
  <c r="AJ22" i="12"/>
  <c r="AI22" i="12"/>
  <c r="AF26" i="12"/>
  <c r="AG26" i="12"/>
  <c r="AF24" i="12"/>
  <c r="AG24" i="12"/>
  <c r="AF28" i="12"/>
  <c r="AG28" i="12"/>
  <c r="AG23" i="12"/>
  <c r="AF23" i="12"/>
  <c r="AF18" i="12"/>
  <c r="AG18" i="12"/>
  <c r="AG27" i="12"/>
  <c r="AF27" i="12"/>
  <c r="AF19" i="12"/>
  <c r="AG19" i="12"/>
  <c r="AF22" i="12"/>
  <c r="AG22" i="12"/>
  <c r="AJ27" i="12"/>
  <c r="AI27" i="12"/>
  <c r="AJ19" i="12"/>
  <c r="AI19" i="12"/>
  <c r="AI25" i="12"/>
  <c r="AJ25" i="12"/>
  <c r="AJ28" i="12"/>
  <c r="AI28" i="12"/>
  <c r="AJ20" i="12"/>
  <c r="AI20" i="12"/>
  <c r="AI23" i="12"/>
  <c r="AJ23" i="12"/>
  <c r="AI24" i="12"/>
  <c r="AJ24" i="12"/>
  <c r="AJ18" i="12"/>
  <c r="AI18" i="12"/>
  <c r="AL25" i="12"/>
  <c r="AM25" i="12"/>
  <c r="AF21" i="12"/>
  <c r="AG21" i="12"/>
  <c r="AL28" i="12"/>
  <c r="I51" i="8"/>
  <c r="X25" i="8"/>
  <c r="T25" i="8"/>
  <c r="P25" i="8"/>
  <c r="L25" i="8"/>
  <c r="AA25" i="8"/>
  <c r="W25" i="8"/>
  <c r="S25" i="8"/>
  <c r="O25" i="8"/>
  <c r="K25" i="8"/>
  <c r="G25" i="8"/>
  <c r="H53" i="8"/>
  <c r="G53" i="8"/>
  <c r="Z25" i="8"/>
  <c r="V25" i="8"/>
  <c r="R25" i="8"/>
  <c r="N25" i="8"/>
  <c r="J25" i="8"/>
  <c r="H25" i="8"/>
  <c r="Y25" i="8"/>
  <c r="U25" i="8"/>
  <c r="Q25" i="8"/>
  <c r="M25" i="8"/>
  <c r="I25" i="8"/>
  <c r="AA24" i="8"/>
  <c r="W24" i="8"/>
  <c r="S24" i="8"/>
  <c r="O24" i="8"/>
  <c r="K24" i="8"/>
  <c r="Z24" i="8"/>
  <c r="V24" i="8"/>
  <c r="R24" i="8"/>
  <c r="N24" i="8"/>
  <c r="J24" i="8"/>
  <c r="Y24" i="8"/>
  <c r="U24" i="8"/>
  <c r="Q24" i="8"/>
  <c r="M24" i="8"/>
  <c r="I24" i="8"/>
  <c r="G24" i="8"/>
  <c r="H52" i="8"/>
  <c r="G52" i="8"/>
  <c r="X24" i="8"/>
  <c r="T24" i="8"/>
  <c r="P24" i="8"/>
  <c r="L24" i="8"/>
  <c r="H24" i="8"/>
  <c r="K9" i="6"/>
  <c r="E26" i="8"/>
  <c r="D26" i="8"/>
  <c r="N7" i="6"/>
  <c r="M7" i="6"/>
  <c r="N8" i="6"/>
  <c r="M8" i="6"/>
  <c r="N9" i="6"/>
  <c r="M9" i="6"/>
  <c r="K10" i="6"/>
  <c r="J10" i="6"/>
  <c r="AM28" i="12" l="1"/>
  <c r="AM24" i="12"/>
  <c r="AL24" i="12"/>
  <c r="AM27" i="12"/>
  <c r="AL27" i="12"/>
  <c r="AM26" i="12"/>
  <c r="AL26" i="12"/>
  <c r="AM18" i="12"/>
  <c r="AL18" i="12"/>
  <c r="AM22" i="12"/>
  <c r="AL22" i="12"/>
  <c r="I53" i="8"/>
  <c r="I52" i="8"/>
  <c r="Y26" i="8"/>
  <c r="U26" i="8"/>
  <c r="Q26" i="8"/>
  <c r="M26" i="8"/>
  <c r="I26" i="8"/>
  <c r="G26" i="8"/>
  <c r="H54" i="8"/>
  <c r="G54" i="8"/>
  <c r="X26" i="8"/>
  <c r="T26" i="8"/>
  <c r="P26" i="8"/>
  <c r="L26" i="8"/>
  <c r="H26" i="8"/>
  <c r="AA26" i="8"/>
  <c r="W26" i="8"/>
  <c r="S26" i="8"/>
  <c r="O26" i="8"/>
  <c r="K26" i="8"/>
  <c r="Z26" i="8"/>
  <c r="V26" i="8"/>
  <c r="R26" i="8"/>
  <c r="N26" i="8"/>
  <c r="J26" i="8"/>
  <c r="D27" i="8"/>
  <c r="E27" i="8"/>
  <c r="N10" i="6"/>
  <c r="M10" i="6"/>
  <c r="J11" i="6"/>
  <c r="K11" i="6"/>
  <c r="I54" i="8" l="1"/>
  <c r="Z27" i="8"/>
  <c r="V27" i="8"/>
  <c r="R27" i="8"/>
  <c r="N27" i="8"/>
  <c r="J27" i="8"/>
  <c r="H27" i="8"/>
  <c r="Y27" i="8"/>
  <c r="U27" i="8"/>
  <c r="Q27" i="8"/>
  <c r="M27" i="8"/>
  <c r="I27" i="8"/>
  <c r="X27" i="8"/>
  <c r="T27" i="8"/>
  <c r="P27" i="8"/>
  <c r="L27" i="8"/>
  <c r="AA27" i="8"/>
  <c r="W27" i="8"/>
  <c r="S27" i="8"/>
  <c r="O27" i="8"/>
  <c r="K27" i="8"/>
  <c r="G27" i="8"/>
  <c r="H55" i="8"/>
  <c r="G55" i="8"/>
  <c r="E28" i="8"/>
  <c r="D28" i="8"/>
  <c r="N11" i="6"/>
  <c r="M11" i="6"/>
  <c r="K12" i="6"/>
  <c r="J12" i="6"/>
  <c r="I55" i="8" l="1"/>
  <c r="AA28" i="8"/>
  <c r="W28" i="8"/>
  <c r="S28" i="8"/>
  <c r="O28" i="8"/>
  <c r="K28" i="8"/>
  <c r="Z28" i="8"/>
  <c r="V28" i="8"/>
  <c r="R28" i="8"/>
  <c r="N28" i="8"/>
  <c r="J28" i="8"/>
  <c r="Y28" i="8"/>
  <c r="U28" i="8"/>
  <c r="Q28" i="8"/>
  <c r="M28" i="8"/>
  <c r="I28" i="8"/>
  <c r="G28" i="8"/>
  <c r="H56" i="8"/>
  <c r="G56" i="8"/>
  <c r="X28" i="8"/>
  <c r="T28" i="8"/>
  <c r="P28" i="8"/>
  <c r="L28" i="8"/>
  <c r="H28" i="8"/>
  <c r="D29" i="8"/>
  <c r="E29" i="8"/>
  <c r="N12" i="6"/>
  <c r="M12" i="6"/>
  <c r="J13" i="6"/>
  <c r="K13" i="6"/>
  <c r="X29" i="8" l="1"/>
  <c r="T29" i="8"/>
  <c r="P29" i="8"/>
  <c r="L29" i="8"/>
  <c r="AA29" i="8"/>
  <c r="W29" i="8"/>
  <c r="S29" i="8"/>
  <c r="O29" i="8"/>
  <c r="K29" i="8"/>
  <c r="G29" i="8"/>
  <c r="H57" i="8"/>
  <c r="G57" i="8"/>
  <c r="Z29" i="8"/>
  <c r="V29" i="8"/>
  <c r="R29" i="8"/>
  <c r="N29" i="8"/>
  <c r="J29" i="8"/>
  <c r="H29" i="8"/>
  <c r="Y29" i="8"/>
  <c r="U29" i="8"/>
  <c r="Q29" i="8"/>
  <c r="M29" i="8"/>
  <c r="I29" i="8"/>
  <c r="I56" i="8"/>
  <c r="E30" i="8"/>
  <c r="D30" i="8"/>
  <c r="N13" i="6"/>
  <c r="M13" i="6"/>
  <c r="J14" i="6"/>
  <c r="I57" i="8" l="1"/>
  <c r="D31" i="8"/>
  <c r="Y30" i="8"/>
  <c r="U30" i="8"/>
  <c r="Q30" i="8"/>
  <c r="M30" i="8"/>
  <c r="I30" i="8"/>
  <c r="G30" i="8"/>
  <c r="H58" i="8"/>
  <c r="G58" i="8"/>
  <c r="X30" i="8"/>
  <c r="T30" i="8"/>
  <c r="P30" i="8"/>
  <c r="L30" i="8"/>
  <c r="H30" i="8"/>
  <c r="AA30" i="8"/>
  <c r="W30" i="8"/>
  <c r="S30" i="8"/>
  <c r="O30" i="8"/>
  <c r="K30" i="8"/>
  <c r="Z30" i="8"/>
  <c r="V30" i="8"/>
  <c r="R30" i="8"/>
  <c r="N30" i="8"/>
  <c r="J30" i="8"/>
  <c r="M14" i="6"/>
  <c r="N14" i="6"/>
  <c r="I58" i="8" l="1"/>
  <c r="Z31" i="8"/>
  <c r="V31" i="8"/>
  <c r="R31" i="8"/>
  <c r="N31" i="8"/>
  <c r="J31" i="8"/>
  <c r="H31" i="8"/>
  <c r="Y31" i="8"/>
  <c r="U31" i="8"/>
  <c r="Q31" i="8"/>
  <c r="M31" i="8"/>
  <c r="I31" i="8"/>
  <c r="X31" i="8"/>
  <c r="T31" i="8"/>
  <c r="P31" i="8"/>
  <c r="L31" i="8"/>
  <c r="AA31" i="8"/>
  <c r="W31" i="8"/>
  <c r="S31" i="8"/>
  <c r="O31" i="8"/>
  <c r="K31" i="8"/>
  <c r="G31" i="8"/>
  <c r="H59" i="8"/>
  <c r="G59" i="8"/>
  <c r="I59"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<sst xmlns="http://schemas.openxmlformats.org/spreadsheetml/2006/main" count="8589" uniqueCount="213">
  <si>
    <t>Grand Total</t>
  </si>
  <si>
    <t>Field</t>
  </si>
  <si>
    <t>Group</t>
  </si>
  <si>
    <t>SelFields</t>
  </si>
  <si>
    <t>Function</t>
  </si>
  <si>
    <t>Count</t>
  </si>
  <si>
    <t>Avg</t>
  </si>
  <si>
    <t>SelFn</t>
  </si>
  <si>
    <t>Cadence Average Left</t>
  </si>
  <si>
    <t>Cadence Average Right</t>
  </si>
  <si>
    <t>Forward Velocity Average Left</t>
  </si>
  <si>
    <t>Forward Velocity Average Right</t>
  </si>
  <si>
    <t>Initial Double Support Time Left</t>
  </si>
  <si>
    <t>Initial Double Support Time Right</t>
  </si>
  <si>
    <t>Number of steps - left</t>
  </si>
  <si>
    <t>Number of steps - Right</t>
  </si>
  <si>
    <t>Number of Strides - Left</t>
  </si>
  <si>
    <t>Number of strides - Right</t>
  </si>
  <si>
    <t>Single Support Time Left</t>
  </si>
  <si>
    <t>Single Support Time Right</t>
  </si>
  <si>
    <t>Step Length Average Left</t>
  </si>
  <si>
    <t xml:space="preserve">Step Width </t>
  </si>
  <si>
    <t>Stride Length Average Left</t>
  </si>
  <si>
    <t>Stride Length Average Right</t>
  </si>
  <si>
    <t>Swing Phase Left</t>
  </si>
  <si>
    <t>Swing Phase Right</t>
  </si>
  <si>
    <t>Total  Support Time Left</t>
  </si>
  <si>
    <t>Total  Support Time Right</t>
  </si>
  <si>
    <t>Cadence</t>
  </si>
  <si>
    <t>Forward Velocity</t>
  </si>
  <si>
    <t>Initial Double Support Time</t>
  </si>
  <si>
    <t>Number of Steps</t>
  </si>
  <si>
    <t>Number of Strides</t>
  </si>
  <si>
    <t>Single Support Time</t>
  </si>
  <si>
    <t>Step Length Average</t>
  </si>
  <si>
    <t>Step Width</t>
  </si>
  <si>
    <t>Stride Length Average</t>
  </si>
  <si>
    <t>Swing Phase</t>
  </si>
  <si>
    <t>Total Support Time</t>
  </si>
  <si>
    <t>Record ID</t>
  </si>
  <si>
    <t>Repeat Instrument</t>
  </si>
  <si>
    <t>Repeat Instance</t>
  </si>
  <si>
    <t>Patient Folder (Full Path)</t>
  </si>
  <si>
    <t>Patient Folder Name</t>
  </si>
  <si>
    <t>ICD Code</t>
  </si>
  <si>
    <t>Primary Diagnosis</t>
  </si>
  <si>
    <t>Age</t>
  </si>
  <si>
    <t>Sex</t>
  </si>
  <si>
    <t>NRM file</t>
  </si>
  <si>
    <t>Final impression, if available</t>
  </si>
  <si>
    <t>Step Length Average - Right</t>
  </si>
  <si>
    <t>NA</t>
  </si>
  <si>
    <t>M</t>
  </si>
  <si>
    <t>Paralysis agitans</t>
  </si>
  <si>
    <t>Essential and other specified forms of tremor</t>
  </si>
  <si>
    <t>F</t>
  </si>
  <si>
    <t>Other fragments of torsion dystonia</t>
  </si>
  <si>
    <t>Other degenerative diseases of the basal ganglia</t>
  </si>
  <si>
    <t>Abnormality of gait</t>
  </si>
  <si>
    <t>Abnormal involuntary movements</t>
  </si>
  <si>
    <t>Other acquired torsion dystonia</t>
  </si>
  <si>
    <t>Athetoid cerebral palsy</t>
  </si>
  <si>
    <t>G20</t>
  </si>
  <si>
    <t>Parkinson's disease</t>
  </si>
  <si>
    <t>R26.89</t>
  </si>
  <si>
    <t>Other abnormalities of gait and mobility</t>
  </si>
  <si>
    <t>G24.9</t>
  </si>
  <si>
    <t>Dystonia, unspecified</t>
  </si>
  <si>
    <t>G25.0</t>
  </si>
  <si>
    <t>Essential tremor</t>
  </si>
  <si>
    <t>G23.8</t>
  </si>
  <si>
    <t>Other specified degenerative diseases of basal ganglia</t>
  </si>
  <si>
    <t>R25.1</t>
  </si>
  <si>
    <t>Tremor, unspecified</t>
  </si>
  <si>
    <t>G25.2</t>
  </si>
  <si>
    <t>Other specified forms of tremor</t>
  </si>
  <si>
    <t>G24.1</t>
  </si>
  <si>
    <t>Genetic torsion dystonia</t>
  </si>
  <si>
    <t>Lack of coordination</t>
  </si>
  <si>
    <t>Other cerebellar ataxia</t>
  </si>
  <si>
    <t>G24.3</t>
  </si>
  <si>
    <t>Spasmodic torticollis</t>
  </si>
  <si>
    <t>G62.9</t>
  </si>
  <si>
    <t>Polyneuropathy, unspecified</t>
  </si>
  <si>
    <t>G24.01</t>
  </si>
  <si>
    <t>Drug induced subacute dyskinesia</t>
  </si>
  <si>
    <t>R25.9</t>
  </si>
  <si>
    <t>Unspecified abnormal involuntary movements</t>
  </si>
  <si>
    <t>G24.5</t>
  </si>
  <si>
    <t>Blepharospasm</t>
  </si>
  <si>
    <t>G24.02</t>
  </si>
  <si>
    <t>Drug induced acute dystonia</t>
  </si>
  <si>
    <t>G25.3</t>
  </si>
  <si>
    <t>Myoclonus</t>
  </si>
  <si>
    <t>R26.81</t>
  </si>
  <si>
    <t>Unsteadiness on feet</t>
  </si>
  <si>
    <t>R26.0</t>
  </si>
  <si>
    <t>Ataxic gait</t>
  </si>
  <si>
    <t>G40.409</t>
  </si>
  <si>
    <t>Other generalized epilepsy and epileptic syndromes, not intractable, without status epilepticus</t>
  </si>
  <si>
    <t>R25.8</t>
  </si>
  <si>
    <t>Other abnormal involuntary movements</t>
  </si>
  <si>
    <t>R26.9</t>
  </si>
  <si>
    <t>Unspecified abnormalities of gait and mobility</t>
  </si>
  <si>
    <t>G24.8</t>
  </si>
  <si>
    <t>Other dystonia</t>
  </si>
  <si>
    <t>R27.0</t>
  </si>
  <si>
    <t>Ataxia, unspecified</t>
  </si>
  <si>
    <t>G60.3</t>
  </si>
  <si>
    <t>Idiopathic progressive neuropathy</t>
  </si>
  <si>
    <t>R48.2</t>
  </si>
  <si>
    <t>Apraxia</t>
  </si>
  <si>
    <t>G11.8</t>
  </si>
  <si>
    <t>Other hereditary ataxias</t>
  </si>
  <si>
    <t>0-10</t>
  </si>
  <si>
    <t>10-20</t>
  </si>
  <si>
    <t>20-30</t>
  </si>
  <si>
    <t>30-40</t>
  </si>
  <si>
    <t>40-50</t>
  </si>
  <si>
    <t>50-60</t>
  </si>
  <si>
    <t>60-70</t>
  </si>
  <si>
    <t>70-80</t>
  </si>
  <si>
    <t>80-90</t>
  </si>
  <si>
    <t>90-100</t>
  </si>
  <si>
    <t>StDev</t>
  </si>
  <si>
    <t>Total Observations</t>
  </si>
  <si>
    <t>No Age Given</t>
  </si>
  <si>
    <t xml:space="preserve"> Observations with Data</t>
  </si>
  <si>
    <t>Counts Total</t>
  </si>
  <si>
    <t>Count Excluding Nas</t>
  </si>
  <si>
    <t>Difference (# NAs)</t>
  </si>
  <si>
    <t>Step Length Average Right</t>
  </si>
  <si>
    <t>&lt;-does not show right</t>
  </si>
  <si>
    <t>Frequency</t>
  </si>
  <si>
    <t>Description</t>
  </si>
  <si>
    <t>Other</t>
  </si>
  <si>
    <t>Mrs. X</t>
  </si>
  <si>
    <t>Gait Speed</t>
  </si>
  <si>
    <t>%tile</t>
  </si>
  <si>
    <t>Avg for Age Group</t>
  </si>
  <si>
    <t>Avg for Sex</t>
  </si>
  <si>
    <t>input</t>
  </si>
  <si>
    <t>populate</t>
  </si>
  <si>
    <t>Avg for Overall</t>
  </si>
  <si>
    <t>Avg for Diagnosis</t>
  </si>
  <si>
    <t>Class</t>
  </si>
  <si>
    <t>Class (A, B, C, etc)</t>
  </si>
  <si>
    <t>Class Description</t>
  </si>
  <si>
    <t>Age Bucket</t>
  </si>
  <si>
    <t>Population</t>
  </si>
  <si>
    <t>Average</t>
  </si>
  <si>
    <t>Age 0-10</t>
  </si>
  <si>
    <t>Age 10-20</t>
  </si>
  <si>
    <t>Age 20-30</t>
  </si>
  <si>
    <t>Age…</t>
  </si>
  <si>
    <t>Sex M</t>
  </si>
  <si>
    <t>Sex F</t>
  </si>
  <si>
    <t>etc</t>
  </si>
  <si>
    <t>Count Including Nas</t>
  </si>
  <si>
    <t>Metric</t>
  </si>
  <si>
    <t>Patient of Interest</t>
  </si>
  <si>
    <t>A</t>
  </si>
  <si>
    <t xml:space="preserve">C </t>
  </si>
  <si>
    <t>E</t>
  </si>
  <si>
    <t>C</t>
  </si>
  <si>
    <t>G</t>
  </si>
  <si>
    <t>H</t>
  </si>
  <si>
    <t>I</t>
  </si>
  <si>
    <t>M, ?A (need to look at notes)</t>
  </si>
  <si>
    <t>J</t>
  </si>
  <si>
    <t>K</t>
  </si>
  <si>
    <t>Class accd to Christine</t>
  </si>
  <si>
    <t>PD</t>
  </si>
  <si>
    <t>B</t>
  </si>
  <si>
    <t>Pkism</t>
  </si>
  <si>
    <t>Tremor, essential tremor</t>
  </si>
  <si>
    <t>D</t>
  </si>
  <si>
    <t>Tremor, Holmes/Cerebellar outflow</t>
  </si>
  <si>
    <t>Tremor, other</t>
  </si>
  <si>
    <t>Tremor, non-physiologic</t>
  </si>
  <si>
    <t>Dystonia, cervical</t>
  </si>
  <si>
    <t>Dystonia, other</t>
  </si>
  <si>
    <t>Gait, other abnormalities</t>
  </si>
  <si>
    <t>Ataxia</t>
  </si>
  <si>
    <t>Dyskinesia/Blepharospasm</t>
  </si>
  <si>
    <t>L</t>
  </si>
  <si>
    <t>Normal</t>
  </si>
  <si>
    <t>Misc/Other</t>
  </si>
  <si>
    <t>Patient Data</t>
  </si>
  <si>
    <t>Diagnosis Category</t>
  </si>
  <si>
    <t>Right</t>
  </si>
  <si>
    <t>Left</t>
  </si>
  <si>
    <t>PopAvg</t>
  </si>
  <si>
    <t>AgeAve</t>
  </si>
  <si>
    <t>SexAvg</t>
  </si>
  <si>
    <t>DiagAvg</t>
  </si>
  <si>
    <t>Step Length</t>
  </si>
  <si>
    <t>Stride Length</t>
  </si>
  <si>
    <t>Forward Velocity Average</t>
  </si>
  <si>
    <t>Right/PopAvg</t>
  </si>
  <si>
    <t>Left/PopAvg</t>
  </si>
  <si>
    <t>Right/AgeAvg</t>
  </si>
  <si>
    <t>Left/AgeAvg</t>
  </si>
  <si>
    <t>Right/SexAvg</t>
  </si>
  <si>
    <t>Left/SexAvg</t>
  </si>
  <si>
    <t>Right/DiagAvg</t>
  </si>
  <si>
    <t>Left/DiagAvg</t>
  </si>
  <si>
    <t>Diagnosis_ICD10</t>
  </si>
  <si>
    <t>Diagnosis_ICD9</t>
  </si>
  <si>
    <t>asym</t>
  </si>
  <si>
    <t>abs</t>
  </si>
  <si>
    <t>avg</t>
  </si>
  <si>
    <t>Step Length Average Left 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</si>
</sst>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
    <numFmt numFmtId="165" formatCode="0.0%"/>
    <numFmt numFmtId="166" formatCode="#,##0.0"/>
  </numFmts>
  <fonts count="1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8"/>
      <name val="Calibri"/>
      <family val="2"/>
      <scheme val="minor"/>
    </font>
    <font>
      <u/>
      <sz val="11"/>
      <color indexed="12"/>
      <name val="Calibri"/>
      <family val="2"/>
      <scheme val="minor"/>
    </font>
    <font>
      <b/>
      <sz val="11"/>
      <color theme="1"/>
      <name val="Calibri"/>
      <family val="2"/>
      <scheme val="minor"/>
    </font>
    <font>
      <sz val="12"/>
      <color theme="1"/>
      <name val="Calibri"/>
      <family val="2"/>
    </font>
    <font>
      <b/>
      <sz val="12"/>
      <color theme="1"/>
      <name val="Calibri"/>
      <family val="2"/>
      <scheme val="minor"/>
    </font>
    <font>
      <sz val="11"/>
      <color rgb="FF000000"/>
      <name val="Calibri"/>
      <family val="2"/>
      <scheme val="minor"/>
    </font>
    <font>
      <b/>
      <sz val="11"/>
      <color theme="0"/>
      <name val="Calibri"/>
      <family val="2"/>
      <scheme val="minor"/>
    </font>
    <font>
      <sz val="12"/>
      <color rgb="FF000000"/>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rgb="FF4472C4"/>
        <bgColor rgb="FF0000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theme="4"/>
        <bgColor indexed="64"/>
      </patternFill>
    </fill>
    <fill>
      <patternFill patternType="solid">
        <fgColor rgb="FFFFFF00"/>
        <bgColor indexed="64"/>
      </patternFill>
    </fill>
    <fill>
      <patternFill patternType="solid">
        <fgColor theme="8" tint="0.79998168889431442"/>
        <bgColor theme="0" tint="-0.14999847407452621"/>
      </patternFill>
    </fill>
    <fill>
      <patternFill patternType="solid">
        <fgColor rgb="FFD9E1F2"/>
        <bgColor rgb="FF000000"/>
      </patternFill>
    </fill>
  </fills>
  <borders count="10">
    <border>
      <left/>
      <right/>
      <top/>
      <bottom/>
      <diagonal/>
    </border>
    <border>
      <left/>
      <right/>
      <top/>
      <bottom style="thin">
        <color theme="4" tint="0.39997558519241921"/>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theme="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0" fontId="8" fillId="0" borderId="0" applyNumberFormat="0" applyFill="0" applyBorder="0" applyAlignment="0" applyProtection="0">
      <alignment horizontal="left" indent="1"/>
    </xf>
    <xf numFmtId="0" fontId="6" fillId="0" borderId="0"/>
    <xf numFmtId="0" fontId="3" fillId="0" borderId="0"/>
    <xf numFmtId="9" fontId="6" fillId="0" borderId="0" applyFont="0" applyFill="0" applyBorder="0" applyAlignment="0" applyProtection="0"/>
  </cellStyleXfs>
  <cellXfs count="73">
    <xf numFmtId="0" fontId="0" fillId="0" borderId="0" xfId="0"/>
    <xf numFmtId="0" fontId="5" fillId="0" borderId="0" xfId="0" applyFont="1"/>
    <xf numFmtId="0" fontId="5" fillId="0" borderId="0" xfId="0" applyNumberFormat="1" applyFont="1" applyAlignment="1">
      <alignment horizontal="center"/>
    </xf>
    <xf numFmtId="0" fontId="5" fillId="0" borderId="0" xfId="0" applyFont="1" applyAlignment="1">
      <alignment horizontal="center"/>
    </xf>
    <xf numFmtId="0" fontId="0" fillId="0" borderId="0" xfId="0" pivotButton="1"/>
    <xf numFmtId="0" fontId="0" fillId="0" borderId="0" xfId="0" applyFont="1" applyFill="1" applyBorder="1"/>
    <xf numFmtId="3" fontId="5" fillId="0" borderId="0" xfId="0" applyNumberFormat="1" applyFont="1"/>
    <xf numFmtId="0" fontId="9" fillId="0" borderId="0" xfId="0" applyFont="1"/>
    <xf numFmtId="0" fontId="0" fillId="2" borderId="0" xfId="0" applyFill="1"/>
    <xf numFmtId="0" fontId="10" fillId="3" borderId="0" xfId="0" applyFont="1" applyFill="1"/>
    <xf numFmtId="2" fontId="10" fillId="3" borderId="0" xfId="0" applyNumberFormat="1" applyFont="1" applyFill="1"/>
    <xf numFmtId="0" fontId="10" fillId="0" borderId="0" xfId="0" applyFont="1"/>
    <xf numFmtId="2" fontId="10" fillId="0" borderId="0" xfId="0" applyNumberFormat="1" applyFont="1"/>
    <xf numFmtId="0" fontId="4" fillId="0" borderId="0" xfId="0" applyFont="1"/>
    <xf numFmtId="0" fontId="11" fillId="4" borderId="1" xfId="0" applyFont="1" applyFill="1" applyBorder="1"/>
    <xf numFmtId="2" fontId="4" fillId="0" borderId="0" xfId="0" applyNumberFormat="1" applyFont="1"/>
    <xf numFmtId="3" fontId="4" fillId="0" borderId="0" xfId="0" applyNumberFormat="1" applyFont="1"/>
    <xf numFmtId="2" fontId="4" fillId="5" borderId="0" xfId="0" applyNumberFormat="1" applyFont="1" applyFill="1"/>
    <xf numFmtId="3" fontId="4" fillId="5" borderId="0" xfId="0" applyNumberFormat="1" applyFont="1" applyFill="1"/>
    <xf numFmtId="0" fontId="3" fillId="0" borderId="0" xfId="0" applyFont="1"/>
    <xf numFmtId="3" fontId="3" fillId="0" borderId="0" xfId="0" applyNumberFormat="1" applyFont="1"/>
    <xf numFmtId="0" fontId="3" fillId="0" borderId="0" xfId="3"/>
    <xf numFmtId="3" fontId="3" fillId="5" borderId="0" xfId="0" applyNumberFormat="1" applyFont="1" applyFill="1"/>
    <xf numFmtId="0" fontId="9" fillId="6" borderId="2" xfId="0" applyFont="1" applyFill="1" applyBorder="1"/>
    <xf numFmtId="0" fontId="9" fillId="6" borderId="3" xfId="0" applyFont="1" applyFill="1" applyBorder="1"/>
    <xf numFmtId="0" fontId="9" fillId="6" borderId="4" xfId="0" applyFont="1" applyFill="1" applyBorder="1"/>
    <xf numFmtId="0" fontId="9" fillId="6" borderId="0" xfId="0" applyFont="1" applyFill="1" applyBorder="1"/>
    <xf numFmtId="0" fontId="9" fillId="6" borderId="0" xfId="0" applyFont="1" applyFill="1" applyBorder="1" applyAlignment="1">
      <alignment horizontal="left"/>
    </xf>
    <xf numFmtId="0" fontId="0" fillId="7" borderId="0" xfId="0" applyFill="1"/>
    <xf numFmtId="0" fontId="12" fillId="0" borderId="0" xfId="0" applyFont="1"/>
    <xf numFmtId="0" fontId="0" fillId="8" borderId="0" xfId="0" applyFill="1"/>
    <xf numFmtId="0" fontId="3" fillId="6" borderId="6" xfId="3" applyFill="1" applyBorder="1"/>
    <xf numFmtId="0" fontId="3" fillId="0" borderId="6" xfId="3" applyBorder="1"/>
    <xf numFmtId="0" fontId="10" fillId="0" borderId="0" xfId="0" applyFont="1" applyFill="1"/>
    <xf numFmtId="0" fontId="5" fillId="0" borderId="0" xfId="0" applyFont="1" applyFill="1"/>
    <xf numFmtId="2" fontId="10" fillId="2" borderId="0" xfId="0" applyNumberFormat="1" applyFont="1" applyFill="1"/>
    <xf numFmtId="0" fontId="0" fillId="0" borderId="0" xfId="0" quotePrefix="1"/>
    <xf numFmtId="10" fontId="0" fillId="0" borderId="0" xfId="4" applyNumberFormat="1" applyFont="1"/>
    <xf numFmtId="164" fontId="0" fillId="0" borderId="0" xfId="0" applyNumberFormat="1"/>
    <xf numFmtId="0" fontId="13" fillId="7" borderId="0" xfId="0" applyFont="1" applyFill="1"/>
    <xf numFmtId="3" fontId="0" fillId="5" borderId="0" xfId="0" applyNumberFormat="1" applyFont="1" applyFill="1"/>
    <xf numFmtId="3" fontId="0" fillId="0" borderId="0" xfId="0" applyNumberFormat="1" applyFont="1"/>
    <xf numFmtId="3" fontId="0" fillId="9" borderId="0" xfId="0" applyNumberFormat="1" applyFont="1" applyFill="1"/>
    <xf numFmtId="0" fontId="0" fillId="7" borderId="7" xfId="0" applyFill="1" applyBorder="1"/>
    <xf numFmtId="3" fontId="0" fillId="9" borderId="0" xfId="0" applyNumberFormat="1" applyFont="1" applyFill="1" applyAlignment="1">
      <alignment horizontal="left"/>
    </xf>
    <xf numFmtId="0" fontId="14" fillId="10" borderId="8" xfId="0" applyFont="1" applyFill="1" applyBorder="1"/>
    <xf numFmtId="0" fontId="14" fillId="0" borderId="8" xfId="0" applyFont="1" applyBorder="1"/>
    <xf numFmtId="0" fontId="14" fillId="0" borderId="0" xfId="0" applyFont="1"/>
    <xf numFmtId="0" fontId="3" fillId="0" borderId="9" xfId="3" applyBorder="1"/>
    <xf numFmtId="0" fontId="14" fillId="0" borderId="6" xfId="0" applyFont="1" applyBorder="1"/>
    <xf numFmtId="0" fontId="14" fillId="0" borderId="0" xfId="0" applyFont="1" applyBorder="1"/>
    <xf numFmtId="0" fontId="3" fillId="0" borderId="0" xfId="3" applyBorder="1"/>
    <xf numFmtId="0" fontId="2" fillId="2" borderId="0" xfId="3" applyFont="1" applyFill="1" applyBorder="1"/>
    <xf numFmtId="0" fontId="3" fillId="2" borderId="0" xfId="3" applyFill="1" applyBorder="1"/>
    <xf numFmtId="0" fontId="2" fillId="2" borderId="0" xfId="3" applyFont="1" applyFill="1"/>
    <xf numFmtId="0" fontId="3" fillId="2" borderId="0" xfId="3" applyFill="1"/>
    <xf numFmtId="0" fontId="10" fillId="2" borderId="0" xfId="0" applyFont="1" applyFill="1"/>
    <xf numFmtId="3" fontId="0" fillId="0" borderId="0" xfId="0" applyNumberFormat="1"/>
    <xf numFmtId="4" fontId="0" fillId="0" borderId="0" xfId="0" applyNumberFormat="1"/>
    <xf numFmtId="3" fontId="0" fillId="0" borderId="0" xfId="0" applyNumberFormat="1" applyFill="1"/>
    <xf numFmtId="4" fontId="0" fillId="0" borderId="0" xfId="0" applyNumberFormat="1" applyFill="1"/>
    <xf numFmtId="165" fontId="0" fillId="0" borderId="0" xfId="4" applyNumberFormat="1" applyFont="1"/>
    <xf numFmtId="166" fontId="0" fillId="5" borderId="0" xfId="0" applyNumberFormat="1" applyFont="1" applyFill="1"/>
    <xf numFmtId="166" fontId="0" fillId="7" borderId="7" xfId="0" applyNumberFormat="1" applyFill="1" applyBorder="1"/>
    <xf numFmtId="166" fontId="0" fillId="0" borderId="0" xfId="0" applyNumberFormat="1" applyFont="1"/>
    <xf numFmtId="165" fontId="0" fillId="5" borderId="0" xfId="4" applyNumberFormat="1" applyFont="1" applyFill="1"/>
    <xf numFmtId="0" fontId="9" fillId="6" borderId="5" xfId="0" applyFont="1" applyFill="1" applyBorder="1" applyAlignment="1">
      <alignment horizontal="center"/>
    </xf>
    <xf numFmtId="0" fontId="9" fillId="6" borderId="0" xfId="0" applyFont="1" applyFill="1" applyAlignment="1">
      <alignment horizontal="center"/>
    </xf>
    <xf numFmtId="0" fontId="1" fillId="0" borderId="0" xfId="0" pivotButton="1" applyFont="1"/>
    <xf numFmtId="0" fontId="1" fillId="0" borderId="0" xfId="0" applyFont="1"/>
    <xf numFmtId="2" fontId="1" fillId="0" borderId="0" xfId="0" applyNumberFormat="1" applyFont="1"/>
    <xf numFmtId="4" fontId="1" fillId="0" borderId="0" xfId="0" applyNumberFormat="1" applyFont="1"/>
    <xf numFmtId="0" fontId="1" fillId="0" borderId="0" xfId="0" applyNumberFormat="1" applyFont="1"/>
  </cellXfs>
  <cellStyles count="5">
    <cellStyle name="Ctx_Hyperlink" xfId="1" xr:uid="{CFACF1CC-7DD2-420E-BE11-E553C1D8FE85}"/>
    <cellStyle name="Normal" xfId="0" builtinId="0"/>
    <cellStyle name="Normal 2" xfId="3" xr:uid="{44354A5E-20D1-2546-8735-3CF94C0C916F}"/>
    <cellStyle name="Normal 4" xfId="2" xr:uid="{B4169294-52AA-4B13-84F6-AC08EFA6D897}"/>
    <cellStyle name="Percent" xfId="4" builtinId="5"/>
  </cellStyles>
  <dxfs count="54">
    <dxf>
      <font>
        <b/>
        <i val="0"/>
        <strike val="0"/>
        <condense val="0"/>
        <extend val="0"/>
        <outline val="0"/>
        <shadow val="0"/>
        <u val="none"/>
        <vertAlign val="baseline"/>
        <sz val="11"/>
        <color theme="1"/>
        <name val="Calibri"/>
        <family val="2"/>
        <scheme val="minor"/>
      </font>
    </dxf>
    <dxf>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2" formatCode="0.00"/>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numFmt numFmtId="2" formatCode="0.00"/>
    </dxf>
    <dxf>
      <font>
        <b val="0"/>
        <i val="0"/>
        <strike val="0"/>
        <condense val="0"/>
        <extend val="0"/>
        <outline val="0"/>
        <shadow val="0"/>
        <u val="none"/>
        <vertAlign val="baseline"/>
        <sz val="12"/>
        <color theme="1"/>
        <name val="Calibri"/>
        <family val="2"/>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fill>
        <patternFill patternType="solid">
          <fgColor rgb="FF000000"/>
          <bgColor rgb="FF4472C4"/>
        </patternFill>
      </fill>
    </dxf>
    <dxf>
      <numFmt numFmtId="4" formatCode="#,##0.00"/>
    </dxf>
    <dxf>
      <font>
        <sz val="12"/>
      </font>
    </dxf>
    <dxf>
      <font>
        <sz val="12"/>
      </font>
    </dxf>
    <dxf>
      <font>
        <sz val="12"/>
      </font>
    </dxf>
    <dxf>
      <font>
        <sz val="12"/>
      </font>
    </dxf>
    <dxf>
      <font>
        <sz val="12"/>
      </font>
    </dxf>
    <dxf>
      <font>
        <sz val="18"/>
      </font>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4820C8EB-6941-7F4D-B818-B1C8F0EAE591}">
      <tableStyleElement type="wholeTable" dxfId="53"/>
      <tableStyleElement type="headerRow" dxfId="52"/>
    </tableStyle>
    <tableStyle name="TableStyleMedium2 2" pivot="0" count="7" xr9:uid="{231C9A41-01B6-C34C-8964-4AD0CCD74A17}">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Tool'!$AC$17</c:f>
              <c:strCache>
                <c:ptCount val="1"/>
                <c:pt idx="0">
                  <c:v>Right/PopAvg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Tool'!$AC$18:$AC$28</c:f>
              <c:numCache>
                <c:formatCode>0.00%</c:formatCode>
                <c:ptCount val="11"/>
                <c:pt idx="0">
                  <c:v>1.0049626508039242</c:v>
                </c:pt>
                <c:pt idx="1">
                  <c:v>0.93156026633247158</c:v>
                </c:pt>
                <c:pt idx="2">
                  <c:v>0.90073452913936902</c:v>
                </c:pt>
                <c:pt idx="3">
                  <c:v>1.0907540651382164</c:v>
                </c:pt>
                <c:pt idx="4">
                  <c:v>0.81611397829059573</c:v>
                </c:pt>
                <c:pt idx="5">
                  <c:v>1.2734400359559528</c:v>
                </c:pt>
                <c:pt idx="6">
                  <c:v>1.1013004462786122</c:v>
                </c:pt>
                <c:pt idx="7">
                  <c:v>1.3215120414592012</c:v>
                </c:pt>
                <c:pt idx="8">
                  <c:v>0.82777756399535496</c:v>
                </c:pt>
                <c:pt idx="9">
                  <c:v>0.87845864976589239</c:v>
                </c:pt>
                <c:pt idx="10">
                  <c:v>1.1568824380452019</c:v>
                </c:pt>
              </c:numCache>
            </c:numRef>
          </c:val>
          <c:extLst>
            <c:ext xmlns:c16="http://schemas.microsoft.com/office/drawing/2014/chart" uri="{C3380CC4-5D6E-409C-BE32-E72D297353CC}">
              <c16:uniqueId val="{00000000-E6F8-4C4F-B9D3-986F8AC1EE31}"/>
            </c:ext>
          </c:extLst>
        </c:ser>
        <c:ser>
          <c:idx val="1"/>
          <c:order val="1"/>
          <c:tx>
            <c:strRef>
              <c:f>'Comparison Tool'!$AD$17</c:f>
              <c:strCache>
                <c:ptCount val="1"/>
                <c:pt idx="0">
                  <c:v>Left/PopAvg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Tool'!$AD$18:$AD$28</c:f>
              <c:numCache>
                <c:formatCode>0.00%</c:formatCode>
                <c:ptCount val="11"/>
                <c:pt idx="0">
                  <c:v>0.99565744107425835</c:v>
                </c:pt>
                <c:pt idx="1">
                  <c:v>1.001427286307407</c:v>
                </c:pt>
                <c:pt idx="2">
                  <c:v>1.2103620235310271</c:v>
                </c:pt>
                <c:pt idx="3">
                  <c:v>1.3089048781658597</c:v>
                </c:pt>
                <c:pt idx="4">
                  <c:v>1.1425643537232586</c:v>
                </c:pt>
                <c:pt idx="5">
                  <c:v>1.2734400359559528</c:v>
                </c:pt>
                <c:pt idx="6">
                  <c:v>1.1013004462786122</c:v>
                </c:pt>
                <c:pt idx="7">
                  <c:v>1.010568031704095</c:v>
                </c:pt>
                <c:pt idx="8">
                  <c:v>1.2416663459930324</c:v>
                </c:pt>
                <c:pt idx="9">
                  <c:v>0.59941884336966778</c:v>
                </c:pt>
                <c:pt idx="10">
                  <c:v>1.1568824380452019</c:v>
                </c:pt>
              </c:numCache>
            </c:numRef>
          </c:val>
          <c:extLst>
            <c:ext xmlns:c16="http://schemas.microsoft.com/office/drawing/2014/chart" uri="{C3380CC4-5D6E-409C-BE32-E72D297353CC}">
              <c16:uniqueId val="{00000001-E6F8-4C4F-B9D3-986F8AC1EE31}"/>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Tool'!$AF$17</c:f>
              <c:strCache>
                <c:ptCount val="1"/>
                <c:pt idx="0">
                  <c:v>Right/AgeAvg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Tool'!$AF$18:$AF$28</c:f>
              <c:numCache>
                <c:formatCode>0.00%</c:formatCode>
                <c:ptCount val="11"/>
                <c:pt idx="0">
                  <c:v>1.0188216122814466</c:v>
                </c:pt>
                <c:pt idx="1">
                  <c:v>0.92412649452652385</c:v>
                </c:pt>
                <c:pt idx="2">
                  <c:v>0.91236171397190757</c:v>
                </c:pt>
                <c:pt idx="3">
                  <c:v>0.99863420625224475</c:v>
                </c:pt>
                <c:pt idx="4">
                  <c:v>0.8268278032870412</c:v>
                </c:pt>
                <c:pt idx="5">
                  <c:v>1.3291777242047156</c:v>
                </c:pt>
                <c:pt idx="6">
                  <c:v>1.0870740941049215</c:v>
                </c:pt>
                <c:pt idx="7">
                  <c:v>1.3029551954242136</c:v>
                </c:pt>
                <c:pt idx="8">
                  <c:v>0.84464778791314277</c:v>
                </c:pt>
                <c:pt idx="9">
                  <c:v>0.89656589287021538</c:v>
                </c:pt>
                <c:pt idx="10">
                  <c:v>1.1826510040133353</c:v>
                </c:pt>
              </c:numCache>
            </c:numRef>
          </c:val>
          <c:extLst>
            <c:ext xmlns:c16="http://schemas.microsoft.com/office/drawing/2014/chart" uri="{C3380CC4-5D6E-409C-BE32-E72D297353CC}">
              <c16:uniqueId val="{00000000-B0A1-A64E-BC01-A5AA57D9D127}"/>
            </c:ext>
          </c:extLst>
        </c:ser>
        <c:ser>
          <c:idx val="1"/>
          <c:order val="1"/>
          <c:tx>
            <c:strRef>
              <c:f>'Comparison Tool'!$AG$17</c:f>
              <c:strCache>
                <c:ptCount val="1"/>
                <c:pt idx="0">
                  <c:v>Left/AgeAvg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Tool'!$AG$18:$AG$28</c:f>
              <c:numCache>
                <c:formatCode>0.00%</c:formatCode>
                <c:ptCount val="11"/>
                <c:pt idx="0">
                  <c:v>1.0093880788343963</c:v>
                </c:pt>
                <c:pt idx="1">
                  <c:v>0.9934359816160131</c:v>
                </c:pt>
                <c:pt idx="2">
                  <c:v>1.2259860531497508</c:v>
                </c:pt>
                <c:pt idx="3">
                  <c:v>1.1983610475026938</c:v>
                </c:pt>
                <c:pt idx="4">
                  <c:v>1.1575637715234632</c:v>
                </c:pt>
                <c:pt idx="5">
                  <c:v>1.3291777242047156</c:v>
                </c:pt>
                <c:pt idx="6">
                  <c:v>1.0870740941049215</c:v>
                </c:pt>
                <c:pt idx="7">
                  <c:v>0.99637750238322209</c:v>
                </c:pt>
                <c:pt idx="8">
                  <c:v>1.2669716818697141</c:v>
                </c:pt>
                <c:pt idx="9">
                  <c:v>0.61177437395849987</c:v>
                </c:pt>
                <c:pt idx="10">
                  <c:v>1.1826510040133353</c:v>
                </c:pt>
              </c:numCache>
            </c:numRef>
          </c:val>
          <c:extLst>
            <c:ext xmlns:c16="http://schemas.microsoft.com/office/drawing/2014/chart" uri="{C3380CC4-5D6E-409C-BE32-E72D297353CC}">
              <c16:uniqueId val="{00000001-B0A1-A64E-BC01-A5AA57D9D127}"/>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Tool'!$AI$17</c:f>
              <c:strCache>
                <c:ptCount val="1"/>
                <c:pt idx="0">
                  <c:v>Right/SexAvg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Tool'!$AI$18:$AI$28</c:f>
              <c:numCache>
                <c:formatCode>0.00%</c:formatCode>
                <c:ptCount val="11"/>
                <c:pt idx="0">
                  <c:v>1.0421315661099972</c:v>
                </c:pt>
                <c:pt idx="1">
                  <c:v>0.91485751670768156</c:v>
                </c:pt>
                <c:pt idx="2">
                  <c:v>0.92979992270793965</c:v>
                </c:pt>
                <c:pt idx="3">
                  <c:v>0.95413178484248096</c:v>
                </c:pt>
                <c:pt idx="4">
                  <c:v>0.84263117995407033</c:v>
                </c:pt>
                <c:pt idx="5">
                  <c:v>1.31730975459571</c:v>
                </c:pt>
                <c:pt idx="6">
                  <c:v>1.0535635236830456</c:v>
                </c:pt>
                <c:pt idx="7">
                  <c:v>1.2671468838083306</c:v>
                </c:pt>
                <c:pt idx="8">
                  <c:v>0.89686770367622992</c:v>
                </c:pt>
                <c:pt idx="9">
                  <c:v>0.95126779239311643</c:v>
                </c:pt>
                <c:pt idx="10">
                  <c:v>1.2634716000384034</c:v>
                </c:pt>
              </c:numCache>
            </c:numRef>
          </c:val>
          <c:extLst>
            <c:ext xmlns:c16="http://schemas.microsoft.com/office/drawing/2014/chart" uri="{C3380CC4-5D6E-409C-BE32-E72D297353CC}">
              <c16:uniqueId val="{00000000-2B12-7A46-8899-2B099FE7A87E}"/>
            </c:ext>
          </c:extLst>
        </c:ser>
        <c:ser>
          <c:idx val="1"/>
          <c:order val="1"/>
          <c:tx>
            <c:strRef>
              <c:f>'Comparison Tool'!$AJ$17</c:f>
              <c:strCache>
                <c:ptCount val="1"/>
                <c:pt idx="0">
                  <c:v>Left/SexAvg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Tool'!$AJ$18:$AJ$28</c:f>
              <c:numCache>
                <c:formatCode>0.00%</c:formatCode>
                <c:ptCount val="11"/>
                <c:pt idx="0">
                  <c:v>1.0324821997571267</c:v>
                </c:pt>
                <c:pt idx="1">
                  <c:v>0.9834718304607577</c:v>
                </c:pt>
                <c:pt idx="2">
                  <c:v>1.2494186461387939</c:v>
                </c:pt>
                <c:pt idx="3">
                  <c:v>1.1449581418109771</c:v>
                </c:pt>
                <c:pt idx="4">
                  <c:v>1.1796885914977877</c:v>
                </c:pt>
                <c:pt idx="5">
                  <c:v>1.31730975459571</c:v>
                </c:pt>
                <c:pt idx="6">
                  <c:v>1.0535635236830456</c:v>
                </c:pt>
                <c:pt idx="7">
                  <c:v>0.96899467585342935</c:v>
                </c:pt>
                <c:pt idx="8">
                  <c:v>1.3453015555143448</c:v>
                </c:pt>
                <c:pt idx="9">
                  <c:v>0.64910037598589121</c:v>
                </c:pt>
                <c:pt idx="10">
                  <c:v>1.2634716000384034</c:v>
                </c:pt>
              </c:numCache>
            </c:numRef>
          </c:val>
          <c:extLst>
            <c:ext xmlns:c16="http://schemas.microsoft.com/office/drawing/2014/chart" uri="{C3380CC4-5D6E-409C-BE32-E72D297353CC}">
              <c16:uniqueId val="{00000001-2B12-7A46-8899-2B099FE7A87E}"/>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Diagnosis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Tool'!$AL$17</c:f>
              <c:strCache>
                <c:ptCount val="1"/>
                <c:pt idx="0">
                  <c:v>Right/DiagAvg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Tool'!$AL$18:$AL$28</c:f>
              <c:numCache>
                <c:formatCode>0.00%</c:formatCode>
                <c:ptCount val="11"/>
                <c:pt idx="0">
                  <c:v>1.0332360794558544</c:v>
                </c:pt>
                <c:pt idx="1">
                  <c:v>0.9232260595942422</c:v>
                </c:pt>
                <c:pt idx="2">
                  <c:v>0.91401151083246468</c:v>
                </c:pt>
                <c:pt idx="3">
                  <c:v>0.998579797621161</c:v>
                </c:pt>
                <c:pt idx="4">
                  <c:v>0.82832293169192117</c:v>
                </c:pt>
                <c:pt idx="5">
                  <c:v>1.3209239863284368</c:v>
                </c:pt>
                <c:pt idx="6">
                  <c:v>0.93360995850622408</c:v>
                </c:pt>
                <c:pt idx="7">
                  <c:v>1.1383928571428572</c:v>
                </c:pt>
                <c:pt idx="8">
                  <c:v>0.80894150004718823</c:v>
                </c:pt>
                <c:pt idx="9">
                  <c:v>0.8570861021976024</c:v>
                </c:pt>
                <c:pt idx="10">
                  <c:v>1.1207055962433949</c:v>
                </c:pt>
              </c:numCache>
            </c:numRef>
          </c:val>
          <c:extLst>
            <c:ext xmlns:c16="http://schemas.microsoft.com/office/drawing/2014/chart" uri="{C3380CC4-5D6E-409C-BE32-E72D297353CC}">
              <c16:uniqueId val="{00000000-4DF6-F44B-AD4C-28F94C4BF99C}"/>
            </c:ext>
          </c:extLst>
        </c:ser>
        <c:ser>
          <c:idx val="1"/>
          <c:order val="1"/>
          <c:tx>
            <c:strRef>
              <c:f>'Comparison Tool'!$AM$17</c:f>
              <c:strCache>
                <c:ptCount val="1"/>
                <c:pt idx="0">
                  <c:v>Left/DiagAvg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Tool'!$AM$18:$AM$28</c:f>
              <c:numCache>
                <c:formatCode>0.00%</c:formatCode>
                <c:ptCount val="11"/>
                <c:pt idx="0">
                  <c:v>1.0236690787201521</c:v>
                </c:pt>
                <c:pt idx="1">
                  <c:v>0.99246801406381047</c:v>
                </c:pt>
                <c:pt idx="2">
                  <c:v>1.2282029676811246</c:v>
                </c:pt>
                <c:pt idx="3">
                  <c:v>1.1982957571453932</c:v>
                </c:pt>
                <c:pt idx="4">
                  <c:v>1.159656960054841</c:v>
                </c:pt>
                <c:pt idx="5">
                  <c:v>1.3209239863284368</c:v>
                </c:pt>
                <c:pt idx="6">
                  <c:v>0.93360995850622408</c:v>
                </c:pt>
                <c:pt idx="7">
                  <c:v>0.8705357142857143</c:v>
                </c:pt>
                <c:pt idx="8">
                  <c:v>1.2134122500707825</c:v>
                </c:pt>
                <c:pt idx="9">
                  <c:v>0.58483522267601107</c:v>
                </c:pt>
                <c:pt idx="10">
                  <c:v>1.1207055962433949</c:v>
                </c:pt>
              </c:numCache>
            </c:numRef>
          </c:val>
          <c:extLst>
            <c:ext xmlns:c16="http://schemas.microsoft.com/office/drawing/2014/chart" uri="{C3380CC4-5D6E-409C-BE32-E72D297353CC}">
              <c16:uniqueId val="{00000001-4DF6-F44B-AD4C-28F94C4BF99C}"/>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635000</xdr:colOff>
      <xdr:row>0</xdr:row>
      <xdr:rowOff>157161</xdr:rowOff>
    </xdr:from>
    <xdr:to>
      <xdr:col>6</xdr:col>
      <xdr:colOff>668193</xdr:colOff>
      <xdr:row>15</xdr:row>
      <xdr:rowOff>7937</xdr:rowOff>
    </xdr:to>
    <mc:AlternateContent xmlns:mc="http://schemas.openxmlformats.org/markup-compatibility/2006" xmlns:a14="http://schemas.microsoft.com/office/drawing/2010/main">
      <mc:Choice Requires="a14">
        <xdr:graphicFrame macro="">
          <xdr:nvGraphicFramePr>
            <xdr:cNvPr id="2" name="Group">
              <a:extLst>
                <a:ext uri="{FF2B5EF4-FFF2-40B4-BE49-F238E27FC236}">
                  <a16:creationId xmlns:a16="http://schemas.microsoft.com/office/drawing/2014/main" id="{C182A051-BDC3-4561-A3B7-74C1A0DCCA5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7707313" y="157161"/>
              <a:ext cx="2017568" cy="3390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1892299</xdr:colOff>
      <xdr:row>0</xdr:row>
      <xdr:rowOff>38100</xdr:rowOff>
    </xdr:from>
    <xdr:to>
      <xdr:col>3</xdr:col>
      <xdr:colOff>2373311</xdr:colOff>
      <xdr:row>0</xdr:row>
      <xdr:rowOff>619125</xdr:rowOff>
    </xdr:to>
    <mc:AlternateContent xmlns:mc="http://schemas.openxmlformats.org/markup-compatibility/2006" xmlns:a14="http://schemas.microsoft.com/office/drawing/2010/main">
      <mc:Choice Requires="a14">
        <xdr:graphicFrame macro="">
          <xdr:nvGraphicFramePr>
            <xdr:cNvPr id="3" name="Function">
              <a:extLst>
                <a:ext uri="{FF2B5EF4-FFF2-40B4-BE49-F238E27FC236}">
                  <a16:creationId xmlns:a16="http://schemas.microsoft.com/office/drawing/2014/main" id="{275277F1-EFFF-4349-A324-CA12DAE3A460}"/>
                </a:ext>
              </a:extLst>
            </xdr:cNvPr>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mlns="">
        <xdr:sp macro="" textlink="">
          <xdr:nvSpPr>
            <xdr:cNvPr id="0" name=""/>
            <xdr:cNvSpPr>
              <a:spLocks noTextEdit="1"/>
            </xdr:cNvSpPr>
          </xdr:nvSpPr>
          <xdr:spPr>
            <a:xfrm>
              <a:off x="3365500" y="38100"/>
              <a:ext cx="35052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19050</xdr:colOff>
      <xdr:row>39</xdr:row>
      <xdr:rowOff>120650</xdr:rowOff>
    </xdr:from>
    <xdr:to>
      <xdr:col>16</xdr:col>
      <xdr:colOff>95250</xdr:colOff>
      <xdr:row>61</xdr:row>
      <xdr:rowOff>44450</xdr:rowOff>
    </xdr:to>
    <xdr:graphicFrame macro="">
      <xdr:nvGraphicFramePr>
        <xdr:cNvPr id="5" name="Chart 4">
          <a:extLst>
            <a:ext uri="{FF2B5EF4-FFF2-40B4-BE49-F238E27FC236}">
              <a16:creationId xmlns:a16="http://schemas.microsoft.com/office/drawing/2014/main" id="{EDE1904D-4E9B-E547-BCAD-2E3683147C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25400</xdr:colOff>
      <xdr:row>61</xdr:row>
      <xdr:rowOff>0</xdr:rowOff>
    </xdr:from>
    <xdr:to>
      <xdr:col>16</xdr:col>
      <xdr:colOff>101600</xdr:colOff>
      <xdr:row>82</xdr:row>
      <xdr:rowOff>114300</xdr:rowOff>
    </xdr:to>
    <xdr:graphicFrame macro="">
      <xdr:nvGraphicFramePr>
        <xdr:cNvPr id="6" name="Chart 5">
          <a:extLst>
            <a:ext uri="{FF2B5EF4-FFF2-40B4-BE49-F238E27FC236}">
              <a16:creationId xmlns:a16="http://schemas.microsoft.com/office/drawing/2014/main" id="{34C9D4D4-2384-A34A-AE29-735F1B2CCE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88900</xdr:colOff>
      <xdr:row>39</xdr:row>
      <xdr:rowOff>88900</xdr:rowOff>
    </xdr:from>
    <xdr:to>
      <xdr:col>25</xdr:col>
      <xdr:colOff>12700</xdr:colOff>
      <xdr:row>61</xdr:row>
      <xdr:rowOff>12700</xdr:rowOff>
    </xdr:to>
    <xdr:graphicFrame macro="">
      <xdr:nvGraphicFramePr>
        <xdr:cNvPr id="7" name="Chart 6">
          <a:extLst>
            <a:ext uri="{FF2B5EF4-FFF2-40B4-BE49-F238E27FC236}">
              <a16:creationId xmlns:a16="http://schemas.microsoft.com/office/drawing/2014/main" id="{C4401B32-1FB3-3645-A32A-91D07F135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88900</xdr:colOff>
      <xdr:row>61</xdr:row>
      <xdr:rowOff>0</xdr:rowOff>
    </xdr:from>
    <xdr:to>
      <xdr:col>25</xdr:col>
      <xdr:colOff>12700</xdr:colOff>
      <xdr:row>82</xdr:row>
      <xdr:rowOff>114300</xdr:rowOff>
    </xdr:to>
    <xdr:graphicFrame macro="">
      <xdr:nvGraphicFramePr>
        <xdr:cNvPr id="8" name="Chart 7">
          <a:extLst>
            <a:ext uri="{FF2B5EF4-FFF2-40B4-BE49-F238E27FC236}">
              <a16:creationId xmlns:a16="http://schemas.microsoft.com/office/drawing/2014/main" id="{E32251FE-FA08-B34B-9AE6-80105DBCB1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thotrack%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sheetName val="Collapsed"/>
      <sheetName val="PivotLists"/>
      <sheetName val="Age Norms"/>
      <sheetName val="Redcap Raw Report"/>
      <sheetName val="ICD+Descriptions"/>
      <sheetName val="measured values"/>
      <sheetName val="ages"/>
      <sheetName val="ICD_summary"/>
      <sheetName val="Collapsed (2)"/>
    </sheetNames>
    <sheetDataSet>
      <sheetData sheetId="0" refreshError="1"/>
      <sheetData sheetId="1" refreshError="1"/>
      <sheetData sheetId="2">
        <row r="4">
          <cell r="M4" t="str">
            <v>Stride Length Average Left</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057060188" missingItemsLimit="0" createdVersion="6" refreshedVersion="7" minRefreshableVersion="3" recordCount="21" xr:uid="{A8ED44A2-CCD7-40BC-B474-63D3C27D6117}">
  <cacheSource type="worksheet">
    <worksheetSource name="tblFields"/>
  </cacheSource>
  <cacheFields count="2">
    <cacheField name="Field" numFmtId="0">
      <sharedItems/>
    </cacheField>
    <cacheField name="Group" numFmtId="0">
      <sharedItems count="11">
        <s v="Cadence"/>
        <s v="Forward Velocity"/>
        <s v="Initial Double Support Time"/>
        <s v="Number of Steps"/>
        <s v="Number of Strides"/>
        <s v="Single Support Time"/>
        <s v="Step Length Average"/>
        <s v="Step Width"/>
        <s v="Stride Length Average"/>
        <s v="Swing Phase"/>
        <s v="Total Support Time"/>
      </sharedItems>
    </cacheField>
  </cacheFields>
  <extLst>
    <ext xmlns:x14="http://schemas.microsoft.com/office/spreadsheetml/2009/9/main" uri="{725AE2AE-9491-48be-B2B4-4EB974FC3084}">
      <x14:pivotCacheDefinition pivotCacheId="7237170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33738426" createdVersion="7" refreshedVersion="7" minRefreshableVersion="3" recordCount="953" xr:uid="{07620F8B-8411-8847-A835-4D31DBA5ECE7}">
  <cacheSource type="worksheet">
    <worksheetSource name="Table6"/>
  </cacheSource>
  <cacheFields count="32">
    <cacheField name="Record ID" numFmtId="0">
      <sharedItems containsSemiMixedTypes="0" containsString="0" containsNumber="1" containsInteger="1" minValue="1" maxValue="1141"/>
    </cacheField>
    <cacheField name="Repeat Instrument" numFmtId="0">
      <sharedItems containsNonDate="0" containsString="0" containsBlank="1"/>
    </cacheField>
    <cacheField name="Repeat Instance" numFmtId="0">
      <sharedItems containsNonDate="0" containsString="0" containsBlank="1"/>
    </cacheField>
    <cacheField name="Patient Folder (Full Path)" numFmtId="0">
      <sharedItems containsNonDate="0" containsString="0" containsBlank="1"/>
    </cacheField>
    <cacheField name="Patient Folder Name" numFmtId="0">
      <sharedItems containsNonDate="0" containsString="0" containsBlank="1"/>
    </cacheField>
    <cacheField name="ICD Code" numFmtId="0">
      <sharedItems containsMixedTypes="1" containsNumber="1" minValue="332" maxValue="781.3"/>
    </cacheField>
    <cacheField name="Primary Diagnosis" numFmtId="0">
      <sharedItems/>
    </cacheField>
    <cacheField name="Age" numFmtId="2">
      <sharedItems containsSemiMixedTypes="0" containsString="0" containsNumber="1" minValue="0" maxValue="999" count="354">
        <n v="0.6"/>
        <n v="66.5"/>
        <n v="64.3"/>
        <n v="70.2"/>
        <n v="75.3"/>
        <n v="59.5"/>
        <n v="70.599999999999994"/>
        <n v="63.2"/>
        <n v="70.3"/>
        <n v="66"/>
        <n v="86"/>
        <n v="65.5"/>
        <n v="72.2"/>
        <n v="64.099999999999994"/>
        <n v="79.900000000000006"/>
        <n v="47.3"/>
        <n v="65.7"/>
        <n v="79.3"/>
        <n v="72.599999999999994"/>
        <n v="61"/>
        <n v="52.2"/>
        <n v="55.9"/>
        <n v="69.099999999999994"/>
        <n v="77.2"/>
        <n v="48.5"/>
        <n v="72.5"/>
        <n v="71.8"/>
        <n v="74.8"/>
        <n v="56.5"/>
        <n v="62.8"/>
        <n v="78"/>
        <n v="66.8"/>
        <n v="63.3"/>
        <n v="48.2"/>
        <n v="74.3"/>
        <n v="999"/>
        <n v="35.799999999999997"/>
        <n v="67.3"/>
        <n v="58.9"/>
        <n v="69.3"/>
        <n v="70"/>
        <n v="63.8"/>
        <n v="51.4"/>
        <n v="63.7"/>
        <n v="44.5"/>
        <n v="57.7"/>
        <n v="56.1"/>
        <n v="52"/>
        <n v="54.1"/>
        <n v="42.3"/>
        <n v="74"/>
        <n v="81.099999999999994"/>
        <n v="67.8"/>
        <n v="68.400000000000006"/>
        <n v="73.5"/>
        <n v="61.9"/>
        <n v="34.5"/>
        <n v="70.099999999999994"/>
        <n v="73"/>
        <n v="75.400000000000006"/>
        <n v="73.2"/>
        <n v="53.3"/>
        <n v="62.9"/>
        <n v="67.5"/>
        <n v="84.2"/>
        <n v="72.099999999999994"/>
        <n v="59.8"/>
        <n v="67.7"/>
        <n v="70.5"/>
        <n v="72.3"/>
        <n v="83.2"/>
        <n v="78.3"/>
        <n v="66.900000000000006"/>
        <n v="24.8"/>
        <n v="51.9"/>
        <n v="81.400000000000006"/>
        <n v="69.8"/>
        <n v="68.8"/>
        <n v="52.1"/>
        <n v="68.7"/>
        <n v="48.8"/>
        <n v="47.2"/>
        <n v="76.7"/>
        <n v="73.7"/>
        <n v="66.2"/>
        <n v="76.400000000000006"/>
        <n v="55.3"/>
        <n v="85.3"/>
        <n v="63"/>
        <n v="73.599999999999994"/>
        <n v="49"/>
        <n v="76.5"/>
        <n v="59.2"/>
        <n v="59.7"/>
        <n v="78.099999999999994"/>
        <n v="81.3"/>
        <n v="62.6"/>
        <n v="83.6"/>
        <n v="67.2"/>
        <n v="44.2"/>
        <n v="37.799999999999997"/>
        <n v="50"/>
        <n v="61.2"/>
        <n v="73.900000000000006"/>
        <n v="49.4"/>
        <n v="49.7"/>
        <n v="75.5"/>
        <n v="74.400000000000006"/>
        <n v="57.3"/>
        <n v="46.1"/>
        <n v="56.8"/>
        <n v="70.7"/>
        <n v="71.099999999999994"/>
        <n v="45.5"/>
        <n v="45.3"/>
        <n v="71.7"/>
        <n v="69.7"/>
        <n v="53.7"/>
        <n v="61.6"/>
        <n v="68.099999999999994"/>
        <n v="71.3"/>
        <n v="55.8"/>
        <n v="65.2"/>
        <n v="61.1"/>
        <n v="81"/>
        <n v="61.3"/>
        <n v="41"/>
        <n v="76.2"/>
        <n v="68.900000000000006"/>
        <n v="39.700000000000003"/>
        <n v="73.400000000000006"/>
        <n v="74.2"/>
        <n v="66.3"/>
        <n v="54.2"/>
        <n v="67.599999999999994"/>
        <n v="69.599999999999994"/>
        <n v="75.599999999999994"/>
        <n v="50.2"/>
        <n v="65"/>
        <n v="75"/>
        <n v="78.400000000000006"/>
        <n v="75.2"/>
        <n v="64.2"/>
        <n v="60.6"/>
        <n v="77.8"/>
        <n v="90.8"/>
        <n v="65.099999999999994"/>
        <n v="50.8"/>
        <n v="78.900000000000006"/>
        <n v="75.8"/>
        <n v="69.2"/>
        <n v="74.5"/>
        <n v="53.5"/>
        <n v="67.900000000000006"/>
        <n v="59.4"/>
        <n v="40"/>
        <n v="67.099999999999994"/>
        <n v="38.9"/>
        <n v="36"/>
        <n v="66.7"/>
        <n v="57.4"/>
        <n v="53.6"/>
        <n v="57.5"/>
        <n v="60.1"/>
        <n v="68.599999999999994"/>
        <n v="68.5"/>
        <n v="82"/>
        <n v="80.8"/>
        <n v="70.8"/>
        <n v="52.7"/>
        <n v="69.400000000000006"/>
        <n v="52.6"/>
        <n v="72.8"/>
        <n v="72.400000000000006"/>
        <n v="65.599999999999994"/>
        <n v="79.099999999999994"/>
        <n v="60.4"/>
        <n v="79"/>
        <n v="66.400000000000006"/>
        <n v="71.900000000000006"/>
        <n v="67"/>
        <n v="78.8"/>
        <n v="38.200000000000003"/>
        <n v="71.2"/>
        <n v="58"/>
        <n v="71.400000000000006"/>
        <n v="51"/>
        <n v="33.9"/>
        <n v="71"/>
        <n v="20.3"/>
        <n v="55.1"/>
        <n v="22.9"/>
        <n v="55.6"/>
        <n v="59.3"/>
        <n v="75.099999999999994"/>
        <n v="70.400000000000006"/>
        <n v="69.900000000000006"/>
        <n v="83.3"/>
        <n v="78.7"/>
        <n v="56.4"/>
        <n v="45.1"/>
        <n v="50.5"/>
        <n v="42.4"/>
        <n v="59.6"/>
        <n v="74.900000000000006"/>
        <n v="58.8"/>
        <n v="54.8"/>
        <n v="57.2"/>
        <n v="18.100000000000001"/>
        <n v="78.599999999999994"/>
        <n v="73.8"/>
        <n v="64.7"/>
        <n v="57.9"/>
        <n v="56.7"/>
        <n v="79.7"/>
        <n v="83.4"/>
        <n v="78.5"/>
        <n v="63.1"/>
        <n v="60.8"/>
        <n v="68"/>
        <n v="39.200000000000003"/>
        <n v="60.5"/>
        <n v="80.5"/>
        <n v="21"/>
        <n v="77.599999999999994"/>
        <n v="40.799999999999997"/>
        <n v="71.5"/>
        <n v="73.3"/>
        <n v="54.4"/>
        <n v="54"/>
        <n v="75.7"/>
        <n v="29.3"/>
        <n v="46.6"/>
        <n v="44.9"/>
        <n v="67.400000000000006"/>
        <n v="55.5"/>
        <n v="32.4"/>
        <n v="55.4"/>
        <n v="17.5"/>
        <n v="63.6"/>
        <n v="44"/>
        <n v="54.5"/>
        <n v="80.400000000000006"/>
        <n v="77.5"/>
        <n v="82.8"/>
        <n v="87.8"/>
        <n v="72.900000000000006"/>
        <n v="74.599999999999994"/>
        <n v="50.3"/>
        <n v="51.7"/>
        <n v="62.3"/>
        <n v="64.900000000000006"/>
        <n v="62.1"/>
        <n v="30.3"/>
        <n v="53.8"/>
        <n v="50.7"/>
        <n v="74.7"/>
        <n v="58.7"/>
        <n v="70.900000000000006"/>
        <n v="68.2"/>
        <n v="66.599999999999994"/>
        <n v="66.099999999999994"/>
        <n v="65.3"/>
        <n v="48.7"/>
        <n v="85.6"/>
        <n v="77"/>
        <n v="60.2"/>
        <n v="87.6"/>
        <n v="79.599999999999994"/>
        <n v="76"/>
        <n v="76.3"/>
        <n v="42.5"/>
        <n v="45.6"/>
        <n v="90.9"/>
        <n v="23.8"/>
        <n v="47"/>
        <n v="56.9"/>
        <n v="31.5"/>
        <n v="24"/>
        <n v="38.299999999999997"/>
        <n v="79.8"/>
        <n v="61.4"/>
        <n v="36.200000000000003"/>
        <n v="43.4"/>
        <n v="22.2"/>
        <n v="51.1"/>
        <n v="77.3"/>
        <n v="50.9"/>
        <n v="86.5"/>
        <n v="65.400000000000006"/>
        <n v="73.099999999999994"/>
        <n v="63.4"/>
        <n v="71.599999999999994"/>
        <n v="81.599999999999994"/>
        <n v="52.8"/>
        <n v="49.3"/>
        <n v="57.1"/>
        <n v="29"/>
        <n v="82.5"/>
        <n v="88"/>
        <n v="84.8"/>
        <n v="87.1"/>
        <n v="33.799999999999997"/>
        <n v="72"/>
        <n v="76.900000000000006"/>
        <n v="77.900000000000006"/>
        <n v="83.8"/>
        <n v="81.2"/>
        <n v="80.599999999999994"/>
        <n v="77.7"/>
        <n v="58.1"/>
        <n v="80.2"/>
        <n v="23.7"/>
        <n v="85.7"/>
        <n v="82.2"/>
        <n v="76.8"/>
        <n v="77.400000000000006"/>
        <n v="51.3"/>
        <n v="84.9"/>
        <n v="81.5"/>
        <n v="53.1"/>
        <n v="79.2"/>
        <n v="56.3"/>
        <n v="62.4"/>
        <n v="26"/>
        <n v="47.7"/>
        <n v="86.7"/>
        <n v="19.3"/>
        <n v="65.8"/>
        <n v="60"/>
        <n v="75.900000000000006"/>
        <n v="46.4"/>
        <n v="57"/>
        <n v="0"/>
        <n v="34.1"/>
        <n v="34.4"/>
        <n v="64.400000000000006"/>
        <n v="74.099999999999994"/>
        <n v="62"/>
        <n v="47.9"/>
        <n v="79.400000000000006"/>
        <n v="68.3"/>
        <n v="63.9"/>
        <n v="61.8"/>
        <n v="56"/>
        <n v="64.8"/>
        <n v="25.7"/>
        <n v="25.9"/>
        <n v="55"/>
        <n v="38"/>
        <n v="36.4"/>
        <n v="60.7"/>
        <n v="79.5"/>
        <n v="58.4"/>
      </sharedItems>
      <fieldGroup base="7">
        <rangePr autoEnd="0" startNum="0" endNum="100" groupInterval="10"/>
        <groupItems count="12">
          <s v="&lt;0"/>
          <s v="0-10"/>
          <s v="10-20"/>
          <s v="20-30"/>
          <s v="30-40"/>
          <s v="40-50"/>
          <s v="50-60"/>
          <s v="60-70"/>
          <s v="70-80"/>
          <s v="80-90"/>
          <s v="90-100"/>
          <s v="&gt;100"/>
        </groupItems>
      </fieldGroup>
    </cacheField>
    <cacheField name="Sex" numFmtId="0">
      <sharedItems/>
    </cacheField>
    <cacheField name="NRM file" numFmtId="0">
      <sharedItems containsNonDate="0" containsString="0" containsBlank="1"/>
    </cacheField>
    <cacheField name="Final impression, if available" numFmtId="0">
      <sharedItems containsNonDate="0" containsString="0" containsBlank="1"/>
    </cacheField>
    <cacheField name="Step Length Average - Right" numFmtId="0">
      <sharedItems containsMixedTypes="1" containsNumber="1" minValue="0.67200000000000004" maxValue="87.433000000000007"/>
    </cacheField>
    <cacheField name="Step Length Average Left" numFmtId="0">
      <sharedItems containsMixedTypes="1" containsNumber="1" minValue="-1.5589999999999999" maxValue="87.200999999999993"/>
    </cacheField>
    <cacheField name="Stride Length Average Right" numFmtId="0">
      <sharedItems containsMixedTypes="1" containsNumber="1" minValue="5.0209999999999999" maxValue="175.59200000000001"/>
    </cacheField>
    <cacheField name="Stride Length Average Left" numFmtId="0">
      <sharedItems containsMixedTypes="1" containsNumber="1" minValue="0" maxValue="174.38200000000001"/>
    </cacheField>
    <cacheField name="Forward Velocity Average Right" numFmtId="0">
      <sharedItems containsMixedTypes="1" containsNumber="1" minValue="3.8889999999999998" maxValue="165.626"/>
    </cacheField>
    <cacheField name="Forward Velocity Average Left" numFmtId="0">
      <sharedItems containsMixedTypes="1" containsNumber="1" minValue="0" maxValue="163.53899999999999"/>
    </cacheField>
    <cacheField name="Cadence Average Right" numFmtId="0">
      <sharedItems containsMixedTypes="1" containsNumber="1" minValue="26.378" maxValue="1758.7260000000001"/>
    </cacheField>
    <cacheField name="Cadence Average Left" numFmtId="0">
      <sharedItems containsMixedTypes="1" containsNumber="1" minValue="0" maxValue="1082.4970000000001"/>
    </cacheField>
    <cacheField name="Total  Support Time Right" numFmtId="0">
      <sharedItems containsMixedTypes="1" containsNumber="1" minValue="55.134" maxValue="202.94800000000001"/>
    </cacheField>
    <cacheField name="Total  Support Time Left" numFmtId="0">
      <sharedItems containsMixedTypes="1" containsNumber="1" minValue="-506.76" maxValue="93.417000000000002"/>
    </cacheField>
    <cacheField name="Swing Phase Right" numFmtId="0">
      <sharedItems containsMixedTypes="1" containsNumber="1" minValue="-102.946" maxValue="44.866"/>
    </cacheField>
    <cacheField name="Swing Phase Left" numFmtId="0">
      <sharedItems containsMixedTypes="1" containsNumber="1" minValue="0" maxValue="606.76199999999994"/>
    </cacheField>
    <cacheField name="Initial Double Support Time Right" numFmtId="0">
      <sharedItems containsMixedTypes="1" containsNumber="1" minValue="-804.91" maxValue="50.073999999999998"/>
    </cacheField>
    <cacheField name="Initial Double Support Time Left" numFmtId="0">
      <sharedItems containsMixedTypes="1" containsNumber="1" minValue="-833.51300000000003" maxValue="44.591000000000001"/>
    </cacheField>
    <cacheField name="Single Support Time Right" numFmtId="0">
      <sharedItems containsMixedTypes="1" containsNumber="1" minValue="6.5830000000000002" maxValue="606.76199999999994"/>
    </cacheField>
    <cacheField name="Single Support Time Left" numFmtId="0">
      <sharedItems containsMixedTypes="1" containsNumber="1" minValue="-102.946" maxValue="44.866"/>
    </cacheField>
    <cacheField name="Step Width " numFmtId="0">
      <sharedItems containsMixedTypes="1" containsNumber="1" minValue="3.0259999999999998" maxValue="38.69"/>
    </cacheField>
    <cacheField name="Number of steps - Right" numFmtId="0">
      <sharedItems containsMixedTypes="1" containsNumber="1" containsInteger="1" minValue="5" maxValue="51"/>
    </cacheField>
    <cacheField name="Number of steps - left" numFmtId="0">
      <sharedItems containsMixedTypes="1" containsNumber="1" containsInteger="1" minValue="4" maxValue="50"/>
    </cacheField>
    <cacheField name="Number of strides - Right" numFmtId="0">
      <sharedItems containsMixedTypes="1" containsNumber="1" containsInteger="1" minValue="4" maxValue="50"/>
    </cacheField>
    <cacheField name="Number of Strides - Left" numFmtId="0">
      <sharedItems containsMixedTypes="1" containsNumber="1" containsInteger="1" minValue="4" maxValue="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418981483" missingItemsLimit="0" createdVersion="6" refreshedVersion="7" minRefreshableVersion="3" recordCount="3" xr:uid="{ACBF3EB5-8216-4B3B-9406-282D823E8FE4}">
  <cacheSource type="worksheet">
    <worksheetSource name="tblFn"/>
  </cacheSource>
  <cacheFields count="1">
    <cacheField name="Function" numFmtId="0">
      <sharedItems count="3">
        <s v="Avg"/>
        <s v="Count"/>
        <s v="StDev"/>
      </sharedItems>
    </cacheField>
  </cacheFields>
  <extLst>
    <ext xmlns:x14="http://schemas.microsoft.com/office/spreadsheetml/2009/9/main" uri="{725AE2AE-9491-48be-B2B4-4EB974FC3084}">
      <x14:pivotCacheDefinition pivotCacheId="674693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Cadence Average Left"/>
    <x v="0"/>
  </r>
  <r>
    <s v="Cadence Average Right"/>
    <x v="0"/>
  </r>
  <r>
    <s v="Forward Velocity Average Left"/>
    <x v="1"/>
  </r>
  <r>
    <s v="Forward Velocity Average Right"/>
    <x v="1"/>
  </r>
  <r>
    <s v="Initial Double Support Time Left"/>
    <x v="2"/>
  </r>
  <r>
    <s v="Initial Double Support Time Right"/>
    <x v="2"/>
  </r>
  <r>
    <s v="Number of steps - left"/>
    <x v="3"/>
  </r>
  <r>
    <s v="Number of steps - Right"/>
    <x v="3"/>
  </r>
  <r>
    <s v="Number of Strides - Left"/>
    <x v="4"/>
  </r>
  <r>
    <s v="Number of strides - Right"/>
    <x v="4"/>
  </r>
  <r>
    <s v="Single Support Time Left"/>
    <x v="5"/>
  </r>
  <r>
    <s v="Single Support Time Right"/>
    <x v="5"/>
  </r>
  <r>
    <s v="Step Length Average Left"/>
    <x v="6"/>
  </r>
  <r>
    <s v="Step Length Average Right"/>
    <x v="6"/>
  </r>
  <r>
    <s v="Step Width "/>
    <x v="7"/>
  </r>
  <r>
    <s v="Stride Length Average Left"/>
    <x v="8"/>
  </r>
  <r>
    <s v="Stride Length Average Right"/>
    <x v="8"/>
  </r>
  <r>
    <s v="Swing Phase Left"/>
    <x v="9"/>
  </r>
  <r>
    <s v="Swing Phase Right"/>
    <x v="9"/>
  </r>
  <r>
    <s v="Total  Support Time Left"/>
    <x v="10"/>
  </r>
  <r>
    <s v="Total  Support Time Right"/>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n v="1"/>
    <m/>
    <m/>
    <m/>
    <m/>
    <s v="NA"/>
    <s v="NA"/>
    <x v="0"/>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2"/>
    <m/>
    <m/>
    <m/>
    <m/>
    <s v="NA"/>
    <s v="NA"/>
    <x v="1"/>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100"/>
    <m/>
    <m/>
    <m/>
    <m/>
    <n v="332"/>
    <s v="Paralysis agitans"/>
    <x v="2"/>
    <s v="M"/>
    <m/>
    <m/>
    <n v="45.006"/>
    <n v="58.814"/>
    <n v="103.438"/>
    <n v="103.899"/>
    <n v="100.863"/>
    <n v="101.235"/>
    <n v="118.98699999999999"/>
    <n v="116.429"/>
    <n v="61.444000000000003"/>
    <n v="63.558"/>
    <n v="38.555999999999997"/>
    <n v="36.442"/>
    <n v="12.574"/>
    <n v="12.725"/>
    <n v="36.442"/>
    <n v="38.555999999999997"/>
    <n v="17.196999999999999"/>
    <n v="11"/>
    <n v="9"/>
    <n v="9"/>
    <n v="9"/>
  </r>
  <r>
    <n v="101"/>
    <m/>
    <m/>
    <m/>
    <m/>
    <n v="333.1"/>
    <s v="Essential and other specified forms of tremor"/>
    <x v="3"/>
    <s v="M"/>
    <m/>
    <m/>
    <n v="60.595999999999997"/>
    <n v="63.677999999999997"/>
    <n v="124.71599999999999"/>
    <n v="124.991"/>
    <n v="109.952"/>
    <n v="110.011"/>
    <n v="106.251"/>
    <n v="105.694"/>
    <n v="63.624000000000002"/>
    <n v="63.762999999999998"/>
    <n v="36.375999999999998"/>
    <n v="36.237000000000002"/>
    <n v="13.943"/>
    <n v="13.683"/>
    <n v="36.237000000000002"/>
    <n v="36.375999999999998"/>
    <n v="13.364000000000001"/>
    <n v="12"/>
    <n v="12"/>
    <n v="12"/>
    <n v="12"/>
  </r>
  <r>
    <n v="102"/>
    <m/>
    <m/>
    <m/>
    <m/>
    <n v="333.1"/>
    <s v="Essential and other specified forms of tremor"/>
    <x v="4"/>
    <s v="M"/>
    <m/>
    <m/>
    <n v="62.112000000000002"/>
    <n v="61.255000000000003"/>
    <n v="123.01900000000001"/>
    <n v="123.639"/>
    <n v="113.806"/>
    <n v="114.884"/>
    <n v="111.241"/>
    <n v="110.96"/>
    <n v="62.024000000000001"/>
    <n v="61.332000000000001"/>
    <n v="37.975999999999999"/>
    <n v="38.667999999999999"/>
    <n v="11.321"/>
    <n v="12.936999999999999"/>
    <n v="38.667999999999999"/>
    <n v="37.975999999999999"/>
    <n v="10.92"/>
    <n v="6"/>
    <n v="5"/>
    <n v="5"/>
    <n v="5"/>
  </r>
  <r>
    <n v="103"/>
    <m/>
    <m/>
    <m/>
    <m/>
    <n v="332"/>
    <s v="Paralysis agitans"/>
    <x v="5"/>
    <s v="F"/>
    <m/>
    <m/>
    <n v="43.561999999999998"/>
    <n v="49.287999999999997"/>
    <n v="93.16"/>
    <n v="92.283000000000001"/>
    <n v="83.733999999999995"/>
    <n v="82.768000000000001"/>
    <n v="107.72"/>
    <n v="107.31"/>
    <n v="63.116"/>
    <n v="63.244"/>
    <n v="36.884"/>
    <n v="36.756"/>
    <n v="14.772"/>
    <n v="11.582000000000001"/>
    <n v="36.756"/>
    <n v="36.884"/>
    <n v="10.452"/>
    <n v="14"/>
    <n v="14"/>
    <n v="14"/>
    <n v="14"/>
  </r>
  <r>
    <n v="104"/>
    <m/>
    <m/>
    <m/>
    <m/>
    <n v="333.89"/>
    <s v="Other fragments of torsion dystonia"/>
    <x v="6"/>
    <s v="F"/>
    <m/>
    <m/>
    <n v="38.603000000000002"/>
    <n v="42.033999999999999"/>
    <n v="80.977999999999994"/>
    <n v="79.698999999999998"/>
    <n v="58.076999999999998"/>
    <n v="59.277000000000001"/>
    <n v="88.346000000000004"/>
    <n v="89.012"/>
    <n v="69.787999999999997"/>
    <n v="68.756"/>
    <n v="30.212"/>
    <n v="31.244"/>
    <n v="20.158999999999999"/>
    <n v="18.084"/>
    <n v="31.244"/>
    <n v="30.212"/>
    <n v="14.108000000000001"/>
    <n v="16"/>
    <n v="14"/>
    <n v="14"/>
    <n v="14"/>
  </r>
  <r>
    <n v="105"/>
    <m/>
    <m/>
    <m/>
    <m/>
    <n v="332"/>
    <s v="Paralysis agitans"/>
    <x v="7"/>
    <s v="M"/>
    <m/>
    <m/>
    <n v="59.383000000000003"/>
    <n v="59.351999999999997"/>
    <n v="118.407"/>
    <n v="119.18300000000001"/>
    <n v="116.79900000000001"/>
    <n v="119.557"/>
    <n v="118.348"/>
    <n v="119.58199999999999"/>
    <n v="64.87"/>
    <n v="65.290999999999997"/>
    <n v="35.128999999999998"/>
    <n v="34.709000000000003"/>
    <n v="14.724"/>
    <n v="15.632"/>
    <n v="34.709000000000003"/>
    <n v="35.128999999999998"/>
    <n v="12.680999999999999"/>
    <n v="12"/>
    <n v="12"/>
    <n v="12"/>
    <n v="12"/>
  </r>
  <r>
    <n v="106"/>
    <m/>
    <m/>
    <m/>
    <m/>
    <s v="NA"/>
    <s v="NA"/>
    <x v="8"/>
    <s v="M"/>
    <m/>
    <m/>
    <s v="NA"/>
    <s v="NA"/>
    <s v="NA"/>
    <s v="NA"/>
    <s v="NA"/>
    <s v="NA"/>
    <s v="NA"/>
    <s v="NA"/>
    <s v="NA"/>
    <s v="NA"/>
    <s v="NA"/>
    <s v="NA"/>
    <s v="NA"/>
    <s v="NA"/>
    <s v="NA"/>
    <s v="NA"/>
    <s v="NA"/>
    <s v="NA"/>
    <s v="NA"/>
    <s v="NA"/>
    <s v="NA"/>
  </r>
  <r>
    <n v="107"/>
    <m/>
    <m/>
    <m/>
    <m/>
    <n v="333.89"/>
    <s v="Other fragments of torsion dystonia"/>
    <x v="9"/>
    <s v="F"/>
    <m/>
    <m/>
    <n v="61.043999999999997"/>
    <n v="61.673999999999999"/>
    <n v="122.32"/>
    <n v="123.408"/>
    <n v="120.995"/>
    <n v="122.938"/>
    <n v="119.791"/>
    <n v="120.435"/>
    <n v="60.366999999999997"/>
    <n v="59.564"/>
    <n v="39.633000000000003"/>
    <n v="40.436"/>
    <n v="10.388999999999999"/>
    <n v="9.9049999999999994"/>
    <n v="40.436"/>
    <n v="39.633000000000003"/>
    <n v="10.728999999999999"/>
    <n v="15"/>
    <n v="13"/>
    <n v="13"/>
    <n v="13"/>
  </r>
  <r>
    <n v="108"/>
    <m/>
    <m/>
    <m/>
    <m/>
    <n v="333.1"/>
    <s v="Essential and other specified forms of tremor"/>
    <x v="7"/>
    <s v="M"/>
    <m/>
    <m/>
    <n v="32.179000000000002"/>
    <n v="34.744999999999997"/>
    <n v="67.171999999999997"/>
    <n v="66.525999999999996"/>
    <n v="35.664000000000001"/>
    <n v="35.975999999999999"/>
    <n v="63.924999999999997"/>
    <n v="64.108999999999995"/>
    <n v="69.382000000000005"/>
    <n v="70.652000000000001"/>
    <n v="30.617999999999999"/>
    <n v="29.347999999999999"/>
    <n v="20.738"/>
    <n v="19.038"/>
    <n v="29.347999999999999"/>
    <n v="30.617999999999999"/>
    <n v="24.03"/>
    <n v="6"/>
    <n v="6"/>
    <n v="6"/>
    <n v="6"/>
  </r>
  <r>
    <n v="109"/>
    <m/>
    <m/>
    <m/>
    <m/>
    <n v="332"/>
    <s v="Paralysis agitans"/>
    <x v="10"/>
    <s v="M"/>
    <m/>
    <m/>
    <n v="48.478000000000002"/>
    <n v="48.902000000000001"/>
    <n v="96.64"/>
    <n v="96.933999999999997"/>
    <n v="89.289000000000001"/>
    <n v="90.173000000000002"/>
    <n v="111.339"/>
    <n v="110.875"/>
    <n v="62.606999999999999"/>
    <n v="62.893000000000001"/>
    <n v="37.393000000000001"/>
    <n v="37.106999999999999"/>
    <n v="12.911"/>
    <n v="12.499000000000001"/>
    <n v="37.106999999999999"/>
    <n v="37.393000000000001"/>
    <n v="14.026999999999999"/>
    <n v="7"/>
    <n v="8"/>
    <n v="7"/>
    <n v="7"/>
  </r>
  <r>
    <n v="110"/>
    <m/>
    <m/>
    <m/>
    <m/>
    <n v="332"/>
    <s v="Paralysis agitans"/>
    <x v="11"/>
    <s v="M"/>
    <m/>
    <m/>
    <n v="66.605000000000004"/>
    <n v="62.741999999999997"/>
    <n v="128.55799999999999"/>
    <n v="130.35900000000001"/>
    <n v="156.27500000000001"/>
    <n v="157.953"/>
    <n v="146.703"/>
    <n v="145.65199999999999"/>
    <n v="60.811"/>
    <n v="60.31"/>
    <n v="39.189"/>
    <n v="39.69"/>
    <n v="9.7279999999999998"/>
    <n v="11.401999999999999"/>
    <n v="39.69"/>
    <n v="39.189"/>
    <n v="7.6120000000000001"/>
    <n v="10"/>
    <n v="11"/>
    <n v="10"/>
    <n v="10"/>
  </r>
  <r>
    <n v="111"/>
    <m/>
    <m/>
    <m/>
    <m/>
    <n v="333"/>
    <s v="Other degenerative diseases of the basal ganglia"/>
    <x v="12"/>
    <s v="F"/>
    <m/>
    <m/>
    <n v="31.9"/>
    <n v="24.724"/>
    <n v="58.162999999999997"/>
    <n v="58.923999999999999"/>
    <n v="33.738"/>
    <n v="33.722000000000001"/>
    <n v="69.387"/>
    <n v="66.528999999999996"/>
    <n v="69.397999999999996"/>
    <n v="69.094999999999999"/>
    <n v="30.602"/>
    <n v="30.905000000000001"/>
    <n v="20.882999999999999"/>
    <n v="18.574999999999999"/>
    <n v="30.905000000000001"/>
    <n v="30.602"/>
    <n v="11.93"/>
    <n v="15"/>
    <n v="12"/>
    <n v="12"/>
    <n v="12"/>
  </r>
  <r>
    <n v="113"/>
    <m/>
    <m/>
    <m/>
    <m/>
    <n v="333.1"/>
    <s v="Essential and other specified forms of tremor"/>
    <x v="13"/>
    <s v="M"/>
    <m/>
    <m/>
    <n v="64.789000000000001"/>
    <n v="67.117000000000004"/>
    <n v="131.76900000000001"/>
    <n v="132.17599999999999"/>
    <n v="129.56399999999999"/>
    <n v="130.01300000000001"/>
    <n v="117.92400000000001"/>
    <n v="117.54300000000001"/>
    <n v="60.868000000000002"/>
    <n v="60.121000000000002"/>
    <n v="39.131999999999998"/>
    <n v="39.878999999999998"/>
    <n v="10.27"/>
    <n v="11.153"/>
    <n v="39.878999999999998"/>
    <n v="39.131999999999998"/>
    <n v="8.5459999999999994"/>
    <n v="20"/>
    <n v="15"/>
    <n v="15"/>
    <n v="15"/>
  </r>
  <r>
    <n v="114"/>
    <m/>
    <m/>
    <m/>
    <m/>
    <n v="781.2"/>
    <s v="Abnormality of gait"/>
    <x v="14"/>
    <s v="M"/>
    <m/>
    <m/>
    <n v="9.7609999999999992"/>
    <n v="32.265000000000001"/>
    <n v="42.308"/>
    <n v="42.48"/>
    <n v="33.091000000000001"/>
    <n v="33.304000000000002"/>
    <n v="95.953000000000003"/>
    <n v="96.912999999999997"/>
    <n v="72.399000000000001"/>
    <n v="69.141000000000005"/>
    <n v="27.600999999999999"/>
    <n v="30.859000000000002"/>
    <n v="19.538"/>
    <n v="21.811"/>
    <n v="30.859000000000002"/>
    <n v="27.600999999999999"/>
    <n v="19.405000000000001"/>
    <n v="24"/>
    <n v="23"/>
    <n v="23"/>
    <n v="23"/>
  </r>
  <r>
    <n v="115"/>
    <m/>
    <m/>
    <m/>
    <m/>
    <n v="781"/>
    <s v="Abnormal involuntary movements"/>
    <x v="15"/>
    <s v="F"/>
    <m/>
    <m/>
    <n v="29.140999999999998"/>
    <n v="26.29"/>
    <n v="57.536000000000001"/>
    <n v="55.432000000000002"/>
    <n v="23.244"/>
    <n v="23.314"/>
    <n v="49.628999999999998"/>
    <n v="49.573"/>
    <n v="73.914000000000001"/>
    <n v="75.349000000000004"/>
    <n v="26.085999999999999"/>
    <n v="24.651"/>
    <n v="25.896999999999998"/>
    <n v="24.597999999999999"/>
    <n v="24.651"/>
    <n v="26.085999999999999"/>
    <n v="25.38"/>
    <n v="7"/>
    <n v="8"/>
    <n v="7"/>
    <n v="7"/>
  </r>
  <r>
    <n v="116"/>
    <m/>
    <m/>
    <m/>
    <m/>
    <n v="332"/>
    <s v="Paralysis agitans"/>
    <x v="16"/>
    <s v="M"/>
    <m/>
    <m/>
    <n v="44.043999999999997"/>
    <n v="40.771000000000001"/>
    <n v="85.947000000000003"/>
    <n v="84.981999999999999"/>
    <n v="55.643999999999998"/>
    <n v="56.616"/>
    <n v="78.168999999999997"/>
    <n v="79.582999999999998"/>
    <n v="65.301000000000002"/>
    <n v="66.626999999999995"/>
    <n v="34.698999999999998"/>
    <n v="33.372999999999998"/>
    <n v="16.190999999999999"/>
    <n v="15.813000000000001"/>
    <n v="33.372999999999998"/>
    <n v="34.698999999999998"/>
    <n v="10.762"/>
    <n v="11"/>
    <n v="11"/>
    <n v="11"/>
    <n v="11"/>
  </r>
  <r>
    <n v="117"/>
    <m/>
    <m/>
    <m/>
    <m/>
    <n v="333.1"/>
    <s v="Essential and other specified forms of tremor"/>
    <x v="17"/>
    <s v="M"/>
    <m/>
    <m/>
    <n v="63.366"/>
    <n v="64.718999999999994"/>
    <n v="126.759"/>
    <n v="128.542"/>
    <n v="104.42700000000001"/>
    <n v="103.974"/>
    <n v="99.994"/>
    <n v="98.236999999999995"/>
    <n v="62.496000000000002"/>
    <n v="62.863"/>
    <n v="37.503999999999998"/>
    <n v="37.137"/>
    <n v="12.779"/>
    <n v="13.028"/>
    <n v="37.137"/>
    <n v="37.503999999999998"/>
    <n v="12.702999999999999"/>
    <n v="9"/>
    <n v="10"/>
    <n v="9"/>
    <n v="9"/>
  </r>
  <r>
    <n v="118"/>
    <m/>
    <m/>
    <m/>
    <m/>
    <n v="332"/>
    <s v="Paralysis agitans"/>
    <x v="18"/>
    <s v="F"/>
    <m/>
    <m/>
    <s v="NA"/>
    <s v="NA"/>
    <s v="NA"/>
    <s v="NA"/>
    <s v="NA"/>
    <s v="NA"/>
    <s v="NA"/>
    <s v="NA"/>
    <s v="NA"/>
    <s v="NA"/>
    <s v="NA"/>
    <s v="NA"/>
    <s v="NA"/>
    <s v="NA"/>
    <s v="NA"/>
    <s v="NA"/>
    <s v="NA"/>
    <s v="NA"/>
    <s v="NA"/>
    <s v="NA"/>
    <s v="NA"/>
  </r>
  <r>
    <n v="119"/>
    <m/>
    <m/>
    <m/>
    <m/>
    <n v="333.1"/>
    <s v="Essential and other specified forms of tremor"/>
    <x v="19"/>
    <s v="F"/>
    <m/>
    <m/>
    <n v="52.430999999999997"/>
    <n v="48.420999999999999"/>
    <n v="100.926"/>
    <n v="101.01300000000001"/>
    <n v="96.497"/>
    <n v="96.465999999999994"/>
    <n v="115.069"/>
    <n v="114.95099999999999"/>
    <n v="63.997999999999998"/>
    <n v="62.74"/>
    <n v="36.002000000000002"/>
    <n v="37.26"/>
    <n v="13.073"/>
    <n v="13.443"/>
    <n v="37.26"/>
    <n v="36.002000000000002"/>
    <n v="16.416"/>
    <n v="16"/>
    <n v="19"/>
    <n v="16"/>
    <n v="16"/>
  </r>
  <r>
    <n v="120"/>
    <m/>
    <m/>
    <m/>
    <m/>
    <n v="332"/>
    <s v="Paralysis agitans"/>
    <x v="20"/>
    <s v="M"/>
    <m/>
    <m/>
    <n v="46.432000000000002"/>
    <n v="48.204000000000001"/>
    <n v="95.602000000000004"/>
    <n v="93.545000000000002"/>
    <n v="73.513999999999996"/>
    <n v="71.869"/>
    <n v="93.356999999999999"/>
    <n v="92.415999999999997"/>
    <n v="64.406000000000006"/>
    <n v="63.927999999999997"/>
    <n v="35.594000000000001"/>
    <n v="36.072000000000003"/>
    <n v="14.339"/>
    <n v="13.667999999999999"/>
    <n v="36.072000000000003"/>
    <n v="35.594000000000001"/>
    <n v="18.166"/>
    <n v="12"/>
    <n v="10"/>
    <n v="10"/>
    <n v="10"/>
  </r>
  <r>
    <n v="121"/>
    <m/>
    <m/>
    <m/>
    <m/>
    <n v="333.79"/>
    <s v="Other acquired torsion dystonia"/>
    <x v="21"/>
    <s v="F"/>
    <m/>
    <m/>
    <n v="18.007000000000001"/>
    <n v="19.535"/>
    <n v="37.863999999999997"/>
    <n v="39.500999999999998"/>
    <n v="20.027999999999999"/>
    <n v="20.49"/>
    <n v="63.396999999999998"/>
    <n v="62.878999999999998"/>
    <n v="64.838999999999999"/>
    <n v="74.968999999999994"/>
    <n v="35.161000000000001"/>
    <n v="25.030999999999999"/>
    <n v="16.073"/>
    <n v="23.292999999999999"/>
    <n v="25.030999999999999"/>
    <n v="35.161000000000001"/>
    <n v="15.744999999999999"/>
    <n v="13"/>
    <n v="11"/>
    <n v="11"/>
    <n v="11"/>
  </r>
  <r>
    <n v="122"/>
    <m/>
    <m/>
    <m/>
    <m/>
    <n v="333.1"/>
    <s v="Essential and other specified forms of tremor"/>
    <x v="22"/>
    <s v="F"/>
    <m/>
    <m/>
    <n v="24.87"/>
    <n v="20.613"/>
    <n v="45.637999999999998"/>
    <n v="45.832000000000001"/>
    <n v="49.89"/>
    <n v="49.802"/>
    <n v="131.05099999999999"/>
    <n v="130.78700000000001"/>
    <n v="66.465000000000003"/>
    <n v="67.724000000000004"/>
    <n v="33.534999999999997"/>
    <n v="32.276000000000003"/>
    <n v="17.047999999999998"/>
    <n v="16.728000000000002"/>
    <n v="32.276000000000003"/>
    <n v="33.534999999999997"/>
    <n v="15.394"/>
    <n v="23"/>
    <n v="22"/>
    <n v="22"/>
    <n v="22"/>
  </r>
  <r>
    <n v="123"/>
    <m/>
    <m/>
    <m/>
    <m/>
    <n v="333.1"/>
    <s v="Essential and other specified forms of tremor"/>
    <x v="23"/>
    <s v="M"/>
    <m/>
    <m/>
    <n v="56.674999999999997"/>
    <n v="58.353000000000002"/>
    <n v="114.931"/>
    <n v="115.378"/>
    <n v="118.818"/>
    <n v="119.626"/>
    <n v="122.90900000000001"/>
    <n v="124.021"/>
    <n v="62.540999999999997"/>
    <n v="61.347999999999999"/>
    <n v="37.459000000000003"/>
    <n v="38.652000000000001"/>
    <n v="12.509"/>
    <n v="11.327"/>
    <n v="38.652000000000001"/>
    <n v="37.459000000000003"/>
    <n v="12.135"/>
    <n v="12"/>
    <n v="12"/>
    <n v="12"/>
    <n v="12"/>
  </r>
  <r>
    <n v="124"/>
    <m/>
    <m/>
    <m/>
    <m/>
    <n v="333.89"/>
    <s v="Other fragments of torsion dystonia"/>
    <x v="24"/>
    <s v="F"/>
    <m/>
    <m/>
    <n v="65.841999999999999"/>
    <n v="66.930999999999997"/>
    <n v="133.16200000000001"/>
    <n v="132.399"/>
    <n v="129.34899999999999"/>
    <n v="128.71600000000001"/>
    <n v="116.27500000000001"/>
    <n v="116.736"/>
    <n v="61.133000000000003"/>
    <n v="60.686999999999998"/>
    <n v="38.866999999999997"/>
    <n v="39.313000000000002"/>
    <n v="10.956"/>
    <n v="10.739000000000001"/>
    <n v="39.313000000000002"/>
    <n v="38.866999999999997"/>
    <n v="10.686999999999999"/>
    <n v="7"/>
    <n v="8"/>
    <n v="7"/>
    <n v="7"/>
  </r>
  <r>
    <n v="125"/>
    <m/>
    <m/>
    <m/>
    <m/>
    <n v="332"/>
    <s v="Paralysis agitans"/>
    <x v="25"/>
    <s v="M"/>
    <m/>
    <m/>
    <n v="61.658000000000001"/>
    <n v="63.280999999999999"/>
    <n v="124.479"/>
    <n v="125.029"/>
    <n v="101.66"/>
    <n v="101.93600000000001"/>
    <n v="97.825999999999993"/>
    <n v="97.89"/>
    <n v="61.543999999999997"/>
    <n v="64.417000000000002"/>
    <n v="38.456000000000003"/>
    <n v="35.582999999999998"/>
    <n v="12.065"/>
    <n v="14.122"/>
    <n v="35.582999999999998"/>
    <n v="38.456000000000003"/>
    <n v="8.9280000000000008"/>
    <n v="13"/>
    <n v="14"/>
    <n v="13"/>
    <n v="13"/>
  </r>
  <r>
    <n v="126"/>
    <m/>
    <m/>
    <m/>
    <m/>
    <n v="332"/>
    <s v="Paralysis agitans"/>
    <x v="26"/>
    <s v="M"/>
    <m/>
    <m/>
    <n v="87.433000000000007"/>
    <n v="87.200999999999993"/>
    <n v="175.59200000000001"/>
    <n v="174.38200000000001"/>
    <n v="165.626"/>
    <n v="163.53899999999999"/>
    <n v="112.654"/>
    <n v="111.749"/>
    <n v="59.915999999999997"/>
    <n v="58.29"/>
    <n v="40.084000000000003"/>
    <n v="41.71"/>
    <n v="9.6669999999999998"/>
    <n v="8.923"/>
    <n v="41.71"/>
    <n v="40.084000000000003"/>
    <n v="8.9570000000000007"/>
    <n v="8"/>
    <n v="8"/>
    <n v="8"/>
    <n v="8"/>
  </r>
  <r>
    <n v="127"/>
    <m/>
    <m/>
    <m/>
    <m/>
    <n v="332"/>
    <s v="Paralysis agitans"/>
    <x v="1"/>
    <s v="M"/>
    <m/>
    <m/>
    <n v="10.477"/>
    <n v="6.97"/>
    <n v="19.994"/>
    <n v="17.446999999999999"/>
    <n v="5.4649999999999999"/>
    <n v="5.0970000000000004"/>
    <n v="39.216999999999999"/>
    <n v="33.412999999999997"/>
    <n v="78.293000000000006"/>
    <n v="83.215999999999994"/>
    <n v="21.707000000000001"/>
    <n v="16.783999999999999"/>
    <n v="21.527000000000001"/>
    <n v="43.360999999999997"/>
    <n v="16.783999999999999"/>
    <n v="21.707000000000001"/>
    <n v="9.57"/>
    <n v="6"/>
    <n v="9"/>
    <n v="6"/>
    <n v="6"/>
  </r>
  <r>
    <n v="128"/>
    <m/>
    <m/>
    <m/>
    <m/>
    <n v="332"/>
    <s v="Paralysis agitans"/>
    <x v="27"/>
    <s v="M"/>
    <m/>
    <m/>
    <n v="15.749000000000001"/>
    <n v="19.478000000000002"/>
    <n v="35.454000000000001"/>
    <n v="35.677999999999997"/>
    <n v="22.163"/>
    <n v="22.279"/>
    <n v="76.012"/>
    <n v="75.212000000000003"/>
    <n v="72.316000000000003"/>
    <n v="70.84"/>
    <n v="27.684000000000001"/>
    <n v="29.16"/>
    <n v="22.658000000000001"/>
    <n v="20.677"/>
    <n v="29.16"/>
    <n v="27.684000000000001"/>
    <n v="8.99"/>
    <n v="23"/>
    <n v="22"/>
    <n v="22"/>
    <n v="22"/>
  </r>
  <r>
    <n v="129"/>
    <m/>
    <m/>
    <m/>
    <m/>
    <n v="332"/>
    <s v="Paralysis agitans"/>
    <x v="28"/>
    <s v="M"/>
    <m/>
    <m/>
    <n v="80.497"/>
    <n v="75.915999999999997"/>
    <n v="156.44499999999999"/>
    <n v="156.745"/>
    <n v="141.97"/>
    <n v="142.523"/>
    <n v="108.36199999999999"/>
    <n v="108.58"/>
    <n v="58.960999999999999"/>
    <n v="60.539000000000001"/>
    <n v="41.039000000000001"/>
    <n v="39.460999999999999"/>
    <n v="11.279"/>
    <n v="8.6649999999999991"/>
    <n v="39.460999999999999"/>
    <n v="41.039000000000001"/>
    <n v="8.0500000000000007"/>
    <n v="10"/>
    <n v="8"/>
    <n v="8"/>
    <n v="8"/>
  </r>
  <r>
    <n v="130"/>
    <m/>
    <m/>
    <m/>
    <m/>
    <n v="332"/>
    <s v="Paralysis agitans"/>
    <x v="29"/>
    <s v="M"/>
    <m/>
    <m/>
    <s v="NA"/>
    <s v="NA"/>
    <s v="NA"/>
    <s v="NA"/>
    <s v="NA"/>
    <s v="NA"/>
    <s v="NA"/>
    <s v="NA"/>
    <s v="NA"/>
    <s v="NA"/>
    <s v="NA"/>
    <s v="NA"/>
    <s v="NA"/>
    <s v="NA"/>
    <s v="NA"/>
    <s v="NA"/>
    <s v="NA"/>
    <s v="NA"/>
    <s v="NA"/>
    <s v="NA"/>
    <s v="NA"/>
  </r>
  <r>
    <n v="131"/>
    <m/>
    <m/>
    <m/>
    <m/>
    <n v="332"/>
    <s v="Paralysis agitans"/>
    <x v="30"/>
    <s v="M"/>
    <m/>
    <m/>
    <n v="37.607999999999997"/>
    <n v="28.353999999999999"/>
    <n v="67.266999999999996"/>
    <n v="66.585999999999999"/>
    <n v="60.182000000000002"/>
    <n v="59.530999999999999"/>
    <n v="108.363"/>
    <n v="105.623"/>
    <n v="65.867000000000004"/>
    <n v="63.134999999999998"/>
    <n v="34.133000000000003"/>
    <n v="36.865000000000002"/>
    <n v="13.804"/>
    <n v="16.152000000000001"/>
    <n v="36.865000000000002"/>
    <n v="34.133000000000003"/>
    <n v="17.908000000000001"/>
    <n v="10"/>
    <n v="11"/>
    <n v="10"/>
    <n v="10"/>
  </r>
  <r>
    <n v="132"/>
    <m/>
    <m/>
    <m/>
    <m/>
    <n v="333.89"/>
    <s v="Other fragments of torsion dystonia"/>
    <x v="31"/>
    <s v="F"/>
    <m/>
    <m/>
    <n v="17.164999999999999"/>
    <n v="35.774999999999999"/>
    <n v="52.91"/>
    <n v="53.35"/>
    <n v="32.258000000000003"/>
    <n v="32.853999999999999"/>
    <n v="72.915999999999997"/>
    <n v="74.137"/>
    <n v="68.518000000000001"/>
    <n v="73.165000000000006"/>
    <n v="31.481999999999999"/>
    <n v="26.835000000000001"/>
    <n v="21.591000000000001"/>
    <n v="20.373999999999999"/>
    <n v="26.835000000000001"/>
    <n v="31.481999999999999"/>
    <n v="13.452999999999999"/>
    <n v="20"/>
    <n v="17"/>
    <n v="17"/>
    <n v="17"/>
  </r>
  <r>
    <n v="133"/>
    <m/>
    <m/>
    <m/>
    <m/>
    <n v="333.71"/>
    <s v="Athetoid cerebral palsy"/>
    <x v="32"/>
    <s v="F"/>
    <m/>
    <m/>
    <n v="49.424999999999997"/>
    <n v="38.064999999999998"/>
    <n v="92.025000000000006"/>
    <n v="85.103999999999999"/>
    <n v="71.387"/>
    <n v="71.66"/>
    <n v="93.069000000000003"/>
    <n v="95.039000000000001"/>
    <n v="69.512"/>
    <n v="55.155000000000001"/>
    <n v="30.488"/>
    <n v="44.844999999999999"/>
    <n v="12.676"/>
    <n v="12.426"/>
    <n v="44.844999999999999"/>
    <n v="30.488"/>
    <n v="18.416"/>
    <n v="10"/>
    <n v="9"/>
    <n v="9"/>
    <n v="9"/>
  </r>
  <r>
    <n v="134"/>
    <m/>
    <m/>
    <m/>
    <m/>
    <s v="G20"/>
    <s v="Parkinson's disease"/>
    <x v="33"/>
    <s v="F"/>
    <m/>
    <m/>
    <n v="55.652000000000001"/>
    <n v="57.079000000000001"/>
    <n v="112.605"/>
    <n v="113.85599999999999"/>
    <n v="102.40600000000001"/>
    <n v="104.00700000000001"/>
    <n v="109.02800000000001"/>
    <n v="109.60599999999999"/>
    <n v="63.185000000000002"/>
    <n v="63.537999999999997"/>
    <n v="36.814999999999998"/>
    <n v="36.462000000000003"/>
    <n v="13.081"/>
    <n v="13.69"/>
    <n v="36.462000000000003"/>
    <n v="36.814999999999998"/>
    <n v="7.9749999999999996"/>
    <n v="14"/>
    <n v="12"/>
    <n v="12"/>
    <n v="12"/>
  </r>
  <r>
    <n v="135"/>
    <m/>
    <m/>
    <m/>
    <m/>
    <s v="R26.89"/>
    <s v="Other abnormalities of gait and mobility"/>
    <x v="34"/>
    <s v="F"/>
    <m/>
    <m/>
    <n v="38.896000000000001"/>
    <n v="35.543999999999997"/>
    <n v="74.733000000000004"/>
    <n v="73.887"/>
    <n v="57.313000000000002"/>
    <n v="57.344999999999999"/>
    <n v="92.86"/>
    <n v="93.51"/>
    <n v="66.644999999999996"/>
    <n v="66.116"/>
    <n v="33.354999999999997"/>
    <n v="33.884"/>
    <n v="15.01"/>
    <n v="18.277999999999999"/>
    <n v="33.884"/>
    <n v="33.354999999999997"/>
    <n v="9.9870000000000001"/>
    <n v="15"/>
    <n v="14"/>
    <n v="14"/>
    <n v="14"/>
  </r>
  <r>
    <n v="136"/>
    <m/>
    <m/>
    <m/>
    <m/>
    <s v="NA"/>
    <s v="NA"/>
    <x v="35"/>
    <s v="NA"/>
    <m/>
    <m/>
    <s v="NA"/>
    <s v="NA"/>
    <s v="NA"/>
    <s v="NA"/>
    <s v="NA"/>
    <s v="NA"/>
    <s v="NA"/>
    <s v="NA"/>
    <s v="NA"/>
    <s v="NA"/>
    <s v="NA"/>
    <s v="NA"/>
    <s v="NA"/>
    <s v="NA"/>
    <s v="NA"/>
    <s v="NA"/>
    <s v="NA"/>
    <s v="NA"/>
    <s v="NA"/>
    <s v="NA"/>
    <s v="NA"/>
  </r>
  <r>
    <n v="138"/>
    <m/>
    <m/>
    <m/>
    <m/>
    <s v="G24.9"/>
    <s v="Dystonia, unspecified"/>
    <x v="36"/>
    <s v="M"/>
    <m/>
    <m/>
    <n v="22.646000000000001"/>
    <n v="34.863999999999997"/>
    <n v="55.917000000000002"/>
    <n v="60.287999999999997"/>
    <n v="26.251000000000001"/>
    <n v="26.088000000000001"/>
    <n v="55.387999999999998"/>
    <n v="53.146000000000001"/>
    <n v="80.091999999999999"/>
    <n v="66.754000000000005"/>
    <n v="19.908000000000001"/>
    <n v="33.246000000000002"/>
    <n v="20.683"/>
    <n v="22.32"/>
    <n v="33.246000000000002"/>
    <n v="19.908000000000001"/>
    <n v="18.742000000000001"/>
    <n v="8"/>
    <n v="7"/>
    <n v="7"/>
    <n v="7"/>
  </r>
  <r>
    <n v="140"/>
    <m/>
    <m/>
    <m/>
    <m/>
    <s v="G20"/>
    <s v="Parkinson's disease"/>
    <x v="37"/>
    <s v="M"/>
    <m/>
    <m/>
    <s v="NA"/>
    <s v="NA"/>
    <s v="NA"/>
    <s v="NA"/>
    <s v="NA"/>
    <s v="NA"/>
    <s v="NA"/>
    <s v="NA"/>
    <s v="NA"/>
    <s v="NA"/>
    <s v="NA"/>
    <s v="NA"/>
    <s v="NA"/>
    <s v="NA"/>
    <s v="NA"/>
    <s v="NA"/>
    <s v="NA"/>
    <s v="NA"/>
    <s v="NA"/>
    <s v="NA"/>
    <s v="NA"/>
  </r>
  <r>
    <n v="141"/>
    <m/>
    <m/>
    <m/>
    <m/>
    <s v="G25.0"/>
    <s v="Essential tremor"/>
    <x v="34"/>
    <s v="F"/>
    <m/>
    <m/>
    <n v="43.27"/>
    <n v="41.354999999999997"/>
    <n v="84.438000000000002"/>
    <n v="84.912000000000006"/>
    <n v="65.198999999999998"/>
    <n v="65.867999999999995"/>
    <n v="91.972999999999999"/>
    <n v="92.91"/>
    <n v="63.911000000000001"/>
    <n v="65.031000000000006"/>
    <n v="36.088999999999999"/>
    <n v="34.969000000000001"/>
    <n v="14.766999999999999"/>
    <n v="14.047000000000001"/>
    <n v="34.969000000000001"/>
    <n v="36.088999999999999"/>
    <n v="12.167"/>
    <n v="13"/>
    <n v="11"/>
    <n v="11"/>
    <n v="11"/>
  </r>
  <r>
    <n v="142"/>
    <m/>
    <m/>
    <m/>
    <m/>
    <s v="G25.0"/>
    <s v="Essential tremor"/>
    <x v="38"/>
    <s v="F"/>
    <m/>
    <m/>
    <n v="58.587000000000003"/>
    <n v="57.454999999999998"/>
    <n v="116.788"/>
    <n v="116.39100000000001"/>
    <n v="102.57"/>
    <n v="102.92700000000001"/>
    <n v="105.239"/>
    <n v="105.726"/>
    <n v="64.293999999999997"/>
    <n v="63.863999999999997"/>
    <n v="35.706000000000003"/>
    <n v="36.136000000000003"/>
    <n v="14.429"/>
    <n v="14.131"/>
    <n v="36.136000000000003"/>
    <n v="35.706000000000003"/>
    <n v="9.9169999999999998"/>
    <n v="9"/>
    <n v="8"/>
    <n v="8"/>
    <n v="8"/>
  </r>
  <r>
    <n v="144"/>
    <m/>
    <m/>
    <m/>
    <m/>
    <s v="G20"/>
    <s v="Parkinson's disease"/>
    <x v="39"/>
    <s v="M"/>
    <m/>
    <m/>
    <n v="52.252000000000002"/>
    <n v="58.106999999999999"/>
    <n v="110.41"/>
    <n v="111.68899999999999"/>
    <n v="91.613"/>
    <n v="91.909000000000006"/>
    <n v="98.936999999999998"/>
    <n v="98.632999999999996"/>
    <n v="63.369"/>
    <n v="63.506"/>
    <n v="36.631"/>
    <n v="36.494"/>
    <n v="14.089"/>
    <n v="13.03"/>
    <n v="36.494"/>
    <n v="36.631"/>
    <n v="8.4139999999999997"/>
    <n v="14"/>
    <n v="13"/>
    <n v="13"/>
    <n v="13"/>
  </r>
  <r>
    <n v="145"/>
    <m/>
    <m/>
    <m/>
    <m/>
    <s v="G25.0"/>
    <s v="Essential tremor"/>
    <x v="40"/>
    <s v="F"/>
    <m/>
    <m/>
    <n v="49.241"/>
    <n v="52.231999999999999"/>
    <n v="101.136"/>
    <n v="101.479"/>
    <n v="90.807000000000002"/>
    <n v="90.835999999999999"/>
    <n v="108.285"/>
    <n v="107.886"/>
    <n v="62.945999999999998"/>
    <n v="62.930999999999997"/>
    <n v="37.054000000000002"/>
    <n v="37.069000000000003"/>
    <n v="14.016999999999999"/>
    <n v="12.134"/>
    <n v="37.069000000000003"/>
    <n v="37.054000000000002"/>
    <n v="11.456"/>
    <n v="17"/>
    <n v="18"/>
    <n v="17"/>
    <n v="17"/>
  </r>
  <r>
    <n v="146"/>
    <m/>
    <m/>
    <m/>
    <m/>
    <s v="G23.8"/>
    <s v="Other specified degenerative diseases of basal ganglia"/>
    <x v="41"/>
    <s v="M"/>
    <m/>
    <m/>
    <n v="61.249000000000002"/>
    <n v="57.04"/>
    <n v="117.809"/>
    <n v="118.282"/>
    <n v="85.016999999999996"/>
    <n v="85.971000000000004"/>
    <n v="86.947999999999993"/>
    <n v="87.227000000000004"/>
    <n v="64.504999999999995"/>
    <n v="65.043999999999997"/>
    <n v="35.494"/>
    <n v="34.956000000000003"/>
    <n v="15.441000000000001"/>
    <n v="14.536"/>
    <n v="34.956000000000003"/>
    <n v="35.494"/>
    <n v="9.5299999999999994"/>
    <n v="16"/>
    <n v="16"/>
    <n v="16"/>
    <n v="16"/>
  </r>
  <r>
    <n v="147"/>
    <m/>
    <m/>
    <m/>
    <m/>
    <s v="G20"/>
    <s v="Parkinson's disease"/>
    <x v="42"/>
    <s v="M"/>
    <m/>
    <m/>
    <n v="62.695999999999998"/>
    <n v="64.414000000000001"/>
    <n v="127.107"/>
    <n v="127.57299999999999"/>
    <n v="127.015"/>
    <n v="128.28100000000001"/>
    <n v="119.626"/>
    <n v="120.473"/>
    <n v="61.768000000000001"/>
    <n v="64.096999999999994"/>
    <n v="38.231999999999999"/>
    <n v="35.902999999999999"/>
    <n v="12.865"/>
    <n v="13.055999999999999"/>
    <n v="35.902999999999999"/>
    <n v="38.231999999999999"/>
    <n v="10.653"/>
    <n v="18"/>
    <n v="21"/>
    <n v="18"/>
    <n v="18"/>
  </r>
  <r>
    <n v="148"/>
    <m/>
    <m/>
    <m/>
    <m/>
    <s v="G20"/>
    <s v="Parkinson's disease"/>
    <x v="43"/>
    <s v="M"/>
    <m/>
    <m/>
    <n v="22.573"/>
    <n v="21.818000000000001"/>
    <n v="44.475000000000001"/>
    <n v="44.548000000000002"/>
    <n v="35.439"/>
    <n v="35.470999999999997"/>
    <n v="96.341999999999999"/>
    <n v="96.798000000000002"/>
    <n v="69.828999999999994"/>
    <n v="66.918999999999997"/>
    <n v="30.170999999999999"/>
    <n v="33.081000000000003"/>
    <n v="20.302"/>
    <n v="15.903"/>
    <n v="33.081000000000003"/>
    <n v="30.170999999999999"/>
    <n v="13.115"/>
    <n v="14"/>
    <n v="15"/>
    <n v="14"/>
    <n v="14"/>
  </r>
  <r>
    <n v="150"/>
    <m/>
    <m/>
    <m/>
    <m/>
    <s v="G20"/>
    <s v="Parkinson's disease"/>
    <x v="44"/>
    <s v="M"/>
    <m/>
    <m/>
    <n v="50.844999999999999"/>
    <n v="46.811"/>
    <n v="98.406999999999996"/>
    <n v="97.738"/>
    <n v="74.753"/>
    <n v="74.656000000000006"/>
    <n v="91.888999999999996"/>
    <n v="91.653000000000006"/>
    <n v="63.277999999999999"/>
    <n v="65.096999999999994"/>
    <n v="36.722000000000001"/>
    <n v="34.902999999999999"/>
    <n v="13.731"/>
    <n v="15.226000000000001"/>
    <n v="34.902999999999999"/>
    <n v="36.722000000000001"/>
    <n v="10.496"/>
    <n v="20"/>
    <n v="21"/>
    <n v="20"/>
    <n v="20"/>
  </r>
  <r>
    <n v="151"/>
    <m/>
    <m/>
    <m/>
    <m/>
    <s v="G20"/>
    <s v="Parkinson's disease"/>
    <x v="45"/>
    <s v="F"/>
    <m/>
    <m/>
    <n v="64.686999999999998"/>
    <n v="65.594999999999999"/>
    <n v="130.315"/>
    <n v="130.501"/>
    <n v="132.149"/>
    <n v="132.31899999999999"/>
    <n v="122.238"/>
    <n v="121.857"/>
    <n v="59.476999999999997"/>
    <n v="59.683999999999997"/>
    <n v="40.523000000000003"/>
    <n v="40.316000000000003"/>
    <n v="9.01"/>
    <n v="10.691000000000001"/>
    <n v="40.316000000000003"/>
    <n v="40.523000000000003"/>
    <n v="12.624000000000001"/>
    <n v="24"/>
    <n v="20"/>
    <n v="20"/>
    <n v="20"/>
  </r>
  <r>
    <n v="153"/>
    <m/>
    <m/>
    <m/>
    <m/>
    <s v="G20"/>
    <s v="Parkinson's disease"/>
    <x v="46"/>
    <s v="M"/>
    <m/>
    <m/>
    <n v="41.514000000000003"/>
    <n v="57.027999999999999"/>
    <n v="98.135000000000005"/>
    <n v="98.733000000000004"/>
    <n v="91.361999999999995"/>
    <n v="91.147999999999996"/>
    <n v="111.254"/>
    <n v="111.139"/>
    <n v="63.682000000000002"/>
    <n v="66.56"/>
    <n v="36.317999999999998"/>
    <n v="33.44"/>
    <n v="11.827999999999999"/>
    <n v="18.454000000000001"/>
    <n v="33.44"/>
    <n v="36.317999999999998"/>
    <n v="11.76"/>
    <n v="18"/>
    <n v="20"/>
    <n v="18"/>
    <n v="18"/>
  </r>
  <r>
    <n v="155"/>
    <m/>
    <m/>
    <m/>
    <m/>
    <s v="G20"/>
    <s v="Parkinson's disease"/>
    <x v="47"/>
    <s v="M"/>
    <m/>
    <m/>
    <n v="68.343000000000004"/>
    <n v="60.993000000000002"/>
    <n v="129.99799999999999"/>
    <n v="129.47999999999999"/>
    <n v="113.04"/>
    <n v="112.723"/>
    <n v="104.575"/>
    <n v="104.678"/>
    <n v="63.771000000000001"/>
    <n v="66.043999999999997"/>
    <n v="36.228999999999999"/>
    <n v="33.956000000000003"/>
    <n v="13.7"/>
    <n v="16.321999999999999"/>
    <n v="33.956000000000003"/>
    <n v="36.228999999999999"/>
    <n v="12.321999999999999"/>
    <n v="17"/>
    <n v="15"/>
    <n v="15"/>
    <n v="15"/>
  </r>
  <r>
    <n v="156"/>
    <m/>
    <m/>
    <m/>
    <m/>
    <s v="R25.1"/>
    <s v="Tremor, unspecified"/>
    <x v="48"/>
    <s v="M"/>
    <m/>
    <m/>
    <n v="16.209"/>
    <n v="3.468"/>
    <n v="19.513999999999999"/>
    <n v="19.158999999999999"/>
    <n v="4.1989999999999998"/>
    <n v="4.2380000000000004"/>
    <n v="26.378"/>
    <n v="25.66"/>
    <n v="87.064999999999998"/>
    <n v="89.93"/>
    <n v="12.935"/>
    <n v="10.07"/>
    <n v="39.591000000000001"/>
    <n v="37.018999999999998"/>
    <n v="10.07"/>
    <n v="12.935"/>
    <n v="19.945"/>
    <n v="10"/>
    <n v="11"/>
    <n v="10"/>
    <n v="10"/>
  </r>
  <r>
    <n v="157"/>
    <m/>
    <m/>
    <m/>
    <m/>
    <s v="G20"/>
    <s v="Parkinson's disease"/>
    <x v="49"/>
    <s v="F"/>
    <m/>
    <m/>
    <n v="49.853000000000002"/>
    <n v="49.133000000000003"/>
    <n v="99.718999999999994"/>
    <n v="99.143000000000001"/>
    <n v="87.602999999999994"/>
    <n v="87.239000000000004"/>
    <n v="105.375"/>
    <n v="105.30500000000001"/>
    <n v="62.326000000000001"/>
    <n v="63.262999999999998"/>
    <n v="37.673999999999999"/>
    <n v="36.737000000000002"/>
    <n v="14.196"/>
    <n v="11.667"/>
    <n v="36.737000000000002"/>
    <n v="37.673999999999999"/>
    <n v="10.393000000000001"/>
    <n v="14"/>
    <n v="15"/>
    <n v="14"/>
    <n v="14"/>
  </r>
  <r>
    <n v="158"/>
    <m/>
    <m/>
    <m/>
    <m/>
    <s v="G25.0"/>
    <s v="Essential tremor"/>
    <x v="50"/>
    <s v="M"/>
    <m/>
    <m/>
    <n v="58.195999999999998"/>
    <n v="58.847000000000001"/>
    <n v="117.017"/>
    <n v="117.09"/>
    <n v="96.016999999999996"/>
    <n v="96.096000000000004"/>
    <n v="98.216999999999999"/>
    <n v="98.486000000000004"/>
    <n v="63.228000000000002"/>
    <n v="64.088999999999999"/>
    <n v="36.771999999999998"/>
    <n v="35.911000000000001"/>
    <n v="14.179"/>
    <n v="13.451000000000001"/>
    <n v="35.911000000000001"/>
    <n v="36.771999999999998"/>
    <n v="9.48"/>
    <n v="15"/>
    <n v="15"/>
    <n v="15"/>
    <n v="15"/>
  </r>
  <r>
    <n v="161"/>
    <m/>
    <m/>
    <m/>
    <m/>
    <s v="R25.1"/>
    <s v="Tremor, unspecified"/>
    <x v="51"/>
    <s v="M"/>
    <m/>
    <m/>
    <s v="NA"/>
    <s v="NA"/>
    <s v="NA"/>
    <s v="NA"/>
    <s v="NA"/>
    <s v="NA"/>
    <s v="NA"/>
    <s v="NA"/>
    <s v="NA"/>
    <s v="NA"/>
    <s v="NA"/>
    <s v="NA"/>
    <s v="NA"/>
    <s v="NA"/>
    <s v="NA"/>
    <s v="NA"/>
    <s v="NA"/>
    <s v="NA"/>
    <s v="NA"/>
    <s v="NA"/>
    <s v="NA"/>
  </r>
  <r>
    <n v="162"/>
    <m/>
    <m/>
    <m/>
    <m/>
    <s v="NA"/>
    <s v="NA"/>
    <x v="35"/>
    <s v="NA"/>
    <m/>
    <m/>
    <n v="52.616999999999997"/>
    <n v="54.167999999999999"/>
    <n v="106.77"/>
    <n v="107.068"/>
    <n v="97.239000000000004"/>
    <n v="97.801000000000002"/>
    <n v="109.297"/>
    <n v="109.505"/>
    <n v="64.242999999999995"/>
    <n v="64.328999999999994"/>
    <n v="35.756999999999998"/>
    <n v="35.670999999999999"/>
    <n v="14.178000000000001"/>
    <n v="14.417999999999999"/>
    <n v="35.670999999999999"/>
    <n v="35.756999999999998"/>
    <n v="9.51"/>
    <n v="28"/>
    <n v="29"/>
    <n v="28"/>
    <n v="28"/>
  </r>
  <r>
    <n v="164"/>
    <m/>
    <m/>
    <m/>
    <m/>
    <s v="G20"/>
    <s v="Parkinson's disease"/>
    <x v="52"/>
    <s v="M"/>
    <m/>
    <m/>
    <n v="61.332000000000001"/>
    <n v="61.148000000000003"/>
    <n v="122.66"/>
    <n v="122.02"/>
    <n v="106.07899999999999"/>
    <n v="106.07599999999999"/>
    <n v="103.974"/>
    <n v="104.247"/>
    <n v="62.975000000000001"/>
    <n v="64.408000000000001"/>
    <n v="37.024999999999999"/>
    <n v="35.591999999999999"/>
    <n v="14.925000000000001"/>
    <n v="12.708"/>
    <n v="35.591999999999999"/>
    <n v="37.024999999999999"/>
    <n v="11.151999999999999"/>
    <n v="16"/>
    <n v="16"/>
    <n v="16"/>
    <n v="16"/>
  </r>
  <r>
    <n v="167"/>
    <m/>
    <m/>
    <m/>
    <m/>
    <s v="R25.1"/>
    <s v="Tremor, unspecified"/>
    <x v="53"/>
    <s v="F"/>
    <m/>
    <m/>
    <n v="60.006"/>
    <n v="60.750999999999998"/>
    <n v="120.81699999999999"/>
    <n v="121.581"/>
    <n v="116.843"/>
    <n v="116.917"/>
    <n v="115.89700000000001"/>
    <n v="115.283"/>
    <n v="60.566000000000003"/>
    <n v="62.435000000000002"/>
    <n v="39.433999999999997"/>
    <n v="37.564999999999998"/>
    <n v="11.531000000000001"/>
    <n v="11.999000000000001"/>
    <n v="37.564999999999998"/>
    <n v="39.433999999999997"/>
    <n v="8.3859999999999992"/>
    <n v="15"/>
    <n v="15"/>
    <n v="15"/>
    <n v="15"/>
  </r>
  <r>
    <n v="168"/>
    <m/>
    <m/>
    <m/>
    <m/>
    <s v="G25.2"/>
    <s v="Other specified forms of tremor"/>
    <x v="54"/>
    <s v="M"/>
    <m/>
    <m/>
    <n v="22.172000000000001"/>
    <n v="25.260999999999999"/>
    <n v="47.448"/>
    <n v="47.258000000000003"/>
    <n v="49.710999999999999"/>
    <n v="48.933999999999997"/>
    <n v="127.126"/>
    <n v="125.21899999999999"/>
    <n v="68.491"/>
    <n v="68.721999999999994"/>
    <n v="31.509"/>
    <n v="31.277999999999999"/>
    <n v="19.783999999999999"/>
    <n v="17.353999999999999"/>
    <n v="31.277999999999999"/>
    <n v="31.509"/>
    <n v="21.414999999999999"/>
    <n v="26"/>
    <n v="26"/>
    <n v="26"/>
    <n v="26"/>
  </r>
  <r>
    <n v="169"/>
    <m/>
    <m/>
    <m/>
    <m/>
    <s v="G20"/>
    <s v="Parkinson's disease"/>
    <x v="4"/>
    <s v="M"/>
    <m/>
    <m/>
    <n v="47.466000000000001"/>
    <n v="50.695999999999998"/>
    <n v="98.055999999999997"/>
    <n v="98.105999999999995"/>
    <n v="100.851"/>
    <n v="101.05800000000001"/>
    <n v="123.398"/>
    <n v="122.999"/>
    <n v="63.978000000000002"/>
    <n v="66.263999999999996"/>
    <n v="36.021999999999998"/>
    <n v="33.735999999999997"/>
    <n v="15.334"/>
    <n v="15.317"/>
    <n v="33.735999999999997"/>
    <n v="36.021999999999998"/>
    <n v="11.757999999999999"/>
    <n v="22"/>
    <n v="18"/>
    <n v="18"/>
    <n v="18"/>
  </r>
  <r>
    <n v="170"/>
    <m/>
    <m/>
    <m/>
    <m/>
    <s v="R25.1"/>
    <s v="Tremor, unspecified"/>
    <x v="55"/>
    <s v="F"/>
    <m/>
    <m/>
    <n v="51.488999999999997"/>
    <n v="51.576000000000001"/>
    <n v="102.955"/>
    <n v="103.636"/>
    <n v="95.415000000000006"/>
    <n v="95.8"/>
    <n v="110.91200000000001"/>
    <n v="111.069"/>
    <n v="62.295999999999999"/>
    <n v="61.683"/>
    <n v="37.704000000000001"/>
    <n v="38.317"/>
    <n v="12.672000000000001"/>
    <n v="11.789"/>
    <n v="38.317"/>
    <n v="37.704000000000001"/>
    <n v="7.9880000000000004"/>
    <n v="19"/>
    <n v="17"/>
    <n v="17"/>
    <n v="17"/>
  </r>
  <r>
    <n v="172"/>
    <m/>
    <m/>
    <m/>
    <m/>
    <s v="G24.1"/>
    <s v="Genetic torsion dystonia"/>
    <x v="56"/>
    <s v="M"/>
    <m/>
    <m/>
    <n v="55.298000000000002"/>
    <n v="52.923000000000002"/>
    <n v="108.489"/>
    <n v="107.253"/>
    <n v="89.578000000000003"/>
    <n v="89.802000000000007"/>
    <n v="99.341999999999999"/>
    <n v="99.912999999999997"/>
    <n v="64.701999999999998"/>
    <n v="62.841999999999999"/>
    <n v="35.298000000000002"/>
    <n v="37.158000000000001"/>
    <n v="13.721"/>
    <n v="14"/>
    <n v="37.158000000000001"/>
    <n v="35.298000000000002"/>
    <n v="16.204999999999998"/>
    <n v="17"/>
    <n v="15"/>
    <n v="15"/>
    <n v="15"/>
  </r>
  <r>
    <n v="173"/>
    <m/>
    <m/>
    <m/>
    <m/>
    <n v="332"/>
    <s v="Paralysis agitans"/>
    <x v="57"/>
    <s v="F"/>
    <m/>
    <m/>
    <n v="41.421999999999997"/>
    <n v="36.116"/>
    <n v="77.676000000000002"/>
    <n v="77.094999999999999"/>
    <n v="77.016000000000005"/>
    <n v="76.587999999999994"/>
    <n v="119.535"/>
    <n v="118.786"/>
    <n v="64.281000000000006"/>
    <n v="64.792000000000002"/>
    <n v="35.719000000000001"/>
    <n v="35.207999999999998"/>
    <n v="14.583"/>
    <n v="14.786"/>
    <n v="35.207999999999998"/>
    <n v="35.719000000000001"/>
    <n v="13.8"/>
    <n v="17"/>
    <n v="19"/>
    <n v="17"/>
    <n v="17"/>
  </r>
  <r>
    <n v="174"/>
    <m/>
    <m/>
    <m/>
    <m/>
    <n v="333.1"/>
    <s v="Essential and other specified forms of tremor"/>
    <x v="58"/>
    <s v="M"/>
    <m/>
    <m/>
    <n v="52.048000000000002"/>
    <n v="42.255000000000003"/>
    <n v="95.134"/>
    <n v="94.248000000000005"/>
    <n v="80.95"/>
    <n v="80.873999999999995"/>
    <n v="101.521"/>
    <n v="102.12"/>
    <n v="64.403000000000006"/>
    <n v="64.912000000000006"/>
    <n v="35.597000000000001"/>
    <n v="35.088000000000001"/>
    <n v="16.253"/>
    <n v="13.226000000000001"/>
    <n v="35.088000000000001"/>
    <n v="35.597000000000001"/>
    <n v="17.376000000000001"/>
    <n v="16"/>
    <n v="18"/>
    <n v="16"/>
    <n v="16"/>
  </r>
  <r>
    <n v="175"/>
    <m/>
    <m/>
    <m/>
    <m/>
    <n v="332"/>
    <s v="Paralysis agitans"/>
    <x v="59"/>
    <s v="M"/>
    <m/>
    <m/>
    <n v="47.517000000000003"/>
    <n v="49.247"/>
    <n v="96.328000000000003"/>
    <n v="99.21"/>
    <n v="74.009"/>
    <n v="75.072999999999993"/>
    <n v="91.015000000000001"/>
    <n v="90.212000000000003"/>
    <n v="63.591000000000001"/>
    <n v="64.367000000000004"/>
    <n v="36.408999999999999"/>
    <n v="35.633000000000003"/>
    <n v="13.561"/>
    <n v="13.968"/>
    <n v="35.633000000000003"/>
    <n v="36.408999999999999"/>
    <n v="14.11"/>
    <n v="15"/>
    <n v="14"/>
    <n v="14"/>
    <n v="14"/>
  </r>
  <r>
    <n v="177"/>
    <m/>
    <m/>
    <m/>
    <m/>
    <n v="332"/>
    <s v="Paralysis agitans"/>
    <x v="5"/>
    <s v="M"/>
    <m/>
    <m/>
    <n v="65.162000000000006"/>
    <n v="67.356999999999999"/>
    <n v="131.02099999999999"/>
    <n v="132.67400000000001"/>
    <n v="117.68899999999999"/>
    <n v="117.38800000000001"/>
    <n v="106.43600000000001"/>
    <n v="106.276"/>
    <n v="60.798999999999999"/>
    <n v="60.994"/>
    <n v="39.201000000000001"/>
    <n v="39.006"/>
    <n v="11.696999999999999"/>
    <n v="10.132"/>
    <n v="39.006"/>
    <n v="39.201000000000001"/>
    <n v="7.7320000000000002"/>
    <n v="12"/>
    <n v="16"/>
    <n v="12"/>
    <n v="12"/>
  </r>
  <r>
    <n v="178"/>
    <m/>
    <m/>
    <m/>
    <m/>
    <n v="332"/>
    <s v="Paralysis agitans"/>
    <x v="60"/>
    <s v="M"/>
    <m/>
    <m/>
    <n v="60.838000000000001"/>
    <n v="63.843000000000004"/>
    <n v="125.36499999999999"/>
    <n v="124.426"/>
    <n v="131.16"/>
    <n v="130.137"/>
    <n v="125.55500000000001"/>
    <n v="125.78700000000001"/>
    <n v="62.716000000000001"/>
    <n v="60.597999999999999"/>
    <n v="37.283999999999999"/>
    <n v="39.402000000000001"/>
    <n v="11.147"/>
    <n v="11.881"/>
    <n v="39.402000000000001"/>
    <n v="37.283999999999999"/>
    <n v="11.845000000000001"/>
    <n v="20"/>
    <n v="23"/>
    <n v="20"/>
    <n v="20"/>
  </r>
  <r>
    <n v="179"/>
    <m/>
    <m/>
    <m/>
    <m/>
    <n v="332"/>
    <s v="Paralysis agitans"/>
    <x v="61"/>
    <s v="M"/>
    <m/>
    <m/>
    <n v="66.733999999999995"/>
    <n v="71.616"/>
    <n v="138.74199999999999"/>
    <n v="139.351"/>
    <n v="133.55799999999999"/>
    <n v="133.774"/>
    <n v="115.95699999999999"/>
    <n v="115.446"/>
    <n v="62.353999999999999"/>
    <n v="56.536999999999999"/>
    <n v="37.646000000000001"/>
    <n v="43.463000000000001"/>
    <n v="9.4429999999999996"/>
    <n v="10.146000000000001"/>
    <n v="43.463000000000001"/>
    <n v="37.646000000000001"/>
    <n v="9.5389999999999997"/>
    <n v="19"/>
    <n v="17"/>
    <n v="17"/>
    <n v="17"/>
  </r>
  <r>
    <n v="180"/>
    <m/>
    <m/>
    <m/>
    <m/>
    <n v="332"/>
    <s v="Paralysis agitans"/>
    <x v="62"/>
    <s v="M"/>
    <m/>
    <m/>
    <n v="43.685000000000002"/>
    <n v="48.167999999999999"/>
    <n v="91.343000000000004"/>
    <n v="92.126000000000005"/>
    <n v="76.599999999999994"/>
    <n v="76.927000000000007"/>
    <n v="100.504"/>
    <n v="100.131"/>
    <n v="62.718000000000004"/>
    <n v="66.305000000000007"/>
    <n v="37.281999999999996"/>
    <n v="33.695"/>
    <n v="14.906000000000001"/>
    <n v="14.045999999999999"/>
    <n v="33.695"/>
    <n v="37.281999999999996"/>
    <n v="7.3070000000000004"/>
    <n v="14"/>
    <n v="15"/>
    <n v="14"/>
    <n v="14"/>
  </r>
  <r>
    <n v="181"/>
    <m/>
    <m/>
    <m/>
    <m/>
    <s v="NA"/>
    <s v="NA"/>
    <x v="35"/>
    <s v="NA"/>
    <m/>
    <m/>
    <n v="63.225999999999999"/>
    <n v="60.386000000000003"/>
    <n v="123.535"/>
    <n v="124.00700000000001"/>
    <n v="130.18100000000001"/>
    <n v="130.6"/>
    <n v="126.456"/>
    <n v="126.304"/>
    <n v="60.500999999999998"/>
    <n v="61.539000000000001"/>
    <n v="39.499000000000002"/>
    <n v="38.460999999999999"/>
    <n v="12.117000000000001"/>
    <n v="10.298"/>
    <n v="38.460999999999999"/>
    <n v="39.499000000000002"/>
    <n v="12.397"/>
    <n v="16"/>
    <n v="16"/>
    <n v="16"/>
    <n v="16"/>
  </r>
  <r>
    <n v="182"/>
    <m/>
    <m/>
    <m/>
    <m/>
    <n v="332"/>
    <s v="Paralysis agitans"/>
    <x v="63"/>
    <s v="M"/>
    <m/>
    <m/>
    <n v="41.552999999999997"/>
    <n v="43.735999999999997"/>
    <n v="84.893000000000001"/>
    <n v="85.656999999999996"/>
    <n v="78.295000000000002"/>
    <n v="78.597999999999999"/>
    <n v="110.5"/>
    <n v="110.181"/>
    <n v="62.322000000000003"/>
    <n v="62.167000000000002"/>
    <n v="37.677999999999997"/>
    <n v="37.832999999999998"/>
    <n v="11.599"/>
    <n v="13.004"/>
    <n v="37.832999999999998"/>
    <n v="37.677999999999997"/>
    <n v="19.902999999999999"/>
    <n v="16"/>
    <n v="15"/>
    <n v="15"/>
    <n v="15"/>
  </r>
  <r>
    <n v="183"/>
    <m/>
    <m/>
    <m/>
    <m/>
    <n v="781"/>
    <s v="Abnormal involuntary movements"/>
    <x v="64"/>
    <s v="F"/>
    <m/>
    <m/>
    <n v="53.417999999999999"/>
    <n v="50.213999999999999"/>
    <n v="103.77200000000001"/>
    <n v="103.944"/>
    <n v="117.425"/>
    <n v="117.532"/>
    <n v="134.60599999999999"/>
    <n v="135.33699999999999"/>
    <n v="60.902999999999999"/>
    <n v="59.87"/>
    <n v="39.097000000000001"/>
    <n v="40.130000000000003"/>
    <n v="10.28"/>
    <n v="10.401999999999999"/>
    <n v="40.130000000000003"/>
    <n v="39.097000000000001"/>
    <n v="9.84"/>
    <n v="12"/>
    <n v="14"/>
    <n v="12"/>
    <n v="12"/>
  </r>
  <r>
    <n v="184"/>
    <m/>
    <m/>
    <m/>
    <m/>
    <n v="333.1"/>
    <s v="Essential and other specified forms of tremor"/>
    <x v="65"/>
    <s v="F"/>
    <m/>
    <m/>
    <s v="NA"/>
    <s v="NA"/>
    <s v="NA"/>
    <s v="NA"/>
    <s v="NA"/>
    <s v="NA"/>
    <s v="NA"/>
    <s v="NA"/>
    <s v="NA"/>
    <s v="NA"/>
    <s v="NA"/>
    <s v="NA"/>
    <s v="NA"/>
    <s v="NA"/>
    <s v="NA"/>
    <s v="NA"/>
    <s v="NA"/>
    <s v="NA"/>
    <s v="NA"/>
    <s v="NA"/>
    <s v="NA"/>
  </r>
  <r>
    <n v="185"/>
    <m/>
    <m/>
    <m/>
    <m/>
    <s v="NA"/>
    <s v="NA"/>
    <x v="35"/>
    <s v="NA"/>
    <m/>
    <m/>
    <n v="74.278999999999996"/>
    <n v="75.623000000000005"/>
    <n v="151.00700000000001"/>
    <n v="149.65600000000001"/>
    <n v="150.30600000000001"/>
    <n v="148.345"/>
    <n v="118.592"/>
    <n v="119.764"/>
    <n v="58.959000000000003"/>
    <n v="59.741999999999997"/>
    <n v="41.040999999999997"/>
    <n v="40.258000000000003"/>
    <n v="9.3019999999999996"/>
    <n v="9.327"/>
    <n v="40.258000000000003"/>
    <n v="41.040999999999997"/>
    <n v="7.4219999999999997"/>
    <n v="13"/>
    <n v="16"/>
    <n v="13"/>
    <n v="13"/>
  </r>
  <r>
    <n v="186"/>
    <m/>
    <m/>
    <m/>
    <m/>
    <n v="333.1"/>
    <s v="Essential and other specified forms of tremor"/>
    <x v="6"/>
    <s v="F"/>
    <m/>
    <m/>
    <n v="36.356000000000002"/>
    <n v="35.584000000000003"/>
    <n v="71.998000000000005"/>
    <n v="71.888000000000005"/>
    <n v="61.936999999999998"/>
    <n v="61.792000000000002"/>
    <n v="103.09699999999999"/>
    <n v="102.871"/>
    <n v="64.424000000000007"/>
    <n v="65.061000000000007"/>
    <n v="35.576000000000001"/>
    <n v="34.939"/>
    <n v="13.288"/>
    <n v="15.827"/>
    <n v="34.939"/>
    <n v="35.576000000000001"/>
    <n v="15.285"/>
    <n v="18"/>
    <n v="17"/>
    <n v="17"/>
    <n v="17"/>
  </r>
  <r>
    <n v="187"/>
    <m/>
    <m/>
    <m/>
    <m/>
    <n v="333.1"/>
    <s v="Essential and other specified forms of tremor"/>
    <x v="66"/>
    <s v="F"/>
    <m/>
    <m/>
    <n v="47.012"/>
    <n v="36.588000000000001"/>
    <n v="84.084000000000003"/>
    <n v="83.509"/>
    <n v="59.697000000000003"/>
    <n v="59.588999999999999"/>
    <n v="85.218000000000004"/>
    <n v="85.376000000000005"/>
    <n v="64.435000000000002"/>
    <n v="63.558999999999997"/>
    <n v="35.564999999999998"/>
    <n v="36.441000000000003"/>
    <n v="13.976000000000001"/>
    <n v="13.824"/>
    <n v="36.441000000000003"/>
    <n v="35.564999999999998"/>
    <n v="10.84"/>
    <n v="9"/>
    <n v="10"/>
    <n v="9"/>
    <n v="9"/>
  </r>
  <r>
    <n v="188"/>
    <m/>
    <m/>
    <m/>
    <m/>
    <n v="333"/>
    <s v="Other degenerative diseases of the basal ganglia"/>
    <x v="67"/>
    <s v="M"/>
    <m/>
    <m/>
    <n v="11.75"/>
    <n v="8.6660000000000004"/>
    <n v="20.59"/>
    <n v="20.707000000000001"/>
    <n v="10.305"/>
    <n v="10.58"/>
    <n v="59.23"/>
    <n v="59.854999999999997"/>
    <n v="85.227000000000004"/>
    <n v="85.344999999999999"/>
    <n v="14.773"/>
    <n v="14.654999999999999"/>
    <n v="35.880000000000003"/>
    <n v="35.792000000000002"/>
    <n v="14.654999999999999"/>
    <n v="14.773"/>
    <n v="26.88"/>
    <n v="12"/>
    <n v="12"/>
    <n v="12"/>
    <n v="12"/>
  </r>
  <r>
    <n v="189"/>
    <m/>
    <m/>
    <m/>
    <m/>
    <n v="333.1"/>
    <s v="Essential and other specified forms of tremor"/>
    <x v="68"/>
    <s v="F"/>
    <m/>
    <m/>
    <n v="53.600999999999999"/>
    <n v="38.234999999999999"/>
    <n v="92.289000000000001"/>
    <n v="91.923000000000002"/>
    <n v="83.900999999999996"/>
    <n v="83.885000000000005"/>
    <n v="109.13200000000001"/>
    <n v="109.41800000000001"/>
    <n v="62.39"/>
    <n v="64.426000000000002"/>
    <n v="37.61"/>
    <n v="35.573999999999998"/>
    <n v="11.946"/>
    <n v="14.775"/>
    <n v="35.573999999999998"/>
    <n v="37.61"/>
    <n v="11.154999999999999"/>
    <n v="18"/>
    <n v="17"/>
    <n v="17"/>
    <n v="17"/>
  </r>
  <r>
    <n v="190"/>
    <m/>
    <m/>
    <m/>
    <m/>
    <n v="332"/>
    <s v="Paralysis agitans"/>
    <x v="69"/>
    <s v="F"/>
    <m/>
    <m/>
    <n v="31.140999999999998"/>
    <n v="43.704999999999998"/>
    <n v="75.227000000000004"/>
    <n v="74.593999999999994"/>
    <n v="81.456000000000003"/>
    <n v="81.224999999999994"/>
    <n v="130.09700000000001"/>
    <n v="129.98400000000001"/>
    <n v="64.873999999999995"/>
    <n v="61.881"/>
    <n v="35.125999999999998"/>
    <n v="38.119"/>
    <n v="10.333"/>
    <n v="16.291"/>
    <n v="38.119"/>
    <n v="35.125999999999998"/>
    <n v="9.61"/>
    <n v="18"/>
    <n v="18"/>
    <n v="18"/>
    <n v="18"/>
  </r>
  <r>
    <n v="191"/>
    <m/>
    <m/>
    <m/>
    <m/>
    <n v="332"/>
    <s v="Paralysis agitans"/>
    <x v="70"/>
    <s v="F"/>
    <m/>
    <m/>
    <n v="39.771999999999998"/>
    <n v="34.646000000000001"/>
    <n v="74.471999999999994"/>
    <n v="74.012"/>
    <n v="73.588999999999999"/>
    <n v="74.301000000000002"/>
    <n v="119.98099999999999"/>
    <n v="120.136"/>
    <n v="64.653999999999996"/>
    <n v="63.948999999999998"/>
    <n v="35.345999999999997"/>
    <n v="36.051000000000002"/>
    <n v="15.067"/>
    <n v="13.352"/>
    <n v="36.051000000000002"/>
    <n v="35.345999999999997"/>
    <n v="9.8629999999999995"/>
    <n v="15"/>
    <n v="13"/>
    <n v="13"/>
    <n v="13"/>
  </r>
  <r>
    <n v="192"/>
    <m/>
    <m/>
    <m/>
    <m/>
    <s v="NA"/>
    <s v="NA"/>
    <x v="35"/>
    <s v="NA"/>
    <m/>
    <m/>
    <s v="NA"/>
    <s v="NA"/>
    <s v="NA"/>
    <s v="NA"/>
    <s v="NA"/>
    <s v="NA"/>
    <s v="NA"/>
    <s v="NA"/>
    <s v="NA"/>
    <s v="NA"/>
    <s v="NA"/>
    <s v="NA"/>
    <s v="NA"/>
    <s v="NA"/>
    <s v="NA"/>
    <s v="NA"/>
    <s v="NA"/>
    <s v="NA"/>
    <s v="NA"/>
    <s v="NA"/>
    <s v="NA"/>
  </r>
  <r>
    <n v="193"/>
    <m/>
    <m/>
    <m/>
    <m/>
    <s v="NA"/>
    <s v="NA"/>
    <x v="35"/>
    <s v="NA"/>
    <m/>
    <m/>
    <s v="NA"/>
    <s v="NA"/>
    <s v="NA"/>
    <s v="NA"/>
    <s v="NA"/>
    <s v="NA"/>
    <s v="NA"/>
    <s v="NA"/>
    <s v="NA"/>
    <s v="NA"/>
    <s v="NA"/>
    <s v="NA"/>
    <s v="NA"/>
    <s v="NA"/>
    <s v="NA"/>
    <s v="NA"/>
    <s v="NA"/>
    <s v="NA"/>
    <s v="NA"/>
    <s v="NA"/>
    <s v="NA"/>
  </r>
  <r>
    <n v="194"/>
    <m/>
    <m/>
    <m/>
    <m/>
    <n v="333.1"/>
    <s v="Essential and other specified forms of tremor"/>
    <x v="71"/>
    <s v="F"/>
    <m/>
    <m/>
    <n v="60.749000000000002"/>
    <n v="62.683999999999997"/>
    <n v="123.679"/>
    <n v="123.745"/>
    <n v="126.15600000000001"/>
    <n v="124.907"/>
    <n v="122.38"/>
    <n v="121.79600000000001"/>
    <n v="61.271999999999998"/>
    <n v="60.268000000000001"/>
    <n v="38.728000000000002"/>
    <n v="39.731999999999999"/>
    <n v="10.680999999999999"/>
    <n v="10.651999999999999"/>
    <n v="39.731999999999999"/>
    <n v="38.728000000000002"/>
    <n v="6.6630000000000003"/>
    <n v="18"/>
    <n v="18"/>
    <n v="18"/>
    <n v="18"/>
  </r>
  <r>
    <n v="195"/>
    <m/>
    <m/>
    <m/>
    <m/>
    <n v="333.1"/>
    <s v="Essential and other specified forms of tremor"/>
    <x v="72"/>
    <s v="F"/>
    <m/>
    <m/>
    <n v="58.247999999999998"/>
    <n v="54.795999999999999"/>
    <n v="113.009"/>
    <n v="113.398"/>
    <n v="115.998"/>
    <n v="116.108"/>
    <n v="123.20399999999999"/>
    <n v="122.887"/>
    <n v="60.667000000000002"/>
    <n v="61.908999999999999"/>
    <n v="39.332999999999998"/>
    <n v="38.091000000000001"/>
    <n v="10.497999999999999"/>
    <n v="11.943"/>
    <n v="38.091000000000001"/>
    <n v="39.332999999999998"/>
    <n v="13.343"/>
    <n v="11"/>
    <n v="9"/>
    <n v="9"/>
    <n v="9"/>
  </r>
  <r>
    <n v="196"/>
    <m/>
    <m/>
    <m/>
    <m/>
    <n v="333.1"/>
    <s v="Essential and other specified forms of tremor"/>
    <x v="73"/>
    <s v="M"/>
    <m/>
    <m/>
    <s v="NA"/>
    <s v="NA"/>
    <s v="NA"/>
    <s v="NA"/>
    <s v="NA"/>
    <s v="NA"/>
    <s v="NA"/>
    <s v="NA"/>
    <s v="NA"/>
    <s v="NA"/>
    <s v="NA"/>
    <s v="NA"/>
    <s v="NA"/>
    <s v="NA"/>
    <s v="NA"/>
    <s v="NA"/>
    <s v="NA"/>
    <s v="NA"/>
    <s v="NA"/>
    <s v="NA"/>
    <s v="NA"/>
  </r>
  <r>
    <n v="197"/>
    <m/>
    <m/>
    <m/>
    <m/>
    <n v="332"/>
    <s v="Paralysis agitans"/>
    <x v="74"/>
    <s v="M"/>
    <m/>
    <m/>
    <s v="NA"/>
    <s v="NA"/>
    <s v="NA"/>
    <s v="NA"/>
    <s v="NA"/>
    <s v="NA"/>
    <s v="NA"/>
    <s v="NA"/>
    <s v="NA"/>
    <s v="NA"/>
    <s v="NA"/>
    <s v="NA"/>
    <s v="NA"/>
    <s v="NA"/>
    <s v="NA"/>
    <s v="NA"/>
    <s v="NA"/>
    <s v="NA"/>
    <s v="NA"/>
    <s v="NA"/>
    <s v="NA"/>
  </r>
  <r>
    <n v="198"/>
    <m/>
    <m/>
    <m/>
    <m/>
    <n v="332"/>
    <s v="Paralysis agitans"/>
    <x v="21"/>
    <s v="M"/>
    <m/>
    <m/>
    <n v="54.628999999999998"/>
    <n v="55.463999999999999"/>
    <n v="109.98"/>
    <n v="110.614"/>
    <n v="93.813999999999993"/>
    <n v="93.724000000000004"/>
    <n v="101.958"/>
    <n v="101.065"/>
    <n v="65.17"/>
    <n v="64.704999999999998"/>
    <n v="34.83"/>
    <n v="35.295000000000002"/>
    <n v="14.711"/>
    <n v="15.412000000000001"/>
    <n v="35.295000000000002"/>
    <n v="34.83"/>
    <n v="9.7240000000000002"/>
    <n v="11"/>
    <n v="14"/>
    <n v="10"/>
    <n v="10"/>
  </r>
  <r>
    <n v="199"/>
    <m/>
    <m/>
    <m/>
    <m/>
    <n v="332"/>
    <s v="Paralysis agitans"/>
    <x v="75"/>
    <s v="M"/>
    <m/>
    <m/>
    <s v="NA"/>
    <s v="NA"/>
    <s v="NA"/>
    <s v="NA"/>
    <s v="NA"/>
    <s v="NA"/>
    <s v="NA"/>
    <s v="NA"/>
    <s v="NA"/>
    <s v="NA"/>
    <s v="NA"/>
    <s v="NA"/>
    <s v="NA"/>
    <s v="NA"/>
    <s v="NA"/>
    <s v="NA"/>
    <s v="NA"/>
    <s v="NA"/>
    <s v="NA"/>
    <s v="NA"/>
    <s v="NA"/>
  </r>
  <r>
    <n v="200"/>
    <m/>
    <m/>
    <m/>
    <m/>
    <n v="332"/>
    <s v="Paralysis agitans"/>
    <x v="76"/>
    <s v="F"/>
    <m/>
    <m/>
    <s v="NA"/>
    <s v="NA"/>
    <s v="NA"/>
    <s v="NA"/>
    <s v="NA"/>
    <s v="NA"/>
    <s v="NA"/>
    <s v="NA"/>
    <s v="NA"/>
    <s v="NA"/>
    <s v="NA"/>
    <s v="NA"/>
    <s v="NA"/>
    <s v="NA"/>
    <s v="NA"/>
    <s v="NA"/>
    <s v="NA"/>
    <s v="NA"/>
    <s v="NA"/>
    <s v="NA"/>
    <s v="NA"/>
  </r>
  <r>
    <n v="201"/>
    <m/>
    <m/>
    <m/>
    <m/>
    <n v="333"/>
    <s v="Other degenerative diseases of the basal ganglia"/>
    <x v="77"/>
    <s v="F"/>
    <m/>
    <m/>
    <s v="NA"/>
    <s v="NA"/>
    <s v="NA"/>
    <s v="NA"/>
    <s v="NA"/>
    <s v="NA"/>
    <s v="NA"/>
    <s v="NA"/>
    <s v="NA"/>
    <s v="NA"/>
    <s v="NA"/>
    <s v="NA"/>
    <s v="NA"/>
    <s v="NA"/>
    <s v="NA"/>
    <s v="NA"/>
    <s v="NA"/>
    <s v="NA"/>
    <s v="NA"/>
    <s v="NA"/>
    <s v="NA"/>
  </r>
  <r>
    <n v="202"/>
    <m/>
    <m/>
    <m/>
    <m/>
    <n v="332"/>
    <s v="Paralysis agitans"/>
    <x v="78"/>
    <s v="F"/>
    <m/>
    <m/>
    <s v="NA"/>
    <s v="NA"/>
    <s v="NA"/>
    <s v="NA"/>
    <s v="NA"/>
    <s v="NA"/>
    <s v="NA"/>
    <s v="NA"/>
    <s v="NA"/>
    <s v="NA"/>
    <s v="NA"/>
    <s v="NA"/>
    <s v="NA"/>
    <s v="NA"/>
    <s v="NA"/>
    <s v="NA"/>
    <s v="NA"/>
    <s v="NA"/>
    <s v="NA"/>
    <s v="NA"/>
    <s v="NA"/>
  </r>
  <r>
    <n v="203"/>
    <m/>
    <m/>
    <m/>
    <m/>
    <n v="333.1"/>
    <s v="Essential and other specified forms of tremor"/>
    <x v="79"/>
    <s v="F"/>
    <m/>
    <m/>
    <s v="NA"/>
    <s v="NA"/>
    <s v="NA"/>
    <s v="NA"/>
    <s v="NA"/>
    <s v="NA"/>
    <s v="NA"/>
    <s v="NA"/>
    <s v="NA"/>
    <s v="NA"/>
    <s v="NA"/>
    <s v="NA"/>
    <s v="NA"/>
    <s v="NA"/>
    <s v="NA"/>
    <s v="NA"/>
    <s v="NA"/>
    <s v="NA"/>
    <s v="NA"/>
    <s v="NA"/>
    <s v="NA"/>
  </r>
  <r>
    <n v="206"/>
    <m/>
    <m/>
    <m/>
    <m/>
    <n v="332"/>
    <s v="Paralysis agitans"/>
    <x v="80"/>
    <s v="M"/>
    <m/>
    <m/>
    <s v="NA"/>
    <s v="NA"/>
    <s v="NA"/>
    <s v="NA"/>
    <s v="NA"/>
    <s v="NA"/>
    <s v="NA"/>
    <s v="NA"/>
    <s v="NA"/>
    <s v="NA"/>
    <s v="NA"/>
    <s v="NA"/>
    <s v="NA"/>
    <s v="NA"/>
    <s v="NA"/>
    <s v="NA"/>
    <s v="NA"/>
    <s v="NA"/>
    <s v="NA"/>
    <s v="NA"/>
    <s v="NA"/>
  </r>
  <r>
    <n v="208"/>
    <m/>
    <m/>
    <m/>
    <m/>
    <n v="332"/>
    <s v="Paralysis agitans"/>
    <x v="81"/>
    <s v="M"/>
    <m/>
    <m/>
    <s v="NA"/>
    <s v="NA"/>
    <s v="NA"/>
    <s v="NA"/>
    <s v="NA"/>
    <s v="NA"/>
    <s v="NA"/>
    <s v="NA"/>
    <s v="NA"/>
    <s v="NA"/>
    <s v="NA"/>
    <s v="NA"/>
    <s v="NA"/>
    <s v="NA"/>
    <s v="NA"/>
    <s v="NA"/>
    <s v="NA"/>
    <s v="NA"/>
    <s v="NA"/>
    <s v="NA"/>
    <s v="NA"/>
  </r>
  <r>
    <n v="209"/>
    <m/>
    <m/>
    <m/>
    <m/>
    <s v="NA"/>
    <s v="NA"/>
    <x v="35"/>
    <s v="NA"/>
    <m/>
    <m/>
    <s v="NA"/>
    <s v="NA"/>
    <s v="NA"/>
    <s v="NA"/>
    <s v="NA"/>
    <s v="NA"/>
    <s v="NA"/>
    <s v="NA"/>
    <s v="NA"/>
    <s v="NA"/>
    <s v="NA"/>
    <s v="NA"/>
    <s v="NA"/>
    <s v="NA"/>
    <s v="NA"/>
    <s v="NA"/>
    <s v="NA"/>
    <s v="NA"/>
    <s v="NA"/>
    <s v="NA"/>
    <s v="NA"/>
  </r>
  <r>
    <n v="210"/>
    <m/>
    <m/>
    <m/>
    <m/>
    <n v="333.1"/>
    <s v="Essential and other specified forms of tremor"/>
    <x v="82"/>
    <s v="M"/>
    <m/>
    <m/>
    <s v="NA"/>
    <s v="NA"/>
    <s v="NA"/>
    <s v="NA"/>
    <s v="NA"/>
    <s v="NA"/>
    <s v="NA"/>
    <s v="NA"/>
    <s v="NA"/>
    <s v="NA"/>
    <s v="NA"/>
    <s v="NA"/>
    <s v="NA"/>
    <s v="NA"/>
    <s v="NA"/>
    <s v="NA"/>
    <s v="NA"/>
    <s v="NA"/>
    <s v="NA"/>
    <s v="NA"/>
    <s v="NA"/>
  </r>
  <r>
    <n v="211"/>
    <m/>
    <m/>
    <m/>
    <m/>
    <n v="333.1"/>
    <s v="Essential and other specified forms of tremor"/>
    <x v="37"/>
    <s v="F"/>
    <m/>
    <m/>
    <s v="NA"/>
    <s v="NA"/>
    <s v="NA"/>
    <s v="NA"/>
    <s v="NA"/>
    <s v="NA"/>
    <s v="NA"/>
    <s v="NA"/>
    <s v="NA"/>
    <s v="NA"/>
    <s v="NA"/>
    <s v="NA"/>
    <s v="NA"/>
    <s v="NA"/>
    <s v="NA"/>
    <s v="NA"/>
    <s v="NA"/>
    <s v="NA"/>
    <s v="NA"/>
    <s v="NA"/>
    <s v="NA"/>
  </r>
  <r>
    <n v="212"/>
    <m/>
    <m/>
    <m/>
    <m/>
    <n v="333.1"/>
    <s v="Essential and other specified forms of tremor"/>
    <x v="83"/>
    <s v="F"/>
    <m/>
    <m/>
    <n v="18.193000000000001"/>
    <n v="14.781000000000001"/>
    <n v="33.476999999999997"/>
    <n v="32.194000000000003"/>
    <n v="21.241"/>
    <n v="21.097999999999999"/>
    <n v="78.066999999999993"/>
    <n v="81.006"/>
    <n v="71.626999999999995"/>
    <n v="73.010999999999996"/>
    <n v="28.373000000000001"/>
    <n v="26.989000000000001"/>
    <n v="22.266999999999999"/>
    <n v="22.172999999999998"/>
    <n v="26.989000000000001"/>
    <n v="28.373000000000001"/>
    <n v="19.23"/>
    <n v="7"/>
    <n v="7"/>
    <n v="7"/>
    <n v="7"/>
  </r>
  <r>
    <n v="213"/>
    <m/>
    <m/>
    <m/>
    <m/>
    <n v="333.1"/>
    <s v="Essential and other specified forms of tremor"/>
    <x v="84"/>
    <s v="F"/>
    <m/>
    <m/>
    <n v="55.232999999999997"/>
    <n v="54.441000000000003"/>
    <n v="108.67400000000001"/>
    <n v="110.944"/>
    <n v="82.221999999999994"/>
    <n v="80.802999999999997"/>
    <n v="91.007999999999996"/>
    <n v="88.519000000000005"/>
    <n v="64.861999999999995"/>
    <n v="64.102999999999994"/>
    <n v="35.137999999999998"/>
    <n v="35.896999999999998"/>
    <n v="14.342000000000001"/>
    <n v="16.212"/>
    <n v="35.896999999999998"/>
    <n v="35.137999999999998"/>
    <n v="11.798"/>
    <n v="7"/>
    <n v="10"/>
    <n v="7"/>
    <n v="7"/>
  </r>
  <r>
    <n v="214"/>
    <m/>
    <m/>
    <m/>
    <m/>
    <n v="781.2"/>
    <s v="Abnormality of gait"/>
    <x v="16"/>
    <s v="M"/>
    <m/>
    <m/>
    <n v="39.167999999999999"/>
    <n v="35.308"/>
    <n v="75.239000000000004"/>
    <n v="74.475999999999999"/>
    <n v="54.198"/>
    <n v="52.546999999999997"/>
    <n v="87.936000000000007"/>
    <n v="86.134"/>
    <n v="70.067999999999998"/>
    <n v="68.180999999999997"/>
    <n v="29.931999999999999"/>
    <n v="31.818999999999999"/>
    <n v="24.582000000000001"/>
    <n v="14.755000000000001"/>
    <n v="31.818999999999999"/>
    <n v="29.931999999999999"/>
    <n v="14.433"/>
    <n v="8"/>
    <n v="11"/>
    <n v="8"/>
    <n v="8"/>
  </r>
  <r>
    <n v="215"/>
    <m/>
    <m/>
    <m/>
    <m/>
    <n v="333.1"/>
    <s v="Essential and other specified forms of tremor"/>
    <x v="85"/>
    <s v="M"/>
    <m/>
    <m/>
    <n v="55.566000000000003"/>
    <n v="63.142000000000003"/>
    <n v="118.77"/>
    <n v="118.699"/>
    <n v="105.666"/>
    <n v="105.69499999999999"/>
    <n v="106.423"/>
    <n v="106.542"/>
    <n v="61.819000000000003"/>
    <n v="62.423000000000002"/>
    <n v="38.180999999999997"/>
    <n v="37.576999999999998"/>
    <n v="10.176"/>
    <n v="14.129"/>
    <n v="37.576999999999998"/>
    <n v="38.180999999999997"/>
    <n v="12.75"/>
    <n v="9"/>
    <n v="10"/>
    <n v="9"/>
    <n v="9"/>
  </r>
  <r>
    <n v="216"/>
    <m/>
    <m/>
    <m/>
    <m/>
    <n v="333.89"/>
    <s v="Other fragments of torsion dystonia"/>
    <x v="86"/>
    <s v="F"/>
    <m/>
    <m/>
    <n v="26.058"/>
    <n v="21.103999999999999"/>
    <n v="46.795000000000002"/>
    <n v="49.155000000000001"/>
    <n v="25.701000000000001"/>
    <n v="26.86"/>
    <n v="66.626999999999995"/>
    <n v="66.872"/>
    <n v="69.992000000000004"/>
    <n v="65.361000000000004"/>
    <n v="30.007999999999999"/>
    <n v="34.639000000000003"/>
    <n v="20.277999999999999"/>
    <n v="16.234999999999999"/>
    <n v="34.639000000000003"/>
    <n v="30.007999999999999"/>
    <n v="20.85"/>
    <n v="5"/>
    <n v="5"/>
    <n v="5"/>
    <n v="5"/>
  </r>
  <r>
    <n v="218"/>
    <m/>
    <m/>
    <m/>
    <m/>
    <n v="333.1"/>
    <s v="Essential and other specified forms of tremor"/>
    <x v="51"/>
    <s v="M"/>
    <m/>
    <m/>
    <s v="NA"/>
    <s v="NA"/>
    <s v="NA"/>
    <s v="NA"/>
    <s v="NA"/>
    <s v="NA"/>
    <s v="NA"/>
    <s v="NA"/>
    <s v="NA"/>
    <s v="NA"/>
    <s v="NA"/>
    <s v="NA"/>
    <s v="NA"/>
    <s v="NA"/>
    <s v="NA"/>
    <s v="NA"/>
    <s v="NA"/>
    <s v="NA"/>
    <s v="NA"/>
    <s v="NA"/>
    <s v="NA"/>
  </r>
  <r>
    <n v="219"/>
    <m/>
    <m/>
    <m/>
    <m/>
    <n v="333.1"/>
    <s v="Essential and other specified forms of tremor"/>
    <x v="87"/>
    <s v="F"/>
    <m/>
    <m/>
    <n v="25.469000000000001"/>
    <n v="23.902999999999999"/>
    <n v="49.98"/>
    <n v="49.896000000000001"/>
    <n v="36.566000000000003"/>
    <n v="37.046999999999997"/>
    <n v="87.489000000000004"/>
    <n v="88.245000000000005"/>
    <n v="69.14"/>
    <n v="68.915999999999997"/>
    <n v="30.86"/>
    <n v="31.084"/>
    <n v="18.443999999999999"/>
    <n v="19.488"/>
    <n v="31.084"/>
    <n v="30.86"/>
    <n v="16.375"/>
    <n v="16"/>
    <n v="15"/>
    <n v="15"/>
    <n v="15"/>
  </r>
  <r>
    <n v="220"/>
    <m/>
    <m/>
    <m/>
    <m/>
    <n v="333.1"/>
    <s v="Essential and other specified forms of tremor"/>
    <x v="88"/>
    <s v="M"/>
    <m/>
    <m/>
    <s v="NA"/>
    <s v="NA"/>
    <s v="NA"/>
    <s v="NA"/>
    <s v="NA"/>
    <s v="NA"/>
    <s v="NA"/>
    <s v="NA"/>
    <s v="NA"/>
    <s v="NA"/>
    <s v="NA"/>
    <s v="NA"/>
    <s v="NA"/>
    <s v="NA"/>
    <s v="NA"/>
    <s v="NA"/>
    <s v="NA"/>
    <s v="NA"/>
    <s v="NA"/>
    <s v="NA"/>
    <s v="NA"/>
  </r>
  <r>
    <n v="221"/>
    <m/>
    <m/>
    <m/>
    <m/>
    <n v="333.1"/>
    <s v="Essential and other specified forms of tremor"/>
    <x v="89"/>
    <s v="M"/>
    <m/>
    <m/>
    <n v="55.023000000000003"/>
    <n v="51.679000000000002"/>
    <n v="107.67400000000001"/>
    <n v="107.01600000000001"/>
    <n v="109.34399999999999"/>
    <n v="109.872"/>
    <n v="122.245"/>
    <n v="123.502"/>
    <n v="62.021000000000001"/>
    <n v="62.386000000000003"/>
    <n v="37.978999999999999"/>
    <n v="37.613999999999997"/>
    <n v="11.836"/>
    <n v="12.253"/>
    <n v="37.613999999999997"/>
    <n v="37.978999999999999"/>
    <n v="7.93"/>
    <n v="13"/>
    <n v="12"/>
    <n v="12"/>
    <n v="12"/>
  </r>
  <r>
    <n v="222"/>
    <m/>
    <m/>
    <m/>
    <m/>
    <n v="781.3"/>
    <s v="Lack of coordination"/>
    <x v="90"/>
    <s v="M"/>
    <m/>
    <m/>
    <n v="48.18"/>
    <n v="44.24"/>
    <n v="93.74"/>
    <n v="92.18"/>
    <n v="64.778999999999996"/>
    <n v="65.028000000000006"/>
    <n v="83.278999999999996"/>
    <n v="84.406000000000006"/>
    <n v="66.84"/>
    <n v="65.031999999999996"/>
    <n v="33.159999999999997"/>
    <n v="34.968000000000004"/>
    <n v="15.302"/>
    <n v="16.454000000000001"/>
    <n v="34.968000000000004"/>
    <n v="33.159999999999997"/>
    <n v="18.073"/>
    <n v="12"/>
    <n v="14"/>
    <n v="12"/>
    <n v="12"/>
  </r>
  <r>
    <n v="223"/>
    <m/>
    <m/>
    <m/>
    <m/>
    <n v="333"/>
    <s v="Other degenerative diseases of the basal ganglia"/>
    <x v="9"/>
    <s v="M"/>
    <m/>
    <m/>
    <n v="39.817"/>
    <n v="36.844999999999999"/>
    <n v="76.611000000000004"/>
    <n v="76.813000000000002"/>
    <n v="73.024000000000001"/>
    <n v="73.137"/>
    <n v="114.279"/>
    <n v="113.95699999999999"/>
    <n v="64.477999999999994"/>
    <n v="65.066000000000003"/>
    <n v="35.521000000000001"/>
    <n v="34.933999999999997"/>
    <n v="14.999000000000001"/>
    <n v="14.664999999999999"/>
    <n v="34.933999999999997"/>
    <n v="35.521000000000001"/>
    <n v="13.8"/>
    <n v="10"/>
    <n v="11"/>
    <n v="10"/>
    <n v="10"/>
  </r>
  <r>
    <n v="224"/>
    <m/>
    <m/>
    <m/>
    <m/>
    <n v="781.2"/>
    <s v="Abnormality of gait"/>
    <x v="17"/>
    <s v="M"/>
    <m/>
    <m/>
    <s v="NA"/>
    <s v="NA"/>
    <s v="NA"/>
    <s v="NA"/>
    <s v="NA"/>
    <s v="NA"/>
    <s v="NA"/>
    <s v="NA"/>
    <s v="NA"/>
    <s v="NA"/>
    <s v="NA"/>
    <s v="NA"/>
    <s v="NA"/>
    <s v="NA"/>
    <s v="NA"/>
    <s v="NA"/>
    <s v="NA"/>
    <s v="NA"/>
    <s v="NA"/>
    <s v="NA"/>
    <s v="NA"/>
  </r>
  <r>
    <n v="225"/>
    <m/>
    <m/>
    <m/>
    <m/>
    <n v="333.1"/>
    <s v="Essential and other specified forms of tremor"/>
    <x v="91"/>
    <s v="F"/>
    <m/>
    <m/>
    <s v="NA"/>
    <s v="NA"/>
    <s v="NA"/>
    <s v="NA"/>
    <s v="NA"/>
    <s v="NA"/>
    <s v="NA"/>
    <s v="NA"/>
    <s v="NA"/>
    <s v="NA"/>
    <s v="NA"/>
    <s v="NA"/>
    <s v="NA"/>
    <s v="NA"/>
    <s v="NA"/>
    <s v="NA"/>
    <s v="NA"/>
    <s v="NA"/>
    <s v="NA"/>
    <s v="NA"/>
    <s v="NA"/>
  </r>
  <r>
    <n v="226"/>
    <m/>
    <m/>
    <m/>
    <m/>
    <n v="332"/>
    <s v="Paralysis agitans"/>
    <x v="5"/>
    <s v="M"/>
    <m/>
    <m/>
    <n v="66.914000000000001"/>
    <n v="66.728999999999999"/>
    <n v="134.51400000000001"/>
    <n v="132.00899999999999"/>
    <n v="135.81200000000001"/>
    <n v="132.90600000000001"/>
    <n v="120.80800000000001"/>
    <n v="117.99"/>
    <n v="60.058999999999997"/>
    <n v="59.283000000000001"/>
    <n v="39.941000000000003"/>
    <n v="40.716999999999999"/>
    <n v="9.4890000000000008"/>
    <n v="9.5879999999999992"/>
    <n v="40.716999999999999"/>
    <n v="39.941000000000003"/>
    <n v="12.723000000000001"/>
    <n v="6"/>
    <n v="4"/>
    <n v="4"/>
    <n v="4"/>
  </r>
  <r>
    <n v="228"/>
    <m/>
    <m/>
    <m/>
    <m/>
    <n v="334.3"/>
    <s v="Other cerebellar ataxia"/>
    <x v="92"/>
    <s v="M"/>
    <m/>
    <m/>
    <s v="NA"/>
    <s v="NA"/>
    <s v="NA"/>
    <s v="NA"/>
    <s v="NA"/>
    <s v="NA"/>
    <s v="NA"/>
    <s v="NA"/>
    <s v="NA"/>
    <s v="NA"/>
    <s v="NA"/>
    <s v="NA"/>
    <s v="NA"/>
    <s v="NA"/>
    <s v="NA"/>
    <s v="NA"/>
    <s v="NA"/>
    <s v="NA"/>
    <s v="NA"/>
    <s v="NA"/>
    <s v="NA"/>
  </r>
  <r>
    <n v="231"/>
    <m/>
    <m/>
    <m/>
    <m/>
    <s v="NA"/>
    <s v="NA"/>
    <x v="93"/>
    <s v="M"/>
    <m/>
    <m/>
    <n v="65.066999999999993"/>
    <n v="67.024000000000001"/>
    <n v="131.85599999999999"/>
    <n v="132.012"/>
    <n v="110.312"/>
    <n v="109.646"/>
    <n v="100.328"/>
    <n v="99.82"/>
    <n v="62.036999999999999"/>
    <n v="62.960999999999999"/>
    <n v="37.963000000000001"/>
    <n v="37.039000000000001"/>
    <n v="12.49"/>
    <n v="12.94"/>
    <n v="37.039000000000001"/>
    <n v="37.963000000000001"/>
    <n v="12.113"/>
    <n v="14"/>
    <n v="16"/>
    <n v="14"/>
    <n v="14"/>
  </r>
  <r>
    <n v="232"/>
    <m/>
    <m/>
    <m/>
    <m/>
    <n v="333.1"/>
    <s v="Essential and other specified forms of tremor"/>
    <x v="94"/>
    <s v="M"/>
    <m/>
    <m/>
    <n v="57.417999999999999"/>
    <n v="53.640999999999998"/>
    <n v="110.148"/>
    <n v="111.991"/>
    <n v="83.858000000000004"/>
    <n v="84.299000000000007"/>
    <n v="91.52"/>
    <n v="91.028999999999996"/>
    <n v="62.762"/>
    <n v="63.948999999999998"/>
    <n v="37.238"/>
    <n v="36.051000000000002"/>
    <n v="13.802"/>
    <n v="12.73"/>
    <n v="36.051000000000002"/>
    <n v="37.238"/>
    <n v="12.458"/>
    <n v="14"/>
    <n v="15"/>
    <n v="14"/>
    <n v="14"/>
  </r>
  <r>
    <n v="233"/>
    <m/>
    <m/>
    <m/>
    <m/>
    <n v="333.1"/>
    <s v="Essential and other specified forms of tremor"/>
    <x v="95"/>
    <s v="M"/>
    <m/>
    <m/>
    <s v="NA"/>
    <s v="NA"/>
    <s v="NA"/>
    <s v="NA"/>
    <s v="NA"/>
    <s v="NA"/>
    <s v="NA"/>
    <s v="NA"/>
    <s v="NA"/>
    <s v="NA"/>
    <s v="NA"/>
    <s v="NA"/>
    <s v="NA"/>
    <s v="NA"/>
    <s v="NA"/>
    <s v="NA"/>
    <s v="NA"/>
    <s v="NA"/>
    <s v="NA"/>
    <s v="NA"/>
    <s v="NA"/>
  </r>
  <r>
    <n v="234"/>
    <m/>
    <m/>
    <m/>
    <m/>
    <n v="332"/>
    <s v="Paralysis agitans"/>
    <x v="96"/>
    <s v="M"/>
    <m/>
    <m/>
    <s v="NA"/>
    <s v="NA"/>
    <s v="NA"/>
    <s v="NA"/>
    <s v="NA"/>
    <s v="NA"/>
    <s v="NA"/>
    <s v="NA"/>
    <s v="NA"/>
    <s v="NA"/>
    <s v="NA"/>
    <s v="NA"/>
    <s v="NA"/>
    <s v="NA"/>
    <s v="NA"/>
    <s v="NA"/>
    <s v="NA"/>
    <s v="NA"/>
    <s v="NA"/>
    <s v="NA"/>
    <s v="NA"/>
  </r>
  <r>
    <n v="235"/>
    <m/>
    <m/>
    <m/>
    <m/>
    <n v="332"/>
    <s v="Paralysis agitans"/>
    <x v="49"/>
    <s v="F"/>
    <m/>
    <m/>
    <n v="62.527999999999999"/>
    <n v="64.539000000000001"/>
    <n v="127.23399999999999"/>
    <n v="127.851"/>
    <n v="103.014"/>
    <n v="104.511"/>
    <n v="97.498000000000005"/>
    <n v="97.983999999999995"/>
    <n v="60.759"/>
    <n v="59.607999999999997"/>
    <n v="39.241"/>
    <n v="40.392000000000003"/>
    <n v="9.4570000000000007"/>
    <n v="11.055999999999999"/>
    <n v="40.392000000000003"/>
    <n v="39.241"/>
    <n v="16.992999999999999"/>
    <n v="10"/>
    <n v="8"/>
    <n v="8"/>
    <n v="8"/>
  </r>
  <r>
    <n v="236"/>
    <m/>
    <m/>
    <m/>
    <m/>
    <n v="781.2"/>
    <s v="Abnormality of gait"/>
    <x v="97"/>
    <s v="F"/>
    <m/>
    <m/>
    <n v="12.452"/>
    <n v="16.946000000000002"/>
    <n v="32.445"/>
    <n v="29.536999999999999"/>
    <n v="19.253"/>
    <n v="17.937000000000001"/>
    <n v="71.180000000000007"/>
    <n v="70.177999999999997"/>
    <n v="66.165000000000006"/>
    <n v="72.209999999999994"/>
    <n v="33.835000000000001"/>
    <n v="27.79"/>
    <n v="18.193999999999999"/>
    <n v="21.026"/>
    <n v="27.79"/>
    <n v="33.835000000000001"/>
    <n v="10.585000000000001"/>
    <n v="6"/>
    <n v="7"/>
    <n v="6"/>
    <n v="6"/>
  </r>
  <r>
    <n v="237"/>
    <m/>
    <m/>
    <m/>
    <m/>
    <s v="NA"/>
    <s v="NA"/>
    <x v="35"/>
    <s v="NA"/>
    <m/>
    <m/>
    <s v="NA"/>
    <s v="NA"/>
    <s v="NA"/>
    <s v="NA"/>
    <s v="NA"/>
    <s v="NA"/>
    <s v="NA"/>
    <s v="NA"/>
    <s v="NA"/>
    <s v="NA"/>
    <s v="NA"/>
    <s v="NA"/>
    <s v="NA"/>
    <s v="NA"/>
    <s v="NA"/>
    <s v="NA"/>
    <s v="NA"/>
    <s v="NA"/>
    <s v="NA"/>
    <s v="NA"/>
    <s v="NA"/>
  </r>
  <r>
    <n v="239"/>
    <m/>
    <m/>
    <m/>
    <m/>
    <n v="332"/>
    <s v="Paralysis agitans"/>
    <x v="80"/>
    <s v="M"/>
    <m/>
    <m/>
    <n v="20.663"/>
    <n v="21.312000000000001"/>
    <n v="41.734999999999999"/>
    <n v="42.206000000000003"/>
    <n v="17.673999999999999"/>
    <n v="17.702000000000002"/>
    <n v="50.448999999999998"/>
    <n v="50.622"/>
    <n v="80.62"/>
    <n v="74.697000000000003"/>
    <n v="19.38"/>
    <n v="25.303000000000001"/>
    <n v="34.234999999999999"/>
    <n v="22.026"/>
    <n v="25.303000000000001"/>
    <n v="19.38"/>
    <n v="20.82"/>
    <n v="17"/>
    <n v="18"/>
    <n v="17"/>
    <n v="17"/>
  </r>
  <r>
    <n v="240"/>
    <m/>
    <m/>
    <m/>
    <m/>
    <n v="332"/>
    <s v="Paralysis agitans"/>
    <x v="98"/>
    <s v="M"/>
    <m/>
    <m/>
    <s v="NA"/>
    <s v="NA"/>
    <s v="NA"/>
    <s v="NA"/>
    <s v="NA"/>
    <s v="NA"/>
    <s v="NA"/>
    <s v="NA"/>
    <s v="NA"/>
    <s v="NA"/>
    <s v="NA"/>
    <s v="NA"/>
    <s v="NA"/>
    <s v="NA"/>
    <s v="NA"/>
    <s v="NA"/>
    <s v="NA"/>
    <s v="NA"/>
    <s v="NA"/>
    <s v="NA"/>
    <s v="NA"/>
  </r>
  <r>
    <n v="241"/>
    <m/>
    <m/>
    <m/>
    <m/>
    <n v="333.1"/>
    <s v="Essential and other specified forms of tremor"/>
    <x v="34"/>
    <s v="M"/>
    <m/>
    <m/>
    <n v="41.439"/>
    <n v="40.225000000000001"/>
    <n v="79.331000000000003"/>
    <n v="80.563999999999993"/>
    <n v="62.451999999999998"/>
    <n v="62.680999999999997"/>
    <n v="94.384"/>
    <n v="94.194999999999993"/>
    <n v="65.144999999999996"/>
    <n v="65.510000000000005"/>
    <n v="34.854999999999997"/>
    <n v="34.49"/>
    <n v="14.704000000000001"/>
    <n v="16.183"/>
    <n v="34.49"/>
    <n v="34.854999999999997"/>
    <n v="15.82"/>
    <n v="17"/>
    <n v="17"/>
    <n v="17"/>
    <n v="17"/>
  </r>
  <r>
    <n v="244"/>
    <m/>
    <m/>
    <m/>
    <m/>
    <s v="G20"/>
    <s v="Parkinson's disease"/>
    <x v="99"/>
    <s v="M"/>
    <m/>
    <m/>
    <s v="NA"/>
    <s v="NA"/>
    <s v="NA"/>
    <s v="NA"/>
    <s v="NA"/>
    <s v="NA"/>
    <s v="NA"/>
    <s v="NA"/>
    <s v="NA"/>
    <s v="NA"/>
    <s v="NA"/>
    <s v="NA"/>
    <s v="NA"/>
    <s v="NA"/>
    <s v="NA"/>
    <s v="NA"/>
    <s v="NA"/>
    <s v="NA"/>
    <s v="NA"/>
    <s v="NA"/>
    <s v="NA"/>
  </r>
  <r>
    <n v="245"/>
    <m/>
    <m/>
    <m/>
    <m/>
    <s v="G24.3"/>
    <s v="Spasmodic torticollis"/>
    <x v="100"/>
    <s v="M"/>
    <m/>
    <m/>
    <n v="75.192999999999998"/>
    <n v="75.046999999999997"/>
    <n v="150.97300000000001"/>
    <n v="150.792"/>
    <n v="161.20099999999999"/>
    <n v="160.809"/>
    <n v="128.61000000000001"/>
    <n v="126.92100000000001"/>
    <n v="59.192"/>
    <n v="58.877000000000002"/>
    <n v="40.808"/>
    <n v="41.122999999999998"/>
    <n v="8.5749999999999993"/>
    <n v="9.2430000000000003"/>
    <n v="41.122999999999998"/>
    <n v="40.808"/>
    <n v="13.353999999999999"/>
    <n v="10"/>
    <n v="6"/>
    <n v="6"/>
    <n v="6"/>
  </r>
  <r>
    <n v="246"/>
    <m/>
    <m/>
    <m/>
    <m/>
    <s v="NA"/>
    <s v="NA"/>
    <x v="35"/>
    <s v="NA"/>
    <m/>
    <m/>
    <n v="55.615000000000002"/>
    <n v="54.372"/>
    <n v="109.923"/>
    <n v="109.669"/>
    <n v="103.19199999999999"/>
    <n v="103.15600000000001"/>
    <n v="112.499"/>
    <n v="112.57299999999999"/>
    <n v="65.009"/>
    <n v="62.77"/>
    <n v="34.991"/>
    <n v="37.229999999999997"/>
    <n v="13.334"/>
    <n v="14.771000000000001"/>
    <n v="37.229999999999997"/>
    <n v="34.991"/>
    <n v="15.124000000000001"/>
    <n v="11"/>
    <n v="12"/>
    <n v="11"/>
    <n v="11"/>
  </r>
  <r>
    <n v="247"/>
    <m/>
    <m/>
    <m/>
    <m/>
    <s v="G25.0"/>
    <s v="Essential tremor"/>
    <x v="101"/>
    <s v="F"/>
    <m/>
    <m/>
    <n v="10.702999999999999"/>
    <n v="13.281000000000001"/>
    <n v="23.68"/>
    <n v="23.408999999999999"/>
    <n v="5.8730000000000002"/>
    <n v="5.2960000000000003"/>
    <n v="30.363"/>
    <n v="29.638999999999999"/>
    <n v="93.536000000000001"/>
    <n v="93.417000000000002"/>
    <n v="6.4640000000000004"/>
    <n v="6.5830000000000002"/>
    <n v="50.073999999999998"/>
    <n v="42.348999999999997"/>
    <n v="6.5830000000000002"/>
    <n v="6.4640000000000004"/>
    <n v="38.69"/>
    <n v="9"/>
    <n v="9"/>
    <n v="9"/>
    <n v="9"/>
  </r>
  <r>
    <n v="248"/>
    <m/>
    <m/>
    <m/>
    <m/>
    <s v="G20"/>
    <s v="Parkinson's disease"/>
    <x v="102"/>
    <s v="F"/>
    <m/>
    <m/>
    <n v="70.483999999999995"/>
    <n v="72.885000000000005"/>
    <n v="144.297"/>
    <n v="143.12700000000001"/>
    <n v="143.54900000000001"/>
    <n v="141.74100000000001"/>
    <n v="119.43300000000001"/>
    <n v="118.545"/>
    <n v="61.689"/>
    <n v="59.158999999999999"/>
    <n v="38.311"/>
    <n v="40.841000000000001"/>
    <n v="10.779"/>
    <n v="10.693"/>
    <n v="40.841000000000001"/>
    <n v="38.311"/>
    <n v="9.4"/>
    <n v="10"/>
    <n v="8"/>
    <n v="8"/>
    <n v="8"/>
  </r>
  <r>
    <n v="249"/>
    <m/>
    <m/>
    <m/>
    <m/>
    <s v="G25.0"/>
    <s v="Essential tremor"/>
    <x v="103"/>
    <s v="F"/>
    <m/>
    <m/>
    <n v="30.780999999999999"/>
    <n v="33.311"/>
    <n v="63.984000000000002"/>
    <n v="64.302000000000007"/>
    <n v="52.094999999999999"/>
    <n v="52.404000000000003"/>
    <n v="97.341999999999999"/>
    <n v="97.873000000000005"/>
    <n v="67.05"/>
    <n v="66.968000000000004"/>
    <n v="32.950000000000003"/>
    <n v="33.031999999999996"/>
    <n v="15.821"/>
    <n v="17.876999999999999"/>
    <n v="33.031999999999996"/>
    <n v="32.950000000000003"/>
    <n v="12.8"/>
    <n v="19"/>
    <n v="19"/>
    <n v="19"/>
    <n v="19"/>
  </r>
  <r>
    <n v="250"/>
    <m/>
    <m/>
    <m/>
    <m/>
    <s v="R25.1"/>
    <s v="Tremor, unspecified"/>
    <x v="104"/>
    <s v="M"/>
    <m/>
    <m/>
    <n v="74.522000000000006"/>
    <n v="74.858999999999995"/>
    <n v="149.34"/>
    <n v="149.47"/>
    <n v="135.822"/>
    <n v="135.76499999999999"/>
    <n v="109.03100000000001"/>
    <n v="108.51600000000001"/>
    <n v="58.957999999999998"/>
    <n v="61.36"/>
    <n v="41.042000000000002"/>
    <n v="38.64"/>
    <n v="10.6"/>
    <n v="9.8979999999999997"/>
    <n v="38.64"/>
    <n v="41.042000000000002"/>
    <n v="7.1639999999999997"/>
    <n v="9"/>
    <n v="7"/>
    <n v="7"/>
    <n v="7"/>
  </r>
  <r>
    <n v="251"/>
    <m/>
    <m/>
    <m/>
    <m/>
    <s v="NA"/>
    <s v="NA"/>
    <x v="35"/>
    <s v="NA"/>
    <m/>
    <m/>
    <s v="NA"/>
    <s v="NA"/>
    <s v="NA"/>
    <s v="NA"/>
    <s v="NA"/>
    <s v="NA"/>
    <s v="NA"/>
    <s v="NA"/>
    <s v="NA"/>
    <s v="NA"/>
    <s v="NA"/>
    <s v="NA"/>
    <s v="NA"/>
    <s v="NA"/>
    <s v="NA"/>
    <s v="NA"/>
    <s v="NA"/>
    <s v="NA"/>
    <s v="NA"/>
    <s v="NA"/>
    <s v="NA"/>
  </r>
  <r>
    <n v="252"/>
    <m/>
    <m/>
    <m/>
    <m/>
    <s v="G20"/>
    <s v="Parkinson's disease"/>
    <x v="105"/>
    <s v="M"/>
    <m/>
    <m/>
    <s v="NA"/>
    <s v="NA"/>
    <s v="NA"/>
    <s v="NA"/>
    <s v="NA"/>
    <s v="NA"/>
    <s v="NA"/>
    <s v="NA"/>
    <s v="NA"/>
    <s v="NA"/>
    <s v="NA"/>
    <s v="NA"/>
    <s v="NA"/>
    <s v="NA"/>
    <s v="NA"/>
    <s v="NA"/>
    <s v="NA"/>
    <s v="NA"/>
    <s v="NA"/>
    <s v="NA"/>
    <s v="NA"/>
  </r>
  <r>
    <n v="253"/>
    <m/>
    <m/>
    <m/>
    <m/>
    <s v="G20"/>
    <s v="Parkinson's disease"/>
    <x v="106"/>
    <s v="M"/>
    <m/>
    <m/>
    <n v="54.064"/>
    <n v="47.936"/>
    <n v="101.82599999999999"/>
    <n v="101.63800000000001"/>
    <n v="104.61499999999999"/>
    <n v="103.974"/>
    <n v="122.248"/>
    <n v="122.452"/>
    <n v="62.326000000000001"/>
    <n v="60.463000000000001"/>
    <n v="37.673999999999999"/>
    <n v="39.536999999999999"/>
    <n v="11.183"/>
    <n v="11.303000000000001"/>
    <n v="39.536999999999999"/>
    <n v="37.673999999999999"/>
    <n v="8.9920000000000009"/>
    <n v="10"/>
    <n v="13"/>
    <n v="10"/>
    <n v="10"/>
  </r>
  <r>
    <n v="254"/>
    <m/>
    <m/>
    <m/>
    <m/>
    <s v="NA"/>
    <s v="NA"/>
    <x v="35"/>
    <s v="NA"/>
    <m/>
    <m/>
    <s v="NA"/>
    <s v="NA"/>
    <s v="NA"/>
    <s v="NA"/>
    <s v="NA"/>
    <s v="NA"/>
    <s v="NA"/>
    <s v="NA"/>
    <s v="NA"/>
    <s v="NA"/>
    <s v="NA"/>
    <s v="NA"/>
    <s v="NA"/>
    <s v="NA"/>
    <s v="NA"/>
    <s v="NA"/>
    <s v="NA"/>
    <s v="NA"/>
    <s v="NA"/>
    <s v="NA"/>
    <s v="NA"/>
  </r>
  <r>
    <n v="255"/>
    <m/>
    <m/>
    <m/>
    <m/>
    <s v="NA"/>
    <s v="NA"/>
    <x v="35"/>
    <s v="NA"/>
    <m/>
    <m/>
    <n v="44.902999999999999"/>
    <n v="42.869"/>
    <n v="87.674000000000007"/>
    <n v="87.974999999999994"/>
    <n v="63.341999999999999"/>
    <n v="63.694000000000003"/>
    <n v="87.031999999999996"/>
    <n v="86.664000000000001"/>
    <n v="64.519000000000005"/>
    <n v="66.203999999999994"/>
    <n v="35.481000000000002"/>
    <n v="33.795999999999999"/>
    <n v="14.708"/>
    <n v="16.056999999999999"/>
    <n v="33.795999999999999"/>
    <n v="35.481000000000002"/>
    <n v="14.09"/>
    <n v="15"/>
    <n v="16"/>
    <n v="15"/>
    <n v="15"/>
  </r>
  <r>
    <n v="256"/>
    <m/>
    <m/>
    <m/>
    <m/>
    <s v="G25.0"/>
    <s v="Essential tremor"/>
    <x v="107"/>
    <s v="M"/>
    <m/>
    <m/>
    <n v="58.113"/>
    <n v="54.476999999999997"/>
    <n v="112.223"/>
    <n v="113.50700000000001"/>
    <n v="97.832999999999998"/>
    <n v="98.725999999999999"/>
    <n v="104.078"/>
    <n v="104.125"/>
    <n v="62.908999999999999"/>
    <n v="63.616999999999997"/>
    <n v="37.091000000000001"/>
    <n v="36.383000000000003"/>
    <n v="14.233000000000001"/>
    <n v="12.936"/>
    <n v="36.383000000000003"/>
    <n v="37.091000000000001"/>
    <n v="8.5559999999999992"/>
    <n v="11"/>
    <n v="11"/>
    <n v="11"/>
    <n v="11"/>
  </r>
  <r>
    <n v="257"/>
    <m/>
    <m/>
    <m/>
    <m/>
    <s v="NA"/>
    <s v="NA"/>
    <x v="35"/>
    <s v="NA"/>
    <m/>
    <m/>
    <s v="NA"/>
    <s v="NA"/>
    <s v="NA"/>
    <s v="NA"/>
    <s v="NA"/>
    <s v="NA"/>
    <s v="NA"/>
    <s v="NA"/>
    <s v="NA"/>
    <s v="NA"/>
    <s v="NA"/>
    <s v="NA"/>
    <s v="NA"/>
    <s v="NA"/>
    <s v="NA"/>
    <s v="NA"/>
    <s v="NA"/>
    <s v="NA"/>
    <s v="NA"/>
    <s v="NA"/>
    <s v="NA"/>
  </r>
  <r>
    <n v="258"/>
    <m/>
    <m/>
    <m/>
    <m/>
    <s v="G20"/>
    <s v="Parkinson's disease"/>
    <x v="108"/>
    <s v="M"/>
    <m/>
    <m/>
    <n v="52.186999999999998"/>
    <n v="45.9"/>
    <n v="98.977000000000004"/>
    <n v="95.488"/>
    <n v="94.039000000000001"/>
    <n v="90.626999999999995"/>
    <n v="114.175"/>
    <n v="114.27800000000001"/>
    <n v="65.501999999999995"/>
    <n v="64.566000000000003"/>
    <n v="34.497999999999998"/>
    <n v="35.433999999999997"/>
    <n v="15.106999999999999"/>
    <n v="14.897"/>
    <n v="35.433999999999997"/>
    <n v="34.497999999999998"/>
    <n v="13.417999999999999"/>
    <n v="15"/>
    <n v="12"/>
    <n v="12"/>
    <n v="12"/>
  </r>
  <r>
    <n v="259"/>
    <m/>
    <m/>
    <m/>
    <m/>
    <s v="G20"/>
    <s v="Parkinson's disease"/>
    <x v="109"/>
    <s v="M"/>
    <m/>
    <m/>
    <n v="47.555"/>
    <n v="51.341000000000001"/>
    <n v="98.561000000000007"/>
    <n v="99.013000000000005"/>
    <n v="98.2"/>
    <n v="99.149000000000001"/>
    <n v="118.324"/>
    <n v="118.985"/>
    <n v="62.796999999999997"/>
    <n v="63.539000000000001"/>
    <n v="37.203000000000003"/>
    <n v="36.460999999999999"/>
    <n v="14.677"/>
    <n v="12.061"/>
    <n v="36.460999999999999"/>
    <n v="37.203000000000003"/>
    <n v="7.7539999999999996"/>
    <n v="10"/>
    <n v="12"/>
    <n v="10"/>
    <n v="10"/>
  </r>
  <r>
    <n v="260"/>
    <m/>
    <m/>
    <m/>
    <m/>
    <s v="G24.9"/>
    <s v="Dystonia, unspecified"/>
    <x v="110"/>
    <s v="F"/>
    <m/>
    <m/>
    <s v="NA"/>
    <s v="NA"/>
    <s v="NA"/>
    <s v="NA"/>
    <s v="NA"/>
    <s v="NA"/>
    <s v="NA"/>
    <s v="NA"/>
    <s v="NA"/>
    <s v="NA"/>
    <s v="NA"/>
    <s v="NA"/>
    <s v="NA"/>
    <s v="NA"/>
    <s v="NA"/>
    <s v="NA"/>
    <s v="NA"/>
    <s v="NA"/>
    <s v="NA"/>
    <s v="NA"/>
    <s v="NA"/>
  </r>
  <r>
    <n v="261"/>
    <m/>
    <m/>
    <m/>
    <m/>
    <s v="G20"/>
    <s v="Parkinson's disease"/>
    <x v="111"/>
    <s v="F"/>
    <m/>
    <m/>
    <n v="49.209000000000003"/>
    <n v="39.923999999999999"/>
    <n v="89.656999999999996"/>
    <n v="89.674999999999997"/>
    <n v="71.588999999999999"/>
    <n v="71.554000000000002"/>
    <n v="95.69"/>
    <n v="96.135999999999996"/>
    <n v="65.686000000000007"/>
    <n v="67.87"/>
    <n v="34.314"/>
    <n v="32.130000000000003"/>
    <n v="16.227"/>
    <n v="17.492000000000001"/>
    <n v="32.130000000000003"/>
    <n v="34.314"/>
    <n v="10.6"/>
    <n v="12"/>
    <n v="12"/>
    <n v="12"/>
    <n v="12"/>
  </r>
  <r>
    <n v="262"/>
    <m/>
    <m/>
    <m/>
    <m/>
    <s v="NA"/>
    <s v="NA"/>
    <x v="9"/>
    <s v="M"/>
    <m/>
    <m/>
    <s v="NA"/>
    <s v="NA"/>
    <s v="NA"/>
    <s v="NA"/>
    <s v="NA"/>
    <s v="NA"/>
    <s v="NA"/>
    <s v="NA"/>
    <s v="NA"/>
    <s v="NA"/>
    <s v="NA"/>
    <s v="NA"/>
    <s v="NA"/>
    <s v="NA"/>
    <s v="NA"/>
    <s v="NA"/>
    <s v="NA"/>
    <s v="NA"/>
    <s v="NA"/>
    <s v="NA"/>
    <s v="NA"/>
  </r>
  <r>
    <n v="263"/>
    <m/>
    <m/>
    <m/>
    <m/>
    <s v="R25.1"/>
    <s v="Tremor, unspecified"/>
    <x v="112"/>
    <s v="M"/>
    <m/>
    <m/>
    <n v="71.603999999999999"/>
    <n v="68.108999999999995"/>
    <n v="139.834"/>
    <n v="139.76"/>
    <n v="140.40799999999999"/>
    <n v="139.679"/>
    <n v="120.04"/>
    <n v="119.35599999999999"/>
    <n v="61.332000000000001"/>
    <n v="61.073999999999998"/>
    <n v="38.667999999999999"/>
    <n v="38.926000000000002"/>
    <n v="11.833"/>
    <n v="11.234999999999999"/>
    <n v="38.926000000000002"/>
    <n v="38.667999999999999"/>
    <n v="11.956"/>
    <n v="10"/>
    <n v="7"/>
    <n v="7"/>
    <n v="7"/>
  </r>
  <r>
    <n v="264"/>
    <m/>
    <m/>
    <m/>
    <m/>
    <s v="NA"/>
    <s v="NA"/>
    <x v="5"/>
    <s v="M"/>
    <m/>
    <m/>
    <s v="NA"/>
    <s v="NA"/>
    <s v="NA"/>
    <s v="NA"/>
    <s v="NA"/>
    <s v="NA"/>
    <s v="NA"/>
    <s v="NA"/>
    <s v="NA"/>
    <s v="NA"/>
    <s v="NA"/>
    <s v="NA"/>
    <s v="NA"/>
    <s v="NA"/>
    <s v="NA"/>
    <s v="NA"/>
    <s v="NA"/>
    <s v="NA"/>
    <s v="NA"/>
    <s v="NA"/>
    <s v="NA"/>
  </r>
  <r>
    <n v="265"/>
    <m/>
    <m/>
    <m/>
    <m/>
    <s v="NA"/>
    <s v="NA"/>
    <x v="35"/>
    <s v="NA"/>
    <m/>
    <m/>
    <n v="53.415999999999997"/>
    <n v="56.051000000000002"/>
    <n v="109.021"/>
    <n v="109.797"/>
    <n v="98.706000000000003"/>
    <n v="99.856999999999999"/>
    <n v="108.202"/>
    <n v="107.81"/>
    <n v="64.007000000000005"/>
    <n v="64.289000000000001"/>
    <n v="35.993000000000002"/>
    <n v="35.710999999999999"/>
    <n v="13.942"/>
    <n v="14.507999999999999"/>
    <n v="35.710999999999999"/>
    <n v="35.993000000000002"/>
    <n v="12.15"/>
    <n v="14"/>
    <n v="10"/>
    <n v="10"/>
    <n v="10"/>
  </r>
  <r>
    <n v="266"/>
    <m/>
    <m/>
    <m/>
    <m/>
    <s v="G20"/>
    <s v="Parkinson's disease"/>
    <x v="9"/>
    <s v="F"/>
    <m/>
    <m/>
    <n v="44.600999999999999"/>
    <n v="45.887"/>
    <n v="90.212000000000003"/>
    <n v="91.275999999999996"/>
    <n v="105.631"/>
    <n v="105.96599999999999"/>
    <n v="140.26"/>
    <n v="140.035"/>
    <n v="61.473999999999997"/>
    <n v="61.046999999999997"/>
    <n v="38.526000000000003"/>
    <n v="38.953000000000003"/>
    <n v="11.026"/>
    <n v="11.686"/>
    <n v="38.953000000000003"/>
    <n v="38.526000000000003"/>
    <n v="5.4459999999999997"/>
    <n v="13"/>
    <n v="15"/>
    <n v="13"/>
    <n v="13"/>
  </r>
  <r>
    <n v="267"/>
    <m/>
    <m/>
    <m/>
    <m/>
    <s v="R25.1"/>
    <s v="Tremor, unspecified"/>
    <x v="107"/>
    <s v="M"/>
    <m/>
    <m/>
    <n v="39.832999999999998"/>
    <n v="35.502000000000002"/>
    <n v="75.334999999999994"/>
    <n v="75.953999999999994"/>
    <n v="73.817999999999998"/>
    <n v="74.63"/>
    <n v="117.554"/>
    <n v="117.071"/>
    <n v="66.816000000000003"/>
    <n v="66.655000000000001"/>
    <n v="33.183999999999997"/>
    <n v="33.344999999999999"/>
    <n v="15.763999999999999"/>
    <n v="17.606999999999999"/>
    <n v="33.344999999999999"/>
    <n v="33.183999999999997"/>
    <n v="17.016999999999999"/>
    <n v="16"/>
    <n v="12"/>
    <n v="12"/>
    <n v="12"/>
  </r>
  <r>
    <n v="268"/>
    <m/>
    <m/>
    <m/>
    <m/>
    <s v="NA"/>
    <s v="NA"/>
    <x v="35"/>
    <s v="NA"/>
    <m/>
    <m/>
    <n v="41.369"/>
    <n v="40.082000000000001"/>
    <n v="81.400000000000006"/>
    <n v="81.631"/>
    <n v="72.742000000000004"/>
    <n v="72.748999999999995"/>
    <n v="106.313"/>
    <n v="106.813"/>
    <n v="65.688000000000002"/>
    <n v="63.854999999999997"/>
    <n v="34.311999999999998"/>
    <n v="36.145000000000003"/>
    <n v="14.015000000000001"/>
    <n v="15.752000000000001"/>
    <n v="36.145000000000003"/>
    <n v="34.311999999999998"/>
    <n v="11.847"/>
    <n v="12"/>
    <n v="12"/>
    <n v="12"/>
    <n v="12"/>
  </r>
  <r>
    <n v="269"/>
    <m/>
    <m/>
    <m/>
    <m/>
    <s v="NA"/>
    <s v="NA"/>
    <x v="113"/>
    <s v="F"/>
    <m/>
    <m/>
    <s v="NA"/>
    <s v="NA"/>
    <s v="NA"/>
    <s v="NA"/>
    <s v="NA"/>
    <s v="NA"/>
    <s v="NA"/>
    <s v="NA"/>
    <s v="NA"/>
    <s v="NA"/>
    <s v="NA"/>
    <s v="NA"/>
    <s v="NA"/>
    <s v="NA"/>
    <s v="NA"/>
    <s v="NA"/>
    <s v="NA"/>
    <s v="NA"/>
    <s v="NA"/>
    <s v="NA"/>
    <s v="NA"/>
  </r>
  <r>
    <n v="270"/>
    <m/>
    <m/>
    <m/>
    <m/>
    <s v="NA"/>
    <s v="NA"/>
    <x v="35"/>
    <s v="NA"/>
    <m/>
    <m/>
    <n v="49.000999999999998"/>
    <n v="49.078000000000003"/>
    <n v="97.828999999999994"/>
    <n v="97.97"/>
    <n v="76.391999999999996"/>
    <n v="76.766000000000005"/>
    <n v="93.682000000000002"/>
    <n v="94.144000000000005"/>
    <n v="63.58"/>
    <n v="66.182000000000002"/>
    <n v="36.42"/>
    <n v="33.817999999999998"/>
    <n v="15.348000000000001"/>
    <n v="14.976000000000001"/>
    <n v="33.817999999999998"/>
    <n v="36.42"/>
    <n v="10.417999999999999"/>
    <n v="15"/>
    <n v="13"/>
    <n v="13"/>
    <n v="13"/>
  </r>
  <r>
    <n v="271"/>
    <m/>
    <m/>
    <m/>
    <m/>
    <s v="R25.1"/>
    <s v="Tremor, unspecified"/>
    <x v="114"/>
    <s v="M"/>
    <m/>
    <m/>
    <n v="24.808"/>
    <n v="29.265000000000001"/>
    <n v="54.609000000000002"/>
    <n v="53.994999999999997"/>
    <n v="22.091999999999999"/>
    <n v="22.077999999999999"/>
    <n v="49.082000000000001"/>
    <n v="48.316000000000003"/>
    <n v="74.326999999999998"/>
    <n v="84.994"/>
    <n v="25.672999999999998"/>
    <n v="15.006"/>
    <n v="32.487000000000002"/>
    <n v="26.774000000000001"/>
    <n v="15.006"/>
    <n v="25.672999999999998"/>
    <n v="30.984999999999999"/>
    <n v="8"/>
    <n v="7"/>
    <n v="7"/>
    <n v="7"/>
  </r>
  <r>
    <n v="272"/>
    <m/>
    <m/>
    <m/>
    <m/>
    <s v="G20"/>
    <s v="Parkinson's disease"/>
    <x v="115"/>
    <s v="M"/>
    <m/>
    <m/>
    <n v="41.613999999999997"/>
    <n v="40.915999999999997"/>
    <n v="82.661000000000001"/>
    <n v="82.885999999999996"/>
    <n v="92.968999999999994"/>
    <n v="92.849000000000004"/>
    <n v="135.08799999999999"/>
    <n v="133.79499999999999"/>
    <n v="62.265000000000001"/>
    <n v="61.585000000000001"/>
    <n v="37.734999999999999"/>
    <n v="38.414999999999999"/>
    <n v="12.355"/>
    <n v="11.821"/>
    <n v="38.414999999999999"/>
    <n v="37.734999999999999"/>
    <n v="11.156000000000001"/>
    <n v="18"/>
    <n v="16"/>
    <n v="16"/>
    <n v="16"/>
  </r>
  <r>
    <n v="273"/>
    <m/>
    <m/>
    <m/>
    <m/>
    <s v="R25.1"/>
    <s v="Tremor, unspecified"/>
    <x v="86"/>
    <s v="F"/>
    <m/>
    <m/>
    <s v="NA"/>
    <s v="NA"/>
    <s v="NA"/>
    <s v="NA"/>
    <s v="NA"/>
    <s v="NA"/>
    <s v="NA"/>
    <s v="NA"/>
    <s v="NA"/>
    <s v="NA"/>
    <s v="NA"/>
    <s v="NA"/>
    <s v="NA"/>
    <s v="NA"/>
    <s v="NA"/>
    <s v="NA"/>
    <s v="NA"/>
    <s v="NA"/>
    <s v="NA"/>
    <s v="NA"/>
    <s v="NA"/>
  </r>
  <r>
    <n v="274"/>
    <m/>
    <m/>
    <m/>
    <m/>
    <s v="G25.0"/>
    <s v="Essential tremor"/>
    <x v="62"/>
    <s v="F"/>
    <m/>
    <m/>
    <n v="36.683"/>
    <n v="38.6"/>
    <n v="75.697999999999993"/>
    <n v="75.242999999999995"/>
    <n v="50.543999999999997"/>
    <n v="51.064"/>
    <n v="80.197999999999993"/>
    <n v="80.081000000000003"/>
    <n v="69.620999999999995"/>
    <n v="70.361999999999995"/>
    <n v="30.379000000000001"/>
    <n v="29.638000000000002"/>
    <n v="22.039000000000001"/>
    <n v="18.584"/>
    <n v="29.638000000000002"/>
    <n v="30.379000000000001"/>
    <n v="14.9"/>
    <n v="9"/>
    <n v="10"/>
    <n v="9"/>
    <n v="9"/>
  </r>
  <r>
    <n v="275"/>
    <m/>
    <m/>
    <m/>
    <m/>
    <s v="G20"/>
    <s v="Parkinson's disease"/>
    <x v="116"/>
    <s v="M"/>
    <m/>
    <m/>
    <n v="57.780999999999999"/>
    <n v="54.710999999999999"/>
    <n v="112.82599999999999"/>
    <n v="112.652"/>
    <n v="119.74299999999999"/>
    <n v="119.90600000000001"/>
    <n v="126.988"/>
    <n v="126.779"/>
    <n v="62.468000000000004"/>
    <n v="61.881999999999998"/>
    <n v="37.531999999999996"/>
    <n v="38.118000000000002"/>
    <n v="13.834"/>
    <n v="10.994"/>
    <n v="38.118000000000002"/>
    <n v="37.531999999999996"/>
    <n v="9.2119999999999997"/>
    <n v="10"/>
    <n v="12"/>
    <n v="10"/>
    <n v="10"/>
  </r>
  <r>
    <n v="276"/>
    <m/>
    <m/>
    <m/>
    <m/>
    <s v="R25.1"/>
    <s v="Tremor, unspecified"/>
    <x v="117"/>
    <s v="F"/>
    <m/>
    <m/>
    <n v="65.646000000000001"/>
    <n v="62.536999999999999"/>
    <n v="128.38"/>
    <n v="128.256"/>
    <n v="136.54300000000001"/>
    <n v="135.43299999999999"/>
    <n v="126.648"/>
    <n v="126.28400000000001"/>
    <n v="61.15"/>
    <n v="61.345999999999997"/>
    <n v="38.85"/>
    <n v="38.654000000000003"/>
    <n v="11.106"/>
    <n v="11.782"/>
    <n v="38.654000000000003"/>
    <n v="38.85"/>
    <n v="10.084"/>
    <n v="10"/>
    <n v="10"/>
    <n v="10"/>
    <n v="10"/>
  </r>
  <r>
    <n v="277"/>
    <m/>
    <m/>
    <m/>
    <m/>
    <s v="G20"/>
    <s v="Parkinson's disease"/>
    <x v="18"/>
    <s v="M"/>
    <m/>
    <m/>
    <n v="66.558999999999997"/>
    <n v="65.274000000000001"/>
    <n v="131.56200000000001"/>
    <n v="132.93899999999999"/>
    <n v="109.318"/>
    <n v="111.04300000000001"/>
    <n v="99.123000000000005"/>
    <n v="99.414000000000001"/>
    <n v="64.900000000000006"/>
    <n v="64.450999999999993"/>
    <n v="35.1"/>
    <n v="35.548999999999999"/>
    <n v="14.752000000000001"/>
    <n v="14.927"/>
    <n v="35.548999999999999"/>
    <n v="35.1"/>
    <n v="10.212"/>
    <n v="7"/>
    <n v="8"/>
    <n v="7"/>
    <n v="7"/>
  </r>
  <r>
    <n v="278"/>
    <m/>
    <m/>
    <m/>
    <m/>
    <s v="G20"/>
    <s v="Parkinson's disease"/>
    <x v="13"/>
    <s v="M"/>
    <m/>
    <m/>
    <n v="39.435000000000002"/>
    <n v="38.209000000000003"/>
    <n v="77.477999999999994"/>
    <n v="78.052999999999997"/>
    <n v="76.094999999999999"/>
    <n v="76.551000000000002"/>
    <n v="117.78700000000001"/>
    <n v="117.423"/>
    <n v="63.55"/>
    <n v="52.493000000000002"/>
    <n v="36.450000000000003"/>
    <n v="47.506999999999998"/>
    <n v="6.8520000000000003"/>
    <n v="15.393000000000001"/>
    <n v="47.506999999999998"/>
    <n v="36.450000000000003"/>
    <n v="11.81"/>
    <n v="16"/>
    <n v="16"/>
    <n v="16"/>
    <n v="16"/>
  </r>
  <r>
    <n v="279"/>
    <m/>
    <m/>
    <m/>
    <m/>
    <s v="G20"/>
    <s v="Parkinson's disease"/>
    <x v="118"/>
    <s v="F"/>
    <m/>
    <m/>
    <n v="59.027999999999999"/>
    <n v="62.390999999999998"/>
    <n v="121.861"/>
    <n v="121.47799999999999"/>
    <n v="125.438"/>
    <n v="125.32299999999999"/>
    <n v="123.134"/>
    <n v="123.39400000000001"/>
    <n v="61.970999999999997"/>
    <n v="64.034000000000006"/>
    <n v="38.029000000000003"/>
    <n v="35.966000000000001"/>
    <n v="13.183"/>
    <n v="13.009"/>
    <n v="35.966000000000001"/>
    <n v="38.029000000000003"/>
    <n v="13.628"/>
    <n v="10"/>
    <n v="10"/>
    <n v="10"/>
    <n v="10"/>
  </r>
  <r>
    <n v="280"/>
    <m/>
    <m/>
    <m/>
    <m/>
    <s v="NA"/>
    <s v="NA"/>
    <x v="35"/>
    <s v="NA"/>
    <m/>
    <m/>
    <s v="NA"/>
    <s v="NA"/>
    <s v="NA"/>
    <s v="NA"/>
    <s v="NA"/>
    <s v="NA"/>
    <s v="NA"/>
    <s v="NA"/>
    <s v="NA"/>
    <s v="NA"/>
    <s v="NA"/>
    <s v="NA"/>
    <s v="NA"/>
    <s v="NA"/>
    <s v="NA"/>
    <s v="NA"/>
    <s v="NA"/>
    <s v="NA"/>
    <s v="NA"/>
    <s v="NA"/>
    <s v="NA"/>
  </r>
  <r>
    <n v="281"/>
    <m/>
    <m/>
    <m/>
    <m/>
    <s v="NA"/>
    <s v="NA"/>
    <x v="35"/>
    <s v="NA"/>
    <m/>
    <m/>
    <s v="NA"/>
    <s v="NA"/>
    <s v="NA"/>
    <s v="NA"/>
    <s v="NA"/>
    <s v="NA"/>
    <s v="NA"/>
    <s v="NA"/>
    <s v="NA"/>
    <s v="NA"/>
    <s v="NA"/>
    <s v="NA"/>
    <s v="NA"/>
    <s v="NA"/>
    <s v="NA"/>
    <s v="NA"/>
    <s v="NA"/>
    <s v="NA"/>
    <s v="NA"/>
    <s v="NA"/>
    <s v="NA"/>
  </r>
  <r>
    <n v="282"/>
    <m/>
    <m/>
    <m/>
    <m/>
    <s v="G20"/>
    <s v="Parkinson's disease"/>
    <x v="119"/>
    <s v="M"/>
    <m/>
    <m/>
    <n v="63.095999999999997"/>
    <n v="63.999000000000002"/>
    <n v="128.107"/>
    <n v="126.482"/>
    <n v="119.146"/>
    <n v="119.53"/>
    <n v="112.032"/>
    <n v="112.989"/>
    <n v="63.475999999999999"/>
    <n v="63.536999999999999"/>
    <n v="36.524000000000001"/>
    <n v="36.463000000000001"/>
    <n v="14.388"/>
    <n v="13.715999999999999"/>
    <n v="36.463000000000001"/>
    <n v="36.524000000000001"/>
    <n v="11.458"/>
    <n v="10"/>
    <n v="10"/>
    <n v="10"/>
    <n v="10"/>
  </r>
  <r>
    <n v="283"/>
    <m/>
    <m/>
    <m/>
    <m/>
    <s v="G20"/>
    <s v="Parkinson's disease"/>
    <x v="67"/>
    <s v="M"/>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84"/>
    <m/>
    <m/>
    <m/>
    <m/>
    <s v="G20"/>
    <s v="Parkinson's disease"/>
    <x v="116"/>
    <s v="F"/>
    <m/>
    <m/>
    <n v="44.484999999999999"/>
    <n v="52.901000000000003"/>
    <n v="97.570999999999998"/>
    <n v="97.542000000000002"/>
    <n v="79.748000000000005"/>
    <n v="79.744"/>
    <n v="98.192999999999998"/>
    <n v="97.638000000000005"/>
    <n v="65.742999999999995"/>
    <n v="65.429000000000002"/>
    <n v="34.256999999999998"/>
    <n v="34.570999999999998"/>
    <n v="18.038"/>
    <n v="13.715"/>
    <n v="34.570999999999998"/>
    <n v="34.256999999999998"/>
    <n v="8.9499999999999993"/>
    <n v="12"/>
    <n v="12"/>
    <n v="12"/>
    <n v="12"/>
  </r>
  <r>
    <n v="285"/>
    <m/>
    <m/>
    <m/>
    <m/>
    <s v="NA"/>
    <s v="NA"/>
    <x v="35"/>
    <s v="NA"/>
    <m/>
    <m/>
    <n v="46.691000000000003"/>
    <n v="50.555999999999997"/>
    <n v="97.647000000000006"/>
    <n v="97.555999999999997"/>
    <n v="86.841999999999999"/>
    <n v="86.438000000000002"/>
    <n v="106.496"/>
    <n v="105.96599999999999"/>
    <n v="62.289000000000001"/>
    <n v="61.957999999999998"/>
    <n v="37.710999999999999"/>
    <n v="38.042000000000002"/>
    <n v="11.189"/>
    <n v="13.836"/>
    <n v="38.042000000000002"/>
    <n v="37.710999999999999"/>
    <n v="7.98"/>
    <n v="13"/>
    <n v="12"/>
    <n v="12"/>
    <n v="12"/>
  </r>
  <r>
    <n v="286"/>
    <m/>
    <m/>
    <m/>
    <m/>
    <s v="G20"/>
    <s v="Parkinson's disease"/>
    <x v="120"/>
    <s v="M"/>
    <m/>
    <m/>
    <n v="54.417000000000002"/>
    <n v="52.408999999999999"/>
    <n v="104.80800000000001"/>
    <n v="104.384"/>
    <n v="85.397000000000006"/>
    <n v="86.013999999999996"/>
    <n v="98.72"/>
    <n v="100.586"/>
    <n v="63.276000000000003"/>
    <n v="63.173000000000002"/>
    <n v="36.723999999999997"/>
    <n v="36.826999999999998"/>
    <n v="13.871"/>
    <n v="13.994"/>
    <n v="36.826999999999998"/>
    <n v="36.723999999999997"/>
    <n v="12.901999999999999"/>
    <n v="12"/>
    <n v="12"/>
    <n v="12"/>
    <n v="12"/>
  </r>
  <r>
    <n v="287"/>
    <m/>
    <m/>
    <m/>
    <m/>
    <s v="G20"/>
    <s v="Parkinson's disease"/>
    <x v="69"/>
    <s v="M"/>
    <m/>
    <m/>
    <n v="44.685000000000002"/>
    <n v="46.509"/>
    <n v="91.412999999999997"/>
    <n v="90.978999999999999"/>
    <n v="88.147000000000006"/>
    <n v="87.808999999999997"/>
    <n v="115.35299999999999"/>
    <n v="115.697"/>
    <n v="62.732999999999997"/>
    <n v="63.226999999999997"/>
    <n v="37.267000000000003"/>
    <n v="36.773000000000003"/>
    <n v="11.057"/>
    <n v="14.974"/>
    <n v="36.773000000000003"/>
    <n v="37.267000000000003"/>
    <n v="10.757999999999999"/>
    <n v="15"/>
    <n v="14"/>
    <n v="14"/>
    <n v="14"/>
  </r>
  <r>
    <n v="288"/>
    <m/>
    <m/>
    <m/>
    <m/>
    <s v="G20"/>
    <s v="Parkinson's disease"/>
    <x v="121"/>
    <s v="M"/>
    <m/>
    <m/>
    <n v="70.784000000000006"/>
    <n v="71.668999999999997"/>
    <n v="141.61199999999999"/>
    <n v="143.66999999999999"/>
    <n v="156.78800000000001"/>
    <n v="160.221"/>
    <n v="131.97300000000001"/>
    <n v="132.673"/>
    <n v="59.601999999999997"/>
    <n v="57.939"/>
    <n v="40.398000000000003"/>
    <n v="42.061"/>
    <n v="8.6820000000000004"/>
    <n v="8.7769999999999992"/>
    <n v="42.061"/>
    <n v="40.398000000000003"/>
    <n v="8.34"/>
    <n v="8"/>
    <n v="7"/>
    <n v="7"/>
    <n v="7"/>
  </r>
  <r>
    <n v="289"/>
    <m/>
    <m/>
    <m/>
    <m/>
    <s v="G24.1"/>
    <s v="Genetic torsion dystonia"/>
    <x v="122"/>
    <s v="M"/>
    <m/>
    <m/>
    <n v="52.765999999999998"/>
    <n v="49.656999999999996"/>
    <n v="102.072"/>
    <n v="103.20399999999999"/>
    <n v="78.436000000000007"/>
    <n v="78.730999999999995"/>
    <n v="91.989000000000004"/>
    <n v="91.447000000000003"/>
    <n v="66.295000000000002"/>
    <n v="65.498000000000005"/>
    <n v="33.704999999999998"/>
    <n v="34.502000000000002"/>
    <n v="17.558"/>
    <n v="14.404"/>
    <n v="34.502000000000002"/>
    <n v="33.704999999999998"/>
    <n v="22.423999999999999"/>
    <n v="13"/>
    <n v="12"/>
    <n v="12"/>
    <n v="12"/>
  </r>
  <r>
    <n v="290"/>
    <m/>
    <m/>
    <m/>
    <m/>
    <s v="R25.1"/>
    <s v="Tremor, unspecified"/>
    <x v="93"/>
    <s v="F"/>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91"/>
    <m/>
    <m/>
    <m/>
    <m/>
    <s v="NA"/>
    <s v="NA"/>
    <x v="35"/>
    <s v="NA"/>
    <m/>
    <m/>
    <n v="56.35"/>
    <n v="58.164999999999999"/>
    <n v="115.405"/>
    <n v="114.473"/>
    <n v="107.27800000000001"/>
    <n v="106.935"/>
    <n v="111.48099999999999"/>
    <n v="112.07599999999999"/>
    <n v="62.618000000000002"/>
    <n v="64.433000000000007"/>
    <n v="37.381999999999998"/>
    <n v="35.566000000000003"/>
    <n v="13.622999999999999"/>
    <n v="13.766"/>
    <n v="35.566000000000003"/>
    <n v="37.381999999999998"/>
    <n v="12.038"/>
    <n v="10"/>
    <n v="10"/>
    <n v="10"/>
    <n v="10"/>
  </r>
  <r>
    <n v="292"/>
    <m/>
    <m/>
    <m/>
    <m/>
    <s v="G20"/>
    <s v="Parkinson's disease"/>
    <x v="123"/>
    <s v="M"/>
    <m/>
    <m/>
    <n v="75.474000000000004"/>
    <n v="73.900000000000006"/>
    <n v="148.916"/>
    <n v="149.87700000000001"/>
    <n v="141.185"/>
    <n v="143.929"/>
    <n v="113.108"/>
    <n v="114.498"/>
    <n v="60.341000000000001"/>
    <n v="59.012999999999998"/>
    <n v="39.658999999999999"/>
    <n v="40.987000000000002"/>
    <n v="8.8230000000000004"/>
    <n v="10.879"/>
    <n v="40.987000000000002"/>
    <n v="39.658999999999999"/>
    <n v="12.974"/>
    <n v="8"/>
    <n v="7"/>
    <n v="7"/>
    <n v="7"/>
  </r>
  <r>
    <n v="293"/>
    <m/>
    <m/>
    <m/>
    <m/>
    <s v="G25.0"/>
    <s v="Essential tremor"/>
    <x v="124"/>
    <s v="M"/>
    <m/>
    <m/>
    <n v="55.567999999999998"/>
    <n v="56.401000000000003"/>
    <n v="112.38800000000001"/>
    <n v="111.583"/>
    <n v="106.73099999999999"/>
    <n v="105.315"/>
    <n v="113.43300000000001"/>
    <n v="112.467"/>
    <n v="63.152999999999999"/>
    <n v="62.01"/>
    <n v="36.847000000000001"/>
    <n v="37.99"/>
    <n v="13.08"/>
    <n v="12.172000000000001"/>
    <n v="37.99"/>
    <n v="36.847000000000001"/>
    <n v="15.396000000000001"/>
    <n v="10"/>
    <n v="12"/>
    <n v="10"/>
    <n v="10"/>
  </r>
  <r>
    <n v="294"/>
    <m/>
    <m/>
    <m/>
    <m/>
    <s v="G20"/>
    <s v="Parkinson's disease"/>
    <x v="125"/>
    <s v="F"/>
    <m/>
    <m/>
    <n v="56.14"/>
    <n v="54.112000000000002"/>
    <n v="110.005"/>
    <n v="111.90900000000001"/>
    <n v="100.925"/>
    <n v="102.458"/>
    <n v="109.456"/>
    <n v="108.821"/>
    <n v="65.459999999999994"/>
    <n v="62.463000000000001"/>
    <n v="34.54"/>
    <n v="37.536000000000001"/>
    <n v="12.635999999999999"/>
    <n v="15.7"/>
    <n v="37.536000000000001"/>
    <n v="34.54"/>
    <n v="6.4020000000000001"/>
    <n v="11"/>
    <n v="10"/>
    <n v="10"/>
    <n v="10"/>
  </r>
  <r>
    <n v="295"/>
    <m/>
    <m/>
    <m/>
    <m/>
    <s v="G20"/>
    <s v="Parkinson's disease"/>
    <x v="16"/>
    <s v="F"/>
    <m/>
    <m/>
    <n v="57.186999999999998"/>
    <n v="52.944000000000003"/>
    <n v="110.413"/>
    <n v="110.39700000000001"/>
    <n v="114.872"/>
    <n v="115.38200000000001"/>
    <n v="124.179"/>
    <n v="125.349"/>
    <n v="63.798999999999999"/>
    <n v="63.027000000000001"/>
    <n v="36.201000000000001"/>
    <n v="36.972999999999999"/>
    <n v="11.515000000000001"/>
    <n v="15.214"/>
    <n v="36.972999999999999"/>
    <n v="36.201000000000001"/>
    <n v="9.5"/>
    <n v="11"/>
    <n v="14"/>
    <n v="11"/>
    <n v="11"/>
  </r>
  <r>
    <n v="296"/>
    <m/>
    <m/>
    <m/>
    <m/>
    <s v="G24.1"/>
    <s v="Genetic torsion dystonia"/>
    <x v="126"/>
    <s v="M"/>
    <m/>
    <m/>
    <s v="NA"/>
    <s v="NA"/>
    <s v="NA"/>
    <s v="NA"/>
    <s v="NA"/>
    <s v="NA"/>
    <s v="NA"/>
    <s v="NA"/>
    <s v="NA"/>
    <s v="NA"/>
    <s v="NA"/>
    <s v="NA"/>
    <s v="NA"/>
    <s v="NA"/>
    <s v="NA"/>
    <s v="NA"/>
    <s v="NA"/>
    <s v="NA"/>
    <s v="NA"/>
    <s v="NA"/>
    <s v="NA"/>
  </r>
  <r>
    <n v="297"/>
    <m/>
    <m/>
    <m/>
    <m/>
    <s v="R25.1"/>
    <s v="Tremor, unspecified"/>
    <x v="52"/>
    <s v="M"/>
    <m/>
    <m/>
    <n v="59.908000000000001"/>
    <n v="55.228999999999999"/>
    <n v="116.74299999999999"/>
    <n v="113.23399999999999"/>
    <n v="120.36799999999999"/>
    <n v="117.178"/>
    <n v="122.905"/>
    <n v="122.657"/>
    <n v="61.183999999999997"/>
    <n v="62.305"/>
    <n v="38.816000000000003"/>
    <n v="37.695"/>
    <n v="10.829000000000001"/>
    <n v="11.983000000000001"/>
    <n v="37.695"/>
    <n v="38.816000000000003"/>
    <n v="8.8320000000000007"/>
    <n v="10"/>
    <n v="10"/>
    <n v="10"/>
    <n v="10"/>
  </r>
  <r>
    <n v="298"/>
    <m/>
    <m/>
    <m/>
    <m/>
    <s v="G20"/>
    <s v="Parkinson's disease"/>
    <x v="127"/>
    <s v="M"/>
    <m/>
    <m/>
    <n v="53.915999999999997"/>
    <n v="51.982999999999997"/>
    <n v="105.392"/>
    <n v="106.85"/>
    <n v="94.936000000000007"/>
    <n v="96.578999999999994"/>
    <n v="107.57599999999999"/>
    <n v="108.015"/>
    <n v="64.153999999999996"/>
    <n v="63.997999999999998"/>
    <n v="35.845999999999997"/>
    <n v="36.002000000000002"/>
    <n v="14.114000000000001"/>
    <n v="13.831"/>
    <n v="36.002000000000002"/>
    <n v="35.845999999999997"/>
    <n v="14.38"/>
    <n v="10"/>
    <n v="9"/>
    <n v="9"/>
    <n v="9"/>
  </r>
  <r>
    <n v="299"/>
    <m/>
    <m/>
    <m/>
    <m/>
    <s v="NA"/>
    <s v="NA"/>
    <x v="35"/>
    <s v="NA"/>
    <m/>
    <m/>
    <n v="52.515999999999998"/>
    <n v="52.832999999999998"/>
    <n v="105.40600000000001"/>
    <n v="105.235"/>
    <n v="101.07599999999999"/>
    <n v="101.001"/>
    <n v="114.619"/>
    <n v="114.925"/>
    <n v="63.396999999999998"/>
    <n v="65.33"/>
    <n v="36.601999999999997"/>
    <n v="34.67"/>
    <n v="15.246"/>
    <n v="13.766"/>
    <n v="34.67"/>
    <n v="36.601999999999997"/>
    <n v="9.9580000000000002"/>
    <n v="12"/>
    <n v="11"/>
    <n v="11"/>
    <n v="11"/>
  </r>
  <r>
    <n v="300"/>
    <m/>
    <m/>
    <m/>
    <m/>
    <s v="R25.1"/>
    <s v="Tremor, unspecified"/>
    <x v="99"/>
    <s v="M"/>
    <m/>
    <m/>
    <n v="64.902000000000001"/>
    <n v="63.411000000000001"/>
    <n v="128.22999999999999"/>
    <n v="127.852"/>
    <n v="135.46299999999999"/>
    <n v="135.542"/>
    <n v="126.642"/>
    <n v="126.88500000000001"/>
    <n v="61.552999999999997"/>
    <n v="61.497999999999998"/>
    <n v="38.447000000000003"/>
    <n v="38.502000000000002"/>
    <n v="12.231999999999999"/>
    <n v="11.188000000000001"/>
    <n v="38.502000000000002"/>
    <n v="38.447000000000003"/>
    <n v="16.207999999999998"/>
    <n v="11"/>
    <n v="10"/>
    <n v="10"/>
    <n v="10"/>
  </r>
  <r>
    <n v="301"/>
    <m/>
    <m/>
    <m/>
    <m/>
    <s v="G25.0"/>
    <s v="Essential tremor"/>
    <x v="128"/>
    <s v="M"/>
    <m/>
    <m/>
    <n v="59.579000000000001"/>
    <n v="55.091999999999999"/>
    <n v="114.233"/>
    <n v="114.629"/>
    <n v="107.04"/>
    <n v="107.425"/>
    <n v="112.26300000000001"/>
    <n v="111.94199999999999"/>
    <n v="61.887999999999998"/>
    <n v="63.570999999999998"/>
    <n v="38.112000000000002"/>
    <n v="36.429000000000002"/>
    <n v="12.189"/>
    <n v="12.976000000000001"/>
    <n v="36.429000000000002"/>
    <n v="38.112000000000002"/>
    <n v="11.314"/>
    <n v="12"/>
    <n v="10"/>
    <n v="10"/>
    <n v="10"/>
  </r>
  <r>
    <n v="302"/>
    <m/>
    <m/>
    <m/>
    <m/>
    <s v="R25.1"/>
    <s v="Tremor, unspecified"/>
    <x v="129"/>
    <s v="F"/>
    <m/>
    <m/>
    <n v="62.954000000000001"/>
    <n v="59.182000000000002"/>
    <n v="122.63800000000001"/>
    <n v="121.62"/>
    <n v="139.93"/>
    <n v="138.47"/>
    <n v="136.26400000000001"/>
    <n v="136.185"/>
    <n v="59.982999999999997"/>
    <n v="60.018999999999998"/>
    <n v="40.017000000000003"/>
    <n v="39.981000000000002"/>
    <n v="11.167999999999999"/>
    <n v="9.5299999999999994"/>
    <n v="39.981000000000002"/>
    <n v="40.017000000000003"/>
    <n v="7.5"/>
    <n v="10"/>
    <n v="10"/>
    <n v="10"/>
    <n v="10"/>
  </r>
  <r>
    <n v="303"/>
    <m/>
    <m/>
    <m/>
    <m/>
    <s v="G20"/>
    <s v="Parkinson's disease"/>
    <x v="130"/>
    <s v="F"/>
    <m/>
    <m/>
    <n v="47.889000000000003"/>
    <n v="44.587000000000003"/>
    <n v="91.563000000000002"/>
    <n v="92.58"/>
    <n v="57.817999999999998"/>
    <n v="58.511000000000003"/>
    <n v="75.403000000000006"/>
    <n v="75.495999999999995"/>
    <n v="64.614999999999995"/>
    <n v="65.19"/>
    <n v="35.384999999999998"/>
    <n v="34.81"/>
    <n v="14.21"/>
    <n v="15.794"/>
    <n v="34.81"/>
    <n v="35.384999999999998"/>
    <n v="11.367000000000001"/>
    <n v="8"/>
    <n v="9"/>
    <n v="8"/>
    <n v="8"/>
  </r>
  <r>
    <n v="304"/>
    <m/>
    <m/>
    <m/>
    <m/>
    <s v="G25.0"/>
    <s v="Essential tremor"/>
    <x v="131"/>
    <s v="F"/>
    <m/>
    <m/>
    <s v="NA"/>
    <s v="NA"/>
    <s v="NA"/>
    <s v="NA"/>
    <s v="NA"/>
    <s v="NA"/>
    <s v="NA"/>
    <s v="NA"/>
    <s v="NA"/>
    <s v="NA"/>
    <s v="NA"/>
    <s v="NA"/>
    <s v="NA"/>
    <s v="NA"/>
    <s v="NA"/>
    <s v="NA"/>
    <s v="NA"/>
    <s v="NA"/>
    <s v="NA"/>
    <s v="NA"/>
    <s v="NA"/>
  </r>
  <r>
    <n v="305"/>
    <m/>
    <m/>
    <m/>
    <m/>
    <s v="G20"/>
    <s v="Parkinson's disease"/>
    <x v="77"/>
    <s v="M"/>
    <m/>
    <m/>
    <n v="56.576000000000001"/>
    <n v="63.593000000000004"/>
    <n v="120.164"/>
    <n v="121.31"/>
    <n v="91.289000000000001"/>
    <n v="91.710999999999999"/>
    <n v="90.772999999999996"/>
    <n v="90.603999999999999"/>
    <n v="61.24"/>
    <n v="63.064999999999998"/>
    <n v="38.76"/>
    <n v="36.935000000000002"/>
    <n v="13.305999999999999"/>
    <n v="11.092000000000001"/>
    <n v="36.935000000000002"/>
    <n v="38.76"/>
    <n v="6.008"/>
    <n v="11"/>
    <n v="11"/>
    <n v="11"/>
    <n v="11"/>
  </r>
  <r>
    <n v="306"/>
    <m/>
    <m/>
    <m/>
    <m/>
    <s v="G24.3"/>
    <s v="Spasmodic torticollis"/>
    <x v="132"/>
    <s v="F"/>
    <m/>
    <m/>
    <n v="31.059000000000001"/>
    <n v="22.317"/>
    <n v="53.073"/>
    <n v="53.654000000000003"/>
    <n v="38.128"/>
    <n v="38.453000000000003"/>
    <n v="86.864999999999995"/>
    <n v="86.498999999999995"/>
    <n v="72.177000000000007"/>
    <n v="69.509"/>
    <n v="27.823"/>
    <n v="30.491"/>
    <n v="19.975000000000001"/>
    <n v="22.053000000000001"/>
    <n v="30.491"/>
    <n v="27.823"/>
    <n v="12.557"/>
    <n v="11"/>
    <n v="12"/>
    <n v="11"/>
    <n v="11"/>
  </r>
  <r>
    <n v="307"/>
    <m/>
    <m/>
    <m/>
    <m/>
    <s v="G25.0"/>
    <s v="Essential tremor"/>
    <x v="133"/>
    <s v="M"/>
    <m/>
    <m/>
    <n v="73.123000000000005"/>
    <n v="69.225999999999999"/>
    <n v="143.012"/>
    <n v="142.34899999999999"/>
    <n v="131.452"/>
    <n v="130.41200000000001"/>
    <n v="109.944"/>
    <n v="109.956"/>
    <n v="61.822000000000003"/>
    <n v="61.448"/>
    <n v="38.177999999999997"/>
    <n v="38.552"/>
    <n v="12.207000000000001"/>
    <n v="11.525"/>
    <n v="38.552"/>
    <n v="38.177999999999997"/>
    <n v="11.74"/>
    <n v="5"/>
    <n v="10"/>
    <n v="5"/>
    <n v="5"/>
  </r>
  <r>
    <n v="308"/>
    <m/>
    <m/>
    <m/>
    <m/>
    <s v="G20"/>
    <s v="Parkinson's disease"/>
    <x v="134"/>
    <s v="M"/>
    <m/>
    <m/>
    <n v="52.698999999999998"/>
    <n v="46.73"/>
    <n v="100.813"/>
    <n v="98.451999999999998"/>
    <n v="97.045000000000002"/>
    <n v="95.471999999999994"/>
    <n v="115.22799999999999"/>
    <n v="114.973"/>
    <n v="61.613"/>
    <n v="63.411000000000001"/>
    <n v="38.387"/>
    <n v="36.588000000000001"/>
    <n v="12.000999999999999"/>
    <n v="13.38"/>
    <n v="36.588000000000001"/>
    <n v="38.387"/>
    <n v="9.0350000000000001"/>
    <n v="9"/>
    <n v="9"/>
    <n v="9"/>
    <n v="9"/>
  </r>
  <r>
    <n v="309"/>
    <m/>
    <m/>
    <m/>
    <m/>
    <s v="G20"/>
    <s v="Parkinson's disease"/>
    <x v="67"/>
    <s v="M"/>
    <m/>
    <m/>
    <n v="58.978000000000002"/>
    <n v="61.125"/>
    <n v="118.714"/>
    <n v="121.44199999999999"/>
    <n v="107.149"/>
    <n v="109.97499999999999"/>
    <n v="107.541"/>
    <n v="107.486"/>
    <n v="59.506"/>
    <n v="62.673000000000002"/>
    <n v="40.494"/>
    <n v="37.326999999999998"/>
    <n v="10.044"/>
    <n v="11.895"/>
    <n v="37.326999999999998"/>
    <n v="40.494"/>
    <n v="13.284000000000001"/>
    <n v="9"/>
    <n v="9"/>
    <n v="9"/>
    <n v="9"/>
  </r>
  <r>
    <n v="310"/>
    <m/>
    <m/>
    <m/>
    <m/>
    <s v="NA"/>
    <s v="NA"/>
    <x v="35"/>
    <s v="NA"/>
    <m/>
    <m/>
    <n v="52.814999999999998"/>
    <n v="55.356999999999999"/>
    <n v="108.53400000000001"/>
    <n v="108.12"/>
    <n v="97.6"/>
    <n v="97.623999999999995"/>
    <n v="107.947"/>
    <n v="107.831"/>
    <n v="62.95"/>
    <n v="63.316000000000003"/>
    <n v="37.049999999999997"/>
    <n v="36.683999999999997"/>
    <n v="13.005000000000001"/>
    <n v="13.095000000000001"/>
    <n v="36.683999999999997"/>
    <n v="37.049999999999997"/>
    <n v="6.65"/>
    <n v="11"/>
    <n v="10"/>
    <n v="10"/>
    <n v="10"/>
  </r>
  <r>
    <n v="311"/>
    <m/>
    <m/>
    <m/>
    <m/>
    <s v="NA"/>
    <s v="NA"/>
    <x v="35"/>
    <s v="NA"/>
    <m/>
    <m/>
    <n v="27.768000000000001"/>
    <n v="29.474"/>
    <n v="56.64"/>
    <n v="58.100999999999999"/>
    <n v="62.442999999999998"/>
    <n v="64.177999999999997"/>
    <n v="130.71700000000001"/>
    <n v="131.36500000000001"/>
    <n v="60.957999999999998"/>
    <n v="68.263000000000005"/>
    <n v="39.042000000000002"/>
    <n v="31.736999999999998"/>
    <n v="12.41"/>
    <n v="17.309000000000001"/>
    <n v="31.736999999999998"/>
    <n v="39.042000000000002"/>
    <n v="9.9529999999999994"/>
    <n v="10"/>
    <n v="10"/>
    <n v="10"/>
    <n v="10"/>
  </r>
  <r>
    <n v="312"/>
    <m/>
    <m/>
    <m/>
    <m/>
    <s v="NA"/>
    <s v="NA"/>
    <x v="35"/>
    <s v="NA"/>
    <m/>
    <m/>
    <n v="67.454999999999998"/>
    <n v="65.067999999999998"/>
    <n v="132.721"/>
    <n v="132.27799999999999"/>
    <n v="136.244"/>
    <n v="135.953"/>
    <n v="122.85299999999999"/>
    <n v="122.637"/>
    <n v="61.046999999999997"/>
    <n v="63.381"/>
    <n v="38.953000000000003"/>
    <n v="36.619"/>
    <n v="13.077999999999999"/>
    <n v="12.281000000000001"/>
    <n v="36.619"/>
    <n v="38.953000000000003"/>
    <n v="16.436"/>
    <n v="9"/>
    <n v="7"/>
    <n v="7"/>
    <n v="7"/>
  </r>
  <r>
    <n v="313"/>
    <m/>
    <m/>
    <m/>
    <m/>
    <s v="G20"/>
    <s v="Parkinson's disease"/>
    <x v="135"/>
    <s v="M"/>
    <m/>
    <m/>
    <s v="NA"/>
    <s v="NA"/>
    <s v="NA"/>
    <s v="NA"/>
    <s v="NA"/>
    <s v="NA"/>
    <s v="NA"/>
    <s v="NA"/>
    <s v="NA"/>
    <s v="NA"/>
    <s v="NA"/>
    <s v="NA"/>
    <s v="NA"/>
    <s v="NA"/>
    <s v="NA"/>
    <s v="NA"/>
    <s v="NA"/>
    <s v="NA"/>
    <s v="NA"/>
    <s v="NA"/>
    <s v="NA"/>
  </r>
  <r>
    <n v="314"/>
    <m/>
    <m/>
    <m/>
    <m/>
    <s v="NA"/>
    <s v="NA"/>
    <x v="35"/>
    <s v="NA"/>
    <m/>
    <m/>
    <n v="31.23"/>
    <n v="23.835000000000001"/>
    <n v="55.104999999999997"/>
    <n v="55.49"/>
    <n v="39.460999999999999"/>
    <n v="39.845999999999997"/>
    <n v="86.031000000000006"/>
    <n v="85.555999999999997"/>
    <n v="70.655000000000001"/>
    <n v="73.715000000000003"/>
    <n v="29.344999999999999"/>
    <n v="26.285"/>
    <n v="20.645"/>
    <n v="23.49"/>
    <n v="26.285"/>
    <n v="29.344999999999999"/>
    <n v="11.927"/>
    <n v="15"/>
    <n v="15"/>
    <n v="15"/>
    <n v="15"/>
  </r>
  <r>
    <n v="315"/>
    <m/>
    <m/>
    <m/>
    <m/>
    <s v="NA"/>
    <s v="NA"/>
    <x v="35"/>
    <s v="NA"/>
    <m/>
    <m/>
    <n v="59.912999999999997"/>
    <n v="56.59"/>
    <n v="117.34"/>
    <n v="116.227"/>
    <n v="108.068"/>
    <n v="107.172"/>
    <n v="109.824"/>
    <n v="109.497"/>
    <n v="62.585000000000001"/>
    <n v="61.814999999999998"/>
    <n v="37.414999999999999"/>
    <n v="38.185000000000002"/>
    <n v="12.198"/>
    <n v="12.631"/>
    <n v="38.185000000000002"/>
    <n v="37.414999999999999"/>
    <n v="11.112"/>
    <n v="10"/>
    <n v="11"/>
    <n v="10"/>
    <n v="10"/>
  </r>
  <r>
    <n v="316"/>
    <m/>
    <m/>
    <m/>
    <m/>
    <s v="G25.0"/>
    <s v="Essential tremor"/>
    <x v="136"/>
    <s v="F"/>
    <m/>
    <m/>
    <n v="62.558"/>
    <n v="62.603000000000002"/>
    <n v="124.863"/>
    <n v="125.39100000000001"/>
    <n v="125.33"/>
    <n v="125.101"/>
    <n v="119.47799999999999"/>
    <n v="119.494"/>
    <n v="60.652000000000001"/>
    <n v="60.183"/>
    <n v="39.347999999999999"/>
    <n v="39.817"/>
    <n v="10.593"/>
    <n v="10.318"/>
    <n v="39.817"/>
    <n v="39.347999999999999"/>
    <n v="7.0460000000000003"/>
    <n v="9"/>
    <n v="9"/>
    <n v="9"/>
    <n v="9"/>
  </r>
  <r>
    <n v="317"/>
    <m/>
    <m/>
    <m/>
    <m/>
    <s v="G25.0"/>
    <s v="Essential tremor"/>
    <x v="137"/>
    <s v="M"/>
    <m/>
    <m/>
    <n v="67.021000000000001"/>
    <n v="64.103999999999999"/>
    <n v="130.78"/>
    <n v="131.09"/>
    <n v="107.38500000000001"/>
    <n v="107.616"/>
    <n v="98.423000000000002"/>
    <n v="98.537000000000006"/>
    <n v="63.268000000000001"/>
    <n v="62.369"/>
    <n v="36.731999999999999"/>
    <n v="37.631"/>
    <n v="12.617000000000001"/>
    <n v="12.577"/>
    <n v="37.631"/>
    <n v="36.731999999999999"/>
    <n v="6.0979999999999999"/>
    <n v="8"/>
    <n v="10"/>
    <n v="8"/>
    <n v="8"/>
  </r>
  <r>
    <n v="318"/>
    <m/>
    <m/>
    <m/>
    <m/>
    <s v="G25.0"/>
    <s v="Essential tremor"/>
    <x v="138"/>
    <s v="M"/>
    <m/>
    <m/>
    <n v="66.760999999999996"/>
    <n v="61.744999999999997"/>
    <n v="129.20500000000001"/>
    <n v="128.28200000000001"/>
    <n v="123.373"/>
    <n v="123.399"/>
    <n v="114.11499999999999"/>
    <n v="114.643"/>
    <n v="62.07"/>
    <n v="62.152000000000001"/>
    <n v="37.93"/>
    <n v="37.847999999999999"/>
    <n v="14.318"/>
    <n v="10.996"/>
    <n v="37.847999999999999"/>
    <n v="37.93"/>
    <n v="10.19"/>
    <n v="11"/>
    <n v="11"/>
    <n v="11"/>
    <n v="11"/>
  </r>
  <r>
    <n v="319"/>
    <m/>
    <m/>
    <m/>
    <m/>
    <s v="NA"/>
    <s v="NA"/>
    <x v="35"/>
    <s v="NA"/>
    <m/>
    <m/>
    <n v="62.673000000000002"/>
    <n v="55.119"/>
    <n v="117.914"/>
    <n v="117.77800000000001"/>
    <n v="107.04300000000001"/>
    <n v="106.81"/>
    <n v="108.30200000000001"/>
    <n v="108.19499999999999"/>
    <n v="62.728999999999999"/>
    <n v="61.27"/>
    <n v="37.271000000000001"/>
    <n v="38.729999999999997"/>
    <n v="10.132999999999999"/>
    <n v="13.891999999999999"/>
    <n v="38.729999999999997"/>
    <n v="37.271000000000001"/>
    <n v="15.502000000000001"/>
    <n v="10"/>
    <n v="10"/>
    <n v="10"/>
    <n v="10"/>
  </r>
  <r>
    <n v="320"/>
    <m/>
    <m/>
    <m/>
    <m/>
    <s v="NA"/>
    <s v="NA"/>
    <x v="99"/>
    <s v="M"/>
    <m/>
    <m/>
    <s v="NA"/>
    <s v="NA"/>
    <s v="NA"/>
    <s v="NA"/>
    <s v="NA"/>
    <s v="NA"/>
    <s v="NA"/>
    <s v="NA"/>
    <s v="NA"/>
    <s v="NA"/>
    <s v="NA"/>
    <s v="NA"/>
    <s v="NA"/>
    <s v="NA"/>
    <s v="NA"/>
    <s v="NA"/>
    <s v="NA"/>
    <s v="NA"/>
    <s v="NA"/>
    <s v="NA"/>
    <s v="NA"/>
  </r>
  <r>
    <n v="321"/>
    <m/>
    <m/>
    <m/>
    <m/>
    <s v="NA"/>
    <s v="NA"/>
    <x v="35"/>
    <s v="NA"/>
    <m/>
    <m/>
    <s v="NA"/>
    <s v="NA"/>
    <s v="NA"/>
    <s v="NA"/>
    <s v="NA"/>
    <s v="NA"/>
    <s v="NA"/>
    <s v="NA"/>
    <s v="NA"/>
    <s v="NA"/>
    <s v="NA"/>
    <s v="NA"/>
    <s v="NA"/>
    <s v="NA"/>
    <s v="NA"/>
    <s v="NA"/>
    <s v="NA"/>
    <s v="NA"/>
    <s v="NA"/>
    <s v="NA"/>
    <s v="NA"/>
  </r>
  <r>
    <n v="322"/>
    <m/>
    <m/>
    <m/>
    <m/>
    <s v="G20"/>
    <s v="Parkinson's disease"/>
    <x v="139"/>
    <s v="M"/>
    <m/>
    <m/>
    <n v="40.909999999999997"/>
    <n v="37.569000000000003"/>
    <n v="79.010999999999996"/>
    <n v="77.370999999999995"/>
    <n v="77.668000000000006"/>
    <n v="76.521000000000001"/>
    <n v="118.67700000000001"/>
    <n v="118.04900000000001"/>
    <n v="66.168000000000006"/>
    <n v="64.768000000000001"/>
    <n v="33.832000000000001"/>
    <n v="35.231999999999999"/>
    <n v="12.222"/>
    <n v="18.059000000000001"/>
    <n v="35.231999999999999"/>
    <n v="33.832000000000001"/>
    <n v="16.745000000000001"/>
    <n v="13"/>
    <n v="14"/>
    <n v="13"/>
    <n v="13"/>
  </r>
  <r>
    <n v="323"/>
    <m/>
    <m/>
    <m/>
    <m/>
    <s v="G20"/>
    <s v="Parkinson's disease"/>
    <x v="120"/>
    <s v="M"/>
    <m/>
    <m/>
    <n v="53.371000000000002"/>
    <n v="55.128"/>
    <n v="109.157"/>
    <n v="108.521"/>
    <n v="84.364999999999995"/>
    <n v="84.679000000000002"/>
    <n v="92.841999999999999"/>
    <n v="93.650999999999996"/>
    <n v="63.673000000000002"/>
    <n v="63.354999999999997"/>
    <n v="36.326999999999998"/>
    <n v="36.645000000000003"/>
    <n v="14.273999999999999"/>
    <n v="13.24"/>
    <n v="36.645000000000003"/>
    <n v="36.326999999999998"/>
    <n v="10.526"/>
    <n v="12"/>
    <n v="11"/>
    <n v="11"/>
    <n v="11"/>
  </r>
  <r>
    <n v="324"/>
    <m/>
    <m/>
    <m/>
    <m/>
    <s v="NA"/>
    <s v="NA"/>
    <x v="115"/>
    <s v="M"/>
    <m/>
    <m/>
    <s v="NA"/>
    <s v="NA"/>
    <s v="NA"/>
    <s v="NA"/>
    <s v="NA"/>
    <s v="NA"/>
    <s v="NA"/>
    <s v="NA"/>
    <s v="NA"/>
    <s v="NA"/>
    <s v="NA"/>
    <s v="NA"/>
    <s v="NA"/>
    <s v="NA"/>
    <s v="NA"/>
    <s v="NA"/>
    <s v="NA"/>
    <s v="NA"/>
    <s v="NA"/>
    <s v="NA"/>
    <s v="NA"/>
  </r>
  <r>
    <n v="325"/>
    <m/>
    <m/>
    <m/>
    <m/>
    <s v="G25.0"/>
    <s v="Essential tremor"/>
    <x v="140"/>
    <s v="F"/>
    <m/>
    <m/>
    <n v="47.603000000000002"/>
    <n v="48.305"/>
    <n v="96.623999999999995"/>
    <n v="95.74"/>
    <n v="94.378"/>
    <n v="93.463999999999999"/>
    <n v="116.872"/>
    <n v="116.837"/>
    <n v="64.792000000000002"/>
    <n v="63.905000000000001"/>
    <n v="35.207999999999998"/>
    <n v="36.094000000000001"/>
    <n v="14.106999999999999"/>
    <n v="14.659000000000001"/>
    <n v="36.094000000000001"/>
    <n v="35.207999999999998"/>
    <n v="11.294"/>
    <n v="13"/>
    <n v="14"/>
    <n v="13"/>
    <n v="13"/>
  </r>
  <r>
    <n v="326"/>
    <m/>
    <m/>
    <m/>
    <m/>
    <s v="G20"/>
    <s v="Parkinson's disease"/>
    <x v="141"/>
    <s v="F"/>
    <m/>
    <m/>
    <n v="30.745000000000001"/>
    <n v="35.854999999999997"/>
    <n v="67.768000000000001"/>
    <n v="66.424999999999997"/>
    <n v="53.93"/>
    <n v="53.055999999999997"/>
    <n v="94.554000000000002"/>
    <n v="94.804000000000002"/>
    <n v="66.105000000000004"/>
    <n v="66.096999999999994"/>
    <n v="33.895000000000003"/>
    <n v="33.902999999999999"/>
    <n v="16.802"/>
    <n v="15.481"/>
    <n v="33.902999999999999"/>
    <n v="33.895000000000003"/>
    <n v="11.727"/>
    <n v="17"/>
    <n v="18"/>
    <n v="17"/>
    <n v="17"/>
  </r>
  <r>
    <n v="327"/>
    <m/>
    <m/>
    <m/>
    <m/>
    <s v="G20"/>
    <s v="Parkinson's disease"/>
    <x v="142"/>
    <s v="M"/>
    <m/>
    <m/>
    <n v="58.164000000000001"/>
    <n v="62.371000000000002"/>
    <n v="121.79300000000001"/>
    <n v="120.55800000000001"/>
    <n v="131.80600000000001"/>
    <n v="130.941"/>
    <n v="129.774"/>
    <n v="129.88999999999999"/>
    <n v="61.98"/>
    <n v="62.55"/>
    <n v="38.020000000000003"/>
    <n v="37.450000000000003"/>
    <n v="12.345000000000001"/>
    <n v="12.54"/>
    <n v="37.450000000000003"/>
    <n v="38.020000000000003"/>
    <n v="13.385999999999999"/>
    <n v="10"/>
    <n v="11"/>
    <n v="10"/>
    <n v="10"/>
  </r>
  <r>
    <n v="328"/>
    <m/>
    <m/>
    <m/>
    <m/>
    <s v="G20"/>
    <s v="Parkinson's disease"/>
    <x v="143"/>
    <s v="M"/>
    <m/>
    <m/>
    <n v="62.658999999999999"/>
    <n v="60.554000000000002"/>
    <n v="123.696"/>
    <n v="123.908"/>
    <n v="124.16200000000001"/>
    <n v="124.73099999999999"/>
    <n v="119.919"/>
    <n v="119.13800000000001"/>
    <n v="59.451999999999998"/>
    <n v="61.534999999999997"/>
    <n v="40.548000000000002"/>
    <n v="38.465000000000003"/>
    <n v="10.746"/>
    <n v="11.087"/>
    <n v="38.465000000000003"/>
    <n v="40.548000000000002"/>
    <n v="12.327999999999999"/>
    <n v="10"/>
    <n v="10"/>
    <n v="10"/>
    <n v="10"/>
  </r>
  <r>
    <n v="329"/>
    <m/>
    <m/>
    <m/>
    <m/>
    <s v="NA"/>
    <s v="NA"/>
    <x v="35"/>
    <s v="NA"/>
    <m/>
    <m/>
    <n v="26.963000000000001"/>
    <n v="29.355"/>
    <n v="56.378"/>
    <n v="56.287999999999997"/>
    <n v="50.043999999999997"/>
    <n v="49.673999999999999"/>
    <n v="106.242"/>
    <n v="105.54300000000001"/>
    <n v="66.643000000000001"/>
    <n v="71.578000000000003"/>
    <n v="33.356999999999999"/>
    <n v="28.422000000000001"/>
    <n v="18.658999999999999"/>
    <n v="20.391999999999999"/>
    <n v="28.422000000000001"/>
    <n v="33.356999999999999"/>
    <n v="24.605"/>
    <n v="19"/>
    <n v="18"/>
    <n v="18"/>
    <n v="18"/>
  </r>
  <r>
    <n v="330"/>
    <m/>
    <m/>
    <m/>
    <m/>
    <s v="NA"/>
    <s v="NA"/>
    <x v="35"/>
    <s v="NA"/>
    <m/>
    <m/>
    <n v="48.512"/>
    <n v="43.128999999999998"/>
    <n v="92.391999999999996"/>
    <n v="91.659000000000006"/>
    <n v="73.043000000000006"/>
    <n v="73.548000000000002"/>
    <n v="95.177999999999997"/>
    <n v="95.787999999999997"/>
    <n v="64.894999999999996"/>
    <n v="67.429000000000002"/>
    <n v="35.104999999999997"/>
    <n v="32.570999999999998"/>
    <n v="15.084"/>
    <n v="17.422999999999998"/>
    <n v="32.570999999999998"/>
    <n v="35.104999999999997"/>
    <n v="16.693999999999999"/>
    <n v="14"/>
    <n v="14"/>
    <n v="14"/>
    <n v="14"/>
  </r>
  <r>
    <n v="331"/>
    <m/>
    <m/>
    <m/>
    <m/>
    <s v="NA"/>
    <s v="NA"/>
    <x v="37"/>
    <s v="F"/>
    <m/>
    <m/>
    <s v="NA"/>
    <s v="NA"/>
    <s v="NA"/>
    <s v="NA"/>
    <s v="NA"/>
    <s v="NA"/>
    <s v="NA"/>
    <s v="NA"/>
    <s v="NA"/>
    <s v="NA"/>
    <s v="NA"/>
    <s v="NA"/>
    <s v="NA"/>
    <s v="NA"/>
    <s v="NA"/>
    <s v="NA"/>
    <s v="NA"/>
    <s v="NA"/>
    <s v="NA"/>
    <s v="NA"/>
    <s v="NA"/>
  </r>
  <r>
    <n v="332"/>
    <m/>
    <m/>
    <m/>
    <m/>
    <s v="G20"/>
    <s v="Parkinson's disease"/>
    <x v="118"/>
    <s v="F"/>
    <m/>
    <m/>
    <n v="40.738999999999997"/>
    <n v="44.137999999999998"/>
    <n v="84.683999999999997"/>
    <n v="84.817999999999998"/>
    <n v="72.358000000000004"/>
    <n v="73.126000000000005"/>
    <n v="103.255"/>
    <n v="103.76900000000001"/>
    <n v="64.19"/>
    <n v="67.290000000000006"/>
    <n v="35.81"/>
    <n v="32.71"/>
    <n v="15.949"/>
    <n v="15.236000000000001"/>
    <n v="32.71"/>
    <n v="35.81"/>
    <n v="11.215"/>
    <n v="11"/>
    <n v="11"/>
    <n v="11"/>
    <n v="11"/>
  </r>
  <r>
    <n v="333"/>
    <m/>
    <m/>
    <m/>
    <m/>
    <s v="NA"/>
    <s v="NA"/>
    <x v="35"/>
    <s v="NA"/>
    <m/>
    <m/>
    <s v="NA"/>
    <s v="NA"/>
    <s v="NA"/>
    <s v="NA"/>
    <s v="NA"/>
    <s v="NA"/>
    <s v="NA"/>
    <s v="NA"/>
    <s v="NA"/>
    <s v="NA"/>
    <s v="NA"/>
    <s v="NA"/>
    <s v="NA"/>
    <s v="NA"/>
    <s v="NA"/>
    <s v="NA"/>
    <s v="NA"/>
    <s v="NA"/>
    <s v="NA"/>
    <s v="NA"/>
    <s v="NA"/>
  </r>
  <r>
    <n v="334"/>
    <m/>
    <m/>
    <m/>
    <m/>
    <s v="NA"/>
    <s v="NA"/>
    <x v="35"/>
    <s v="NA"/>
    <m/>
    <m/>
    <n v="40.375"/>
    <n v="29.242999999999999"/>
    <n v="67.269000000000005"/>
    <n v="67.608999999999995"/>
    <n v="78.103999999999999"/>
    <n v="79.504000000000005"/>
    <n v="161.87899999999999"/>
    <n v="161.553"/>
    <n v="67.165000000000006"/>
    <n v="60.152000000000001"/>
    <n v="32.835000000000001"/>
    <n v="39.847999999999999"/>
    <n v="14.849"/>
    <n v="13.472"/>
    <n v="39.847999999999999"/>
    <n v="32.835000000000001"/>
    <n v="17.603000000000002"/>
    <n v="24"/>
    <n v="24"/>
    <n v="24"/>
    <n v="24"/>
  </r>
  <r>
    <n v="335"/>
    <m/>
    <m/>
    <m/>
    <m/>
    <s v="R25.1"/>
    <s v="Tremor, unspecified"/>
    <x v="144"/>
    <s v="M"/>
    <m/>
    <m/>
    <n v="68.855000000000004"/>
    <n v="65.814999999999998"/>
    <n v="134.822"/>
    <n v="135.05799999999999"/>
    <n v="121.075"/>
    <n v="120.9"/>
    <n v="107.248"/>
    <n v="107.282"/>
    <n v="62.442"/>
    <n v="62.52"/>
    <n v="37.558"/>
    <n v="37.479999999999997"/>
    <n v="13.725"/>
    <n v="11.833"/>
    <n v="37.479999999999997"/>
    <n v="37.558"/>
    <n v="6.9249999999999998"/>
    <n v="11"/>
    <n v="12"/>
    <n v="11"/>
    <n v="11"/>
  </r>
  <r>
    <n v="336"/>
    <m/>
    <m/>
    <m/>
    <m/>
    <s v="NA"/>
    <s v="NA"/>
    <x v="145"/>
    <s v="F"/>
    <m/>
    <m/>
    <s v="NA"/>
    <s v="NA"/>
    <s v="NA"/>
    <s v="NA"/>
    <s v="NA"/>
    <s v="NA"/>
    <s v="NA"/>
    <s v="NA"/>
    <s v="NA"/>
    <s v="NA"/>
    <s v="NA"/>
    <s v="NA"/>
    <s v="NA"/>
    <s v="NA"/>
    <s v="NA"/>
    <s v="NA"/>
    <s v="NA"/>
    <s v="NA"/>
    <s v="NA"/>
    <s v="NA"/>
    <s v="NA"/>
  </r>
  <r>
    <n v="337"/>
    <m/>
    <m/>
    <m/>
    <m/>
    <s v="G20"/>
    <s v="Parkinson's disease"/>
    <x v="146"/>
    <s v="F"/>
    <m/>
    <m/>
    <n v="35.271999999999998"/>
    <n v="38.273000000000003"/>
    <n v="74.153999999999996"/>
    <n v="73.126999999999995"/>
    <n v="60.265999999999998"/>
    <n v="60.161999999999999"/>
    <n v="97"/>
    <n v="97.046999999999997"/>
    <n v="67.019000000000005"/>
    <n v="64.341999999999999"/>
    <n v="32.981000000000002"/>
    <n v="35.658000000000001"/>
    <n v="11.079000000000001"/>
    <n v="20.561"/>
    <n v="35.658000000000001"/>
    <n v="32.981000000000002"/>
    <n v="10.263"/>
    <n v="18"/>
    <n v="19"/>
    <n v="18"/>
    <n v="18"/>
  </r>
  <r>
    <n v="338"/>
    <m/>
    <m/>
    <m/>
    <m/>
    <s v="NA"/>
    <s v="NA"/>
    <x v="35"/>
    <s v="NA"/>
    <m/>
    <m/>
    <n v="60.994999999999997"/>
    <n v="63.988"/>
    <n v="125.33499999999999"/>
    <n v="125.19799999999999"/>
    <n v="117.80200000000001"/>
    <n v="117.62"/>
    <n v="112.196"/>
    <n v="112.01900000000001"/>
    <n v="61.765999999999998"/>
    <n v="63.06"/>
    <n v="38.234000000000002"/>
    <n v="36.94"/>
    <n v="12.769"/>
    <n v="12.198"/>
    <n v="36.94"/>
    <n v="38.234000000000002"/>
    <n v="11.182"/>
    <n v="10"/>
    <n v="10"/>
    <n v="10"/>
    <n v="10"/>
  </r>
  <r>
    <n v="339"/>
    <m/>
    <m/>
    <m/>
    <m/>
    <s v="NA"/>
    <s v="NA"/>
    <x v="147"/>
    <s v="F"/>
    <m/>
    <m/>
    <s v="NA"/>
    <s v="NA"/>
    <s v="NA"/>
    <s v="NA"/>
    <s v="NA"/>
    <s v="NA"/>
    <s v="NA"/>
    <s v="NA"/>
    <s v="NA"/>
    <s v="NA"/>
    <s v="NA"/>
    <s v="NA"/>
    <s v="NA"/>
    <s v="NA"/>
    <s v="NA"/>
    <s v="NA"/>
    <s v="NA"/>
    <s v="NA"/>
    <s v="NA"/>
    <s v="NA"/>
    <s v="NA"/>
  </r>
  <r>
    <n v="340"/>
    <m/>
    <m/>
    <m/>
    <m/>
    <s v="NA"/>
    <s v="NA"/>
    <x v="35"/>
    <s v="NA"/>
    <m/>
    <m/>
    <n v="52.334000000000003"/>
    <n v="49.465000000000003"/>
    <n v="102.033"/>
    <n v="101.583"/>
    <n v="99.88"/>
    <n v="99.114000000000004"/>
    <n v="116.95099999999999"/>
    <n v="115.712"/>
    <n v="64.248999999999995"/>
    <n v="62.384999999999998"/>
    <n v="35.750999999999998"/>
    <n v="37.615000000000002"/>
    <n v="12.423"/>
    <n v="15.063000000000001"/>
    <n v="37.615000000000002"/>
    <n v="35.750999999999998"/>
    <n v="17.27"/>
    <n v="13"/>
    <n v="12"/>
    <n v="12"/>
    <n v="12"/>
  </r>
  <r>
    <n v="341"/>
    <m/>
    <m/>
    <m/>
    <m/>
    <s v="G20"/>
    <s v="Parkinson's disease"/>
    <x v="148"/>
    <s v="F"/>
    <m/>
    <m/>
    <n v="45.478000000000002"/>
    <n v="50.95"/>
    <n v="96.884"/>
    <n v="96.433000000000007"/>
    <n v="86.462999999999994"/>
    <n v="86.031000000000006"/>
    <n v="106.14"/>
    <n v="106.193"/>
    <n v="64.843000000000004"/>
    <n v="63.662999999999997"/>
    <n v="35.156999999999996"/>
    <n v="36.337000000000003"/>
    <n v="15.198"/>
    <n v="13.742000000000001"/>
    <n v="36.337000000000003"/>
    <n v="35.156999999999996"/>
    <n v="12.704000000000001"/>
    <n v="11"/>
    <n v="14"/>
    <n v="11"/>
    <n v="11"/>
  </r>
  <r>
    <n v="342"/>
    <m/>
    <m/>
    <m/>
    <m/>
    <s v="G20"/>
    <s v="Parkinson's disease"/>
    <x v="32"/>
    <s v="M"/>
    <m/>
    <m/>
    <s v="NA"/>
    <s v="NA"/>
    <s v="NA"/>
    <s v="NA"/>
    <s v="NA"/>
    <s v="NA"/>
    <s v="NA"/>
    <s v="NA"/>
    <s v="NA"/>
    <s v="NA"/>
    <s v="NA"/>
    <s v="NA"/>
    <s v="NA"/>
    <s v="NA"/>
    <s v="NA"/>
    <s v="NA"/>
    <s v="NA"/>
    <s v="NA"/>
    <s v="NA"/>
    <s v="NA"/>
    <s v="NA"/>
  </r>
  <r>
    <n v="344"/>
    <m/>
    <m/>
    <m/>
    <m/>
    <s v="R25.1"/>
    <s v="Tremor, unspecified"/>
    <x v="149"/>
    <s v="M"/>
    <m/>
    <m/>
    <n v="64.942999999999998"/>
    <n v="65.760000000000005"/>
    <n v="130.483"/>
    <n v="131.29"/>
    <n v="120.46599999999999"/>
    <n v="121.19799999999999"/>
    <n v="110.089"/>
    <n v="110.28"/>
    <n v="61.844999999999999"/>
    <n v="62.478999999999999"/>
    <n v="38.155000000000001"/>
    <n v="37.521000000000001"/>
    <n v="11.116"/>
    <n v="13.472"/>
    <n v="37.521000000000001"/>
    <n v="38.155000000000001"/>
    <n v="8.0519999999999996"/>
    <n v="11"/>
    <n v="10"/>
    <n v="10"/>
    <n v="10"/>
  </r>
  <r>
    <n v="345"/>
    <m/>
    <m/>
    <m/>
    <m/>
    <s v="NA"/>
    <s v="NA"/>
    <x v="35"/>
    <s v="NA"/>
    <m/>
    <m/>
    <n v="37.042999999999999"/>
    <n v="35.332000000000001"/>
    <n v="73.739999999999995"/>
    <n v="73.197000000000003"/>
    <n v="53.246000000000002"/>
    <n v="52.991"/>
    <n v="87.844999999999999"/>
    <n v="86.915000000000006"/>
    <n v="65.409000000000006"/>
    <n v="64.13"/>
    <n v="34.591000000000001"/>
    <n v="35.869999999999997"/>
    <n v="15.839"/>
    <n v="14.76"/>
    <n v="35.869999999999997"/>
    <n v="34.591000000000001"/>
    <n v="10.936"/>
    <n v="13"/>
    <n v="13"/>
    <n v="13"/>
    <n v="13"/>
  </r>
  <r>
    <n v="346"/>
    <m/>
    <m/>
    <m/>
    <m/>
    <s v="NA"/>
    <s v="NA"/>
    <x v="35"/>
    <s v="NA"/>
    <m/>
    <m/>
    <s v="NA"/>
    <s v="NA"/>
    <s v="NA"/>
    <s v="NA"/>
    <s v="NA"/>
    <s v="NA"/>
    <s v="NA"/>
    <s v="NA"/>
    <s v="NA"/>
    <s v="NA"/>
    <s v="NA"/>
    <s v="NA"/>
    <s v="NA"/>
    <s v="NA"/>
    <s v="NA"/>
    <s v="NA"/>
    <s v="NA"/>
    <s v="NA"/>
    <s v="NA"/>
    <s v="NA"/>
    <s v="NA"/>
  </r>
  <r>
    <n v="347"/>
    <m/>
    <m/>
    <m/>
    <m/>
    <s v="G20"/>
    <s v="Parkinson's disease"/>
    <x v="150"/>
    <s v="M"/>
    <m/>
    <m/>
    <n v="39.529000000000003"/>
    <n v="39.811"/>
    <n v="79.162999999999997"/>
    <n v="78.861999999999995"/>
    <n v="66.262"/>
    <n v="66.322000000000003"/>
    <n v="99.837000000000003"/>
    <n v="100.98699999999999"/>
    <n v="70.052000000000007"/>
    <n v="67.477999999999994"/>
    <n v="29.948"/>
    <n v="32.521999999999998"/>
    <n v="18.39"/>
    <n v="19.989000000000001"/>
    <n v="32.521999999999998"/>
    <n v="29.948"/>
    <n v="13.243"/>
    <n v="11"/>
    <n v="12"/>
    <n v="11"/>
    <n v="11"/>
  </r>
  <r>
    <n v="348"/>
    <m/>
    <m/>
    <m/>
    <m/>
    <s v="NA"/>
    <s v="NA"/>
    <x v="35"/>
    <s v="NA"/>
    <m/>
    <m/>
    <s v="NA"/>
    <s v="NA"/>
    <s v="NA"/>
    <s v="NA"/>
    <s v="NA"/>
    <s v="NA"/>
    <s v="NA"/>
    <s v="NA"/>
    <s v="NA"/>
    <s v="NA"/>
    <s v="NA"/>
    <s v="NA"/>
    <s v="NA"/>
    <s v="NA"/>
    <s v="NA"/>
    <s v="NA"/>
    <s v="NA"/>
    <s v="NA"/>
    <s v="NA"/>
    <s v="NA"/>
    <s v="NA"/>
  </r>
  <r>
    <n v="349"/>
    <m/>
    <m/>
    <m/>
    <m/>
    <s v="NA"/>
    <s v="NA"/>
    <x v="151"/>
    <s v="M"/>
    <m/>
    <m/>
    <s v="NA"/>
    <s v="NA"/>
    <s v="NA"/>
    <s v="NA"/>
    <s v="NA"/>
    <s v="NA"/>
    <s v="NA"/>
    <s v="NA"/>
    <s v="NA"/>
    <s v="NA"/>
    <s v="NA"/>
    <s v="NA"/>
    <s v="NA"/>
    <s v="NA"/>
    <s v="NA"/>
    <s v="NA"/>
    <s v="NA"/>
    <s v="NA"/>
    <s v="NA"/>
    <s v="NA"/>
    <s v="NA"/>
  </r>
  <r>
    <n v="350"/>
    <m/>
    <m/>
    <m/>
    <m/>
    <s v="G20"/>
    <s v="Parkinson's disease"/>
    <x v="11"/>
    <s v="M"/>
    <m/>
    <m/>
    <n v="60.305999999999997"/>
    <n v="57.56"/>
    <n v="117.961"/>
    <n v="117.343"/>
    <n v="112.86199999999999"/>
    <n v="113.899"/>
    <n v="114.386"/>
    <n v="115.093"/>
    <n v="62.987000000000002"/>
    <n v="64.075999999999993"/>
    <n v="37.012999999999998"/>
    <n v="35.923999999999999"/>
    <n v="14.648999999999999"/>
    <n v="12.420999999999999"/>
    <n v="35.923999999999999"/>
    <n v="37.012999999999998"/>
    <n v="7.88"/>
    <n v="11"/>
    <n v="10"/>
    <n v="10"/>
    <n v="10"/>
  </r>
  <r>
    <n v="351"/>
    <m/>
    <m/>
    <m/>
    <m/>
    <s v="G25.0"/>
    <s v="Essential tremor"/>
    <x v="43"/>
    <s v="M"/>
    <m/>
    <m/>
    <n v="63.402999999999999"/>
    <n v="65.8"/>
    <n v="130.05799999999999"/>
    <n v="129.14699999999999"/>
    <n v="104.669"/>
    <n v="104.39700000000001"/>
    <n v="96.033000000000001"/>
    <n v="96.668000000000006"/>
    <n v="62.128999999999998"/>
    <n v="61.161000000000001"/>
    <n v="37.871000000000002"/>
    <n v="38.838999999999999"/>
    <n v="11.964"/>
    <n v="11.945"/>
    <n v="38.838999999999999"/>
    <n v="37.871000000000002"/>
    <n v="8.73"/>
    <n v="10"/>
    <n v="11"/>
    <n v="10"/>
    <n v="10"/>
  </r>
  <r>
    <n v="352"/>
    <m/>
    <m/>
    <m/>
    <m/>
    <s v="NA"/>
    <s v="NA"/>
    <x v="35"/>
    <s v="NA"/>
    <m/>
    <m/>
    <n v="50.064"/>
    <n v="50.698"/>
    <n v="100.64400000000001"/>
    <n v="101.502"/>
    <n v="90.545000000000002"/>
    <n v="91.191999999999993"/>
    <n v="107.408"/>
    <n v="107.46299999999999"/>
    <n v="64.238"/>
    <n v="62.701000000000001"/>
    <n v="35.762"/>
    <n v="37.298999999999999"/>
    <n v="13.407"/>
    <n v="14.23"/>
    <n v="37.298999999999999"/>
    <n v="35.762"/>
    <n v="14.602"/>
    <n v="12"/>
    <n v="11"/>
    <n v="11"/>
    <n v="11"/>
  </r>
  <r>
    <n v="353"/>
    <m/>
    <m/>
    <m/>
    <m/>
    <s v="G25.0"/>
    <s v="Essential tremor"/>
    <x v="122"/>
    <s v="F"/>
    <m/>
    <m/>
    <n v="61.146999999999998"/>
    <n v="58.521999999999998"/>
    <n v="119.917"/>
    <n v="118.982"/>
    <n v="129.06899999999999"/>
    <n v="127.696"/>
    <n v="128.99700000000001"/>
    <n v="127.876"/>
    <n v="61.487000000000002"/>
    <n v="61.048000000000002"/>
    <n v="38.512999999999998"/>
    <n v="38.951999999999998"/>
    <n v="11.186"/>
    <n v="11.817"/>
    <n v="38.951999999999998"/>
    <n v="38.512999999999998"/>
    <n v="9.85"/>
    <n v="10"/>
    <n v="9"/>
    <n v="9"/>
    <n v="9"/>
  </r>
  <r>
    <n v="354"/>
    <m/>
    <m/>
    <m/>
    <m/>
    <s v="NA"/>
    <s v="NA"/>
    <x v="35"/>
    <s v="NA"/>
    <m/>
    <m/>
    <s v="NA"/>
    <s v="NA"/>
    <s v="NA"/>
    <s v="NA"/>
    <s v="NA"/>
    <s v="NA"/>
    <s v="NA"/>
    <s v="NA"/>
    <s v="NA"/>
    <s v="NA"/>
    <s v="NA"/>
    <s v="NA"/>
    <s v="NA"/>
    <s v="NA"/>
    <s v="NA"/>
    <s v="NA"/>
    <s v="NA"/>
    <s v="NA"/>
    <s v="NA"/>
    <s v="NA"/>
    <s v="NA"/>
  </r>
  <r>
    <n v="355"/>
    <m/>
    <m/>
    <m/>
    <m/>
    <s v="NA"/>
    <s v="NA"/>
    <x v="152"/>
    <s v="M"/>
    <m/>
    <m/>
    <s v="NA"/>
    <s v="NA"/>
    <s v="NA"/>
    <s v="NA"/>
    <s v="NA"/>
    <s v="NA"/>
    <s v="NA"/>
    <s v="NA"/>
    <s v="NA"/>
    <s v="NA"/>
    <s v="NA"/>
    <s v="NA"/>
    <s v="NA"/>
    <s v="NA"/>
    <s v="NA"/>
    <s v="NA"/>
    <s v="NA"/>
    <s v="NA"/>
    <s v="NA"/>
    <s v="NA"/>
    <s v="NA"/>
  </r>
  <r>
    <n v="356"/>
    <m/>
    <m/>
    <m/>
    <m/>
    <s v="G20"/>
    <s v="Parkinson's disease"/>
    <x v="112"/>
    <s v="F"/>
    <m/>
    <m/>
    <n v="41.005000000000003"/>
    <n v="38.698999999999998"/>
    <n v="79.613"/>
    <n v="79.701999999999998"/>
    <n v="57.293999999999997"/>
    <n v="57.784999999999997"/>
    <n v="86.32"/>
    <n v="86.980999999999995"/>
    <n v="68.03"/>
    <n v="69.641000000000005"/>
    <n v="31.97"/>
    <n v="30.359000000000002"/>
    <n v="16.728000000000002"/>
    <n v="20.870999999999999"/>
    <n v="30.359000000000002"/>
    <n v="31.97"/>
    <n v="15.795"/>
    <n v="12"/>
    <n v="12"/>
    <n v="12"/>
    <n v="12"/>
  </r>
  <r>
    <n v="357"/>
    <m/>
    <m/>
    <m/>
    <m/>
    <s v="NA"/>
    <s v="NA"/>
    <x v="35"/>
    <s v="NA"/>
    <m/>
    <m/>
    <s v="NA"/>
    <s v="NA"/>
    <s v="NA"/>
    <s v="NA"/>
    <s v="NA"/>
    <s v="NA"/>
    <s v="NA"/>
    <s v="NA"/>
    <s v="NA"/>
    <s v="NA"/>
    <s v="NA"/>
    <s v="NA"/>
    <s v="NA"/>
    <s v="NA"/>
    <s v="NA"/>
    <s v="NA"/>
    <s v="NA"/>
    <s v="NA"/>
    <s v="NA"/>
    <s v="NA"/>
    <s v="NA"/>
  </r>
  <r>
    <n v="358"/>
    <m/>
    <m/>
    <m/>
    <m/>
    <s v="G20"/>
    <s v="Parkinson's disease"/>
    <x v="153"/>
    <s v="F"/>
    <m/>
    <m/>
    <n v="6.1070000000000002"/>
    <n v="19.991"/>
    <n v="26.994"/>
    <n v="27.387"/>
    <n v="13.618"/>
    <n v="13.891999999999999"/>
    <n v="76.882999999999996"/>
    <n v="61.985999999999997"/>
    <n v="81.290000000000006"/>
    <n v="78.057000000000002"/>
    <n v="18.71"/>
    <n v="21.943000000000001"/>
    <n v="28.231999999999999"/>
    <n v="32.375999999999998"/>
    <n v="21.943000000000001"/>
    <n v="18.71"/>
    <n v="10.388"/>
    <n v="10"/>
    <n v="8"/>
    <n v="8"/>
    <n v="8"/>
  </r>
  <r>
    <n v="359"/>
    <m/>
    <m/>
    <m/>
    <m/>
    <s v="NA"/>
    <s v="NA"/>
    <x v="154"/>
    <s v="M"/>
    <m/>
    <m/>
    <s v="NA"/>
    <s v="NA"/>
    <s v="NA"/>
    <s v="NA"/>
    <s v="NA"/>
    <s v="NA"/>
    <s v="NA"/>
    <s v="NA"/>
    <s v="NA"/>
    <s v="NA"/>
    <s v="NA"/>
    <s v="NA"/>
    <s v="NA"/>
    <s v="NA"/>
    <s v="NA"/>
    <s v="NA"/>
    <s v="NA"/>
    <s v="NA"/>
    <s v="NA"/>
    <s v="NA"/>
    <s v="NA"/>
  </r>
  <r>
    <n v="360"/>
    <m/>
    <m/>
    <m/>
    <m/>
    <s v="G62.9"/>
    <s v="Polyneuropathy, unspecified"/>
    <x v="155"/>
    <s v="M"/>
    <m/>
    <m/>
    <n v="66.614999999999995"/>
    <n v="62.994999999999997"/>
    <n v="130.102"/>
    <n v="128.62200000000001"/>
    <n v="123.57599999999999"/>
    <n v="123.67400000000001"/>
    <n v="113.687"/>
    <n v="115.14700000000001"/>
    <n v="62.119"/>
    <n v="62.521999999999998"/>
    <n v="37.881"/>
    <n v="37.478000000000002"/>
    <n v="12.625999999999999"/>
    <n v="11.722"/>
    <n v="37.478000000000002"/>
    <n v="37.881"/>
    <n v="10.302"/>
    <n v="10"/>
    <n v="9"/>
    <n v="9"/>
    <n v="9"/>
  </r>
  <r>
    <n v="361"/>
    <m/>
    <m/>
    <m/>
    <m/>
    <s v="NA"/>
    <s v="NA"/>
    <x v="156"/>
    <s v="M"/>
    <m/>
    <m/>
    <s v="NA"/>
    <s v="NA"/>
    <s v="NA"/>
    <s v="NA"/>
    <s v="NA"/>
    <s v="NA"/>
    <s v="NA"/>
    <s v="NA"/>
    <s v="NA"/>
    <s v="NA"/>
    <s v="NA"/>
    <s v="NA"/>
    <s v="NA"/>
    <s v="NA"/>
    <s v="NA"/>
    <s v="NA"/>
    <s v="NA"/>
    <s v="NA"/>
    <s v="NA"/>
    <s v="NA"/>
    <s v="NA"/>
  </r>
  <r>
    <n v="362"/>
    <m/>
    <m/>
    <m/>
    <m/>
    <s v="NA"/>
    <s v="NA"/>
    <x v="77"/>
    <s v="M"/>
    <m/>
    <m/>
    <s v="NA"/>
    <s v="NA"/>
    <s v="NA"/>
    <s v="NA"/>
    <s v="NA"/>
    <s v="NA"/>
    <s v="NA"/>
    <s v="NA"/>
    <s v="NA"/>
    <s v="NA"/>
    <s v="NA"/>
    <s v="NA"/>
    <s v="NA"/>
    <s v="NA"/>
    <s v="NA"/>
    <s v="NA"/>
    <s v="NA"/>
    <s v="NA"/>
    <s v="NA"/>
    <s v="NA"/>
    <s v="NA"/>
  </r>
  <r>
    <n v="363"/>
    <m/>
    <m/>
    <m/>
    <m/>
    <s v="NA"/>
    <s v="NA"/>
    <x v="35"/>
    <s v="NA"/>
    <m/>
    <m/>
    <n v="39.085999999999999"/>
    <n v="33.558999999999997"/>
    <n v="72.528000000000006"/>
    <n v="73.043000000000006"/>
    <n v="52.933"/>
    <n v="53.378"/>
    <n v="88.188000000000002"/>
    <n v="88.49"/>
    <n v="66.649000000000001"/>
    <n v="66.748000000000005"/>
    <n v="33.350999999999999"/>
    <n v="33.252000000000002"/>
    <n v="17.081"/>
    <n v="16.811"/>
    <n v="33.252000000000002"/>
    <n v="33.350999999999999"/>
    <n v="13.138"/>
    <n v="13"/>
    <n v="13"/>
    <n v="13"/>
    <n v="13"/>
  </r>
  <r>
    <n v="364"/>
    <m/>
    <m/>
    <m/>
    <m/>
    <s v="G24.3"/>
    <s v="Spasmodic torticollis"/>
    <x v="88"/>
    <s v="F"/>
    <m/>
    <m/>
    <n v="54.252000000000002"/>
    <n v="50.918999999999997"/>
    <n v="105.931"/>
    <n v="105.035"/>
    <n v="93.736000000000004"/>
    <n v="92.421000000000006"/>
    <n v="105.746"/>
    <n v="105.533"/>
    <n v="62.493000000000002"/>
    <n v="63.179000000000002"/>
    <n v="37.506999999999998"/>
    <n v="36.820999999999998"/>
    <n v="13.987"/>
    <n v="11.538"/>
    <n v="36.820999999999998"/>
    <n v="37.506999999999998"/>
    <n v="7.6120000000000001"/>
    <n v="12"/>
    <n v="12"/>
    <n v="12"/>
    <n v="12"/>
  </r>
  <r>
    <n v="365"/>
    <m/>
    <m/>
    <m/>
    <m/>
    <s v="NA"/>
    <s v="NA"/>
    <x v="35"/>
    <s v="F"/>
    <m/>
    <m/>
    <n v="52.481000000000002"/>
    <n v="49.832999999999998"/>
    <n v="102.871"/>
    <n v="102.804"/>
    <n v="91.421000000000006"/>
    <n v="91.927000000000007"/>
    <n v="106.51600000000001"/>
    <n v="107.2"/>
    <n v="63.904000000000003"/>
    <n v="63.850999999999999"/>
    <n v="36.095999999999997"/>
    <n v="36.149000000000001"/>
    <n v="14.282999999999999"/>
    <n v="13.833"/>
    <n v="36.149000000000001"/>
    <n v="36.095999999999997"/>
    <n v="13.103999999999999"/>
    <n v="12"/>
    <n v="15"/>
    <n v="12"/>
    <n v="12"/>
  </r>
  <r>
    <n v="366"/>
    <m/>
    <m/>
    <m/>
    <m/>
    <s v="NA"/>
    <s v="NA"/>
    <x v="35"/>
    <s v="NA"/>
    <m/>
    <m/>
    <n v="60.796999999999997"/>
    <n v="61.481999999999999"/>
    <n v="123.19799999999999"/>
    <n v="122.11199999999999"/>
    <n v="95.942999999999998"/>
    <n v="96.018000000000001"/>
    <n v="93.111999999999995"/>
    <n v="93.552999999999997"/>
    <n v="63.36"/>
    <n v="62.005000000000003"/>
    <n v="36.64"/>
    <n v="37.994999999999997"/>
    <n v="13.904"/>
    <n v="11.951000000000001"/>
    <n v="37.994999999999997"/>
    <n v="36.64"/>
    <n v="16.812000000000001"/>
    <n v="10"/>
    <n v="10"/>
    <n v="10"/>
    <n v="10"/>
  </r>
  <r>
    <n v="367"/>
    <m/>
    <m/>
    <m/>
    <m/>
    <s v="G25.0"/>
    <s v="Essential tremor"/>
    <x v="150"/>
    <s v="F"/>
    <m/>
    <m/>
    <n v="35.83"/>
    <n v="37.936"/>
    <n v="74.132000000000005"/>
    <n v="73.980999999999995"/>
    <n v="59.588000000000001"/>
    <n v="60.738"/>
    <n v="96.323999999999998"/>
    <n v="98.081999999999994"/>
    <n v="70.283000000000001"/>
    <n v="69.484999999999999"/>
    <n v="29.716999999999999"/>
    <n v="30.515000000000001"/>
    <n v="21.085000000000001"/>
    <n v="18.989999999999998"/>
    <n v="30.515000000000001"/>
    <n v="29.716999999999999"/>
    <n v="7.82"/>
    <n v="15"/>
    <n v="17"/>
    <n v="15"/>
    <n v="15"/>
  </r>
  <r>
    <n v="368"/>
    <m/>
    <m/>
    <m/>
    <m/>
    <s v="G25.0"/>
    <s v="Essential tremor"/>
    <x v="157"/>
    <s v="M"/>
    <m/>
    <m/>
    <n v="66.183999999999997"/>
    <n v="66.388000000000005"/>
    <n v="132.46100000000001"/>
    <n v="133.108"/>
    <n v="110.488"/>
    <n v="110.351"/>
    <n v="99.19"/>
    <n v="99.013999999999996"/>
    <n v="62.573"/>
    <n v="62.405000000000001"/>
    <n v="37.427"/>
    <n v="37.594999999999999"/>
    <n v="12.688000000000001"/>
    <n v="12.026"/>
    <n v="37.594999999999999"/>
    <n v="37.427"/>
    <n v="11.912000000000001"/>
    <n v="9"/>
    <n v="10"/>
    <n v="9"/>
    <n v="9"/>
  </r>
  <r>
    <n v="369"/>
    <m/>
    <m/>
    <m/>
    <m/>
    <s v="G24.3"/>
    <s v="Spasmodic torticollis"/>
    <x v="93"/>
    <s v="F"/>
    <m/>
    <m/>
    <n v="47.06"/>
    <n v="47.387"/>
    <n v="94.367000000000004"/>
    <n v="94.802000000000007"/>
    <n v="82.510999999999996"/>
    <n v="82.826999999999998"/>
    <n v="104.532"/>
    <n v="103.687"/>
    <n v="64.593000000000004"/>
    <n v="62.322000000000003"/>
    <n v="35.406999999999996"/>
    <n v="37.677999999999997"/>
    <n v="13.888999999999999"/>
    <n v="12.95"/>
    <n v="37.677999999999997"/>
    <n v="35.406999999999996"/>
    <n v="7.008"/>
    <n v="15"/>
    <n v="13"/>
    <n v="13"/>
    <n v="13"/>
  </r>
  <r>
    <n v="370"/>
    <m/>
    <m/>
    <m/>
    <m/>
    <s v="G24.01"/>
    <s v="Drug induced subacute dyskinesia"/>
    <x v="158"/>
    <s v="F"/>
    <m/>
    <m/>
    <n v="60.222999999999999"/>
    <n v="55.392000000000003"/>
    <n v="114.712"/>
    <n v="117.70399999999999"/>
    <n v="111.42"/>
    <n v="113.56100000000001"/>
    <n v="118.28100000000001"/>
    <n v="116.29"/>
    <n v="62.344999999999999"/>
    <n v="60.994"/>
    <n v="37.655000000000001"/>
    <n v="39.006"/>
    <n v="12.839"/>
    <n v="10.263"/>
    <n v="39.006"/>
    <n v="37.655000000000001"/>
    <n v="10.314"/>
    <n v="12"/>
    <n v="10"/>
    <n v="10"/>
    <n v="10"/>
  </r>
  <r>
    <n v="371"/>
    <m/>
    <m/>
    <m/>
    <m/>
    <s v="G20"/>
    <s v="Parkinson's disease"/>
    <x v="112"/>
    <s v="M"/>
    <m/>
    <m/>
    <n v="58.756"/>
    <n v="60.148000000000003"/>
    <n v="118.86799999999999"/>
    <n v="119.51300000000001"/>
    <n v="109.42700000000001"/>
    <n v="109.828"/>
    <n v="110.366"/>
    <n v="110.139"/>
    <n v="63.067999999999998"/>
    <n v="62.923000000000002"/>
    <n v="36.932000000000002"/>
    <n v="37.076999999999998"/>
    <n v="12.566000000000001"/>
    <n v="13.677"/>
    <n v="37.076999999999998"/>
    <n v="36.932000000000002"/>
    <n v="7.532"/>
    <n v="10"/>
    <n v="10"/>
    <n v="10"/>
    <n v="10"/>
  </r>
  <r>
    <n v="372"/>
    <m/>
    <m/>
    <m/>
    <m/>
    <s v="NA"/>
    <s v="NA"/>
    <x v="35"/>
    <s v="NA"/>
    <m/>
    <m/>
    <n v="54.817"/>
    <n v="58.741"/>
    <n v="112.95"/>
    <n v="113.64700000000001"/>
    <n v="104.935"/>
    <n v="107.501"/>
    <n v="113.07599999999999"/>
    <n v="114.45399999999999"/>
    <n v="63.429000000000002"/>
    <n v="60.875999999999998"/>
    <n v="36.570999999999998"/>
    <n v="39.124000000000002"/>
    <n v="10.361000000000001"/>
    <n v="14.269"/>
    <n v="39.124000000000002"/>
    <n v="36.570999999999998"/>
    <n v="10.067"/>
    <n v="5"/>
    <n v="4"/>
    <n v="4"/>
    <n v="4"/>
  </r>
  <r>
    <n v="373"/>
    <m/>
    <m/>
    <m/>
    <m/>
    <s v="NA"/>
    <s v="NA"/>
    <x v="35"/>
    <s v="NA"/>
    <m/>
    <m/>
    <n v="53.366999999999997"/>
    <n v="58.768999999999998"/>
    <n v="114.477"/>
    <n v="110.76300000000001"/>
    <n v="101.828"/>
    <n v="101.128"/>
    <n v="109.4"/>
    <n v="110.05"/>
    <n v="61.442"/>
    <n v="62.308999999999997"/>
    <n v="38.558"/>
    <n v="37.691000000000003"/>
    <n v="13.244"/>
    <n v="11.852"/>
    <n v="37.691000000000003"/>
    <n v="38.558"/>
    <n v="11.154999999999999"/>
    <n v="10"/>
    <n v="11"/>
    <n v="10"/>
    <n v="10"/>
  </r>
  <r>
    <n v="374"/>
    <m/>
    <m/>
    <m/>
    <m/>
    <s v="NA"/>
    <s v="NA"/>
    <x v="159"/>
    <s v="F"/>
    <m/>
    <m/>
    <n v="61.774999999999999"/>
    <n v="57.604999999999997"/>
    <n v="119.134"/>
    <n v="120.89400000000001"/>
    <n v="100.7"/>
    <n v="102.831"/>
    <n v="102.273"/>
    <n v="103.453"/>
    <n v="61.164000000000001"/>
    <n v="63.506"/>
    <n v="38.835999999999999"/>
    <n v="36.494"/>
    <n v="12.638999999999999"/>
    <n v="12.785"/>
    <n v="36.494"/>
    <n v="38.835999999999999"/>
    <n v="12.557"/>
    <n v="7"/>
    <n v="6"/>
    <n v="5"/>
    <n v="5"/>
  </r>
  <r>
    <n v="375"/>
    <m/>
    <m/>
    <m/>
    <m/>
    <s v="NA"/>
    <s v="NA"/>
    <x v="35"/>
    <s v="NA"/>
    <m/>
    <m/>
    <s v="NA"/>
    <s v="NA"/>
    <s v="NA"/>
    <s v="NA"/>
    <s v="NA"/>
    <s v="NA"/>
    <s v="NA"/>
    <s v="NA"/>
    <s v="NA"/>
    <s v="NA"/>
    <s v="NA"/>
    <s v="NA"/>
    <s v="NA"/>
    <s v="NA"/>
    <s v="NA"/>
    <s v="NA"/>
    <s v="NA"/>
    <s v="NA"/>
    <s v="NA"/>
    <s v="NA"/>
    <s v="NA"/>
  </r>
  <r>
    <n v="376"/>
    <m/>
    <m/>
    <m/>
    <m/>
    <s v="NA"/>
    <s v="NA"/>
    <x v="35"/>
    <s v="NA"/>
    <m/>
    <m/>
    <s v="NA"/>
    <s v="NA"/>
    <s v="NA"/>
    <s v="NA"/>
    <s v="NA"/>
    <s v="NA"/>
    <s v="NA"/>
    <s v="NA"/>
    <s v="NA"/>
    <s v="NA"/>
    <s v="NA"/>
    <s v="NA"/>
    <s v="NA"/>
    <s v="NA"/>
    <s v="NA"/>
    <s v="NA"/>
    <s v="NA"/>
    <s v="NA"/>
    <s v="NA"/>
    <s v="NA"/>
    <s v="NA"/>
  </r>
  <r>
    <n v="377"/>
    <m/>
    <m/>
    <m/>
    <m/>
    <s v="NA"/>
    <s v="NA"/>
    <x v="35"/>
    <s v="NA"/>
    <m/>
    <m/>
    <n v="28.815999999999999"/>
    <n v="36.088999999999999"/>
    <n v="64.805999999999997"/>
    <n v="64.477999999999994"/>
    <n v="52.634999999999998"/>
    <n v="51.832999999999998"/>
    <n v="97.093000000000004"/>
    <n v="96.716999999999999"/>
    <n v="65.108999999999995"/>
    <n v="64.971000000000004"/>
    <n v="34.890999999999998"/>
    <n v="35.029000000000003"/>
    <n v="16.106000000000002"/>
    <n v="14.507999999999999"/>
    <n v="35.029000000000003"/>
    <n v="34.890999999999998"/>
    <n v="18.728000000000002"/>
    <n v="13"/>
    <n v="14"/>
    <n v="13"/>
    <n v="13"/>
  </r>
  <r>
    <n v="378"/>
    <m/>
    <m/>
    <m/>
    <m/>
    <s v="NA"/>
    <s v="NA"/>
    <x v="35"/>
    <s v="NA"/>
    <m/>
    <m/>
    <n v="56.456000000000003"/>
    <n v="55.637999999999998"/>
    <n v="111.986"/>
    <n v="112.501"/>
    <n v="82.531000000000006"/>
    <n v="83.382000000000005"/>
    <n v="87.631"/>
    <n v="89.001000000000005"/>
    <n v="61.752000000000002"/>
    <n v="63.698999999999998"/>
    <n v="38.247999999999998"/>
    <n v="36.301000000000002"/>
    <n v="13.648999999999999"/>
    <n v="12.394"/>
    <n v="36.301000000000002"/>
    <n v="38.247999999999998"/>
    <n v="19.984000000000002"/>
    <n v="9"/>
    <n v="14"/>
    <n v="9"/>
    <n v="9"/>
  </r>
  <r>
    <n v="379"/>
    <m/>
    <m/>
    <m/>
    <m/>
    <s v="NA"/>
    <s v="NA"/>
    <x v="160"/>
    <s v="M"/>
    <m/>
    <m/>
    <s v="NA"/>
    <s v="NA"/>
    <s v="NA"/>
    <s v="NA"/>
    <s v="NA"/>
    <s v="NA"/>
    <s v="NA"/>
    <s v="NA"/>
    <s v="NA"/>
    <s v="NA"/>
    <s v="NA"/>
    <s v="NA"/>
    <s v="NA"/>
    <s v="NA"/>
    <s v="NA"/>
    <s v="NA"/>
    <s v="NA"/>
    <s v="NA"/>
    <s v="NA"/>
    <s v="NA"/>
    <s v="NA"/>
  </r>
  <r>
    <n v="380"/>
    <m/>
    <m/>
    <m/>
    <m/>
    <s v="NA"/>
    <s v="NA"/>
    <x v="35"/>
    <s v="NA"/>
    <m/>
    <m/>
    <n v="59.517000000000003"/>
    <n v="58.305"/>
    <n v="117.947"/>
    <n v="118.346"/>
    <n v="112.53400000000001"/>
    <n v="111.441"/>
    <n v="114.133"/>
    <n v="113.959"/>
    <n v="60.05"/>
    <n v="60.822000000000003"/>
    <n v="39.950000000000003"/>
    <n v="39.177999999999997"/>
    <n v="10.496"/>
    <n v="11.138"/>
    <n v="39.177999999999997"/>
    <n v="39.950000000000003"/>
    <n v="10.93"/>
    <n v="7"/>
    <n v="7"/>
    <n v="7"/>
    <n v="7"/>
  </r>
  <r>
    <n v="381"/>
    <m/>
    <m/>
    <m/>
    <m/>
    <s v="NA"/>
    <s v="NA"/>
    <x v="35"/>
    <s v="NA"/>
    <m/>
    <m/>
    <n v="65.873000000000005"/>
    <n v="70.754000000000005"/>
    <n v="136.589"/>
    <n v="134.85300000000001"/>
    <n v="105.504"/>
    <n v="107.654"/>
    <n v="93.430999999999997"/>
    <n v="95.379000000000005"/>
    <n v="62.121000000000002"/>
    <n v="62.421999999999997"/>
    <n v="37.878999999999998"/>
    <n v="37.578000000000003"/>
    <n v="12.393000000000001"/>
    <n v="10.754"/>
    <n v="37.578000000000003"/>
    <n v="37.878999999999998"/>
    <n v="13.987"/>
    <n v="7"/>
    <n v="4"/>
    <n v="4"/>
    <n v="4"/>
  </r>
  <r>
    <n v="382"/>
    <m/>
    <m/>
    <m/>
    <m/>
    <s v="NA"/>
    <s v="NA"/>
    <x v="35"/>
    <s v="NA"/>
    <m/>
    <m/>
    <s v="NA"/>
    <s v="NA"/>
    <s v="NA"/>
    <s v="NA"/>
    <s v="NA"/>
    <s v="NA"/>
    <s v="NA"/>
    <s v="NA"/>
    <s v="NA"/>
    <s v="NA"/>
    <s v="NA"/>
    <s v="NA"/>
    <s v="NA"/>
    <s v="NA"/>
    <s v="NA"/>
    <s v="NA"/>
    <s v="NA"/>
    <s v="NA"/>
    <s v="NA"/>
    <s v="NA"/>
    <s v="NA"/>
  </r>
  <r>
    <n v="383"/>
    <m/>
    <m/>
    <m/>
    <m/>
    <s v="NA"/>
    <s v="NA"/>
    <x v="35"/>
    <s v="NA"/>
    <m/>
    <m/>
    <n v="34.802999999999997"/>
    <n v="40.481999999999999"/>
    <n v="75.721999999999994"/>
    <n v="76.564999999999998"/>
    <n v="80.394999999999996"/>
    <n v="79.236999999999995"/>
    <n v="126.09399999999999"/>
    <n v="126.114"/>
    <n v="61.44"/>
    <n v="64.962000000000003"/>
    <n v="38.56"/>
    <n v="35.037999999999997"/>
    <n v="13.922000000000001"/>
    <n v="12.676"/>
    <n v="35.037999999999997"/>
    <n v="38.56"/>
    <n v="17.504000000000001"/>
    <n v="19"/>
    <n v="20"/>
    <n v="19"/>
    <n v="19"/>
  </r>
  <r>
    <n v="384"/>
    <m/>
    <m/>
    <m/>
    <m/>
    <s v="NA"/>
    <s v="NA"/>
    <x v="35"/>
    <s v="NA"/>
    <m/>
    <m/>
    <s v="NA"/>
    <s v="NA"/>
    <s v="NA"/>
    <s v="NA"/>
    <s v="NA"/>
    <s v="NA"/>
    <s v="NA"/>
    <s v="NA"/>
    <s v="NA"/>
    <s v="NA"/>
    <s v="NA"/>
    <s v="NA"/>
    <s v="NA"/>
    <s v="NA"/>
    <s v="NA"/>
    <s v="NA"/>
    <s v="NA"/>
    <s v="NA"/>
    <s v="NA"/>
    <s v="NA"/>
    <s v="NA"/>
  </r>
  <r>
    <n v="385"/>
    <m/>
    <m/>
    <m/>
    <m/>
    <s v="NA"/>
    <s v="NA"/>
    <x v="35"/>
    <s v="NA"/>
    <m/>
    <m/>
    <n v="26.631"/>
    <n v="32.095999999999997"/>
    <n v="57.134999999999998"/>
    <n v="58.991"/>
    <n v="45.213000000000001"/>
    <n v="45.183999999999997"/>
    <n v="94.742000000000004"/>
    <n v="93.66"/>
    <n v="66.191000000000003"/>
    <n v="64.054000000000002"/>
    <n v="33.808999999999997"/>
    <n v="35.945999999999998"/>
    <n v="14.146000000000001"/>
    <n v="16.247"/>
    <n v="35.945999999999998"/>
    <n v="33.808999999999997"/>
    <n v="16.172000000000001"/>
    <n v="26"/>
    <n v="25"/>
    <n v="25"/>
    <n v="25"/>
  </r>
  <r>
    <n v="386"/>
    <m/>
    <m/>
    <m/>
    <m/>
    <s v="NA"/>
    <s v="NA"/>
    <x v="35"/>
    <s v="NA"/>
    <m/>
    <m/>
    <n v="55.884"/>
    <n v="56.972999999999999"/>
    <n v="112.899"/>
    <n v="112.497"/>
    <n v="118.675"/>
    <n v="117.428"/>
    <n v="127.64400000000001"/>
    <n v="126.542"/>
    <n v="61.243000000000002"/>
    <n v="57.674999999999997"/>
    <n v="38.756999999999998"/>
    <n v="42.325000000000003"/>
    <n v="10.148999999999999"/>
    <n v="9.0730000000000004"/>
    <n v="42.325000000000003"/>
    <n v="38.756999999999998"/>
    <n v="13.034000000000001"/>
    <n v="13"/>
    <n v="15"/>
    <n v="13"/>
    <n v="13"/>
  </r>
  <r>
    <n v="387"/>
    <m/>
    <m/>
    <m/>
    <m/>
    <s v="NA"/>
    <s v="NA"/>
    <x v="35"/>
    <s v="NA"/>
    <m/>
    <m/>
    <n v="26.811"/>
    <n v="26.486000000000001"/>
    <n v="53.392000000000003"/>
    <n v="53.35"/>
    <n v="50.289000000000001"/>
    <n v="50.454999999999998"/>
    <n v="112.273"/>
    <n v="112.178"/>
    <n v="65.921000000000006"/>
    <n v="65.397000000000006"/>
    <n v="34.079000000000001"/>
    <n v="34.603000000000002"/>
    <n v="15.717000000000001"/>
    <n v="16.044"/>
    <n v="34.603000000000002"/>
    <n v="34.079000000000001"/>
    <n v="13.494"/>
    <n v="21"/>
    <n v="18"/>
    <n v="18"/>
    <n v="18"/>
  </r>
  <r>
    <n v="388"/>
    <m/>
    <m/>
    <m/>
    <m/>
    <s v="NA"/>
    <s v="NA"/>
    <x v="35"/>
    <s v="NA"/>
    <m/>
    <m/>
    <s v="NA"/>
    <s v="NA"/>
    <s v="NA"/>
    <s v="NA"/>
    <s v="NA"/>
    <s v="NA"/>
    <s v="NA"/>
    <s v="NA"/>
    <s v="NA"/>
    <s v="NA"/>
    <s v="NA"/>
    <s v="NA"/>
    <s v="NA"/>
    <s v="NA"/>
    <s v="NA"/>
    <s v="NA"/>
    <s v="NA"/>
    <s v="NA"/>
    <s v="NA"/>
    <s v="NA"/>
    <s v="NA"/>
  </r>
  <r>
    <n v="389"/>
    <m/>
    <m/>
    <m/>
    <m/>
    <s v="NA"/>
    <s v="NA"/>
    <x v="35"/>
    <s v="NA"/>
    <m/>
    <m/>
    <n v="65.686000000000007"/>
    <n v="63.808999999999997"/>
    <n v="132.03899999999999"/>
    <n v="128.29300000000001"/>
    <n v="115.438"/>
    <n v="112.95"/>
    <n v="105.611"/>
    <n v="105.574"/>
    <n v="59.884999999999998"/>
    <n v="62.036999999999999"/>
    <n v="40.115000000000002"/>
    <n v="37.963000000000001"/>
    <n v="11.396000000000001"/>
    <n v="10.840999999999999"/>
    <n v="37.963000000000001"/>
    <n v="40.115000000000002"/>
    <n v="11.651"/>
    <n v="11"/>
    <n v="10"/>
    <n v="10"/>
    <n v="10"/>
  </r>
  <r>
    <n v="390"/>
    <m/>
    <m/>
    <m/>
    <m/>
    <s v="NA"/>
    <s v="NA"/>
    <x v="35"/>
    <s v="NA"/>
    <m/>
    <m/>
    <s v="NA"/>
    <s v="NA"/>
    <s v="NA"/>
    <s v="NA"/>
    <s v="NA"/>
    <s v="NA"/>
    <s v="NA"/>
    <s v="NA"/>
    <s v="NA"/>
    <s v="NA"/>
    <s v="NA"/>
    <s v="NA"/>
    <s v="NA"/>
    <s v="NA"/>
    <s v="NA"/>
    <s v="NA"/>
    <s v="NA"/>
    <s v="NA"/>
    <s v="NA"/>
    <s v="NA"/>
    <s v="NA"/>
  </r>
  <r>
    <n v="391"/>
    <m/>
    <m/>
    <m/>
    <m/>
    <s v="NA"/>
    <s v="NA"/>
    <x v="35"/>
    <s v="NA"/>
    <m/>
    <m/>
    <n v="70.438999999999993"/>
    <n v="70.625"/>
    <n v="141.25700000000001"/>
    <n v="142.52500000000001"/>
    <n v="138.59700000000001"/>
    <n v="141.779"/>
    <n v="117.377"/>
    <n v="119.548"/>
    <n v="60.506999999999998"/>
    <n v="60.917999999999999"/>
    <n v="39.493000000000002"/>
    <n v="39.082000000000001"/>
    <n v="10.79"/>
    <n v="10.987"/>
    <n v="39.082000000000001"/>
    <n v="39.493000000000002"/>
    <n v="15.372999999999999"/>
    <n v="18"/>
    <n v="12"/>
    <n v="12"/>
    <n v="12"/>
  </r>
  <r>
    <n v="392"/>
    <m/>
    <m/>
    <m/>
    <m/>
    <s v="NA"/>
    <s v="NA"/>
    <x v="35"/>
    <s v="NA"/>
    <m/>
    <m/>
    <n v="43.866"/>
    <n v="47.631"/>
    <n v="92.179000000000002"/>
    <n v="91.685000000000002"/>
    <n v="71.337999999999994"/>
    <n v="71.05"/>
    <n v="91.641000000000005"/>
    <n v="92.543000000000006"/>
    <n v="65.257999999999996"/>
    <n v="61.121000000000002"/>
    <n v="34.741999999999997"/>
    <n v="38.878999999999998"/>
    <n v="12.013999999999999"/>
    <n v="14.824"/>
    <n v="38.878999999999998"/>
    <n v="34.741999999999997"/>
    <n v="12.163"/>
    <n v="8"/>
    <n v="9"/>
    <n v="8"/>
    <n v="8"/>
  </r>
  <r>
    <n v="393"/>
    <m/>
    <m/>
    <m/>
    <m/>
    <s v="NA"/>
    <s v="NA"/>
    <x v="35"/>
    <s v="NA"/>
    <m/>
    <m/>
    <n v="42.996000000000002"/>
    <n v="45.512"/>
    <n v="89.096000000000004"/>
    <n v="88.07"/>
    <n v="87.731999999999999"/>
    <n v="87.363"/>
    <n v="119.221"/>
    <n v="118.83499999999999"/>
    <n v="61.735999999999997"/>
    <n v="62.874000000000002"/>
    <n v="38.264000000000003"/>
    <n v="37.125999999999998"/>
    <n v="13.842000000000001"/>
    <n v="10.68"/>
    <n v="37.125999999999998"/>
    <n v="38.264000000000003"/>
    <n v="28.026"/>
    <n v="22"/>
    <n v="21"/>
    <n v="21"/>
    <n v="21"/>
  </r>
  <r>
    <n v="395"/>
    <m/>
    <m/>
    <m/>
    <m/>
    <s v="NA"/>
    <s v="NA"/>
    <x v="35"/>
    <s v="NA"/>
    <m/>
    <m/>
    <n v="61.162999999999997"/>
    <n v="58.853999999999999"/>
    <n v="120.148"/>
    <n v="118.288"/>
    <n v="130.21899999999999"/>
    <n v="132.85300000000001"/>
    <n v="132.46199999999999"/>
    <n v="134.08500000000001"/>
    <n v="58.831000000000003"/>
    <n v="59.021999999999998"/>
    <n v="41.168999999999997"/>
    <n v="40.978000000000002"/>
    <n v="10.130000000000001"/>
    <n v="8.0009999999999994"/>
    <n v="40.978000000000002"/>
    <n v="41.168999999999997"/>
    <n v="10.727"/>
    <n v="6"/>
    <n v="5"/>
    <n v="5"/>
    <n v="5"/>
  </r>
  <r>
    <n v="396"/>
    <m/>
    <m/>
    <m/>
    <m/>
    <s v="NA"/>
    <s v="NA"/>
    <x v="35"/>
    <s v="NA"/>
    <m/>
    <m/>
    <n v="25.507000000000001"/>
    <n v="24.463000000000001"/>
    <n v="51.752000000000002"/>
    <n v="49.732999999999997"/>
    <n v="43.563000000000002"/>
    <n v="43.332000000000001"/>
    <n v="101.861"/>
    <n v="102.49299999999999"/>
    <n v="63.957999999999998"/>
    <n v="66.447000000000003"/>
    <n v="36.042000000000002"/>
    <n v="33.552999999999997"/>
    <n v="14.428000000000001"/>
    <n v="16.061"/>
    <n v="33.552999999999997"/>
    <n v="36.042000000000002"/>
    <n v="21.068000000000001"/>
    <n v="20"/>
    <n v="22"/>
    <n v="20"/>
    <n v="20"/>
  </r>
  <r>
    <n v="397"/>
    <m/>
    <m/>
    <m/>
    <m/>
    <s v="NA"/>
    <s v="NA"/>
    <x v="35"/>
    <s v="NA"/>
    <m/>
    <m/>
    <s v="NA"/>
    <s v="NA"/>
    <s v="NA"/>
    <s v="NA"/>
    <s v="NA"/>
    <s v="NA"/>
    <s v="NA"/>
    <s v="NA"/>
    <s v="NA"/>
    <s v="NA"/>
    <s v="NA"/>
    <s v="NA"/>
    <s v="NA"/>
    <s v="NA"/>
    <s v="NA"/>
    <s v="NA"/>
    <s v="NA"/>
    <s v="NA"/>
    <s v="NA"/>
    <s v="NA"/>
    <s v="NA"/>
  </r>
  <r>
    <n v="398"/>
    <m/>
    <m/>
    <m/>
    <m/>
    <s v="G20"/>
    <s v="Parkinson's disease"/>
    <x v="92"/>
    <s v="F"/>
    <m/>
    <m/>
    <n v="42.521000000000001"/>
    <n v="43.219000000000001"/>
    <n v="85.866"/>
    <n v="85.716999999999999"/>
    <n v="59.067999999999998"/>
    <n v="58.268000000000001"/>
    <n v="82.268000000000001"/>
    <n v="81.525999999999996"/>
    <n v="67.257999999999996"/>
    <n v="69.12"/>
    <n v="32.741999999999997"/>
    <n v="30.88"/>
    <n v="20.428000000000001"/>
    <n v="16.446000000000002"/>
    <n v="30.88"/>
    <n v="32.741999999999997"/>
    <n v="7.9039999999999999"/>
    <n v="12"/>
    <n v="14"/>
    <n v="12"/>
    <n v="12"/>
  </r>
  <r>
    <n v="399"/>
    <m/>
    <m/>
    <m/>
    <m/>
    <s v="R25.1"/>
    <s v="Tremor, unspecified"/>
    <x v="22"/>
    <s v="M"/>
    <m/>
    <m/>
    <n v="61.939"/>
    <n v="65.14"/>
    <n v="126.8"/>
    <n v="127.702"/>
    <n v="121.98"/>
    <n v="123.29"/>
    <n v="114.82299999999999"/>
    <n v="115.327"/>
    <n v="63.338999999999999"/>
    <n v="63.363999999999997"/>
    <n v="36.661000000000001"/>
    <n v="36.636000000000003"/>
    <n v="13.553000000000001"/>
    <n v="13.215"/>
    <n v="36.636000000000003"/>
    <n v="36.661000000000001"/>
    <n v="13.834"/>
    <n v="9"/>
    <n v="8"/>
    <n v="8"/>
    <n v="8"/>
  </r>
  <r>
    <n v="400"/>
    <m/>
    <m/>
    <m/>
    <m/>
    <s v="G20"/>
    <s v="Parkinson's disease"/>
    <x v="161"/>
    <s v="M"/>
    <m/>
    <m/>
    <n v="57.530999999999999"/>
    <n v="55.612000000000002"/>
    <n v="111.977"/>
    <n v="114.74"/>
    <n v="111.325"/>
    <n v="112.932"/>
    <n v="118.44"/>
    <n v="118.471"/>
    <n v="62.676000000000002"/>
    <n v="64.590999999999994"/>
    <n v="37.323999999999998"/>
    <n v="35.408999999999999"/>
    <n v="13.15"/>
    <n v="14.145"/>
    <n v="35.408999999999999"/>
    <n v="37.323999999999998"/>
    <n v="12.077999999999999"/>
    <n v="9"/>
    <n v="10"/>
    <n v="9"/>
    <n v="9"/>
  </r>
  <r>
    <n v="401"/>
    <m/>
    <m/>
    <m/>
    <m/>
    <s v="G20"/>
    <s v="Parkinson's disease"/>
    <x v="162"/>
    <s v="F"/>
    <m/>
    <m/>
    <n v="34.701000000000001"/>
    <n v="34.195"/>
    <n v="68.966999999999999"/>
    <n v="68.817999999999998"/>
    <n v="74.361999999999995"/>
    <n v="74.393000000000001"/>
    <n v="129.07"/>
    <n v="128.51599999999999"/>
    <n v="68.549000000000007"/>
    <n v="66.084999999999994"/>
    <n v="31.451000000000001"/>
    <n v="33.914999999999999"/>
    <n v="17.326000000000001"/>
    <n v="17.504000000000001"/>
    <n v="33.914999999999999"/>
    <n v="31.451000000000001"/>
    <n v="10.912000000000001"/>
    <n v="18"/>
    <n v="15"/>
    <n v="15"/>
    <n v="15"/>
  </r>
  <r>
    <n v="402"/>
    <m/>
    <m/>
    <m/>
    <m/>
    <s v="G20"/>
    <s v="Parkinson's disease"/>
    <x v="163"/>
    <s v="M"/>
    <m/>
    <m/>
    <n v="70.468999999999994"/>
    <n v="72.506"/>
    <n v="143.28700000000001"/>
    <n v="142.71899999999999"/>
    <n v="129.78299999999999"/>
    <n v="128.215"/>
    <n v="108.286"/>
    <n v="106.76600000000001"/>
    <n v="60.82"/>
    <n v="61.901000000000003"/>
    <n v="39.18"/>
    <n v="38.098999999999997"/>
    <n v="11.699"/>
    <n v="11.936"/>
    <n v="38.098999999999997"/>
    <n v="39.18"/>
    <n v="12.087"/>
    <n v="9"/>
    <n v="10"/>
    <n v="9"/>
    <n v="9"/>
  </r>
  <r>
    <n v="403"/>
    <m/>
    <m/>
    <m/>
    <m/>
    <s v="G20"/>
    <s v="Parkinson's disease"/>
    <x v="164"/>
    <s v="M"/>
    <m/>
    <m/>
    <s v="NA"/>
    <s v="NA"/>
    <s v="NA"/>
    <s v="NA"/>
    <s v="NA"/>
    <s v="NA"/>
    <s v="NA"/>
    <s v="NA"/>
    <s v="NA"/>
    <s v="NA"/>
    <s v="NA"/>
    <s v="NA"/>
    <s v="NA"/>
    <s v="NA"/>
    <s v="NA"/>
    <s v="NA"/>
    <s v="NA"/>
    <s v="NA"/>
    <s v="NA"/>
    <s v="NA"/>
    <s v="NA"/>
  </r>
  <r>
    <n v="404"/>
    <m/>
    <m/>
    <m/>
    <m/>
    <s v="G20"/>
    <s v="Parkinson's disease"/>
    <x v="164"/>
    <s v="F"/>
    <m/>
    <m/>
    <n v="41.225000000000001"/>
    <n v="35.901000000000003"/>
    <n v="77.25"/>
    <n v="77.295000000000002"/>
    <n v="65.483000000000004"/>
    <n v="65.364999999999995"/>
    <n v="101.355"/>
    <n v="101.432"/>
    <n v="65.277000000000001"/>
    <n v="65.864999999999995"/>
    <n v="34.722999999999999"/>
    <n v="34.134999999999998"/>
    <n v="16.302"/>
    <n v="15.016999999999999"/>
    <n v="34.134999999999998"/>
    <n v="34.722999999999999"/>
    <n v="7.85"/>
    <n v="15"/>
    <n v="15"/>
    <n v="15"/>
    <n v="15"/>
  </r>
  <r>
    <n v="405"/>
    <m/>
    <m/>
    <m/>
    <m/>
    <s v="G20"/>
    <s v="Parkinson's disease"/>
    <x v="25"/>
    <s v="M"/>
    <m/>
    <m/>
    <n v="30.213999999999999"/>
    <n v="32.226999999999997"/>
    <n v="62.886000000000003"/>
    <n v="62.256999999999998"/>
    <n v="62.841999999999999"/>
    <n v="62.710999999999999"/>
    <n v="119.736"/>
    <n v="119.876"/>
    <n v="62.606000000000002"/>
    <n v="64.632000000000005"/>
    <n v="37.393999999999998"/>
    <n v="35.368000000000002"/>
    <n v="14.553000000000001"/>
    <n v="12.571"/>
    <n v="35.368000000000002"/>
    <n v="37.393999999999998"/>
    <n v="10.618"/>
    <n v="17"/>
    <n v="18"/>
    <n v="17"/>
    <n v="17"/>
  </r>
  <r>
    <n v="406"/>
    <m/>
    <m/>
    <m/>
    <m/>
    <s v="NA"/>
    <s v="NA"/>
    <x v="35"/>
    <s v="NA"/>
    <m/>
    <m/>
    <n v="55.353999999999999"/>
    <n v="61.753"/>
    <n v="118.154"/>
    <n v="116.26"/>
    <n v="116.346"/>
    <n v="114.51300000000001"/>
    <n v="118.86199999999999"/>
    <n v="117.627"/>
    <n v="61.622999999999998"/>
    <n v="60.103000000000002"/>
    <n v="38.377000000000002"/>
    <n v="39.896999999999998"/>
    <n v="12.292"/>
    <n v="10.446"/>
    <n v="39.896999999999998"/>
    <n v="38.377000000000002"/>
    <n v="13.358000000000001"/>
    <n v="10"/>
    <n v="10"/>
    <n v="10"/>
    <n v="10"/>
  </r>
  <r>
    <n v="407"/>
    <m/>
    <m/>
    <m/>
    <m/>
    <s v="G25.2"/>
    <s v="Other specified forms of tremor"/>
    <x v="165"/>
    <s v="F"/>
    <m/>
    <m/>
    <n v="27.305"/>
    <n v="33.421999999999997"/>
    <n v="62.682000000000002"/>
    <n v="60.728999999999999"/>
    <n v="29.472999999999999"/>
    <n v="29.143000000000001"/>
    <n v="56.781999999999996"/>
    <n v="57.691000000000003"/>
    <n v="72.63"/>
    <n v="74.007999999999996"/>
    <n v="27.37"/>
    <n v="25.992000000000001"/>
    <n v="22.885000000000002"/>
    <n v="24.864999999999998"/>
    <n v="25.992000000000001"/>
    <n v="27.37"/>
    <n v="14.77"/>
    <n v="11"/>
    <n v="14"/>
    <n v="11"/>
    <n v="11"/>
  </r>
  <r>
    <n v="408"/>
    <m/>
    <m/>
    <m/>
    <m/>
    <s v="R25.1"/>
    <s v="Tremor, unspecified"/>
    <x v="63"/>
    <s v="F"/>
    <m/>
    <m/>
    <n v="48.164999999999999"/>
    <n v="46.731999999999999"/>
    <n v="95.221000000000004"/>
    <n v="94.206000000000003"/>
    <n v="70.438999999999993"/>
    <n v="69.665999999999997"/>
    <n v="88.944000000000003"/>
    <n v="88.962999999999994"/>
    <n v="65.977000000000004"/>
    <n v="66.432000000000002"/>
    <n v="34.021999999999998"/>
    <n v="33.567999999999998"/>
    <n v="15.962"/>
    <n v="16.951000000000001"/>
    <n v="33.567999999999998"/>
    <n v="34.021999999999998"/>
    <n v="13.04"/>
    <n v="14"/>
    <n v="15"/>
    <n v="14"/>
    <n v="14"/>
  </r>
  <r>
    <n v="409"/>
    <m/>
    <m/>
    <m/>
    <m/>
    <s v="G20"/>
    <s v="Parkinson's disease"/>
    <x v="146"/>
    <s v="M"/>
    <m/>
    <m/>
    <n v="50.204999999999998"/>
    <n v="54.366"/>
    <n v="104.47199999999999"/>
    <n v="103.99"/>
    <n v="89.102000000000004"/>
    <n v="89.242999999999995"/>
    <n v="102.03"/>
    <n v="102.384"/>
    <n v="66.346999999999994"/>
    <n v="65.320999999999998"/>
    <n v="33.652999999999999"/>
    <n v="34.679000000000002"/>
    <n v="18.638000000000002"/>
    <n v="12.571"/>
    <n v="34.679000000000002"/>
    <n v="33.652999999999999"/>
    <n v="10.074"/>
    <n v="12"/>
    <n v="12"/>
    <n v="12"/>
    <n v="12"/>
  </r>
  <r>
    <n v="410"/>
    <m/>
    <m/>
    <m/>
    <m/>
    <s v="G20"/>
    <s v="Parkinson's disease"/>
    <x v="150"/>
    <s v="M"/>
    <m/>
    <m/>
    <n v="38.677"/>
    <n v="38.069000000000003"/>
    <n v="76.959999999999994"/>
    <n v="77.144999999999996"/>
    <n v="74.564999999999998"/>
    <n v="74.778000000000006"/>
    <n v="116.262"/>
    <n v="116.911"/>
    <n v="65.899000000000001"/>
    <n v="65.585999999999999"/>
    <n v="34.100999999999999"/>
    <n v="34.414000000000001"/>
    <n v="14.847"/>
    <n v="16.867999999999999"/>
    <n v="34.414000000000001"/>
    <n v="34.100999999999999"/>
    <n v="9.48"/>
    <n v="15"/>
    <n v="15"/>
    <n v="15"/>
    <n v="15"/>
  </r>
  <r>
    <n v="411"/>
    <m/>
    <m/>
    <m/>
    <m/>
    <s v="G20"/>
    <s v="Parkinson's disease"/>
    <x v="166"/>
    <s v="M"/>
    <m/>
    <m/>
    <n v="62.975999999999999"/>
    <n v="64.421999999999997"/>
    <n v="127.93"/>
    <n v="127.48"/>
    <n v="120.554"/>
    <n v="120.584"/>
    <n v="112.562"/>
    <n v="113.152"/>
    <n v="63.366"/>
    <n v="63.616999999999997"/>
    <n v="36.634"/>
    <n v="36.383000000000003"/>
    <n v="13.733000000000001"/>
    <n v="13.347"/>
    <n v="36.383000000000003"/>
    <n v="36.634"/>
    <n v="7.3319999999999999"/>
    <n v="10"/>
    <n v="10"/>
    <n v="10"/>
    <n v="10"/>
  </r>
  <r>
    <n v="412"/>
    <m/>
    <m/>
    <m/>
    <m/>
    <s v="G25.0"/>
    <s v="Essential tremor"/>
    <x v="167"/>
    <s v="M"/>
    <m/>
    <m/>
    <n v="40.56"/>
    <n v="35.549999999999997"/>
    <n v="75.835999999999999"/>
    <n v="76.150999999999996"/>
    <n v="69.194999999999993"/>
    <n v="70.319000000000003"/>
    <n v="109.62"/>
    <n v="110.797"/>
    <n v="65.119"/>
    <n v="63.774999999999999"/>
    <n v="34.881"/>
    <n v="36.225000000000001"/>
    <n v="15"/>
    <n v="13.88"/>
    <n v="36.225000000000001"/>
    <n v="34.881"/>
    <n v="13.18"/>
    <n v="16"/>
    <n v="19"/>
    <n v="16"/>
    <n v="16"/>
  </r>
  <r>
    <n v="413"/>
    <m/>
    <m/>
    <m/>
    <m/>
    <s v="G25.0"/>
    <s v="Essential tremor"/>
    <x v="106"/>
    <s v="M"/>
    <m/>
    <m/>
    <n v="39.015999999999998"/>
    <n v="35.792000000000002"/>
    <n v="74.539000000000001"/>
    <n v="74.878"/>
    <n v="57.262"/>
    <n v="57.575000000000003"/>
    <n v="92.137"/>
    <n v="91.947000000000003"/>
    <n v="67.984999999999999"/>
    <n v="67.84"/>
    <n v="32.015000000000001"/>
    <n v="32.159999999999997"/>
    <n v="17.635000000000002"/>
    <n v="18.175000000000001"/>
    <n v="32.159999999999997"/>
    <n v="32.015000000000001"/>
    <n v="20.094999999999999"/>
    <n v="14"/>
    <n v="15"/>
    <n v="14"/>
    <n v="14"/>
  </r>
  <r>
    <n v="414"/>
    <m/>
    <m/>
    <m/>
    <m/>
    <s v="G20"/>
    <s v="Parkinson's disease"/>
    <x v="93"/>
    <s v="M"/>
    <m/>
    <m/>
    <s v="NA"/>
    <s v="NA"/>
    <s v="NA"/>
    <s v="NA"/>
    <s v="NA"/>
    <s v="NA"/>
    <s v="NA"/>
    <s v="NA"/>
    <s v="NA"/>
    <s v="NA"/>
    <s v="NA"/>
    <s v="NA"/>
    <s v="NA"/>
    <s v="NA"/>
    <s v="NA"/>
    <s v="NA"/>
    <s v="NA"/>
    <s v="NA"/>
    <s v="NA"/>
    <s v="NA"/>
    <s v="NA"/>
  </r>
  <r>
    <n v="415"/>
    <m/>
    <m/>
    <m/>
    <m/>
    <s v="G20"/>
    <s v="Parkinson's disease"/>
    <x v="168"/>
    <s v="M"/>
    <m/>
    <m/>
    <s v="NA"/>
    <s v="NA"/>
    <s v="NA"/>
    <s v="NA"/>
    <s v="NA"/>
    <s v="NA"/>
    <s v="NA"/>
    <s v="NA"/>
    <s v="NA"/>
    <s v="NA"/>
    <s v="NA"/>
    <s v="NA"/>
    <s v="NA"/>
    <s v="NA"/>
    <s v="NA"/>
    <s v="NA"/>
    <s v="NA"/>
    <s v="NA"/>
    <s v="NA"/>
    <s v="NA"/>
    <s v="NA"/>
  </r>
  <r>
    <n v="416"/>
    <m/>
    <m/>
    <m/>
    <m/>
    <s v="R25.1"/>
    <s v="Tremor, unspecified"/>
    <x v="10"/>
    <s v="F"/>
    <m/>
    <m/>
    <n v="44.226999999999997"/>
    <n v="46.366"/>
    <n v="90.658000000000001"/>
    <n v="91.5"/>
    <n v="73.811999999999998"/>
    <n v="73.58"/>
    <n v="97.125"/>
    <n v="95.623000000000005"/>
    <n v="66.129000000000005"/>
    <n v="65.137"/>
    <n v="33.871000000000002"/>
    <n v="34.863"/>
    <n v="14.835000000000001"/>
    <n v="16.109000000000002"/>
    <n v="34.863"/>
    <n v="33.871000000000002"/>
    <n v="20.774000000000001"/>
    <n v="13"/>
    <n v="12"/>
    <n v="12"/>
    <n v="12"/>
  </r>
  <r>
    <n v="417"/>
    <m/>
    <m/>
    <m/>
    <m/>
    <s v="G20"/>
    <s v="Parkinson's disease"/>
    <x v="28"/>
    <s v="F"/>
    <m/>
    <m/>
    <s v="NA"/>
    <s v="NA"/>
    <s v="NA"/>
    <s v="NA"/>
    <s v="NA"/>
    <s v="NA"/>
    <s v="NA"/>
    <s v="NA"/>
    <s v="NA"/>
    <s v="NA"/>
    <s v="NA"/>
    <s v="NA"/>
    <s v="NA"/>
    <s v="NA"/>
    <s v="NA"/>
    <s v="NA"/>
    <s v="NA"/>
    <s v="NA"/>
    <s v="NA"/>
    <s v="NA"/>
    <s v="NA"/>
  </r>
  <r>
    <n v="418"/>
    <m/>
    <m/>
    <m/>
    <m/>
    <s v="R25.1"/>
    <s v="Tremor, unspecified"/>
    <x v="103"/>
    <s v="M"/>
    <m/>
    <m/>
    <n v="50.7"/>
    <n v="48.116999999999997"/>
    <n v="98.034000000000006"/>
    <n v="99.084000000000003"/>
    <n v="93.125"/>
    <n v="94.186000000000007"/>
    <n v="113.261"/>
    <n v="113.643"/>
    <n v="65.641000000000005"/>
    <n v="64.144999999999996"/>
    <n v="34.359000000000002"/>
    <n v="35.854999999999997"/>
    <n v="15.054"/>
    <n v="14.967000000000001"/>
    <n v="35.854999999999997"/>
    <n v="34.359000000000002"/>
    <n v="16.268000000000001"/>
    <n v="11"/>
    <n v="11"/>
    <n v="11"/>
    <n v="11"/>
  </r>
  <r>
    <n v="419"/>
    <m/>
    <m/>
    <m/>
    <m/>
    <s v="G20"/>
    <s v="Parkinson's disease"/>
    <x v="169"/>
    <s v="M"/>
    <m/>
    <m/>
    <n v="58.481999999999999"/>
    <n v="64.483000000000004"/>
    <n v="123.023"/>
    <n v="123.125"/>
    <n v="121.92100000000001"/>
    <n v="121.46"/>
    <n v="119.35299999999999"/>
    <n v="119.681"/>
    <n v="59.298999999999999"/>
    <n v="62.353999999999999"/>
    <n v="40.701000000000001"/>
    <n v="37.646000000000001"/>
    <n v="9.5489999999999995"/>
    <n v="12.366"/>
    <n v="37.646000000000001"/>
    <n v="40.701000000000001"/>
    <n v="17.792000000000002"/>
    <n v="10"/>
    <n v="9"/>
    <n v="9"/>
    <n v="9"/>
  </r>
  <r>
    <n v="420"/>
    <m/>
    <m/>
    <m/>
    <m/>
    <s v="G20"/>
    <s v="Parkinson's disease"/>
    <x v="69"/>
    <s v="M"/>
    <m/>
    <m/>
    <n v="62.776000000000003"/>
    <n v="64.364999999999995"/>
    <n v="126.90300000000001"/>
    <n v="126.91"/>
    <n v="118.328"/>
    <n v="117.59699999999999"/>
    <n v="113.107"/>
    <n v="111.366"/>
    <n v="63.000999999999998"/>
    <n v="61.826999999999998"/>
    <n v="36.999000000000002"/>
    <n v="38.173000000000002"/>
    <n v="12.933"/>
    <n v="11.683"/>
    <n v="38.173000000000002"/>
    <n v="36.999000000000002"/>
    <n v="7.7080000000000002"/>
    <n v="10"/>
    <n v="7"/>
    <n v="7"/>
    <n v="7"/>
  </r>
  <r>
    <n v="421"/>
    <m/>
    <m/>
    <m/>
    <m/>
    <s v="NA"/>
    <s v="NA"/>
    <x v="35"/>
    <s v="NA"/>
    <m/>
    <m/>
    <n v="55.722999999999999"/>
    <n v="56.7"/>
    <n v="111.663"/>
    <n v="112.80800000000001"/>
    <n v="94.81"/>
    <n v="95.950999999999993"/>
    <n v="101.071"/>
    <n v="101.777"/>
    <n v="63.402999999999999"/>
    <n v="65.091999999999999"/>
    <n v="36.597000000000001"/>
    <n v="34.908000000000001"/>
    <n v="14.471"/>
    <n v="14.331"/>
    <n v="34.908000000000001"/>
    <n v="36.597000000000001"/>
    <n v="15.71"/>
    <n v="9"/>
    <n v="9"/>
    <n v="9"/>
    <n v="9"/>
  </r>
  <r>
    <n v="422"/>
    <m/>
    <m/>
    <m/>
    <m/>
    <s v="NA"/>
    <s v="NA"/>
    <x v="35"/>
    <s v="NA"/>
    <m/>
    <m/>
    <n v="52.396999999999998"/>
    <n v="49.978000000000002"/>
    <n v="102.913"/>
    <n v="102.223"/>
    <n v="89.879000000000005"/>
    <n v="89.236999999999995"/>
    <n v="104.03400000000001"/>
    <n v="104.494"/>
    <n v="64.025000000000006"/>
    <n v="62.701000000000001"/>
    <n v="35.975000000000001"/>
    <n v="37.298999999999999"/>
    <n v="12.961"/>
    <n v="14.772"/>
    <n v="37.298999999999999"/>
    <n v="35.975000000000001"/>
    <n v="6.1139999999999999"/>
    <n v="10"/>
    <n v="11"/>
    <n v="10"/>
    <n v="10"/>
  </r>
  <r>
    <n v="423"/>
    <m/>
    <m/>
    <m/>
    <m/>
    <s v="G20"/>
    <s v="Parkinson's disease"/>
    <x v="170"/>
    <s v="M"/>
    <m/>
    <m/>
    <n v="43.334000000000003"/>
    <n v="35.398000000000003"/>
    <n v="78.486999999999995"/>
    <n v="78.772000000000006"/>
    <n v="67.41"/>
    <n v="67.194000000000003"/>
    <n v="102.855"/>
    <n v="101.681"/>
    <n v="66.405000000000001"/>
    <n v="64.727000000000004"/>
    <n v="33.594999999999999"/>
    <n v="35.273000000000003"/>
    <n v="16.443000000000001"/>
    <n v="15.337999999999999"/>
    <n v="35.273000000000003"/>
    <n v="33.594999999999999"/>
    <n v="16.734000000000002"/>
    <n v="14"/>
    <n v="12"/>
    <n v="12"/>
    <n v="12"/>
  </r>
  <r>
    <n v="424"/>
    <m/>
    <m/>
    <m/>
    <m/>
    <s v="NA"/>
    <s v="NA"/>
    <x v="35"/>
    <s v="NA"/>
    <m/>
    <m/>
    <n v="53.972000000000001"/>
    <n v="55.996000000000002"/>
    <n v="110.544"/>
    <n v="109.023"/>
    <n v="111.22"/>
    <n v="111.363"/>
    <n v="120.776"/>
    <n v="122.449"/>
    <n v="60.896000000000001"/>
    <n v="63.124000000000002"/>
    <n v="39.103999999999999"/>
    <n v="36.875999999999998"/>
    <n v="12.726000000000001"/>
    <n v="11.55"/>
    <n v="36.875999999999998"/>
    <n v="39.103999999999999"/>
    <n v="10.194000000000001"/>
    <n v="10"/>
    <n v="10"/>
    <n v="10"/>
    <n v="10"/>
  </r>
  <r>
    <n v="425"/>
    <m/>
    <m/>
    <m/>
    <m/>
    <s v="G20"/>
    <s v="Parkinson's disease"/>
    <x v="38"/>
    <s v="F"/>
    <m/>
    <m/>
    <n v="26.827999999999999"/>
    <n v="27.035"/>
    <n v="53.902000000000001"/>
    <n v="53.689"/>
    <n v="56.067999999999998"/>
    <n v="56.061999999999998"/>
    <n v="124.614"/>
    <n v="124.733"/>
    <n v="68.248999999999995"/>
    <n v="67.39"/>
    <n v="31.751000000000001"/>
    <n v="32.61"/>
    <n v="17.736999999999998"/>
    <n v="17.806000000000001"/>
    <n v="32.61"/>
    <n v="31.751000000000001"/>
    <n v="23.988"/>
    <n v="19"/>
    <n v="18"/>
    <n v="18"/>
    <n v="18"/>
  </r>
  <r>
    <n v="426"/>
    <m/>
    <m/>
    <m/>
    <m/>
    <s v="G20"/>
    <s v="Parkinson's disease"/>
    <x v="45"/>
    <s v="M"/>
    <m/>
    <m/>
    <n v="18.468"/>
    <n v="17.003"/>
    <n v="35.625999999999998"/>
    <n v="36.19"/>
    <n v="36.515000000000001"/>
    <n v="37.634"/>
    <n v="124.334"/>
    <n v="125.039"/>
    <n v="70.477999999999994"/>
    <n v="70.301000000000002"/>
    <n v="29.521999999999998"/>
    <n v="29.699000000000002"/>
    <n v="26.995000000000001"/>
    <n v="15.962"/>
    <n v="29.699000000000002"/>
    <n v="29.521999999999998"/>
    <n v="12.898"/>
    <n v="32"/>
    <n v="30"/>
    <n v="30"/>
    <n v="30"/>
  </r>
  <r>
    <n v="427"/>
    <m/>
    <m/>
    <m/>
    <m/>
    <s v="R25.1"/>
    <s v="Tremor, unspecified"/>
    <x v="43"/>
    <s v="M"/>
    <m/>
    <m/>
    <s v="NA"/>
    <s v="NA"/>
    <s v="NA"/>
    <s v="NA"/>
    <s v="NA"/>
    <s v="NA"/>
    <s v="NA"/>
    <s v="NA"/>
    <s v="NA"/>
    <s v="NA"/>
    <s v="NA"/>
    <s v="NA"/>
    <s v="NA"/>
    <s v="NA"/>
    <s v="NA"/>
    <s v="NA"/>
    <s v="NA"/>
    <s v="NA"/>
    <s v="NA"/>
    <s v="NA"/>
    <s v="NA"/>
  </r>
  <r>
    <n v="428"/>
    <m/>
    <m/>
    <m/>
    <m/>
    <s v="G25.0"/>
    <s v="Essential tremor"/>
    <x v="8"/>
    <s v="F"/>
    <m/>
    <m/>
    <n v="54.646999999999998"/>
    <n v="51.503"/>
    <n v="106.843"/>
    <n v="105.593"/>
    <n v="91.986999999999995"/>
    <n v="91.302999999999997"/>
    <n v="103.241"/>
    <n v="103.69799999999999"/>
    <n v="65.518000000000001"/>
    <n v="64.188000000000002"/>
    <n v="34.481999999999999"/>
    <n v="35.811999999999998"/>
    <n v="14.536"/>
    <n v="15.031000000000001"/>
    <n v="35.811999999999998"/>
    <n v="34.481999999999999"/>
    <n v="14.3"/>
    <n v="10"/>
    <n v="10"/>
    <n v="10"/>
    <n v="10"/>
  </r>
  <r>
    <n v="429"/>
    <m/>
    <m/>
    <m/>
    <m/>
    <s v="NA"/>
    <s v="NA"/>
    <x v="35"/>
    <s v="NA"/>
    <m/>
    <m/>
    <n v="38.781999999999996"/>
    <n v="43.176000000000002"/>
    <n v="81.763000000000005"/>
    <n v="81.599999999999994"/>
    <n v="76.918000000000006"/>
    <n v="77.450999999999993"/>
    <n v="113.474"/>
    <n v="113.727"/>
    <n v="63.463000000000001"/>
    <n v="64"/>
    <n v="36.536999999999999"/>
    <n v="36"/>
    <n v="15.851000000000001"/>
    <n v="11.664"/>
    <n v="36"/>
    <n v="36.536999999999999"/>
    <n v="14.098000000000001"/>
    <n v="17"/>
    <n v="14"/>
    <n v="14"/>
    <n v="14"/>
  </r>
  <r>
    <n v="430"/>
    <m/>
    <m/>
    <m/>
    <m/>
    <s v="G25.0"/>
    <s v="Essential tremor"/>
    <x v="75"/>
    <s v="M"/>
    <m/>
    <m/>
    <n v="55.970999999999997"/>
    <n v="60.085000000000001"/>
    <n v="116.39100000000001"/>
    <n v="116.40300000000001"/>
    <n v="96.218000000000004"/>
    <n v="96.703000000000003"/>
    <n v="99.188000000000002"/>
    <n v="98.942999999999998"/>
    <n v="63.75"/>
    <n v="62.639000000000003"/>
    <n v="36.25"/>
    <n v="37.360999999999997"/>
    <n v="13.351000000000001"/>
    <n v="13.228999999999999"/>
    <n v="37.360999999999997"/>
    <n v="36.25"/>
    <n v="8.6199999999999992"/>
    <n v="9"/>
    <n v="10"/>
    <n v="9"/>
    <n v="9"/>
  </r>
  <r>
    <n v="431"/>
    <m/>
    <m/>
    <m/>
    <m/>
    <s v="NA"/>
    <s v="NA"/>
    <x v="35"/>
    <s v="NA"/>
    <m/>
    <m/>
    <n v="41.545000000000002"/>
    <n v="40.229999999999997"/>
    <n v="82.116"/>
    <n v="80.384"/>
    <n v="64.123999999999995"/>
    <n v="63.954999999999998"/>
    <n v="94.873000000000005"/>
    <n v="95.239000000000004"/>
    <n v="65.759"/>
    <n v="60.988999999999997"/>
    <n v="34.241"/>
    <n v="39.011000000000003"/>
    <n v="15.144"/>
    <n v="12.287000000000001"/>
    <n v="39.011000000000003"/>
    <n v="34.241"/>
    <n v="10.776"/>
    <n v="15"/>
    <n v="15"/>
    <n v="15"/>
    <n v="15"/>
  </r>
  <r>
    <n v="432"/>
    <m/>
    <m/>
    <m/>
    <m/>
    <s v="G20"/>
    <s v="Parkinson's disease"/>
    <x v="171"/>
    <s v="M"/>
    <m/>
    <m/>
    <n v="67.918999999999997"/>
    <n v="65.198999999999998"/>
    <n v="133.55000000000001"/>
    <n v="132.577"/>
    <n v="112.947"/>
    <n v="112.611"/>
    <n v="100.867"/>
    <n v="101.187"/>
    <n v="62.475000000000001"/>
    <n v="62.765999999999998"/>
    <n v="37.524999999999999"/>
    <n v="37.234000000000002"/>
    <n v="11.619"/>
    <n v="13.462999999999999"/>
    <n v="37.234000000000002"/>
    <n v="37.524999999999999"/>
    <n v="19.704000000000001"/>
    <n v="10"/>
    <n v="6"/>
    <n v="6"/>
    <n v="6"/>
  </r>
  <r>
    <n v="433"/>
    <m/>
    <m/>
    <m/>
    <m/>
    <s v="R25.1"/>
    <s v="Tremor, unspecified"/>
    <x v="49"/>
    <s v="M"/>
    <m/>
    <m/>
    <n v="66.325999999999993"/>
    <n v="66.456000000000003"/>
    <n v="133.97900000000001"/>
    <n v="132.28800000000001"/>
    <n v="117.53100000000001"/>
    <n v="115.39100000000001"/>
    <n v="105.16500000000001"/>
    <n v="103.714"/>
    <n v="61.939"/>
    <n v="61.834000000000003"/>
    <n v="38.061"/>
    <n v="38.165999999999997"/>
    <n v="12.397"/>
    <n v="11.696999999999999"/>
    <n v="38.165999999999997"/>
    <n v="38.061"/>
    <n v="10.086"/>
    <n v="7"/>
    <n v="8"/>
    <n v="7"/>
    <n v="7"/>
  </r>
  <r>
    <n v="434"/>
    <m/>
    <m/>
    <m/>
    <m/>
    <s v="NA"/>
    <s v="NA"/>
    <x v="35"/>
    <s v="NA"/>
    <m/>
    <m/>
    <n v="38.813000000000002"/>
    <n v="31.201000000000001"/>
    <n v="69.302999999999997"/>
    <n v="70.457999999999998"/>
    <n v="48.921999999999997"/>
    <n v="49.552"/>
    <n v="83.168999999999997"/>
    <n v="83.191999999999993"/>
    <n v="71.162000000000006"/>
    <n v="66.52"/>
    <n v="28.838000000000001"/>
    <n v="33.479999999999997"/>
    <n v="21.626000000000001"/>
    <n v="15.601000000000001"/>
    <n v="33.479999999999997"/>
    <n v="28.838000000000001"/>
    <n v="10.882"/>
    <n v="15"/>
    <n v="15"/>
    <n v="15"/>
    <n v="15"/>
  </r>
  <r>
    <n v="435"/>
    <m/>
    <m/>
    <m/>
    <m/>
    <s v="NA"/>
    <s v="NA"/>
    <x v="35"/>
    <s v="NA"/>
    <m/>
    <m/>
    <n v="57.276000000000003"/>
    <n v="49.972000000000001"/>
    <n v="108.04900000000001"/>
    <n v="107.379"/>
    <n v="105.971"/>
    <n v="104.932"/>
    <n v="116.57"/>
    <n v="117.544"/>
    <n v="64.352999999999994"/>
    <n v="62.249000000000002"/>
    <n v="35.646999999999998"/>
    <n v="37.752000000000002"/>
    <n v="14.407"/>
    <n v="12.561"/>
    <n v="37.752000000000002"/>
    <n v="35.646999999999998"/>
    <n v="17.152000000000001"/>
    <n v="11"/>
    <n v="10"/>
    <n v="10"/>
    <n v="10"/>
  </r>
  <r>
    <n v="436"/>
    <m/>
    <m/>
    <m/>
    <m/>
    <s v="G25.0"/>
    <s v="Essential tremor"/>
    <x v="172"/>
    <s v="M"/>
    <m/>
    <m/>
    <n v="54.468000000000004"/>
    <n v="55.85"/>
    <n v="110.313"/>
    <n v="110.77200000000001"/>
    <n v="92.563999999999993"/>
    <n v="92.207999999999998"/>
    <n v="100.432"/>
    <n v="100.11499999999999"/>
    <n v="64.429000000000002"/>
    <n v="62.411999999999999"/>
    <n v="35.570999999999998"/>
    <n v="37.588000000000001"/>
    <n v="13.523999999999999"/>
    <n v="13.193"/>
    <n v="37.588000000000001"/>
    <n v="35.570999999999998"/>
    <n v="17.399999999999999"/>
    <n v="10"/>
    <n v="10"/>
    <n v="10"/>
    <n v="10"/>
  </r>
  <r>
    <n v="437"/>
    <m/>
    <m/>
    <m/>
    <m/>
    <s v="R25.1"/>
    <s v="Tremor, unspecified"/>
    <x v="173"/>
    <s v="F"/>
    <m/>
    <m/>
    <n v="43.554000000000002"/>
    <n v="40.975999999999999"/>
    <n v="84.456000000000003"/>
    <n v="84.683999999999997"/>
    <n v="70.335999999999999"/>
    <n v="70.391000000000005"/>
    <n v="99.903999999999996"/>
    <n v="99.483999999999995"/>
    <n v="64.912999999999997"/>
    <n v="66.600999999999999"/>
    <n v="35.087000000000003"/>
    <n v="33.399000000000001"/>
    <n v="15.888"/>
    <n v="16.254999999999999"/>
    <n v="33.399000000000001"/>
    <n v="35.087000000000003"/>
    <n v="12.172000000000001"/>
    <n v="12"/>
    <n v="11"/>
    <n v="11"/>
    <n v="11"/>
  </r>
  <r>
    <n v="438"/>
    <m/>
    <m/>
    <m/>
    <m/>
    <s v="G20"/>
    <s v="Parkinson's disease"/>
    <x v="122"/>
    <s v="M"/>
    <m/>
    <m/>
    <n v="47.317"/>
    <n v="44.375999999999998"/>
    <n v="91.926000000000002"/>
    <n v="91.700999999999993"/>
    <n v="92.912999999999997"/>
    <n v="92.65"/>
    <n v="121.367"/>
    <n v="121.01900000000001"/>
    <n v="62.969000000000001"/>
    <n v="61.573999999999998"/>
    <n v="37.030999999999999"/>
    <n v="38.426000000000002"/>
    <n v="12.308"/>
    <n v="12.46"/>
    <n v="38.426000000000002"/>
    <n v="37.030999999999999"/>
    <n v="9.9719999999999995"/>
    <n v="11"/>
    <n v="14"/>
    <n v="11"/>
    <n v="11"/>
  </r>
  <r>
    <n v="439"/>
    <m/>
    <m/>
    <m/>
    <m/>
    <s v="G20"/>
    <s v="Parkinson's disease"/>
    <x v="102"/>
    <s v="M"/>
    <m/>
    <m/>
    <n v="39.972999999999999"/>
    <n v="48.183999999999997"/>
    <n v="89.102000000000004"/>
    <n v="89.596000000000004"/>
    <n v="100.52500000000001"/>
    <n v="100.459"/>
    <n v="133.43199999999999"/>
    <n v="134.047"/>
    <n v="64.876999999999995"/>
    <n v="61.063000000000002"/>
    <n v="35.122999999999998"/>
    <n v="38.936999999999998"/>
    <n v="13.361000000000001"/>
    <n v="13.189"/>
    <n v="38.936999999999998"/>
    <n v="35.122999999999998"/>
    <n v="16.994"/>
    <n v="13"/>
    <n v="13"/>
    <n v="13"/>
    <n v="13"/>
  </r>
  <r>
    <n v="440"/>
    <m/>
    <m/>
    <m/>
    <m/>
    <s v="NA"/>
    <s v="NA"/>
    <x v="35"/>
    <s v="NA"/>
    <m/>
    <m/>
    <s v="NA"/>
    <s v="NA"/>
    <s v="NA"/>
    <s v="NA"/>
    <s v="NA"/>
    <s v="NA"/>
    <s v="NA"/>
    <s v="NA"/>
    <s v="NA"/>
    <s v="NA"/>
    <s v="NA"/>
    <s v="NA"/>
    <s v="NA"/>
    <s v="NA"/>
    <s v="NA"/>
    <s v="NA"/>
    <s v="NA"/>
    <s v="NA"/>
    <s v="NA"/>
    <s v="NA"/>
    <s v="NA"/>
  </r>
  <r>
    <n v="441"/>
    <m/>
    <m/>
    <m/>
    <m/>
    <s v="NA"/>
    <s v="NA"/>
    <x v="35"/>
    <s v="NA"/>
    <m/>
    <m/>
    <n v="45.107999999999997"/>
    <n v="51.755000000000003"/>
    <n v="96.358000000000004"/>
    <n v="97.106999999999999"/>
    <n v="77.281999999999996"/>
    <n v="78.403999999999996"/>
    <n v="96.438999999999993"/>
    <n v="96.483999999999995"/>
    <n v="64.646000000000001"/>
    <n v="63.438000000000002"/>
    <n v="35.353999999999999"/>
    <n v="36.561999999999998"/>
    <n v="14.525"/>
    <n v="13.586"/>
    <n v="36.561999999999998"/>
    <n v="35.353999999999999"/>
    <n v="12.86"/>
    <n v="14"/>
    <n v="13"/>
    <n v="13"/>
    <n v="13"/>
  </r>
  <r>
    <n v="442"/>
    <m/>
    <m/>
    <m/>
    <m/>
    <s v="R25.1"/>
    <s v="Tremor, unspecified"/>
    <x v="96"/>
    <s v="F"/>
    <m/>
    <m/>
    <n v="53.731999999999999"/>
    <n v="48.307000000000002"/>
    <n v="102.09399999999999"/>
    <n v="101.86"/>
    <n v="97.727999999999994"/>
    <n v="97.616"/>
    <n v="114.218"/>
    <n v="113.998"/>
    <n v="65.427000000000007"/>
    <n v="60.929000000000002"/>
    <n v="34.573"/>
    <n v="39.070999999999998"/>
    <n v="14.430999999999999"/>
    <n v="12.516999999999999"/>
    <n v="39.070999999999998"/>
    <n v="34.573"/>
    <n v="10.8"/>
    <n v="10"/>
    <n v="11"/>
    <n v="10"/>
    <n v="10"/>
  </r>
  <r>
    <n v="443"/>
    <m/>
    <m/>
    <m/>
    <m/>
    <s v="G20"/>
    <s v="Parkinson's disease"/>
    <x v="174"/>
    <s v="M"/>
    <m/>
    <m/>
    <n v="64.460999999999999"/>
    <n v="73.010000000000005"/>
    <n v="138.18299999999999"/>
    <n v="137.70599999999999"/>
    <n v="118.751"/>
    <n v="118.38800000000001"/>
    <n v="102.9"/>
    <n v="102.895"/>
    <n v="63.587000000000003"/>
    <n v="62.851999999999997"/>
    <n v="36.412999999999997"/>
    <n v="37.148000000000003"/>
    <n v="12.513"/>
    <n v="13.769"/>
    <n v="37.148000000000003"/>
    <n v="36.412999999999997"/>
    <n v="11.444000000000001"/>
    <n v="10"/>
    <n v="7"/>
    <n v="7"/>
    <n v="7"/>
  </r>
  <r>
    <n v="444"/>
    <m/>
    <m/>
    <m/>
    <m/>
    <s v="NA"/>
    <s v="NA"/>
    <x v="35"/>
    <s v="NA"/>
    <m/>
    <m/>
    <n v="63.942"/>
    <n v="61.444000000000003"/>
    <n v="126.962"/>
    <n v="124.774"/>
    <n v="128.83799999999999"/>
    <n v="129.99199999999999"/>
    <n v="122.255"/>
    <n v="124.973"/>
    <n v="59.137999999999998"/>
    <n v="61.354999999999997"/>
    <n v="40.862000000000002"/>
    <n v="38.645000000000003"/>
    <n v="10.420999999999999"/>
    <n v="11.547000000000001"/>
    <n v="38.645000000000003"/>
    <n v="40.862000000000002"/>
    <n v="13.648"/>
    <n v="7"/>
    <n v="10"/>
    <n v="7"/>
    <n v="7"/>
  </r>
  <r>
    <n v="446"/>
    <m/>
    <m/>
    <m/>
    <m/>
    <s v="NA"/>
    <s v="NA"/>
    <x v="35"/>
    <s v="NA"/>
    <m/>
    <m/>
    <n v="39.267000000000003"/>
    <n v="46.362000000000002"/>
    <n v="84.313000000000002"/>
    <n v="85.275000000000006"/>
    <n v="72.948999999999998"/>
    <n v="74.326999999999998"/>
    <n v="103.136"/>
    <n v="103.77800000000001"/>
    <n v="63.615000000000002"/>
    <n v="64.796000000000006"/>
    <n v="36.384999999999998"/>
    <n v="35.204000000000001"/>
    <n v="15.217000000000001"/>
    <n v="13.763999999999999"/>
    <n v="35.204000000000001"/>
    <n v="36.384999999999998"/>
    <n v="9.2379999999999995"/>
    <n v="12"/>
    <n v="14"/>
    <n v="12"/>
    <n v="12"/>
  </r>
  <r>
    <n v="447"/>
    <m/>
    <m/>
    <m/>
    <m/>
    <s v="NA"/>
    <s v="NA"/>
    <x v="35"/>
    <s v="NA"/>
    <m/>
    <m/>
    <n v="67.888000000000005"/>
    <n v="66.611999999999995"/>
    <n v="135.178"/>
    <n v="133.94499999999999"/>
    <n v="130.88999999999999"/>
    <n v="130.42099999999999"/>
    <n v="115.873"/>
    <n v="116.774"/>
    <n v="61.460999999999999"/>
    <n v="60.271999999999998"/>
    <n v="38.539000000000001"/>
    <n v="39.728000000000002"/>
    <n v="11.018000000000001"/>
    <n v="10.808999999999999"/>
    <n v="39.728000000000002"/>
    <n v="38.539000000000001"/>
    <n v="11.992000000000001"/>
    <n v="10"/>
    <n v="9"/>
    <n v="9"/>
    <n v="9"/>
  </r>
  <r>
    <n v="448"/>
    <m/>
    <m/>
    <m/>
    <m/>
    <s v="R25.9"/>
    <s v="Unspecified abnormal involuntary movements"/>
    <x v="115"/>
    <s v="F"/>
    <m/>
    <m/>
    <n v="42.634"/>
    <n v="46.960999999999999"/>
    <n v="89.674999999999997"/>
    <n v="90.144000000000005"/>
    <n v="56.418999999999997"/>
    <n v="56.996000000000002"/>
    <n v="75.308999999999997"/>
    <n v="75.316000000000003"/>
    <n v="66.936000000000007"/>
    <n v="67.510999999999996"/>
    <n v="33.064"/>
    <n v="32.488999999999997"/>
    <n v="17.747"/>
    <n v="16.847999999999999"/>
    <n v="32.488999999999997"/>
    <n v="33.064"/>
    <n v="11.798"/>
    <n v="14"/>
    <n v="11"/>
    <n v="11"/>
    <n v="11"/>
  </r>
  <r>
    <n v="449"/>
    <m/>
    <m/>
    <m/>
    <m/>
    <s v="NA"/>
    <s v="NA"/>
    <x v="35"/>
    <s v="NA"/>
    <m/>
    <m/>
    <n v="69.613"/>
    <n v="69.789000000000001"/>
    <n v="138.79499999999999"/>
    <n v="139.958"/>
    <n v="132.16300000000001"/>
    <n v="132.346"/>
    <n v="113.902"/>
    <n v="113.05800000000001"/>
    <n v="61.896999999999998"/>
    <n v="60.533000000000001"/>
    <n v="38.103000000000002"/>
    <n v="39.466999999999999"/>
    <n v="11.143000000000001"/>
    <n v="11.433"/>
    <n v="39.466999999999999"/>
    <n v="38.103000000000002"/>
    <n v="7.49"/>
    <n v="10"/>
    <n v="7"/>
    <n v="7"/>
    <n v="7"/>
  </r>
  <r>
    <n v="450"/>
    <m/>
    <m/>
    <m/>
    <m/>
    <s v="G25.0"/>
    <s v="Essential tremor"/>
    <x v="67"/>
    <s v="M"/>
    <m/>
    <m/>
    <n v="63.372999999999998"/>
    <n v="58.619"/>
    <n v="121.89100000000001"/>
    <n v="121.72499999999999"/>
    <n v="92.066000000000003"/>
    <n v="93.070999999999998"/>
    <n v="90.177000000000007"/>
    <n v="91.004999999999995"/>
    <n v="64.412999999999997"/>
    <n v="63.365000000000002"/>
    <n v="35.587000000000003"/>
    <n v="36.634999999999998"/>
    <n v="13.157"/>
    <n v="15.446"/>
    <n v="36.634999999999998"/>
    <n v="35.587000000000003"/>
    <n v="11.91"/>
    <n v="10"/>
    <n v="8"/>
    <n v="8"/>
    <n v="8"/>
  </r>
  <r>
    <n v="451"/>
    <m/>
    <m/>
    <m/>
    <m/>
    <s v="G25.0"/>
    <s v="Essential tremor"/>
    <x v="175"/>
    <s v="F"/>
    <m/>
    <m/>
    <s v="NA"/>
    <s v="NA"/>
    <s v="NA"/>
    <s v="NA"/>
    <s v="NA"/>
    <s v="NA"/>
    <s v="NA"/>
    <s v="NA"/>
    <s v="NA"/>
    <s v="NA"/>
    <s v="NA"/>
    <s v="NA"/>
    <s v="NA"/>
    <s v="NA"/>
    <s v="NA"/>
    <s v="NA"/>
    <s v="NA"/>
    <s v="NA"/>
    <s v="NA"/>
    <s v="NA"/>
    <s v="NA"/>
  </r>
  <r>
    <n v="452"/>
    <m/>
    <m/>
    <m/>
    <m/>
    <s v="NA"/>
    <s v="NA"/>
    <x v="35"/>
    <s v="NA"/>
    <m/>
    <m/>
    <n v="64.881"/>
    <n v="65.724000000000004"/>
    <n v="130.965"/>
    <n v="130.19800000000001"/>
    <n v="109.435"/>
    <n v="108.161"/>
    <n v="100.098"/>
    <n v="100.056"/>
    <n v="64.076999999999998"/>
    <n v="63.085999999999999"/>
    <n v="35.923000000000002"/>
    <n v="36.914000000000001"/>
    <n v="14.04"/>
    <n v="13.779"/>
    <n v="36.914000000000001"/>
    <n v="35.923000000000002"/>
    <n v="12.497999999999999"/>
    <n v="10"/>
    <n v="7"/>
    <n v="7"/>
    <n v="7"/>
  </r>
  <r>
    <n v="453"/>
    <m/>
    <m/>
    <m/>
    <m/>
    <s v="NA"/>
    <s v="NA"/>
    <x v="35"/>
    <s v="NA"/>
    <m/>
    <m/>
    <s v="NA"/>
    <s v="NA"/>
    <s v="NA"/>
    <s v="NA"/>
    <s v="NA"/>
    <s v="NA"/>
    <s v="NA"/>
    <s v="NA"/>
    <s v="NA"/>
    <s v="NA"/>
    <s v="NA"/>
    <s v="NA"/>
    <s v="NA"/>
    <s v="NA"/>
    <s v="NA"/>
    <s v="NA"/>
    <s v="NA"/>
    <s v="NA"/>
    <s v="NA"/>
    <s v="NA"/>
    <s v="NA"/>
  </r>
  <r>
    <n v="454"/>
    <m/>
    <m/>
    <m/>
    <m/>
    <s v="NA"/>
    <s v="NA"/>
    <x v="35"/>
    <s v="NA"/>
    <m/>
    <m/>
    <n v="38.643000000000001"/>
    <n v="45.371000000000002"/>
    <n v="84.07"/>
    <n v="83.760999999999996"/>
    <n v="88.331999999999994"/>
    <n v="88.286000000000001"/>
    <n v="126.511"/>
    <n v="126.38"/>
    <n v="57.59"/>
    <n v="62.180999999999997"/>
    <n v="42.41"/>
    <n v="37.819000000000003"/>
    <n v="8.7430000000000003"/>
    <n v="11.801"/>
    <n v="37.819000000000003"/>
    <n v="42.41"/>
    <n v="10.798"/>
    <n v="13"/>
    <n v="13"/>
    <n v="13"/>
    <n v="13"/>
  </r>
  <r>
    <n v="455"/>
    <m/>
    <m/>
    <m/>
    <m/>
    <s v="G20"/>
    <s v="Parkinson's disease"/>
    <x v="176"/>
    <s v="F"/>
    <m/>
    <m/>
    <n v="44.607999999999997"/>
    <n v="39.801000000000002"/>
    <n v="84.622"/>
    <n v="84.706000000000003"/>
    <n v="71.447999999999993"/>
    <n v="71.162999999999997"/>
    <n v="101.877"/>
    <n v="101.89700000000001"/>
    <n v="64.736000000000004"/>
    <n v="65.198999999999998"/>
    <n v="35.264000000000003"/>
    <n v="34.801000000000002"/>
    <n v="15.736000000000001"/>
    <n v="14.898"/>
    <n v="34.801000000000002"/>
    <n v="35.264000000000003"/>
    <n v="6.5659999999999998"/>
    <n v="14"/>
    <n v="11"/>
    <n v="11"/>
    <n v="11"/>
  </r>
  <r>
    <n v="456"/>
    <m/>
    <m/>
    <m/>
    <m/>
    <s v="G20"/>
    <s v="Parkinson's disease"/>
    <x v="1"/>
    <s v="F"/>
    <m/>
    <m/>
    <n v="56.514000000000003"/>
    <n v="60.167000000000002"/>
    <n v="117.077"/>
    <n v="117.134"/>
    <n v="96.337000000000003"/>
    <n v="96.227000000000004"/>
    <n v="98.602000000000004"/>
    <n v="98.299000000000007"/>
    <n v="64.679000000000002"/>
    <n v="59.277000000000001"/>
    <n v="35.320999999999998"/>
    <n v="40.722999999999999"/>
    <n v="13.82"/>
    <n v="10.853999999999999"/>
    <n v="40.722999999999999"/>
    <n v="35.320999999999998"/>
    <n v="12.364000000000001"/>
    <n v="10"/>
    <n v="10"/>
    <n v="10"/>
    <n v="10"/>
  </r>
  <r>
    <n v="457"/>
    <m/>
    <m/>
    <m/>
    <m/>
    <s v="R25.1"/>
    <s v="Tremor, unspecified"/>
    <x v="177"/>
    <s v="M"/>
    <m/>
    <m/>
    <n v="46.753"/>
    <n v="53.252000000000002"/>
    <n v="99.805000000000007"/>
    <n v="100.20099999999999"/>
    <n v="72.692999999999998"/>
    <n v="73.460999999999999"/>
    <n v="87.242000000000004"/>
    <n v="87.652000000000001"/>
    <n v="64.629000000000005"/>
    <n v="67.224000000000004"/>
    <n v="35.371000000000002"/>
    <n v="32.776000000000003"/>
    <n v="16.898"/>
    <n v="15.84"/>
    <n v="32.776000000000003"/>
    <n v="35.371000000000002"/>
    <n v="8.3339999999999996"/>
    <n v="10"/>
    <n v="10"/>
    <n v="10"/>
    <n v="10"/>
  </r>
  <r>
    <n v="458"/>
    <m/>
    <m/>
    <m/>
    <m/>
    <s v="G24.5"/>
    <s v="Blepharospasm"/>
    <x v="178"/>
    <s v="M"/>
    <m/>
    <m/>
    <n v="63.786000000000001"/>
    <n v="62.491"/>
    <n v="126.935"/>
    <n v="126.462"/>
    <n v="120.849"/>
    <n v="120.554"/>
    <n v="114.848"/>
    <n v="114.351"/>
    <n v="62.369"/>
    <n v="60.523000000000003"/>
    <n v="37.631"/>
    <n v="39.476999999999997"/>
    <n v="11.869"/>
    <n v="11.295"/>
    <n v="39.476999999999997"/>
    <n v="37.631"/>
    <n v="14.468"/>
    <n v="9"/>
    <n v="8"/>
    <n v="8"/>
    <n v="8"/>
  </r>
  <r>
    <n v="459"/>
    <m/>
    <m/>
    <m/>
    <m/>
    <s v="R25.1"/>
    <s v="Tremor, unspecified"/>
    <x v="4"/>
    <s v="M"/>
    <m/>
    <m/>
    <n v="48.201999999999998"/>
    <n v="45.387"/>
    <n v="92.384"/>
    <n v="94.332999999999998"/>
    <n v="91.802999999999997"/>
    <n v="93.344999999999999"/>
    <n v="119.64700000000001"/>
    <n v="119.292"/>
    <n v="65.078000000000003"/>
    <n v="62.837000000000003"/>
    <n v="34.921999999999997"/>
    <n v="37.162999999999997"/>
    <n v="14.611000000000001"/>
    <n v="13.864000000000001"/>
    <n v="37.162999999999997"/>
    <n v="34.921999999999997"/>
    <n v="12.096"/>
    <n v="12"/>
    <n v="13"/>
    <n v="12"/>
    <n v="12"/>
  </r>
  <r>
    <n v="460"/>
    <m/>
    <m/>
    <m/>
    <m/>
    <s v="G25.0"/>
    <s v="Essential tremor"/>
    <x v="1"/>
    <s v="F"/>
    <m/>
    <m/>
    <n v="44.884"/>
    <n v="45.814"/>
    <n v="90.305000000000007"/>
    <n v="90.542000000000002"/>
    <n v="69.488"/>
    <n v="70.156000000000006"/>
    <n v="92.78"/>
    <n v="93.459000000000003"/>
    <n v="65.119"/>
    <n v="65.230999999999995"/>
    <n v="34.881"/>
    <n v="34.768999999999998"/>
    <n v="16.135999999999999"/>
    <n v="14.686999999999999"/>
    <n v="34.768999999999998"/>
    <n v="34.881"/>
    <n v="16.588000000000001"/>
    <n v="13"/>
    <n v="12"/>
    <n v="12"/>
    <n v="12"/>
  </r>
  <r>
    <n v="461"/>
    <m/>
    <m/>
    <m/>
    <m/>
    <s v="G20"/>
    <s v="Parkinson's disease"/>
    <x v="71"/>
    <s v="M"/>
    <m/>
    <m/>
    <n v="30.626000000000001"/>
    <n v="23.89"/>
    <n v="54.66"/>
    <n v="54.811"/>
    <n v="76.653000000000006"/>
    <n v="77.028999999999996"/>
    <n v="167.56399999999999"/>
    <n v="167.80799999999999"/>
    <n v="64.088999999999999"/>
    <n v="63.286999999999999"/>
    <n v="35.911000000000001"/>
    <n v="36.713000000000001"/>
    <n v="15.287000000000001"/>
    <n v="12.035"/>
    <n v="36.713000000000001"/>
    <n v="35.911000000000001"/>
    <n v="10.885999999999999"/>
    <n v="23"/>
    <n v="22"/>
    <n v="22"/>
    <n v="22"/>
  </r>
  <r>
    <n v="462"/>
    <m/>
    <m/>
    <m/>
    <m/>
    <s v="NA"/>
    <s v="NA"/>
    <x v="35"/>
    <s v="NA"/>
    <m/>
    <m/>
    <n v="58.731999999999999"/>
    <n v="57.944000000000003"/>
    <n v="117.127"/>
    <n v="116.923"/>
    <n v="116.562"/>
    <n v="115.977"/>
    <n v="118.92"/>
    <n v="118.892"/>
    <n v="61.219000000000001"/>
    <n v="63.17"/>
    <n v="38.780999999999999"/>
    <n v="36.83"/>
    <n v="12.696999999999999"/>
    <n v="12.816000000000001"/>
    <n v="36.83"/>
    <n v="38.780999999999999"/>
    <n v="10.029999999999999"/>
    <n v="10"/>
    <n v="11"/>
    <n v="10"/>
    <n v="10"/>
  </r>
  <r>
    <n v="463"/>
    <m/>
    <m/>
    <m/>
    <m/>
    <s v="G20"/>
    <s v="Parkinson's disease"/>
    <x v="32"/>
    <s v="M"/>
    <m/>
    <m/>
    <n v="9.7880000000000003"/>
    <n v="11.372"/>
    <n v="21.190999999999999"/>
    <n v="21.129000000000001"/>
    <n v="28.411999999999999"/>
    <n v="28.332999999999998"/>
    <n v="160.95699999999999"/>
    <n v="161.56399999999999"/>
    <n v="70.203000000000003"/>
    <n v="69.995000000000005"/>
    <n v="29.797000000000001"/>
    <n v="30.004999999999999"/>
    <n v="17.852"/>
    <n v="22.32"/>
    <n v="30.004999999999999"/>
    <n v="29.797000000000001"/>
    <n v="24.341999999999999"/>
    <n v="51"/>
    <n v="50"/>
    <n v="50"/>
    <n v="50"/>
  </r>
  <r>
    <n v="464"/>
    <m/>
    <m/>
    <m/>
    <m/>
    <s v="G25.0"/>
    <s v="Essential tremor"/>
    <x v="179"/>
    <s v="F"/>
    <m/>
    <m/>
    <n v="53.802"/>
    <n v="56.058999999999997"/>
    <n v="110.681"/>
    <n v="109.34699999999999"/>
    <n v="88.754999999999995"/>
    <n v="87.968000000000004"/>
    <n v="96.531000000000006"/>
    <n v="96.561000000000007"/>
    <n v="67.661000000000001"/>
    <n v="66.131"/>
    <n v="32.338999999999999"/>
    <n v="33.869999999999997"/>
    <n v="17.134"/>
    <n v="16.702999999999999"/>
    <n v="33.869999999999997"/>
    <n v="32.338999999999999"/>
    <n v="11.53"/>
    <n v="10"/>
    <n v="10"/>
    <n v="10"/>
    <n v="10"/>
  </r>
  <r>
    <n v="465"/>
    <m/>
    <m/>
    <m/>
    <m/>
    <s v="NA"/>
    <s v="NA"/>
    <x v="35"/>
    <s v="NA"/>
    <m/>
    <m/>
    <n v="61.500999999999998"/>
    <n v="58.055999999999997"/>
    <n v="119.416"/>
    <n v="120.271"/>
    <n v="108.974"/>
    <n v="109.69499999999999"/>
    <n v="109.166"/>
    <n v="109.155"/>
    <n v="62.972000000000001"/>
    <n v="62.054000000000002"/>
    <n v="37.027999999999999"/>
    <n v="37.945999999999998"/>
    <n v="13.305999999999999"/>
    <n v="12.279"/>
    <n v="37.945999999999998"/>
    <n v="37.027999999999999"/>
    <n v="15.57"/>
    <n v="9"/>
    <n v="10"/>
    <n v="9"/>
    <n v="9"/>
  </r>
  <r>
    <n v="466"/>
    <m/>
    <m/>
    <m/>
    <m/>
    <s v="NA"/>
    <s v="NA"/>
    <x v="35"/>
    <s v="NA"/>
    <m/>
    <m/>
    <n v="52.005000000000003"/>
    <n v="55.213999999999999"/>
    <n v="106.55500000000001"/>
    <n v="106.82899999999999"/>
    <n v="97.344999999999999"/>
    <n v="97.322000000000003"/>
    <n v="109.642"/>
    <n v="108.846"/>
    <n v="63.914999999999999"/>
    <n v="63.328000000000003"/>
    <n v="36.085000000000001"/>
    <n v="36.671999999999997"/>
    <n v="13.76"/>
    <n v="13.115"/>
    <n v="36.671999999999997"/>
    <n v="36.085000000000001"/>
    <n v="11.9"/>
    <n v="11"/>
    <n v="11"/>
    <n v="11"/>
    <n v="11"/>
  </r>
  <r>
    <n v="467"/>
    <m/>
    <m/>
    <m/>
    <m/>
    <s v="NA"/>
    <s v="NA"/>
    <x v="35"/>
    <s v="NA"/>
    <m/>
    <m/>
    <n v="27.516999999999999"/>
    <n v="24.206"/>
    <n v="51.936"/>
    <n v="51.834000000000003"/>
    <n v="44.308"/>
    <n v="44.585000000000001"/>
    <n v="103.396"/>
    <n v="103.709"/>
    <n v="68.876999999999995"/>
    <n v="68.013999999999996"/>
    <n v="31.123000000000001"/>
    <n v="31.986000000000001"/>
    <n v="17.638999999999999"/>
    <n v="19.053000000000001"/>
    <n v="31.986000000000001"/>
    <n v="31.123000000000001"/>
    <n v="11.45"/>
    <n v="20"/>
    <n v="17"/>
    <n v="17"/>
    <n v="17"/>
  </r>
  <r>
    <n v="468"/>
    <m/>
    <m/>
    <m/>
    <m/>
    <s v="NA"/>
    <s v="NA"/>
    <x v="35"/>
    <s v="NA"/>
    <m/>
    <m/>
    <n v="30.885999999999999"/>
    <n v="33.369"/>
    <n v="64.108999999999995"/>
    <n v="64.703000000000003"/>
    <n v="71.28"/>
    <n v="71.239000000000004"/>
    <n v="134.77600000000001"/>
    <n v="133.55699999999999"/>
    <n v="67.001000000000005"/>
    <n v="67.611999999999995"/>
    <n v="32.999000000000002"/>
    <n v="32.387999999999998"/>
    <n v="15.923999999999999"/>
    <n v="18.951000000000001"/>
    <n v="32.387999999999998"/>
    <n v="32.999000000000002"/>
    <n v="13.337999999999999"/>
    <n v="18"/>
    <n v="17"/>
    <n v="17"/>
    <n v="17"/>
  </r>
  <r>
    <n v="469"/>
    <m/>
    <m/>
    <m/>
    <m/>
    <s v="R25.1"/>
    <s v="Tremor, unspecified"/>
    <x v="180"/>
    <s v="F"/>
    <m/>
    <m/>
    <n v="55.621000000000002"/>
    <n v="56.192999999999998"/>
    <n v="111.25700000000001"/>
    <n v="112.59"/>
    <n v="111.038"/>
    <n v="111.411"/>
    <n v="119.18899999999999"/>
    <n v="118.95699999999999"/>
    <n v="62.521999999999998"/>
    <n v="62.094999999999999"/>
    <n v="37.478000000000002"/>
    <n v="37.905000000000001"/>
    <n v="12.48"/>
    <n v="12.792999999999999"/>
    <n v="37.905000000000001"/>
    <n v="37.478000000000002"/>
    <n v="9.89"/>
    <n v="10"/>
    <n v="10"/>
    <n v="10"/>
    <n v="10"/>
  </r>
  <r>
    <n v="470"/>
    <m/>
    <m/>
    <m/>
    <m/>
    <s v="R25.1"/>
    <s v="Tremor, unspecified"/>
    <x v="181"/>
    <s v="M"/>
    <m/>
    <m/>
    <n v="53.7"/>
    <n v="54.398000000000003"/>
    <n v="108.39400000000001"/>
    <n v="108.29900000000001"/>
    <n v="100.401"/>
    <n v="100.794"/>
    <n v="110.901"/>
    <n v="110.976"/>
    <n v="63.631"/>
    <n v="64.066000000000003"/>
    <n v="36.369"/>
    <n v="35.933999999999997"/>
    <n v="14.25"/>
    <n v="13.471"/>
    <n v="35.933999999999997"/>
    <n v="36.369"/>
    <n v="17.57"/>
    <n v="11"/>
    <n v="10"/>
    <n v="10"/>
    <n v="10"/>
  </r>
  <r>
    <n v="471"/>
    <m/>
    <m/>
    <m/>
    <m/>
    <s v="R25.1"/>
    <s v="Tremor, unspecified"/>
    <x v="48"/>
    <s v="F"/>
    <m/>
    <m/>
    <n v="57.350999999999999"/>
    <n v="60.38"/>
    <n v="117.35"/>
    <n v="118.033"/>
    <n v="105.742"/>
    <n v="105.327"/>
    <n v="108.256"/>
    <n v="107.491"/>
    <n v="65.564999999999998"/>
    <n v="64.010999999999996"/>
    <n v="34.435000000000002"/>
    <n v="35.988999999999997"/>
    <n v="14.452"/>
    <n v="15.427"/>
    <n v="35.988999999999997"/>
    <n v="34.435000000000002"/>
    <n v="8.86"/>
    <n v="8"/>
    <n v="9"/>
    <n v="8"/>
    <n v="8"/>
  </r>
  <r>
    <n v="472"/>
    <m/>
    <m/>
    <m/>
    <m/>
    <s v="R25.1"/>
    <s v="Tremor, unspecified"/>
    <x v="54"/>
    <s v="M"/>
    <m/>
    <m/>
    <n v="44.771000000000001"/>
    <n v="50.167999999999999"/>
    <n v="95.075000000000003"/>
    <n v="95.081000000000003"/>
    <n v="91.468999999999994"/>
    <n v="90.542000000000002"/>
    <n v="114.72799999999999"/>
    <n v="114.852"/>
    <n v="65.516000000000005"/>
    <n v="66.510999999999996"/>
    <n v="34.484000000000002"/>
    <n v="33.488999999999997"/>
    <n v="15.760999999999999"/>
    <n v="15.739000000000001"/>
    <n v="33.488999999999997"/>
    <n v="34.484000000000002"/>
    <n v="14.978"/>
    <n v="10"/>
    <n v="10"/>
    <n v="10"/>
    <n v="10"/>
  </r>
  <r>
    <n v="473"/>
    <m/>
    <m/>
    <m/>
    <m/>
    <s v="G24.02"/>
    <s v="Drug induced acute dystonia"/>
    <x v="182"/>
    <s v="F"/>
    <m/>
    <m/>
    <n v="53.731000000000002"/>
    <n v="57.243000000000002"/>
    <n v="110.392"/>
    <n v="111.014"/>
    <n v="111.76600000000001"/>
    <n v="111.15600000000001"/>
    <n v="121.611"/>
    <n v="119.92"/>
    <n v="60.737000000000002"/>
    <n v="62.863"/>
    <n v="39.262999999999998"/>
    <n v="37.137"/>
    <n v="11.194000000000001"/>
    <n v="12.768000000000001"/>
    <n v="37.137"/>
    <n v="39.262999999999998"/>
    <n v="14.958"/>
    <n v="10"/>
    <n v="11"/>
    <n v="10"/>
    <n v="10"/>
  </r>
  <r>
    <n v="474"/>
    <m/>
    <m/>
    <m/>
    <m/>
    <s v="G25.0"/>
    <s v="Essential tremor"/>
    <x v="183"/>
    <s v="M"/>
    <m/>
    <m/>
    <n v="48.72"/>
    <n v="49.85"/>
    <n v="99.338999999999999"/>
    <n v="98.102000000000004"/>
    <n v="96.543999999999997"/>
    <n v="95.817999999999998"/>
    <n v="116.932"/>
    <n v="116.252"/>
    <n v="63.15"/>
    <n v="64.088999999999999"/>
    <n v="36.85"/>
    <n v="35.911000000000001"/>
    <n v="13.631"/>
    <n v="13.233000000000001"/>
    <n v="35.911000000000001"/>
    <n v="36.85"/>
    <n v="17.408000000000001"/>
    <n v="10"/>
    <n v="10"/>
    <n v="10"/>
    <n v="10"/>
  </r>
  <r>
    <n v="475"/>
    <m/>
    <m/>
    <m/>
    <m/>
    <s v="R25.1"/>
    <s v="Tremor, unspecified"/>
    <x v="184"/>
    <s v="F"/>
    <m/>
    <m/>
    <n v="53.741"/>
    <n v="53.334000000000003"/>
    <n v="106.473"/>
    <n v="108.05500000000001"/>
    <n v="114.86"/>
    <n v="116.626"/>
    <n v="128.13999999999999"/>
    <n v="127.961"/>
    <n v="64.067999999999998"/>
    <n v="61.984999999999999"/>
    <n v="35.932000000000002"/>
    <n v="38.015000000000001"/>
    <n v="13.733000000000001"/>
    <n v="12.159000000000001"/>
    <n v="38.015000000000001"/>
    <n v="35.932000000000002"/>
    <n v="17.102"/>
    <n v="9"/>
    <n v="10"/>
    <n v="9"/>
    <n v="9"/>
  </r>
  <r>
    <n v="476"/>
    <m/>
    <m/>
    <m/>
    <m/>
    <s v="R25.1"/>
    <s v="Tremor, unspecified"/>
    <x v="136"/>
    <s v="M"/>
    <m/>
    <m/>
    <n v="64.700999999999993"/>
    <n v="63.414000000000001"/>
    <n v="129.67099999999999"/>
    <n v="126.39400000000001"/>
    <n v="123.80800000000001"/>
    <n v="122.035"/>
    <n v="114.426"/>
    <n v="115.97799999999999"/>
    <n v="60.451000000000001"/>
    <n v="59.57"/>
    <n v="39.548999999999999"/>
    <n v="40.43"/>
    <n v="10.166"/>
    <n v="10.183"/>
    <n v="40.43"/>
    <n v="39.548999999999999"/>
    <n v="9.8439999999999994"/>
    <n v="10"/>
    <n v="9"/>
    <n v="9"/>
    <n v="9"/>
  </r>
  <r>
    <n v="477"/>
    <m/>
    <m/>
    <m/>
    <m/>
    <s v="G25.0"/>
    <s v="Essential tremor"/>
    <x v="140"/>
    <s v="M"/>
    <m/>
    <m/>
    <n v="37.386000000000003"/>
    <n v="34.564"/>
    <n v="72.096000000000004"/>
    <n v="71.012"/>
    <n v="63.13"/>
    <n v="63.25"/>
    <n v="106.526"/>
    <n v="106.27200000000001"/>
    <n v="65.614999999999995"/>
    <n v="68.393000000000001"/>
    <n v="34.384999999999998"/>
    <n v="31.606999999999999"/>
    <n v="16.968"/>
    <n v="16.940999999999999"/>
    <n v="31.606999999999999"/>
    <n v="34.384999999999998"/>
    <n v="9.94"/>
    <n v="14"/>
    <n v="13"/>
    <n v="13"/>
    <n v="13"/>
  </r>
  <r>
    <n v="478"/>
    <m/>
    <m/>
    <m/>
    <m/>
    <s v="G20"/>
    <s v="Parkinson's disease"/>
    <x v="178"/>
    <s v="M"/>
    <m/>
    <m/>
    <n v="31.827000000000002"/>
    <n v="35.868000000000002"/>
    <n v="68.183000000000007"/>
    <n v="67.756"/>
    <n v="60.902999999999999"/>
    <n v="60.185000000000002"/>
    <n v="106.221"/>
    <n v="105.694"/>
    <n v="67.686000000000007"/>
    <n v="67.057000000000002"/>
    <n v="32.314"/>
    <n v="32.942999999999998"/>
    <n v="18.239999999999998"/>
    <n v="16.364000000000001"/>
    <n v="32.942999999999998"/>
    <n v="32.314"/>
    <n v="12.818"/>
    <n v="15"/>
    <n v="15"/>
    <n v="15"/>
    <n v="15"/>
  </r>
  <r>
    <n v="479"/>
    <m/>
    <m/>
    <m/>
    <m/>
    <s v="NA"/>
    <s v="NA"/>
    <x v="35"/>
    <s v="NA"/>
    <m/>
    <m/>
    <n v="28.876999999999999"/>
    <n v="29.318999999999999"/>
    <n v="58.432000000000002"/>
    <n v="58.554000000000002"/>
    <n v="51.883000000000003"/>
    <n v="51.814"/>
    <n v="104.866"/>
    <n v="106.172"/>
    <n v="65.242999999999995"/>
    <n v="65.716999999999999"/>
    <n v="34.756999999999998"/>
    <n v="34.283000000000001"/>
    <n v="13.651999999999999"/>
    <n v="17.303000000000001"/>
    <n v="34.283000000000001"/>
    <n v="34.756999999999998"/>
    <n v="10.15"/>
    <n v="17"/>
    <n v="16"/>
    <n v="16"/>
    <n v="16"/>
  </r>
  <r>
    <n v="480"/>
    <m/>
    <m/>
    <m/>
    <m/>
    <s v="G25.3"/>
    <s v="Myoclonus"/>
    <x v="185"/>
    <s v="M"/>
    <m/>
    <m/>
    <n v="47.606999999999999"/>
    <n v="50.220999999999997"/>
    <n v="98.406000000000006"/>
    <n v="97.605000000000004"/>
    <n v="89.114000000000004"/>
    <n v="89.025000000000006"/>
    <n v="108.184"/>
    <n v="108.377"/>
    <n v="64.174000000000007"/>
    <n v="62.216999999999999"/>
    <n v="35.826000000000001"/>
    <n v="37.783000000000001"/>
    <n v="13.608000000000001"/>
    <n v="13.134"/>
    <n v="37.783000000000001"/>
    <n v="35.826000000000001"/>
    <n v="11.726000000000001"/>
    <n v="13"/>
    <n v="13"/>
    <n v="13"/>
    <n v="13"/>
  </r>
  <r>
    <n v="481"/>
    <m/>
    <m/>
    <m/>
    <m/>
    <s v="R25.1"/>
    <s v="Tremor, unspecified"/>
    <x v="122"/>
    <s v="M"/>
    <m/>
    <m/>
    <n v="33.176000000000002"/>
    <n v="30.931000000000001"/>
    <n v="63.904000000000003"/>
    <n v="63.673999999999999"/>
    <n v="28.411000000000001"/>
    <n v="28.713000000000001"/>
    <n v="53.078000000000003"/>
    <n v="54.186"/>
    <n v="74.701999999999998"/>
    <n v="75.369"/>
    <n v="25.297999999999998"/>
    <n v="24.631"/>
    <n v="25.747"/>
    <n v="24.568000000000001"/>
    <n v="24.631"/>
    <n v="25.297999999999998"/>
    <n v="13.648"/>
    <n v="14"/>
    <n v="14"/>
    <n v="14"/>
    <n v="14"/>
  </r>
  <r>
    <n v="482"/>
    <m/>
    <m/>
    <m/>
    <m/>
    <s v="G20"/>
    <s v="Parkinson's disease"/>
    <x v="19"/>
    <s v="M"/>
    <m/>
    <m/>
    <n v="62.802"/>
    <n v="62.844999999999999"/>
    <n v="125.715"/>
    <n v="125.63"/>
    <n v="131.405"/>
    <n v="131.93799999999999"/>
    <n v="124.59399999999999"/>
    <n v="125.611"/>
    <n v="60.555"/>
    <n v="60.505000000000003"/>
    <n v="39.445"/>
    <n v="39.494999999999997"/>
    <n v="11.074"/>
    <n v="10.803000000000001"/>
    <n v="39.494999999999997"/>
    <n v="39.445"/>
    <n v="16.295999999999999"/>
    <n v="10"/>
    <n v="10"/>
    <n v="10"/>
    <n v="10"/>
  </r>
  <r>
    <n v="483"/>
    <m/>
    <m/>
    <m/>
    <m/>
    <s v="G24.1"/>
    <s v="Genetic torsion dystonia"/>
    <x v="186"/>
    <s v="M"/>
    <m/>
    <m/>
    <n v="39.548999999999999"/>
    <n v="37.972999999999999"/>
    <n v="77.555000000000007"/>
    <n v="77.647999999999996"/>
    <n v="59.238999999999997"/>
    <n v="61.52"/>
    <n v="94.082999999999998"/>
    <n v="96.058999999999997"/>
    <n v="64.849999999999994"/>
    <n v="65.658000000000001"/>
    <n v="35.15"/>
    <n v="34.341999999999999"/>
    <n v="17.395"/>
    <n v="12.243"/>
    <n v="34.341999999999999"/>
    <n v="35.15"/>
    <n v="12.256"/>
    <n v="14"/>
    <n v="11"/>
    <n v="11"/>
    <n v="11"/>
  </r>
  <r>
    <n v="484"/>
    <m/>
    <m/>
    <m/>
    <m/>
    <s v="R25.1"/>
    <s v="Tremor, unspecified"/>
    <x v="31"/>
    <s v="F"/>
    <m/>
    <m/>
    <n v="37.881999999999998"/>
    <n v="37.634999999999998"/>
    <n v="75.757999999999996"/>
    <n v="75.316000000000003"/>
    <n v="78.409000000000006"/>
    <n v="77.793000000000006"/>
    <n v="123.979"/>
    <n v="123.5"/>
    <n v="67.465999999999994"/>
    <n v="65.647000000000006"/>
    <n v="32.533999999999999"/>
    <n v="34.353000000000002"/>
    <n v="15.926"/>
    <n v="17.420999999999999"/>
    <n v="34.353000000000002"/>
    <n v="32.533999999999999"/>
    <n v="9.07"/>
    <n v="15"/>
    <n v="16"/>
    <n v="15"/>
    <n v="15"/>
  </r>
  <r>
    <n v="485"/>
    <m/>
    <m/>
    <m/>
    <m/>
    <s v="R25.1"/>
    <s v="Tremor, unspecified"/>
    <x v="187"/>
    <s v="F"/>
    <m/>
    <m/>
    <n v="36.969000000000001"/>
    <n v="38.543999999999997"/>
    <n v="75.692999999999998"/>
    <n v="75.19"/>
    <n v="64.936999999999998"/>
    <n v="64.701999999999998"/>
    <n v="103.93"/>
    <n v="104.627"/>
    <n v="73.100999999999999"/>
    <n v="70.099000000000004"/>
    <n v="26.899000000000001"/>
    <n v="29.901"/>
    <n v="25.012"/>
    <n v="18.667999999999999"/>
    <n v="29.901"/>
    <n v="26.899000000000001"/>
    <n v="23.933"/>
    <n v="9"/>
    <n v="7"/>
    <n v="7"/>
    <n v="7"/>
  </r>
  <r>
    <n v="486"/>
    <m/>
    <m/>
    <m/>
    <m/>
    <s v="G20"/>
    <s v="Parkinson's disease"/>
    <x v="12"/>
    <s v="M"/>
    <m/>
    <m/>
    <n v="49.058"/>
    <n v="52.51"/>
    <n v="100.43300000000001"/>
    <n v="102.72499999999999"/>
    <n v="109.389"/>
    <n v="111.47199999999999"/>
    <n v="130.273"/>
    <n v="130.12700000000001"/>
    <n v="61.936999999999998"/>
    <n v="62.814999999999998"/>
    <n v="38.063000000000002"/>
    <n v="37.185000000000002"/>
    <n v="12.081"/>
    <n v="13.154"/>
    <n v="37.185000000000002"/>
    <n v="38.063000000000002"/>
    <n v="10.992000000000001"/>
    <n v="11"/>
    <n v="10"/>
    <n v="10"/>
    <n v="10"/>
  </r>
  <r>
    <n v="487"/>
    <m/>
    <m/>
    <m/>
    <m/>
    <s v="R25.1"/>
    <s v="Tremor, unspecified"/>
    <x v="177"/>
    <s v="M"/>
    <m/>
    <m/>
    <n v="63.481000000000002"/>
    <n v="55.835999999999999"/>
    <n v="119.40600000000001"/>
    <n v="119.355"/>
    <n v="105.411"/>
    <n v="105.413"/>
    <n v="105.53100000000001"/>
    <n v="105.48699999999999"/>
    <n v="63.292999999999999"/>
    <n v="62.218000000000004"/>
    <n v="36.707000000000001"/>
    <n v="37.781999999999996"/>
    <n v="10.597"/>
    <n v="15.148"/>
    <n v="37.781999999999996"/>
    <n v="36.707000000000001"/>
    <n v="13.564"/>
    <n v="10"/>
    <n v="10"/>
    <n v="10"/>
    <n v="10"/>
  </r>
  <r>
    <n v="488"/>
    <m/>
    <m/>
    <m/>
    <m/>
    <s v="NA"/>
    <s v="NA"/>
    <x v="35"/>
    <s v="NA"/>
    <m/>
    <m/>
    <n v="66.483000000000004"/>
    <n v="59.664000000000001"/>
    <n v="126.967"/>
    <n v="125.596"/>
    <n v="117.73"/>
    <n v="117.375"/>
    <n v="110.89700000000001"/>
    <n v="112.004"/>
    <n v="62.274000000000001"/>
    <n v="60.807000000000002"/>
    <n v="37.725999999999999"/>
    <n v="39.192999999999998"/>
    <n v="13.475"/>
    <n v="10.103999999999999"/>
    <n v="39.192999999999998"/>
    <n v="37.725999999999999"/>
    <n v="9.1080000000000005"/>
    <n v="10"/>
    <n v="10"/>
    <n v="10"/>
    <n v="10"/>
  </r>
  <r>
    <n v="489"/>
    <m/>
    <m/>
    <m/>
    <m/>
    <s v="R26.81"/>
    <s v="Unsteadiness on feet"/>
    <x v="188"/>
    <s v="F"/>
    <m/>
    <m/>
    <n v="59.110999999999997"/>
    <n v="57.878"/>
    <n v="117.128"/>
    <n v="117.124"/>
    <n v="115.911"/>
    <n v="116.696"/>
    <n v="118.35599999999999"/>
    <n v="119.23099999999999"/>
    <n v="61.798999999999999"/>
    <n v="63.408000000000001"/>
    <n v="38.201000000000001"/>
    <n v="36.591999999999999"/>
    <n v="12.564"/>
    <n v="13.409000000000001"/>
    <n v="36.591999999999999"/>
    <n v="38.201000000000001"/>
    <n v="11.56"/>
    <n v="10"/>
    <n v="10"/>
    <n v="10"/>
    <n v="10"/>
  </r>
  <r>
    <n v="490"/>
    <m/>
    <m/>
    <m/>
    <m/>
    <s v="G25.0"/>
    <s v="Essential tremor"/>
    <x v="2"/>
    <s v="M"/>
    <m/>
    <m/>
    <n v="67.754000000000005"/>
    <n v="64.805000000000007"/>
    <n v="132.71100000000001"/>
    <n v="133.256"/>
    <n v="109.81399999999999"/>
    <n v="109.81699999999999"/>
    <n v="99.491"/>
    <n v="98.760999999999996"/>
    <n v="64.304000000000002"/>
    <n v="63.75"/>
    <n v="35.695999999999998"/>
    <n v="36.25"/>
    <n v="14.784000000000001"/>
    <n v="14.247999999999999"/>
    <n v="36.25"/>
    <n v="35.695999999999998"/>
    <n v="13.878"/>
    <n v="10"/>
    <n v="10"/>
    <n v="10"/>
    <n v="10"/>
  </r>
  <r>
    <n v="491"/>
    <m/>
    <m/>
    <m/>
    <m/>
    <s v="G20"/>
    <s v="Parkinson's disease"/>
    <x v="13"/>
    <s v="F"/>
    <m/>
    <m/>
    <n v="40.81"/>
    <n v="39.204999999999998"/>
    <n v="79.997"/>
    <n v="78.793000000000006"/>
    <n v="79.814999999999998"/>
    <n v="78.724000000000004"/>
    <n v="118.721"/>
    <n v="118.676"/>
    <n v="61.058999999999997"/>
    <n v="62.182000000000002"/>
    <n v="38.941000000000003"/>
    <n v="37.817999999999998"/>
    <n v="10.833"/>
    <n v="12.901"/>
    <n v="37.817999999999998"/>
    <n v="38.941000000000003"/>
    <n v="9.798"/>
    <n v="15"/>
    <n v="14"/>
    <n v="14"/>
    <n v="14"/>
  </r>
  <r>
    <n v="492"/>
    <m/>
    <m/>
    <m/>
    <m/>
    <s v="G20"/>
    <s v="Parkinson's disease"/>
    <x v="74"/>
    <s v="M"/>
    <m/>
    <m/>
    <n v="44.692999999999998"/>
    <n v="47.334000000000003"/>
    <n v="91.826999999999998"/>
    <n v="92.144000000000005"/>
    <n v="93.789000000000001"/>
    <n v="93.626999999999995"/>
    <n v="121.84099999999999"/>
    <n v="121.364"/>
    <n v="62.139000000000003"/>
    <n v="63.835999999999999"/>
    <n v="37.860999999999997"/>
    <n v="36.164000000000001"/>
    <n v="11.935"/>
    <n v="14.252000000000001"/>
    <n v="36.164000000000001"/>
    <n v="37.860999999999997"/>
    <n v="14.128"/>
    <n v="14"/>
    <n v="13"/>
    <n v="13"/>
    <n v="13"/>
  </r>
  <r>
    <n v="493"/>
    <m/>
    <m/>
    <m/>
    <m/>
    <s v="G20"/>
    <s v="Parkinson's disease"/>
    <x v="55"/>
    <s v="F"/>
    <m/>
    <m/>
    <n v="17.263000000000002"/>
    <n v="10.545999999999999"/>
    <n v="27.777999999999999"/>
    <n v="27.809000000000001"/>
    <n v="30.518000000000001"/>
    <n v="30.507999999999999"/>
    <n v="131.279"/>
    <n v="131.398"/>
    <n v="70.289000000000001"/>
    <n v="70.588999999999999"/>
    <n v="29.710999999999999"/>
    <n v="29.411000000000001"/>
    <n v="18.846"/>
    <n v="21.843"/>
    <n v="29.411000000000001"/>
    <n v="29.710999999999999"/>
    <n v="10.284000000000001"/>
    <n v="30"/>
    <n v="35"/>
    <n v="30"/>
    <n v="30"/>
  </r>
  <r>
    <n v="494"/>
    <m/>
    <m/>
    <m/>
    <m/>
    <s v="R25.1"/>
    <s v="Tremor, unspecified"/>
    <x v="35"/>
    <s v="NA"/>
    <m/>
    <m/>
    <n v="57.793999999999997"/>
    <n v="58.344999999999999"/>
    <n v="116.14400000000001"/>
    <n v="116.749"/>
    <n v="111.26300000000001"/>
    <n v="111.137"/>
    <n v="114.327"/>
    <n v="113.989"/>
    <n v="61.353000000000002"/>
    <n v="60.371000000000002"/>
    <n v="38.646999999999998"/>
    <n v="39.628999999999998"/>
    <n v="9.7579999999999991"/>
    <n v="11.702999999999999"/>
    <n v="39.628999999999998"/>
    <n v="38.646999999999998"/>
    <n v="8.8379999999999992"/>
    <n v="10"/>
    <n v="10"/>
    <n v="10"/>
    <n v="10"/>
  </r>
  <r>
    <n v="495"/>
    <m/>
    <m/>
    <m/>
    <m/>
    <s v="R25.1"/>
    <s v="Tremor, unspecified"/>
    <x v="189"/>
    <s v="F"/>
    <m/>
    <m/>
    <n v="62.463000000000001"/>
    <n v="60.338000000000001"/>
    <n v="123.69499999999999"/>
    <n v="121.958"/>
    <n v="118.23399999999999"/>
    <n v="116.985"/>
    <n v="114.64700000000001"/>
    <n v="114.643"/>
    <n v="59.741"/>
    <n v="62.420999999999999"/>
    <n v="40.259"/>
    <n v="37.579000000000001"/>
    <n v="11.932"/>
    <n v="10.965999999999999"/>
    <n v="37.579000000000001"/>
    <n v="40.259"/>
    <n v="12.102"/>
    <n v="10"/>
    <n v="9"/>
    <n v="9"/>
    <n v="9"/>
  </r>
  <r>
    <n v="496"/>
    <m/>
    <m/>
    <m/>
    <m/>
    <s v="G24.3"/>
    <s v="Spasmodic torticollis"/>
    <x v="11"/>
    <s v="F"/>
    <m/>
    <m/>
    <n v="34.447000000000003"/>
    <n v="26.896000000000001"/>
    <n v="61.070999999999998"/>
    <n v="63.502000000000002"/>
    <n v="57.247999999999998"/>
    <n v="60.189"/>
    <n v="112.61799999999999"/>
    <n v="114.483"/>
    <n v="65.882999999999996"/>
    <n v="65.912000000000006"/>
    <n v="34.116999999999997"/>
    <n v="34.088000000000001"/>
    <n v="11.983000000000001"/>
    <n v="20.395"/>
    <n v="34.088000000000001"/>
    <n v="34.116999999999997"/>
    <n v="13.222"/>
    <n v="28"/>
    <n v="24"/>
    <n v="24"/>
    <n v="24"/>
  </r>
  <r>
    <n v="497"/>
    <m/>
    <m/>
    <m/>
    <m/>
    <s v="NA"/>
    <s v="NA"/>
    <x v="35"/>
    <s v="NA"/>
    <m/>
    <m/>
    <n v="56.914000000000001"/>
    <n v="61.939"/>
    <n v="119.001"/>
    <n v="119.291"/>
    <n v="79.388000000000005"/>
    <n v="78.924999999999997"/>
    <n v="79.736999999999995"/>
    <n v="79.325000000000003"/>
    <n v="65.8"/>
    <n v="65.649000000000001"/>
    <n v="34.200000000000003"/>
    <n v="34.350999999999999"/>
    <n v="16.739000000000001"/>
    <n v="15.295"/>
    <n v="34.350999999999999"/>
    <n v="34.200000000000003"/>
    <n v="12.042999999999999"/>
    <n v="17"/>
    <n v="18"/>
    <n v="17"/>
    <n v="17"/>
  </r>
  <r>
    <n v="498"/>
    <m/>
    <m/>
    <m/>
    <m/>
    <s v="G20"/>
    <s v="Parkinson's disease"/>
    <x v="190"/>
    <s v="M"/>
    <m/>
    <m/>
    <n v="60.146999999999998"/>
    <n v="57.688000000000002"/>
    <n v="118.41"/>
    <n v="118.53"/>
    <n v="115.215"/>
    <n v="114.69499999999999"/>
    <n v="116.581"/>
    <n v="115.971"/>
    <n v="63.438000000000002"/>
    <n v="63.491"/>
    <n v="36.561999999999998"/>
    <n v="36.509"/>
    <n v="12.766"/>
    <n v="14.369"/>
    <n v="36.509"/>
    <n v="36.561999999999998"/>
    <n v="12.659000000000001"/>
    <n v="24"/>
    <n v="22"/>
    <n v="22"/>
    <n v="22"/>
  </r>
  <r>
    <n v="499"/>
    <m/>
    <m/>
    <m/>
    <m/>
    <s v="G20"/>
    <s v="Parkinson's disease"/>
    <x v="149"/>
    <s v="M"/>
    <m/>
    <m/>
    <n v="22.321000000000002"/>
    <n v="20.373999999999999"/>
    <n v="42.103999999999999"/>
    <n v="43.392000000000003"/>
    <n v="46.563000000000002"/>
    <n v="47.192"/>
    <n v="133.459"/>
    <n v="130.84399999999999"/>
    <n v="67.567999999999998"/>
    <n v="68.281000000000006"/>
    <n v="32.432000000000002"/>
    <n v="31.719000000000001"/>
    <n v="17.475999999999999"/>
    <n v="18.550999999999998"/>
    <n v="31.719000000000001"/>
    <n v="32.432000000000002"/>
    <n v="9.6150000000000002"/>
    <n v="15"/>
    <n v="15"/>
    <n v="15"/>
    <n v="15"/>
  </r>
  <r>
    <n v="500"/>
    <m/>
    <m/>
    <m/>
    <m/>
    <s v="R25.1"/>
    <s v="Tremor, unspecified"/>
    <x v="179"/>
    <s v="F"/>
    <m/>
    <m/>
    <n v="39.420999999999999"/>
    <n v="42.654000000000003"/>
    <n v="81.444000000000003"/>
    <n v="81.796999999999997"/>
    <n v="52.673000000000002"/>
    <n v="52.527999999999999"/>
    <n v="77.441000000000003"/>
    <n v="76.947000000000003"/>
    <n v="64.584000000000003"/>
    <n v="66.33"/>
    <n v="35.415999999999997"/>
    <n v="33.67"/>
    <n v="18.088999999999999"/>
    <n v="13.016"/>
    <n v="33.67"/>
    <n v="35.415999999999997"/>
    <n v="10.6"/>
    <n v="12"/>
    <n v="14"/>
    <n v="12"/>
    <n v="12"/>
  </r>
  <r>
    <n v="501"/>
    <m/>
    <m/>
    <m/>
    <m/>
    <s v="G24.1"/>
    <s v="Genetic torsion dystonia"/>
    <x v="191"/>
    <s v="F"/>
    <m/>
    <m/>
    <n v="52.825000000000003"/>
    <n v="51.161000000000001"/>
    <n v="104.322"/>
    <n v="105.038"/>
    <n v="93.16"/>
    <n v="94.325999999999993"/>
    <n v="107.422"/>
    <n v="107.779"/>
    <n v="63.338000000000001"/>
    <n v="62.758000000000003"/>
    <n v="36.661999999999999"/>
    <n v="37.241"/>
    <n v="14.747999999999999"/>
    <n v="11.661"/>
    <n v="37.241"/>
    <n v="36.661999999999999"/>
    <n v="9.3360000000000003"/>
    <n v="17"/>
    <n v="15"/>
    <n v="15"/>
    <n v="15"/>
  </r>
  <r>
    <n v="502"/>
    <m/>
    <m/>
    <m/>
    <m/>
    <s v="NA"/>
    <s v="NA"/>
    <x v="35"/>
    <s v="NA"/>
    <m/>
    <m/>
    <n v="48.716999999999999"/>
    <n v="51.058999999999997"/>
    <n v="99.816000000000003"/>
    <n v="99.86"/>
    <n v="90.962000000000003"/>
    <n v="91.224000000000004"/>
    <n v="109.444"/>
    <n v="109.548"/>
    <n v="67.001000000000005"/>
    <n v="65.116"/>
    <n v="32.999000000000002"/>
    <n v="34.884"/>
    <n v="16.757999999999999"/>
    <n v="15.43"/>
    <n v="34.884"/>
    <n v="32.999000000000002"/>
    <n v="11.004"/>
    <n v="16"/>
    <n v="17"/>
    <n v="16"/>
    <n v="16"/>
  </r>
  <r>
    <n v="503"/>
    <m/>
    <m/>
    <m/>
    <m/>
    <s v="NA"/>
    <s v="NA"/>
    <x v="35"/>
    <s v="NA"/>
    <m/>
    <m/>
    <n v="46.743000000000002"/>
    <n v="46.94"/>
    <n v="93.317999999999998"/>
    <n v="94.707999999999998"/>
    <n v="84.179000000000002"/>
    <n v="85.009"/>
    <n v="107.932"/>
    <n v="107.872"/>
    <n v="64.382999999999996"/>
    <n v="64.25"/>
    <n v="35.616999999999997"/>
    <n v="35.75"/>
    <n v="14.117000000000001"/>
    <n v="14.842000000000001"/>
    <n v="35.75"/>
    <n v="35.616999999999997"/>
    <n v="7.7350000000000003"/>
    <n v="13"/>
    <n v="13"/>
    <n v="13"/>
    <n v="13"/>
  </r>
  <r>
    <n v="504"/>
    <m/>
    <m/>
    <m/>
    <m/>
    <s v="G20"/>
    <s v="Parkinson's disease"/>
    <x v="170"/>
    <s v="M"/>
    <m/>
    <m/>
    <n v="70.367000000000004"/>
    <n v="64.245999999999995"/>
    <n v="134.88999999999999"/>
    <n v="135.26499999999999"/>
    <n v="122.43300000000001"/>
    <n v="122.633"/>
    <n v="108.51300000000001"/>
    <n v="108.74"/>
    <n v="61.179000000000002"/>
    <n v="61.85"/>
    <n v="38.820999999999998"/>
    <n v="38.15"/>
    <n v="12.509"/>
    <n v="11.071999999999999"/>
    <n v="38.15"/>
    <n v="38.820999999999998"/>
    <n v="9.07"/>
    <n v="15"/>
    <n v="15"/>
    <n v="15"/>
    <n v="15"/>
  </r>
  <r>
    <n v="505"/>
    <m/>
    <m/>
    <m/>
    <m/>
    <s v="G20"/>
    <s v="Parkinson's disease"/>
    <x v="192"/>
    <s v="M"/>
    <m/>
    <m/>
    <n v="34.563000000000002"/>
    <n v="29.260999999999999"/>
    <n v="64.915000000000006"/>
    <n v="63.085999999999999"/>
    <n v="63.124000000000002"/>
    <n v="62.445"/>
    <n v="115.666"/>
    <n v="116.175"/>
    <n v="63.222000000000001"/>
    <n v="64.281000000000006"/>
    <n v="36.777999999999999"/>
    <n v="35.719000000000001"/>
    <n v="14.262"/>
    <n v="13.635999999999999"/>
    <n v="35.719000000000001"/>
    <n v="36.777999999999999"/>
    <n v="9.8369999999999997"/>
    <n v="15"/>
    <n v="16"/>
    <n v="15"/>
    <n v="15"/>
  </r>
  <r>
    <n v="506"/>
    <m/>
    <m/>
    <m/>
    <m/>
    <s v="G20"/>
    <s v="Parkinson's disease"/>
    <x v="193"/>
    <s v="F"/>
    <m/>
    <m/>
    <n v="49.677"/>
    <n v="51.075000000000003"/>
    <n v="101.16200000000001"/>
    <n v="100.782"/>
    <n v="92.436000000000007"/>
    <n v="92.850999999999999"/>
    <n v="110.80800000000001"/>
    <n v="109.98699999999999"/>
    <n v="60.381999999999998"/>
    <n v="62.845999999999997"/>
    <n v="39.618000000000002"/>
    <n v="37.154000000000003"/>
    <n v="11.087"/>
    <n v="12.08"/>
    <n v="37.154000000000003"/>
    <n v="39.618000000000002"/>
    <n v="11.175000000000001"/>
    <n v="11"/>
    <n v="12"/>
    <n v="11"/>
    <n v="11"/>
  </r>
  <r>
    <n v="507"/>
    <m/>
    <m/>
    <m/>
    <m/>
    <s v="G20"/>
    <s v="Parkinson's disease"/>
    <x v="58"/>
    <s v="M"/>
    <m/>
    <m/>
    <n v="52.703000000000003"/>
    <n v="57.869"/>
    <n v="110.60599999999999"/>
    <n v="110.699"/>
    <n v="107.3"/>
    <n v="107.289"/>
    <n v="116.386"/>
    <n v="116.45099999999999"/>
    <n v="61.978999999999999"/>
    <n v="62.999000000000002"/>
    <n v="38.021000000000001"/>
    <n v="37.000999999999998"/>
    <n v="11.452999999999999"/>
    <n v="13.92"/>
    <n v="37.000999999999998"/>
    <n v="38.021000000000001"/>
    <n v="10.55"/>
    <n v="17"/>
    <n v="17"/>
    <n v="17"/>
    <n v="17"/>
  </r>
  <r>
    <n v="508"/>
    <m/>
    <m/>
    <m/>
    <m/>
    <s v="G20"/>
    <s v="Parkinson's disease"/>
    <x v="1"/>
    <s v="M"/>
    <m/>
    <m/>
    <n v="60.786000000000001"/>
    <n v="57.296999999999997"/>
    <n v="118.001"/>
    <n v="118.301"/>
    <n v="112.242"/>
    <n v="112.818"/>
    <n v="114.533"/>
    <n v="114.545"/>
    <n v="65.983000000000004"/>
    <n v="61.886000000000003"/>
    <n v="34.017000000000003"/>
    <n v="38.113999999999997"/>
    <n v="14.755000000000001"/>
    <n v="13.448"/>
    <n v="38.113999999999997"/>
    <n v="34.017000000000003"/>
    <n v="11.069000000000001"/>
    <n v="21"/>
    <n v="20"/>
    <n v="20"/>
    <n v="20"/>
  </r>
  <r>
    <n v="509"/>
    <m/>
    <m/>
    <m/>
    <m/>
    <s v="G25.0"/>
    <s v="Essential tremor"/>
    <x v="66"/>
    <s v="M"/>
    <m/>
    <m/>
    <n v="41.399000000000001"/>
    <n v="45.84"/>
    <n v="88.113"/>
    <n v="87.387"/>
    <n v="66.19"/>
    <n v="66.132000000000005"/>
    <n v="89.86"/>
    <n v="90.587000000000003"/>
    <n v="65.911000000000001"/>
    <n v="62.354999999999997"/>
    <n v="34.088999999999999"/>
    <n v="37.645000000000003"/>
    <n v="11.502000000000001"/>
    <n v="16.77"/>
    <n v="37.645000000000003"/>
    <n v="34.088999999999999"/>
    <n v="16.196999999999999"/>
    <n v="15"/>
    <n v="16"/>
    <n v="15"/>
    <n v="15"/>
  </r>
  <r>
    <n v="510"/>
    <m/>
    <m/>
    <m/>
    <m/>
    <s v="NA"/>
    <s v="NA"/>
    <x v="35"/>
    <s v="NA"/>
    <m/>
    <m/>
    <s v="NA"/>
    <s v="NA"/>
    <s v="NA"/>
    <s v="NA"/>
    <s v="NA"/>
    <s v="NA"/>
    <s v="NA"/>
    <s v="NA"/>
    <s v="NA"/>
    <s v="NA"/>
    <s v="NA"/>
    <s v="NA"/>
    <s v="NA"/>
    <s v="NA"/>
    <s v="NA"/>
    <s v="NA"/>
    <s v="NA"/>
    <s v="NA"/>
    <s v="NA"/>
    <s v="NA"/>
    <s v="NA"/>
  </r>
  <r>
    <n v="511"/>
    <m/>
    <m/>
    <m/>
    <m/>
    <s v="G25.0"/>
    <s v="Essential tremor"/>
    <x v="122"/>
    <s v="F"/>
    <m/>
    <m/>
    <n v="53.561"/>
    <n v="55.506"/>
    <n v="109.146"/>
    <n v="109.367"/>
    <n v="99.747"/>
    <n v="99.867000000000004"/>
    <n v="109.68"/>
    <n v="109.56100000000001"/>
    <n v="63.573999999999998"/>
    <n v="62.655000000000001"/>
    <n v="36.426000000000002"/>
    <n v="37.344999999999999"/>
    <n v="13.295999999999999"/>
    <n v="12.935"/>
    <n v="37.344999999999999"/>
    <n v="36.426000000000002"/>
    <n v="6.8680000000000003"/>
    <n v="19"/>
    <n v="18"/>
    <n v="18"/>
    <n v="18"/>
  </r>
  <r>
    <n v="512"/>
    <m/>
    <m/>
    <m/>
    <m/>
    <s v="G25.0"/>
    <s v="Essential tremor"/>
    <x v="194"/>
    <s v="M"/>
    <m/>
    <m/>
    <n v="27.895"/>
    <n v="29.032"/>
    <n v="57.018999999999998"/>
    <n v="59.49"/>
    <n v="32.369"/>
    <n v="32.44"/>
    <n v="66.268000000000001"/>
    <n v="67.039000000000001"/>
    <n v="72.927000000000007"/>
    <n v="71.927999999999997"/>
    <n v="27.073"/>
    <n v="28.071999999999999"/>
    <n v="24.504000000000001"/>
    <n v="19.791"/>
    <n v="28.071999999999999"/>
    <n v="27.073"/>
    <n v="15.715"/>
    <n v="13"/>
    <n v="11"/>
    <n v="11"/>
    <n v="11"/>
  </r>
  <r>
    <n v="513"/>
    <m/>
    <m/>
    <m/>
    <m/>
    <s v="G25.0"/>
    <s v="Essential tremor"/>
    <x v="195"/>
    <s v="M"/>
    <m/>
    <m/>
    <n v="52.91"/>
    <n v="56.243000000000002"/>
    <n v="109.044"/>
    <n v="108.592"/>
    <n v="85.423000000000002"/>
    <n v="84.518000000000001"/>
    <n v="93.311000000000007"/>
    <n v="92.96"/>
    <n v="65.978999999999999"/>
    <n v="64.69"/>
    <n v="34.021000000000001"/>
    <n v="35.31"/>
    <n v="15.779"/>
    <n v="15.226000000000001"/>
    <n v="35.31"/>
    <n v="34.021000000000001"/>
    <n v="16.73"/>
    <n v="16"/>
    <n v="13"/>
    <n v="13"/>
    <n v="13"/>
  </r>
  <r>
    <n v="514"/>
    <m/>
    <m/>
    <m/>
    <m/>
    <s v="G25.0"/>
    <s v="Essential tremor"/>
    <x v="151"/>
    <s v="M"/>
    <m/>
    <m/>
    <n v="58.279000000000003"/>
    <n v="57.76"/>
    <n v="117.724"/>
    <n v="116.086"/>
    <n v="88.433999999999997"/>
    <n v="87.644999999999996"/>
    <n v="90.096999999999994"/>
    <n v="90.076999999999998"/>
    <n v="63.252000000000002"/>
    <n v="65.409000000000006"/>
    <n v="36.747999999999998"/>
    <n v="34.591000000000001"/>
    <n v="14.27"/>
    <n v="15.1"/>
    <n v="34.591000000000001"/>
    <n v="36.747999999999998"/>
    <n v="10.917999999999999"/>
    <n v="13"/>
    <n v="15"/>
    <n v="13"/>
    <n v="13"/>
  </r>
  <r>
    <n v="515"/>
    <m/>
    <m/>
    <m/>
    <m/>
    <s v="G25.0"/>
    <s v="Essential tremor"/>
    <x v="26"/>
    <s v="M"/>
    <m/>
    <m/>
    <n v="55.838000000000001"/>
    <n v="60.033999999999999"/>
    <n v="116.67"/>
    <n v="116.33499999999999"/>
    <n v="121.358"/>
    <n v="121.285"/>
    <n v="124.76600000000001"/>
    <n v="124.68"/>
    <n v="65.36"/>
    <n v="61.030999999999999"/>
    <n v="34.64"/>
    <n v="38.969000000000001"/>
    <n v="13.592000000000001"/>
    <n v="13.368"/>
    <n v="38.969000000000001"/>
    <n v="34.64"/>
    <n v="12.676"/>
    <n v="20"/>
    <n v="22"/>
    <n v="20"/>
    <n v="20"/>
  </r>
  <r>
    <n v="516"/>
    <m/>
    <m/>
    <m/>
    <m/>
    <s v="G20"/>
    <s v="Parkinson's disease"/>
    <x v="196"/>
    <s v="M"/>
    <m/>
    <m/>
    <n v="62.070999999999998"/>
    <n v="65.433000000000007"/>
    <n v="127.16500000000001"/>
    <n v="128.154"/>
    <n v="127.90900000000001"/>
    <n v="129.30500000000001"/>
    <n v="120.429"/>
    <n v="121.089"/>
    <n v="62.143000000000001"/>
    <n v="63.325000000000003"/>
    <n v="37.856999999999999"/>
    <n v="36.674999999999997"/>
    <n v="13.17"/>
    <n v="12.731999999999999"/>
    <n v="36.674999999999997"/>
    <n v="37.856999999999999"/>
    <n v="11.218"/>
    <n v="25"/>
    <n v="25"/>
    <n v="25"/>
    <n v="25"/>
  </r>
  <r>
    <n v="517"/>
    <m/>
    <m/>
    <m/>
    <m/>
    <s v="G25.0"/>
    <s v="Essential tremor"/>
    <x v="39"/>
    <s v="F"/>
    <m/>
    <m/>
    <n v="57.959000000000003"/>
    <n v="56.015000000000001"/>
    <n v="113.724"/>
    <n v="114.56"/>
    <n v="101.069"/>
    <n v="102.515"/>
    <n v="106.917"/>
    <n v="107.268"/>
    <n v="60.643000000000001"/>
    <n v="62.128999999999998"/>
    <n v="39.356999999999999"/>
    <n v="37.871000000000002"/>
    <n v="11.132"/>
    <n v="12.117000000000001"/>
    <n v="37.871000000000002"/>
    <n v="39.356999999999999"/>
    <n v="10.564"/>
    <n v="22"/>
    <n v="18"/>
    <n v="18"/>
    <n v="18"/>
  </r>
  <r>
    <n v="518"/>
    <m/>
    <m/>
    <m/>
    <m/>
    <s v="G20"/>
    <s v="Parkinson's disease"/>
    <x v="197"/>
    <s v="M"/>
    <m/>
    <m/>
    <n v="52.82"/>
    <n v="51.167999999999999"/>
    <n v="103.25"/>
    <n v="104.3"/>
    <n v="100.339"/>
    <n v="100.78"/>
    <n v="115.91"/>
    <n v="115.753"/>
    <n v="63.734000000000002"/>
    <n v="63.579000000000001"/>
    <n v="36.265999999999998"/>
    <n v="36.420999999999999"/>
    <n v="13.962"/>
    <n v="13.327"/>
    <n v="36.420999999999999"/>
    <n v="36.265999999999998"/>
    <n v="9.5129999999999999"/>
    <n v="20"/>
    <n v="22"/>
    <n v="20"/>
    <n v="20"/>
  </r>
  <r>
    <n v="519"/>
    <m/>
    <m/>
    <m/>
    <m/>
    <s v="G20"/>
    <s v="Parkinson's disease"/>
    <x v="122"/>
    <s v="M"/>
    <m/>
    <m/>
    <n v="63.241"/>
    <n v="68.885000000000005"/>
    <n v="131.66"/>
    <n v="134.11199999999999"/>
    <n v="126.017"/>
    <n v="127.523"/>
    <n v="114.48099999999999"/>
    <n v="114.32899999999999"/>
    <n v="62.87"/>
    <n v="63.527000000000001"/>
    <n v="37.130000000000003"/>
    <n v="36.472999999999999"/>
    <n v="13.066000000000001"/>
    <n v="13.917999999999999"/>
    <n v="36.472999999999999"/>
    <n v="37.130000000000003"/>
    <n v="10.401999999999999"/>
    <n v="22"/>
    <n v="20"/>
    <n v="20"/>
    <n v="20"/>
  </r>
  <r>
    <n v="520"/>
    <m/>
    <m/>
    <m/>
    <m/>
    <s v="G20"/>
    <s v="Parkinson's disease"/>
    <x v="13"/>
    <s v="M"/>
    <m/>
    <m/>
    <n v="60.642000000000003"/>
    <n v="51.643999999999998"/>
    <n v="111.806"/>
    <n v="112.938"/>
    <n v="95.305999999999997"/>
    <n v="95.370999999999995"/>
    <n v="102.087"/>
    <n v="101.48"/>
    <n v="62.588999999999999"/>
    <n v="63.588000000000001"/>
    <n v="37.411000000000001"/>
    <n v="36.411999999999999"/>
    <n v="12.631"/>
    <n v="14.175000000000001"/>
    <n v="36.411999999999999"/>
    <n v="37.411000000000001"/>
    <n v="8.4969999999999999"/>
    <n v="21"/>
    <n v="21"/>
    <n v="21"/>
    <n v="21"/>
  </r>
  <r>
    <n v="521"/>
    <m/>
    <m/>
    <m/>
    <m/>
    <s v="G25.0"/>
    <s v="Essential tremor"/>
    <x v="198"/>
    <s v="M"/>
    <m/>
    <m/>
    <n v="60.64"/>
    <n v="59.683"/>
    <n v="120.798"/>
    <n v="120.259"/>
    <n v="106.604"/>
    <n v="106.562"/>
    <n v="106.267"/>
    <n v="106.08799999999999"/>
    <n v="62.411000000000001"/>
    <n v="63.58"/>
    <n v="37.588999999999999"/>
    <n v="36.42"/>
    <n v="12.615"/>
    <n v="13.619"/>
    <n v="36.42"/>
    <n v="37.588999999999999"/>
    <n v="14.313000000000001"/>
    <n v="20"/>
    <n v="18"/>
    <n v="18"/>
    <n v="18"/>
  </r>
  <r>
    <n v="522"/>
    <m/>
    <m/>
    <m/>
    <m/>
    <s v="G25.0"/>
    <s v="Essential tremor"/>
    <x v="199"/>
    <s v="M"/>
    <m/>
    <m/>
    <n v="67.097999999999999"/>
    <n v="71.484999999999999"/>
    <n v="137.91200000000001"/>
    <n v="139.83500000000001"/>
    <n v="129.07300000000001"/>
    <n v="129.91399999999999"/>
    <n v="111.384"/>
    <n v="110.982"/>
    <n v="59.695999999999998"/>
    <n v="62.156999999999996"/>
    <n v="40.304000000000002"/>
    <n v="37.843000000000004"/>
    <n v="10.358000000000001"/>
    <n v="11.497"/>
    <n v="37.843000000000004"/>
    <n v="40.304000000000002"/>
    <n v="11.494999999999999"/>
    <n v="15"/>
    <n v="17"/>
    <n v="15"/>
    <n v="15"/>
  </r>
  <r>
    <n v="523"/>
    <m/>
    <m/>
    <m/>
    <m/>
    <s v="G25.0"/>
    <s v="Essential tremor"/>
    <x v="69"/>
    <s v="M"/>
    <m/>
    <m/>
    <n v="44.805999999999997"/>
    <n v="45.161000000000001"/>
    <n v="90.542000000000002"/>
    <n v="89.709000000000003"/>
    <n v="71.596000000000004"/>
    <n v="70.765000000000001"/>
    <n v="94.846999999999994"/>
    <n v="94.442999999999998"/>
    <n v="67.864000000000004"/>
    <n v="65.254999999999995"/>
    <n v="32.136000000000003"/>
    <n v="34.744999999999997"/>
    <n v="16.945"/>
    <n v="16.007000000000001"/>
    <n v="34.744999999999997"/>
    <n v="32.136000000000003"/>
    <n v="12.401999999999999"/>
    <n v="15"/>
    <n v="17"/>
    <n v="15"/>
    <n v="15"/>
  </r>
  <r>
    <n v="524"/>
    <m/>
    <m/>
    <m/>
    <m/>
    <s v="G20"/>
    <s v="Parkinson's disease"/>
    <x v="150"/>
    <s v="M"/>
    <m/>
    <m/>
    <n v="48.381999999999998"/>
    <n v="46.271999999999998"/>
    <n v="94.911000000000001"/>
    <n v="94.825999999999993"/>
    <n v="91.912999999999997"/>
    <n v="91.471999999999994"/>
    <n v="116.875"/>
    <n v="115.9"/>
    <n v="65.233000000000004"/>
    <n v="64.513999999999996"/>
    <n v="34.767000000000003"/>
    <n v="35.485999999999997"/>
    <n v="15.199"/>
    <n v="14.648"/>
    <n v="35.485999999999997"/>
    <n v="34.767000000000003"/>
    <n v="10.807"/>
    <n v="24"/>
    <n v="24"/>
    <n v="24"/>
    <n v="24"/>
  </r>
  <r>
    <n v="525"/>
    <m/>
    <m/>
    <m/>
    <m/>
    <s v="R26.89"/>
    <s v="Other abnormalities of gait and mobility"/>
    <x v="89"/>
    <s v="M"/>
    <m/>
    <m/>
    <n v="53.506"/>
    <n v="57.554000000000002"/>
    <n v="110.633"/>
    <n v="111.322"/>
    <n v="84.313000000000002"/>
    <n v="84.382999999999996"/>
    <n v="91.031000000000006"/>
    <n v="90.977999999999994"/>
    <n v="64.543000000000006"/>
    <n v="63.811999999999998"/>
    <n v="35.457000000000001"/>
    <n v="36.188000000000002"/>
    <n v="13.496"/>
    <n v="14.827999999999999"/>
    <n v="36.188000000000002"/>
    <n v="35.457000000000001"/>
    <n v="12.28"/>
    <n v="17"/>
    <n v="17"/>
    <n v="17"/>
    <n v="17"/>
  </r>
  <r>
    <n v="526"/>
    <m/>
    <m/>
    <m/>
    <m/>
    <s v="G20"/>
    <s v="Parkinson's disease"/>
    <x v="76"/>
    <s v="F"/>
    <m/>
    <m/>
    <n v="36.100999999999999"/>
    <n v="38.765999999999998"/>
    <n v="74.936000000000007"/>
    <n v="75.623999999999995"/>
    <n v="67.625"/>
    <n v="67.355999999999995"/>
    <n v="107.944"/>
    <n v="107.22799999999999"/>
    <n v="63.204999999999998"/>
    <n v="65.341999999999999"/>
    <n v="36.795000000000002"/>
    <n v="34.658000000000001"/>
    <n v="13.686999999999999"/>
    <n v="15.074"/>
    <n v="34.658000000000001"/>
    <n v="36.795000000000002"/>
    <n v="12.287000000000001"/>
    <n v="20"/>
    <n v="19"/>
    <n v="19"/>
    <n v="19"/>
  </r>
  <r>
    <n v="527"/>
    <m/>
    <m/>
    <m/>
    <m/>
    <s v="G25.0"/>
    <s v="Essential tremor"/>
    <x v="103"/>
    <s v="F"/>
    <m/>
    <m/>
    <n v="52.311"/>
    <n v="49.993000000000002"/>
    <n v="102.399"/>
    <n v="103.047"/>
    <n v="98.774000000000001"/>
    <n v="98.733000000000004"/>
    <n v="115.749"/>
    <n v="114.879"/>
    <n v="61.692999999999998"/>
    <n v="63.790999999999997"/>
    <n v="38.307000000000002"/>
    <n v="36.209000000000003"/>
    <n v="13.186999999999999"/>
    <n v="12.757"/>
    <n v="36.209000000000003"/>
    <n v="38.307000000000002"/>
    <n v="12.382"/>
    <n v="22"/>
    <n v="22"/>
    <n v="22"/>
    <n v="22"/>
  </r>
  <r>
    <n v="528"/>
    <m/>
    <m/>
    <m/>
    <m/>
    <s v="G25.0"/>
    <s v="Essential tremor"/>
    <x v="200"/>
    <s v="F"/>
    <m/>
    <m/>
    <n v="54.582999999999998"/>
    <n v="53.884"/>
    <n v="108.364"/>
    <n v="108.77"/>
    <n v="90.965000000000003"/>
    <n v="90.863"/>
    <n v="100.834"/>
    <n v="100.258"/>
    <n v="63.787999999999997"/>
    <n v="63.981999999999999"/>
    <n v="36.213000000000001"/>
    <n v="36.018000000000001"/>
    <n v="13.815"/>
    <n v="13.901999999999999"/>
    <n v="36.018000000000001"/>
    <n v="36.213000000000001"/>
    <n v="12.185"/>
    <n v="14"/>
    <n v="15"/>
    <n v="14"/>
    <n v="14"/>
  </r>
  <r>
    <n v="529"/>
    <m/>
    <m/>
    <m/>
    <m/>
    <s v="G24.1"/>
    <s v="Genetic torsion dystonia"/>
    <x v="114"/>
    <s v="F"/>
    <m/>
    <m/>
    <n v="30.62"/>
    <n v="30.981999999999999"/>
    <n v="61.511000000000003"/>
    <n v="61.838999999999999"/>
    <n v="45.625"/>
    <n v="45.198999999999998"/>
    <n v="88.563999999999993"/>
    <n v="88.632000000000005"/>
    <n v="71.546999999999997"/>
    <n v="70.662000000000006"/>
    <n v="28.452999999999999"/>
    <n v="29.338000000000001"/>
    <n v="20.949000000000002"/>
    <n v="20.629000000000001"/>
    <n v="29.338000000000001"/>
    <n v="28.452999999999999"/>
    <n v="22.213000000000001"/>
    <n v="23"/>
    <n v="23"/>
    <n v="23"/>
    <n v="23"/>
  </r>
  <r>
    <n v="530"/>
    <m/>
    <m/>
    <m/>
    <m/>
    <s v="NA"/>
    <s v="NA"/>
    <x v="35"/>
    <s v="NA"/>
    <m/>
    <m/>
    <n v="43.223999999999997"/>
    <n v="45.212000000000003"/>
    <n v="87.846999999999994"/>
    <n v="89.143000000000001"/>
    <n v="76.492999999999995"/>
    <n v="76.781000000000006"/>
    <n v="103.816"/>
    <n v="102.816"/>
    <n v="65.334000000000003"/>
    <n v="66.715000000000003"/>
    <n v="34.665999999999997"/>
    <n v="33.284999999999997"/>
    <n v="15.731"/>
    <n v="16.446000000000002"/>
    <n v="33.284999999999997"/>
    <n v="34.665999999999997"/>
    <n v="12.417999999999999"/>
    <n v="15"/>
    <n v="16"/>
    <n v="15"/>
    <n v="15"/>
  </r>
  <r>
    <n v="531"/>
    <m/>
    <m/>
    <m/>
    <m/>
    <s v="G20"/>
    <s v="Parkinson's disease"/>
    <x v="201"/>
    <s v="F"/>
    <m/>
    <m/>
    <s v="NA"/>
    <s v="NA"/>
    <s v="NA"/>
    <s v="NA"/>
    <s v="NA"/>
    <s v="NA"/>
    <s v="NA"/>
    <s v="NA"/>
    <s v="NA"/>
    <s v="NA"/>
    <s v="NA"/>
    <s v="NA"/>
    <s v="NA"/>
    <s v="NA"/>
    <s v="NA"/>
    <s v="NA"/>
    <s v="NA"/>
    <s v="NA"/>
    <s v="NA"/>
    <s v="NA"/>
    <s v="NA"/>
  </r>
  <r>
    <n v="532"/>
    <m/>
    <m/>
    <m/>
    <m/>
    <s v="G20"/>
    <s v="Parkinson's disease"/>
    <x v="96"/>
    <s v="M"/>
    <m/>
    <m/>
    <s v="NA"/>
    <s v="NA"/>
    <s v="NA"/>
    <s v="NA"/>
    <s v="NA"/>
    <s v="NA"/>
    <s v="NA"/>
    <s v="NA"/>
    <s v="NA"/>
    <s v="NA"/>
    <s v="NA"/>
    <s v="NA"/>
    <s v="NA"/>
    <s v="NA"/>
    <s v="NA"/>
    <s v="NA"/>
    <s v="NA"/>
    <s v="NA"/>
    <s v="NA"/>
    <s v="NA"/>
    <s v="NA"/>
  </r>
  <r>
    <n v="533"/>
    <m/>
    <m/>
    <m/>
    <m/>
    <s v="NA"/>
    <s v="NA"/>
    <x v="35"/>
    <s v="NA"/>
    <m/>
    <m/>
    <s v="NA"/>
    <s v="NA"/>
    <s v="NA"/>
    <s v="NA"/>
    <s v="NA"/>
    <s v="NA"/>
    <s v="NA"/>
    <s v="NA"/>
    <s v="NA"/>
    <s v="NA"/>
    <s v="NA"/>
    <s v="NA"/>
    <s v="NA"/>
    <s v="NA"/>
    <s v="NA"/>
    <s v="NA"/>
    <s v="NA"/>
    <s v="NA"/>
    <s v="NA"/>
    <s v="NA"/>
    <s v="NA"/>
  </r>
  <r>
    <n v="534"/>
    <m/>
    <m/>
    <m/>
    <m/>
    <s v="NA"/>
    <s v="NA"/>
    <x v="35"/>
    <s v="NA"/>
    <m/>
    <m/>
    <s v="NA"/>
    <s v="NA"/>
    <s v="NA"/>
    <s v="NA"/>
    <s v="NA"/>
    <s v="NA"/>
    <s v="NA"/>
    <s v="NA"/>
    <s v="NA"/>
    <s v="NA"/>
    <s v="NA"/>
    <s v="NA"/>
    <s v="NA"/>
    <s v="NA"/>
    <s v="NA"/>
    <s v="NA"/>
    <s v="NA"/>
    <s v="NA"/>
    <s v="NA"/>
    <s v="NA"/>
    <s v="NA"/>
  </r>
  <r>
    <n v="535"/>
    <m/>
    <m/>
    <m/>
    <m/>
    <s v="G25.0"/>
    <s v="Essential tremor"/>
    <x v="54"/>
    <s v="F"/>
    <m/>
    <m/>
    <n v="41.963000000000001"/>
    <n v="40.906999999999996"/>
    <n v="82.763999999999996"/>
    <n v="83.046000000000006"/>
    <n v="67.286000000000001"/>
    <n v="67.519000000000005"/>
    <n v="97.515000000000001"/>
    <n v="97.489000000000004"/>
    <n v="66.716999999999999"/>
    <n v="68.156999999999996"/>
    <n v="33.283000000000001"/>
    <n v="31.843"/>
    <n v="16.431999999999999"/>
    <n v="18.137"/>
    <n v="31.843"/>
    <n v="33.283000000000001"/>
    <n v="5.5250000000000004"/>
    <n v="20"/>
    <n v="17"/>
    <n v="17"/>
    <n v="17"/>
  </r>
  <r>
    <n v="536"/>
    <m/>
    <m/>
    <m/>
    <m/>
    <s v="G20"/>
    <s v="Parkinson's disease"/>
    <x v="55"/>
    <s v="M"/>
    <m/>
    <m/>
    <n v="37.701000000000001"/>
    <n v="27.983000000000001"/>
    <n v="65.596999999999994"/>
    <n v="65.614000000000004"/>
    <n v="62.773000000000003"/>
    <n v="62.893000000000001"/>
    <n v="113.435"/>
    <n v="114.215"/>
    <n v="65.525000000000006"/>
    <n v="64.028000000000006"/>
    <n v="34.475000000000001"/>
    <n v="35.972000000000001"/>
    <n v="14.353"/>
    <n v="14.823"/>
    <n v="35.972000000000001"/>
    <n v="34.475000000000001"/>
    <n v="12.935"/>
    <n v="17"/>
    <n v="18"/>
    <n v="17"/>
    <n v="17"/>
  </r>
  <r>
    <n v="537"/>
    <m/>
    <m/>
    <m/>
    <m/>
    <s v="G25.0"/>
    <s v="Essential tremor"/>
    <x v="202"/>
    <s v="M"/>
    <m/>
    <m/>
    <n v="80.709000000000003"/>
    <n v="76.475999999999999"/>
    <n v="157.471"/>
    <n v="157.84299999999999"/>
    <n v="145.602"/>
    <n v="146.00399999999999"/>
    <n v="110.754"/>
    <n v="110.173"/>
    <n v="60.488"/>
    <n v="59.664999999999999"/>
    <n v="39.512"/>
    <n v="40.335000000000001"/>
    <n v="9.1319999999999997"/>
    <n v="11.444000000000001"/>
    <n v="40.335000000000001"/>
    <n v="39.512"/>
    <n v="17.684999999999999"/>
    <n v="10"/>
    <n v="12"/>
    <n v="10"/>
    <n v="10"/>
  </r>
  <r>
    <n v="538"/>
    <m/>
    <m/>
    <m/>
    <m/>
    <s v="G20"/>
    <s v="Parkinson's disease"/>
    <x v="196"/>
    <s v="F"/>
    <m/>
    <m/>
    <n v="51.231000000000002"/>
    <n v="48.332000000000001"/>
    <n v="99.906000000000006"/>
    <n v="99.513999999999996"/>
    <n v="106.46899999999999"/>
    <n v="106.99"/>
    <n v="127.946"/>
    <n v="128.38999999999999"/>
    <n v="60.881999999999998"/>
    <n v="60.622999999999998"/>
    <n v="39.118000000000002"/>
    <n v="39.377000000000002"/>
    <n v="11.244999999999999"/>
    <n v="10.255000000000001"/>
    <n v="39.377000000000002"/>
    <n v="39.118000000000002"/>
    <n v="11.833"/>
    <n v="21"/>
    <n v="21"/>
    <n v="21"/>
    <n v="21"/>
  </r>
  <r>
    <n v="539"/>
    <m/>
    <m/>
    <m/>
    <m/>
    <s v="G24.3"/>
    <s v="Spasmodic torticollis"/>
    <x v="203"/>
    <s v="M"/>
    <m/>
    <m/>
    <n v="39.942"/>
    <n v="35.28"/>
    <n v="75.606999999999999"/>
    <n v="75.253"/>
    <n v="54.715000000000003"/>
    <n v="53.920999999999999"/>
    <n v="85.540999999999997"/>
    <n v="85.105999999999995"/>
    <n v="70.774000000000001"/>
    <n v="69.569999999999993"/>
    <n v="29.225999999999999"/>
    <n v="30.43"/>
    <n v="17.917000000000002"/>
    <n v="21.073"/>
    <n v="30.43"/>
    <n v="29.225999999999999"/>
    <n v="17.285"/>
    <n v="15"/>
    <n v="18"/>
    <n v="15"/>
    <n v="15"/>
  </r>
  <r>
    <n v="540"/>
    <m/>
    <m/>
    <m/>
    <m/>
    <s v="G25.3"/>
    <s v="Myoclonus"/>
    <x v="14"/>
    <s v="M"/>
    <m/>
    <m/>
    <n v="45.929000000000002"/>
    <n v="45.401000000000003"/>
    <n v="91.489000000000004"/>
    <n v="91.367999999999995"/>
    <n v="66.965000000000003"/>
    <n v="67.016999999999996"/>
    <n v="87.638000000000005"/>
    <n v="87.900999999999996"/>
    <n v="67.903999999999996"/>
    <n v="65.950999999999993"/>
    <n v="32.095999999999997"/>
    <n v="34.048999999999999"/>
    <n v="18.152999999999999"/>
    <n v="15.976000000000001"/>
    <n v="34.048999999999999"/>
    <n v="32.095999999999997"/>
    <n v="12.31"/>
    <n v="14"/>
    <n v="15"/>
    <n v="14"/>
    <n v="14"/>
  </r>
  <r>
    <n v="541"/>
    <m/>
    <m/>
    <m/>
    <m/>
    <s v="G20"/>
    <s v="Parkinson's disease"/>
    <x v="204"/>
    <s v="F"/>
    <m/>
    <m/>
    <n v="27.387"/>
    <n v="24.574999999999999"/>
    <n v="52.32"/>
    <n v="51.515999999999998"/>
    <n v="47.220999999999997"/>
    <n v="46.356000000000002"/>
    <n v="107.941"/>
    <n v="108.107"/>
    <n v="67.56"/>
    <n v="67.129000000000005"/>
    <n v="32.44"/>
    <n v="32.871000000000002"/>
    <n v="16.308"/>
    <n v="18.702999999999999"/>
    <n v="32.871000000000002"/>
    <n v="32.44"/>
    <n v="11.782999999999999"/>
    <n v="18"/>
    <n v="18"/>
    <n v="18"/>
    <n v="18"/>
  </r>
  <r>
    <n v="542"/>
    <m/>
    <m/>
    <m/>
    <m/>
    <s v="G24.3"/>
    <s v="Spasmodic torticollis"/>
    <x v="90"/>
    <s v="M"/>
    <m/>
    <m/>
    <n v="62.445"/>
    <n v="69.766000000000005"/>
    <n v="132.98500000000001"/>
    <n v="132.54400000000001"/>
    <n v="113.214"/>
    <n v="112.43899999999999"/>
    <n v="102.694"/>
    <n v="102.48099999999999"/>
    <n v="63.366"/>
    <n v="61.832000000000001"/>
    <n v="36.634"/>
    <n v="38.167999999999999"/>
    <n v="11.803000000000001"/>
    <n v="13.398999999999999"/>
    <n v="38.167999999999999"/>
    <n v="36.634"/>
    <n v="13.276"/>
    <n v="16"/>
    <n v="20"/>
    <n v="16"/>
    <n v="16"/>
  </r>
  <r>
    <n v="543"/>
    <m/>
    <m/>
    <m/>
    <m/>
    <s v="NA"/>
    <s v="NA"/>
    <x v="35"/>
    <s v="NA"/>
    <m/>
    <m/>
    <s v="NA"/>
    <s v="NA"/>
    <s v="NA"/>
    <s v="NA"/>
    <s v="NA"/>
    <s v="NA"/>
    <s v="NA"/>
    <s v="NA"/>
    <s v="NA"/>
    <s v="NA"/>
    <s v="NA"/>
    <s v="NA"/>
    <s v="NA"/>
    <s v="NA"/>
    <s v="NA"/>
    <s v="NA"/>
    <s v="NA"/>
    <s v="NA"/>
    <s v="NA"/>
    <s v="NA"/>
    <s v="NA"/>
  </r>
  <r>
    <n v="544"/>
    <m/>
    <m/>
    <m/>
    <m/>
    <s v="G20"/>
    <s v="Parkinson's disease"/>
    <x v="205"/>
    <s v="F"/>
    <m/>
    <m/>
    <n v="42.204000000000001"/>
    <n v="44.369"/>
    <n v="86.421000000000006"/>
    <n v="86.742000000000004"/>
    <n v="84.477999999999994"/>
    <n v="84.385000000000005"/>
    <n v="116.91500000000001"/>
    <n v="116.754"/>
    <n v="60.781999999999996"/>
    <n v="65.210999999999999"/>
    <n v="39.218000000000004"/>
    <n v="34.789000000000001"/>
    <n v="14.656000000000001"/>
    <n v="11.622999999999999"/>
    <n v="34.789000000000001"/>
    <n v="39.218000000000004"/>
    <n v="14.836"/>
    <n v="17"/>
    <n v="17"/>
    <n v="17"/>
    <n v="17"/>
  </r>
  <r>
    <n v="545"/>
    <m/>
    <m/>
    <m/>
    <m/>
    <s v="G20"/>
    <s v="Parkinson's disease"/>
    <x v="206"/>
    <s v="F"/>
    <m/>
    <m/>
    <n v="11.407"/>
    <n v="-1.5589999999999999"/>
    <n v="9.6880000000000006"/>
    <n v="9.9139999999999997"/>
    <n v="6.9880000000000004"/>
    <n v="6.9189999999999996"/>
    <n v="85.614000000000004"/>
    <n v="82.406999999999996"/>
    <n v="85.001000000000005"/>
    <n v="83.400999999999996"/>
    <n v="14.999000000000001"/>
    <n v="16.599"/>
    <n v="25.606000000000002"/>
    <n v="43.58"/>
    <n v="16.599"/>
    <n v="14.999000000000001"/>
    <n v="12.2"/>
    <n v="25"/>
    <n v="26"/>
    <n v="25"/>
    <n v="25"/>
  </r>
  <r>
    <n v="546"/>
    <m/>
    <m/>
    <m/>
    <m/>
    <s v="G25.2"/>
    <s v="Other specified forms of tremor"/>
    <x v="117"/>
    <s v="M"/>
    <m/>
    <m/>
    <n v="27.672000000000001"/>
    <n v="0"/>
    <n v="58.029000000000003"/>
    <n v="0"/>
    <n v="48.338999999999999"/>
    <n v="0"/>
    <n v="100.517"/>
    <n v="0"/>
    <n v="72.688000000000002"/>
    <n v="0"/>
    <n v="27.312000000000001"/>
    <n v="0"/>
    <n v="15.343999999999999"/>
    <n v="0"/>
    <n v="39.08"/>
    <n v="0"/>
    <n v="19.997"/>
    <n v="22"/>
    <n v="23"/>
    <n v="21"/>
    <n v="20"/>
  </r>
  <r>
    <n v="547"/>
    <m/>
    <m/>
    <m/>
    <m/>
    <s v="G25.0"/>
    <s v="Essential tremor"/>
    <x v="5"/>
    <s v="M"/>
    <m/>
    <m/>
    <n v="64.608999999999995"/>
    <n v="62.796999999999997"/>
    <n v="127.622"/>
    <n v="126.639"/>
    <n v="110.131"/>
    <n v="109.468"/>
    <n v="104.036"/>
    <n v="104.11499999999999"/>
    <n v="62.460999999999999"/>
    <n v="62.171999999999997"/>
    <n v="37.539000000000001"/>
    <n v="37.828000000000003"/>
    <n v="12.794"/>
    <n v="12.968999999999999"/>
    <n v="37.828000000000003"/>
    <n v="37.539000000000001"/>
    <n v="13.971"/>
    <n v="14"/>
    <n v="14"/>
    <n v="14"/>
    <n v="14"/>
  </r>
  <r>
    <n v="548"/>
    <m/>
    <m/>
    <m/>
    <m/>
    <s v="G25.0"/>
    <s v="Essential tremor"/>
    <x v="130"/>
    <s v="F"/>
    <m/>
    <m/>
    <n v="57.973999999999997"/>
    <n v="56.790999999999997"/>
    <n v="114.95399999999999"/>
    <n v="115.73699999999999"/>
    <n v="113.279"/>
    <n v="114.00700000000001"/>
    <n v="117.976"/>
    <n v="117.804"/>
    <n v="61.656999999999996"/>
    <n v="62.067999999999998"/>
    <n v="38.343000000000004"/>
    <n v="37.932000000000002"/>
    <n v="12.228999999999999"/>
    <n v="11.994999999999999"/>
    <n v="37.932000000000002"/>
    <n v="38.343000000000004"/>
    <n v="9.4529999999999994"/>
    <n v="17"/>
    <n v="13"/>
    <n v="13"/>
    <n v="13"/>
  </r>
  <r>
    <n v="549"/>
    <m/>
    <m/>
    <m/>
    <m/>
    <s v="NA"/>
    <s v="NA"/>
    <x v="35"/>
    <s v="NA"/>
    <m/>
    <m/>
    <n v="34.036000000000001"/>
    <n v="30.484999999999999"/>
    <n v="64.804000000000002"/>
    <n v="64.650000000000006"/>
    <n v="60.698"/>
    <n v="60.566000000000003"/>
    <n v="112.405"/>
    <n v="112.547"/>
    <n v="64.353999999999999"/>
    <n v="64.938999999999993"/>
    <n v="35.646000000000001"/>
    <n v="35.061"/>
    <n v="13.981999999999999"/>
    <n v="15.305"/>
    <n v="35.061"/>
    <n v="35.646000000000001"/>
    <n v="12.122"/>
    <n v="18"/>
    <n v="19"/>
    <n v="18"/>
    <n v="18"/>
  </r>
  <r>
    <n v="550"/>
    <m/>
    <m/>
    <m/>
    <m/>
    <s v="NA"/>
    <s v="NA"/>
    <x v="35"/>
    <s v="NA"/>
    <m/>
    <m/>
    <n v="43.420999999999999"/>
    <n v="42.918999999999997"/>
    <n v="86.781000000000006"/>
    <n v="86.873000000000005"/>
    <n v="72.903000000000006"/>
    <n v="73.096999999999994"/>
    <n v="100.28700000000001"/>
    <n v="100.45399999999999"/>
    <n v="64.448999999999998"/>
    <n v="64.477000000000004"/>
    <n v="35.551000000000002"/>
    <n v="35.523000000000003"/>
    <n v="14.564"/>
    <n v="14.481"/>
    <n v="35.523000000000003"/>
    <n v="35.551000000000002"/>
    <n v="13.72"/>
    <n v="14"/>
    <n v="13"/>
    <n v="13"/>
    <n v="13"/>
  </r>
  <r>
    <n v="551"/>
    <m/>
    <m/>
    <m/>
    <m/>
    <s v="NA"/>
    <s v="NA"/>
    <x v="35"/>
    <s v="NA"/>
    <m/>
    <m/>
    <s v="NA"/>
    <s v="NA"/>
    <s v="NA"/>
    <s v="NA"/>
    <s v="NA"/>
    <s v="NA"/>
    <s v="NA"/>
    <s v="NA"/>
    <s v="NA"/>
    <s v="NA"/>
    <s v="NA"/>
    <s v="NA"/>
    <s v="NA"/>
    <s v="NA"/>
    <s v="NA"/>
    <s v="NA"/>
    <s v="NA"/>
    <s v="NA"/>
    <s v="NA"/>
    <s v="NA"/>
    <s v="NA"/>
  </r>
  <r>
    <n v="552"/>
    <m/>
    <m/>
    <m/>
    <m/>
    <s v="G20"/>
    <s v="Parkinson's disease"/>
    <x v="207"/>
    <s v="F"/>
    <m/>
    <m/>
    <n v="49.695999999999998"/>
    <n v="48.704999999999998"/>
    <n v="99.105999999999995"/>
    <n v="98.400999999999996"/>
    <n v="102.491"/>
    <n v="101.453"/>
    <n v="123.498"/>
    <n v="124.021"/>
    <n v="64.447999999999993"/>
    <n v="62.438000000000002"/>
    <n v="35.552"/>
    <n v="37.561999999999998"/>
    <n v="13.023"/>
    <n v="13.471"/>
    <n v="37.561999999999998"/>
    <n v="35.552"/>
    <n v="9.0920000000000005"/>
    <n v="12"/>
    <n v="18"/>
    <n v="12"/>
    <n v="12"/>
  </r>
  <r>
    <n v="553"/>
    <m/>
    <m/>
    <m/>
    <m/>
    <s v="G25.3"/>
    <s v="Myoclonus"/>
    <x v="208"/>
    <s v="F"/>
    <m/>
    <m/>
    <n v="58.320999999999998"/>
    <n v="60.570999999999998"/>
    <n v="118.85599999999999"/>
    <n v="118.72199999999999"/>
    <n v="102.846"/>
    <n v="102.741"/>
    <n v="103.10899999999999"/>
    <n v="103.09"/>
    <n v="62.606999999999999"/>
    <n v="62.792999999999999"/>
    <n v="37.393000000000001"/>
    <n v="37.207000000000001"/>
    <n v="12.332000000000001"/>
    <n v="13.007999999999999"/>
    <n v="37.207000000000001"/>
    <n v="37.393000000000001"/>
    <n v="8.3930000000000007"/>
    <n v="17"/>
    <n v="16"/>
    <n v="16"/>
    <n v="16"/>
  </r>
  <r>
    <n v="554"/>
    <m/>
    <m/>
    <m/>
    <m/>
    <s v="G20"/>
    <s v="Parkinson's disease"/>
    <x v="209"/>
    <s v="M"/>
    <m/>
    <m/>
    <n v="65.44"/>
    <n v="66.938000000000002"/>
    <n v="131.57900000000001"/>
    <n v="132.17599999999999"/>
    <n v="123.244"/>
    <n v="122.914"/>
    <n v="112.333"/>
    <n v="111.61499999999999"/>
    <n v="61.642000000000003"/>
    <n v="63.195"/>
    <n v="38.357999999999997"/>
    <n v="36.805"/>
    <n v="12.837"/>
    <n v="12.236000000000001"/>
    <n v="36.805"/>
    <n v="38.357999999999997"/>
    <n v="10.704000000000001"/>
    <n v="15"/>
    <n v="15"/>
    <n v="15"/>
    <n v="15"/>
  </r>
  <r>
    <n v="555"/>
    <m/>
    <m/>
    <m/>
    <m/>
    <s v="G20"/>
    <s v="Parkinson's disease"/>
    <x v="119"/>
    <s v="M"/>
    <m/>
    <m/>
    <n v="65.379000000000005"/>
    <n v="66.052000000000007"/>
    <n v="132.35"/>
    <n v="130.98599999999999"/>
    <n v="109.08"/>
    <n v="108.021"/>
    <n v="98.77"/>
    <n v="98.492000000000004"/>
    <n v="60.091000000000001"/>
    <n v="60.74"/>
    <n v="39.908999999999999"/>
    <n v="39.26"/>
    <n v="11.113"/>
    <n v="10.352"/>
    <n v="39.26"/>
    <n v="39.908999999999999"/>
    <n v="7.98"/>
    <n v="14"/>
    <n v="14"/>
    <n v="14"/>
    <n v="14"/>
  </r>
  <r>
    <n v="556"/>
    <m/>
    <m/>
    <m/>
    <m/>
    <s v="NA"/>
    <s v="NA"/>
    <x v="35"/>
    <s v="NA"/>
    <m/>
    <m/>
    <n v="64.2"/>
    <n v="63.408999999999999"/>
    <n v="127.357"/>
    <n v="128.215"/>
    <n v="117.17"/>
    <n v="117.649"/>
    <n v="109.788"/>
    <n v="109.979"/>
    <n v="61.726999999999997"/>
    <n v="62.427999999999997"/>
    <n v="38.273000000000003"/>
    <n v="37.572000000000003"/>
    <n v="12.728"/>
    <n v="11.821999999999999"/>
    <n v="37.572000000000003"/>
    <n v="38.273000000000003"/>
    <n v="14.581"/>
    <n v="14"/>
    <n v="14"/>
    <n v="14"/>
    <n v="14"/>
  </r>
  <r>
    <n v="557"/>
    <m/>
    <m/>
    <m/>
    <m/>
    <s v="G20"/>
    <s v="Parkinson's disease"/>
    <x v="25"/>
    <s v="M"/>
    <m/>
    <m/>
    <n v="47.505000000000003"/>
    <n v="57.804000000000002"/>
    <n v="105.55200000000001"/>
    <n v="104.501"/>
    <n v="82.596999999999994"/>
    <n v="81.088999999999999"/>
    <n v="93.906000000000006"/>
    <n v="92.915999999999997"/>
    <n v="64.436999999999998"/>
    <n v="67.748000000000005"/>
    <n v="35.563000000000002"/>
    <n v="32.252000000000002"/>
    <n v="13.781000000000001"/>
    <n v="18.076000000000001"/>
    <n v="32.252000000000002"/>
    <n v="35.563000000000002"/>
    <n v="19.684000000000001"/>
    <n v="12"/>
    <n v="13"/>
    <n v="12"/>
    <n v="12"/>
  </r>
  <r>
    <n v="558"/>
    <m/>
    <m/>
    <m/>
    <m/>
    <s v="G25.3"/>
    <s v="Myoclonus"/>
    <x v="148"/>
    <s v="F"/>
    <m/>
    <m/>
    <n v="30.126999999999999"/>
    <n v="24.408000000000001"/>
    <n v="54.832999999999998"/>
    <n v="54.609000000000002"/>
    <n v="35.090000000000003"/>
    <n v="34.649000000000001"/>
    <n v="76.355999999999995"/>
    <n v="75.861000000000004"/>
    <n v="72.448999999999998"/>
    <n v="75.790000000000006"/>
    <n v="27.550999999999998"/>
    <n v="24.21"/>
    <n v="25.207000000000001"/>
    <n v="23.225000000000001"/>
    <n v="24.21"/>
    <n v="27.550999999999998"/>
    <n v="16.228000000000002"/>
    <n v="17"/>
    <n v="18"/>
    <n v="17"/>
    <n v="17"/>
  </r>
  <r>
    <n v="559"/>
    <m/>
    <m/>
    <m/>
    <m/>
    <s v="G25.0"/>
    <s v="Essential tremor"/>
    <x v="176"/>
    <s v="F"/>
    <m/>
    <m/>
    <n v="35.122999999999998"/>
    <n v="31.984000000000002"/>
    <n v="67.783000000000001"/>
    <n v="66.766000000000005"/>
    <n v="65.210999999999999"/>
    <n v="64.853999999999999"/>
    <n v="116.327"/>
    <n v="116.10599999999999"/>
    <n v="64.751999999999995"/>
    <n v="70.168999999999997"/>
    <n v="35.247999999999998"/>
    <n v="29.831"/>
    <n v="17.651"/>
    <n v="17.114999999999998"/>
    <n v="29.831"/>
    <n v="35.247999999999998"/>
    <n v="22.25"/>
    <n v="19"/>
    <n v="19"/>
    <n v="19"/>
    <n v="19"/>
  </r>
  <r>
    <n v="560"/>
    <m/>
    <m/>
    <m/>
    <m/>
    <s v="G20"/>
    <s v="Parkinson's disease"/>
    <x v="7"/>
    <s v="M"/>
    <m/>
    <m/>
    <s v="NA"/>
    <s v="NA"/>
    <s v="NA"/>
    <s v="NA"/>
    <s v="NA"/>
    <s v="NA"/>
    <s v="NA"/>
    <s v="NA"/>
    <s v="NA"/>
    <s v="NA"/>
    <s v="NA"/>
    <s v="NA"/>
    <s v="NA"/>
    <s v="NA"/>
    <s v="NA"/>
    <s v="NA"/>
    <s v="NA"/>
    <s v="NA"/>
    <s v="NA"/>
    <s v="NA"/>
    <s v="NA"/>
  </r>
  <r>
    <n v="561"/>
    <m/>
    <m/>
    <m/>
    <m/>
    <s v="NA"/>
    <s v="NA"/>
    <x v="35"/>
    <s v="NA"/>
    <m/>
    <m/>
    <s v="NA"/>
    <s v="NA"/>
    <s v="NA"/>
    <s v="NA"/>
    <s v="NA"/>
    <s v="NA"/>
    <s v="NA"/>
    <s v="NA"/>
    <s v="NA"/>
    <s v="NA"/>
    <s v="NA"/>
    <s v="NA"/>
    <s v="NA"/>
    <s v="NA"/>
    <s v="NA"/>
    <s v="NA"/>
    <s v="NA"/>
    <s v="NA"/>
    <s v="NA"/>
    <s v="NA"/>
    <s v="NA"/>
  </r>
  <r>
    <n v="562"/>
    <m/>
    <m/>
    <m/>
    <m/>
    <s v="G20"/>
    <s v="Parkinson's disease"/>
    <x v="105"/>
    <s v="F"/>
    <m/>
    <m/>
    <n v="52.335000000000001"/>
    <n v="56.427"/>
    <n v="108.44799999999999"/>
    <n v="109.60299999999999"/>
    <n v="106.88200000000001"/>
    <n v="108.029"/>
    <n v="118.47"/>
    <n v="117.11199999999999"/>
    <n v="63.936"/>
    <n v="63.850999999999999"/>
    <n v="36.064"/>
    <n v="36.149000000000001"/>
    <n v="15.138999999999999"/>
    <n v="13.428000000000001"/>
    <n v="36.149000000000001"/>
    <n v="36.064"/>
    <n v="12.313000000000001"/>
    <n v="21"/>
    <n v="20"/>
    <n v="20"/>
    <n v="20"/>
  </r>
  <r>
    <n v="563"/>
    <m/>
    <m/>
    <m/>
    <m/>
    <s v="G20"/>
    <s v="Parkinson's disease"/>
    <x v="210"/>
    <s v="M"/>
    <m/>
    <m/>
    <n v="53.795000000000002"/>
    <n v="54.624000000000002"/>
    <n v="110.748"/>
    <n v="106.008"/>
    <n v="79.885999999999996"/>
    <n v="80.215000000000003"/>
    <n v="88.572999999999993"/>
    <n v="89.271000000000001"/>
    <n v="63.552999999999997"/>
    <n v="64.760000000000005"/>
    <n v="36.447000000000003"/>
    <n v="35.24"/>
    <n v="12.695"/>
    <n v="15.401999999999999"/>
    <n v="35.24"/>
    <n v="36.447000000000003"/>
    <n v="10.89"/>
    <n v="15"/>
    <n v="13"/>
    <n v="13"/>
    <n v="13"/>
  </r>
  <r>
    <n v="564"/>
    <m/>
    <m/>
    <m/>
    <m/>
    <s v="G25.0"/>
    <s v="Essential tremor"/>
    <x v="153"/>
    <s v="F"/>
    <m/>
    <m/>
    <s v="NA"/>
    <s v="NA"/>
    <s v="NA"/>
    <s v="NA"/>
    <s v="NA"/>
    <s v="NA"/>
    <s v="NA"/>
    <s v="NA"/>
    <s v="NA"/>
    <s v="NA"/>
    <s v="NA"/>
    <s v="NA"/>
    <s v="NA"/>
    <s v="NA"/>
    <s v="NA"/>
    <s v="NA"/>
    <s v="NA"/>
    <s v="NA"/>
    <s v="NA"/>
    <s v="NA"/>
    <s v="NA"/>
  </r>
  <r>
    <n v="565"/>
    <m/>
    <m/>
    <m/>
    <m/>
    <s v="G25.0"/>
    <s v="Essential tremor"/>
    <x v="68"/>
    <s v="F"/>
    <m/>
    <m/>
    <n v="49.49"/>
    <n v="52.847999999999999"/>
    <n v="102.28400000000001"/>
    <n v="102.806"/>
    <n v="97.742000000000004"/>
    <n v="97.754999999999995"/>
    <n v="114.658"/>
    <n v="114.26"/>
    <n v="63.042000000000002"/>
    <n v="64.171999999999997"/>
    <n v="36.957999999999998"/>
    <n v="35.828000000000003"/>
    <n v="13.679"/>
    <n v="13.432"/>
    <n v="35.828000000000003"/>
    <n v="36.957999999999998"/>
    <n v="9.66"/>
    <n v="20"/>
    <n v="22"/>
    <n v="20"/>
    <n v="20"/>
  </r>
  <r>
    <n v="566"/>
    <m/>
    <m/>
    <m/>
    <m/>
    <s v="NA"/>
    <s v="NA"/>
    <x v="35"/>
    <s v="NA"/>
    <m/>
    <m/>
    <n v="60.935000000000002"/>
    <n v="65.191000000000003"/>
    <n v="126.166"/>
    <n v="126.67"/>
    <n v="110.767"/>
    <n v="111.218"/>
    <n v="105.60299999999999"/>
    <n v="105.18600000000001"/>
    <n v="63.384999999999998"/>
    <n v="64.724000000000004"/>
    <n v="36.615000000000002"/>
    <n v="35.276000000000003"/>
    <n v="14.164"/>
    <n v="13.878"/>
    <n v="35.276000000000003"/>
    <n v="36.615000000000002"/>
    <n v="10.48"/>
    <n v="16"/>
    <n v="13"/>
    <n v="13"/>
    <n v="13"/>
  </r>
  <r>
    <n v="567"/>
    <m/>
    <m/>
    <m/>
    <m/>
    <s v="G24.3"/>
    <s v="Spasmodic torticollis"/>
    <x v="112"/>
    <s v="F"/>
    <m/>
    <m/>
    <n v="62.646000000000001"/>
    <n v="62.43"/>
    <n v="125.50700000000001"/>
    <n v="125.20699999999999"/>
    <n v="121.03100000000001"/>
    <n v="120.697"/>
    <n v="115.77200000000001"/>
    <n v="115.181"/>
    <n v="62.662999999999997"/>
    <n v="63.64"/>
    <n v="37.337000000000003"/>
    <n v="36.36"/>
    <n v="13.65"/>
    <n v="12.826000000000001"/>
    <n v="36.36"/>
    <n v="37.337000000000003"/>
    <n v="10.019"/>
    <n v="17"/>
    <n v="21"/>
    <n v="17"/>
    <n v="17"/>
  </r>
  <r>
    <n v="568"/>
    <m/>
    <m/>
    <m/>
    <m/>
    <s v="NA"/>
    <s v="NA"/>
    <x v="35"/>
    <s v="NA"/>
    <m/>
    <m/>
    <s v="NA"/>
    <s v="NA"/>
    <s v="NA"/>
    <s v="NA"/>
    <s v="NA"/>
    <s v="NA"/>
    <s v="NA"/>
    <s v="NA"/>
    <s v="NA"/>
    <s v="NA"/>
    <s v="NA"/>
    <s v="NA"/>
    <s v="NA"/>
    <s v="NA"/>
    <s v="NA"/>
    <s v="NA"/>
    <s v="NA"/>
    <s v="NA"/>
    <s v="NA"/>
    <s v="NA"/>
    <s v="NA"/>
  </r>
  <r>
    <n v="569"/>
    <m/>
    <m/>
    <m/>
    <m/>
    <s v="G20"/>
    <s v="Parkinson's disease"/>
    <x v="211"/>
    <s v="F"/>
    <m/>
    <m/>
    <n v="45.156999999999996"/>
    <n v="49.948999999999998"/>
    <n v="97.091999999999999"/>
    <n v="94.84"/>
    <n v="58.713000000000001"/>
    <n v="57.731000000000002"/>
    <n v="73.951999999999998"/>
    <n v="74.195999999999998"/>
    <n v="68.108000000000004"/>
    <n v="66.102999999999994"/>
    <n v="31.891999999999999"/>
    <n v="33.896999999999998"/>
    <n v="17.029"/>
    <n v="17.565000000000001"/>
    <n v="33.896999999999998"/>
    <n v="31.891999999999999"/>
    <n v="6.3440000000000003"/>
    <n v="15"/>
    <n v="16"/>
    <n v="15"/>
    <n v="15"/>
  </r>
  <r>
    <n v="570"/>
    <m/>
    <m/>
    <m/>
    <m/>
    <s v="G20"/>
    <s v="Parkinson's disease"/>
    <x v="212"/>
    <s v="M"/>
    <m/>
    <m/>
    <n v="43.085000000000001"/>
    <n v="48.273000000000003"/>
    <n v="91.423000000000002"/>
    <n v="91.245999999999995"/>
    <n v="108.416"/>
    <n v="108.18"/>
    <n v="142.125"/>
    <n v="141.99600000000001"/>
    <n v="60.624000000000002"/>
    <n v="61.319000000000003"/>
    <n v="39.375999999999998"/>
    <n v="38.680999999999997"/>
    <n v="9.68"/>
    <n v="12.422000000000001"/>
    <n v="38.680999999999997"/>
    <n v="39.375999999999998"/>
    <n v="13.425000000000001"/>
    <n v="23"/>
    <n v="23"/>
    <n v="23"/>
    <n v="23"/>
  </r>
  <r>
    <n v="571"/>
    <m/>
    <m/>
    <m/>
    <m/>
    <s v="G20"/>
    <s v="Parkinson's disease"/>
    <x v="213"/>
    <s v="F"/>
    <m/>
    <m/>
    <n v="56.881"/>
    <n v="61.837000000000003"/>
    <n v="118.768"/>
    <n v="118.78400000000001"/>
    <n v="94.78"/>
    <n v="94.905000000000001"/>
    <n v="95.706000000000003"/>
    <n v="96.323999999999998"/>
    <n v="63.088999999999999"/>
    <n v="61.536000000000001"/>
    <n v="36.911000000000001"/>
    <n v="38.463999999999999"/>
    <n v="12.117000000000001"/>
    <n v="13.215"/>
    <n v="38.463999999999999"/>
    <n v="36.911000000000001"/>
    <n v="8.91"/>
    <n v="8"/>
    <n v="9"/>
    <n v="8"/>
    <n v="8"/>
  </r>
  <r>
    <n v="572"/>
    <m/>
    <m/>
    <m/>
    <m/>
    <s v="G20"/>
    <s v="Parkinson's disease"/>
    <x v="58"/>
    <s v="M"/>
    <m/>
    <m/>
    <n v="60.052"/>
    <n v="63.643000000000001"/>
    <n v="123.55"/>
    <n v="124.98399999999999"/>
    <n v="117.123"/>
    <n v="117.736"/>
    <n v="113.76600000000001"/>
    <n v="113.117"/>
    <n v="63.176000000000002"/>
    <n v="62.125"/>
    <n v="36.823999999999998"/>
    <n v="37.875"/>
    <n v="13.192"/>
    <n v="12"/>
    <n v="37.875"/>
    <n v="36.823999999999998"/>
    <n v="8.4009999999999998"/>
    <n v="21"/>
    <n v="17"/>
    <n v="17"/>
    <n v="17"/>
  </r>
  <r>
    <n v="573"/>
    <m/>
    <m/>
    <m/>
    <m/>
    <s v="G20"/>
    <s v="Parkinson's disease"/>
    <x v="214"/>
    <s v="M"/>
    <m/>
    <m/>
    <s v="NA"/>
    <s v="NA"/>
    <s v="NA"/>
    <s v="NA"/>
    <s v="NA"/>
    <s v="NA"/>
    <s v="NA"/>
    <s v="NA"/>
    <s v="NA"/>
    <s v="NA"/>
    <s v="NA"/>
    <s v="NA"/>
    <s v="NA"/>
    <s v="NA"/>
    <s v="NA"/>
    <s v="NA"/>
    <s v="NA"/>
    <s v="NA"/>
    <s v="NA"/>
    <s v="NA"/>
    <s v="NA"/>
  </r>
  <r>
    <n v="574"/>
    <m/>
    <m/>
    <m/>
    <m/>
    <s v="R26.89"/>
    <s v="Other abnormalities of gait and mobility"/>
    <x v="215"/>
    <s v="F"/>
    <m/>
    <m/>
    <s v="NA"/>
    <s v="NA"/>
    <s v="NA"/>
    <s v="NA"/>
    <s v="NA"/>
    <s v="NA"/>
    <s v="NA"/>
    <s v="NA"/>
    <s v="NA"/>
    <s v="NA"/>
    <s v="NA"/>
    <s v="NA"/>
    <s v="NA"/>
    <s v="NA"/>
    <s v="NA"/>
    <s v="NA"/>
    <s v="NA"/>
    <s v="NA"/>
    <s v="NA"/>
    <s v="NA"/>
    <s v="NA"/>
  </r>
  <r>
    <n v="575"/>
    <m/>
    <m/>
    <m/>
    <m/>
    <s v="G20"/>
    <s v="Parkinson's disease"/>
    <x v="216"/>
    <s v="F"/>
    <m/>
    <m/>
    <s v="NA"/>
    <s v="NA"/>
    <s v="NA"/>
    <s v="NA"/>
    <s v="NA"/>
    <s v="NA"/>
    <s v="NA"/>
    <s v="NA"/>
    <s v="NA"/>
    <s v="NA"/>
    <s v="NA"/>
    <s v="NA"/>
    <s v="NA"/>
    <s v="NA"/>
    <s v="NA"/>
    <s v="NA"/>
    <s v="NA"/>
    <s v="NA"/>
    <s v="NA"/>
    <s v="NA"/>
    <s v="NA"/>
  </r>
  <r>
    <n v="578"/>
    <m/>
    <m/>
    <m/>
    <m/>
    <s v="G20"/>
    <s v="Parkinson's disease"/>
    <x v="217"/>
    <s v="M"/>
    <m/>
    <m/>
    <s v="NA"/>
    <s v="NA"/>
    <s v="NA"/>
    <s v="NA"/>
    <s v="NA"/>
    <s v="NA"/>
    <s v="NA"/>
    <s v="NA"/>
    <s v="NA"/>
    <s v="NA"/>
    <s v="NA"/>
    <s v="NA"/>
    <s v="NA"/>
    <s v="NA"/>
    <s v="NA"/>
    <s v="NA"/>
    <s v="NA"/>
    <s v="NA"/>
    <s v="NA"/>
    <s v="NA"/>
    <s v="NA"/>
  </r>
  <r>
    <n v="579"/>
    <m/>
    <m/>
    <m/>
    <m/>
    <s v="G20"/>
    <s v="Parkinson's disease"/>
    <x v="218"/>
    <s v="F"/>
    <m/>
    <m/>
    <s v="NA"/>
    <s v="NA"/>
    <s v="NA"/>
    <s v="NA"/>
    <s v="NA"/>
    <s v="NA"/>
    <s v="NA"/>
    <s v="NA"/>
    <s v="NA"/>
    <s v="NA"/>
    <s v="NA"/>
    <s v="NA"/>
    <s v="NA"/>
    <s v="NA"/>
    <s v="NA"/>
    <s v="NA"/>
    <s v="NA"/>
    <s v="NA"/>
    <s v="NA"/>
    <s v="NA"/>
    <s v="NA"/>
  </r>
  <r>
    <n v="580"/>
    <m/>
    <m/>
    <m/>
    <m/>
    <s v="NA"/>
    <s v="NA"/>
    <x v="35"/>
    <s v="NA"/>
    <m/>
    <m/>
    <s v="NA"/>
    <s v="NA"/>
    <s v="NA"/>
    <s v="NA"/>
    <s v="NA"/>
    <s v="NA"/>
    <s v="NA"/>
    <s v="NA"/>
    <s v="NA"/>
    <s v="NA"/>
    <s v="NA"/>
    <s v="NA"/>
    <s v="NA"/>
    <s v="NA"/>
    <s v="NA"/>
    <s v="NA"/>
    <s v="NA"/>
    <s v="NA"/>
    <s v="NA"/>
    <s v="NA"/>
    <s v="NA"/>
  </r>
  <r>
    <n v="581"/>
    <m/>
    <m/>
    <m/>
    <m/>
    <s v="G25.0"/>
    <s v="Essential tremor"/>
    <x v="219"/>
    <s v="F"/>
    <m/>
    <m/>
    <s v="NA"/>
    <s v="NA"/>
    <s v="NA"/>
    <s v="NA"/>
    <s v="NA"/>
    <s v="NA"/>
    <s v="NA"/>
    <s v="NA"/>
    <s v="NA"/>
    <s v="NA"/>
    <s v="NA"/>
    <s v="NA"/>
    <s v="NA"/>
    <s v="NA"/>
    <s v="NA"/>
    <s v="NA"/>
    <s v="NA"/>
    <s v="NA"/>
    <s v="NA"/>
    <s v="NA"/>
    <s v="NA"/>
  </r>
  <r>
    <n v="582"/>
    <m/>
    <m/>
    <m/>
    <m/>
    <s v="R25.1"/>
    <s v="Tremor, unspecified"/>
    <x v="220"/>
    <s v="F"/>
    <m/>
    <m/>
    <s v="NA"/>
    <s v="NA"/>
    <s v="NA"/>
    <s v="NA"/>
    <s v="NA"/>
    <s v="NA"/>
    <s v="NA"/>
    <s v="NA"/>
    <s v="NA"/>
    <s v="NA"/>
    <s v="NA"/>
    <s v="NA"/>
    <s v="NA"/>
    <s v="NA"/>
    <s v="NA"/>
    <s v="NA"/>
    <s v="NA"/>
    <s v="NA"/>
    <s v="NA"/>
    <s v="NA"/>
    <s v="NA"/>
  </r>
  <r>
    <n v="583"/>
    <m/>
    <m/>
    <m/>
    <m/>
    <s v="R26.0"/>
    <s v="Ataxic gait"/>
    <x v="102"/>
    <s v="F"/>
    <m/>
    <m/>
    <s v="NA"/>
    <s v="NA"/>
    <s v="NA"/>
    <s v="NA"/>
    <s v="NA"/>
    <s v="NA"/>
    <s v="NA"/>
    <s v="NA"/>
    <s v="NA"/>
    <s v="NA"/>
    <s v="NA"/>
    <s v="NA"/>
    <s v="NA"/>
    <s v="NA"/>
    <s v="NA"/>
    <s v="NA"/>
    <s v="NA"/>
    <s v="NA"/>
    <s v="NA"/>
    <s v="NA"/>
    <s v="NA"/>
  </r>
  <r>
    <n v="584"/>
    <m/>
    <m/>
    <m/>
    <m/>
    <s v="G20"/>
    <s v="Parkinson's disease"/>
    <x v="221"/>
    <s v="M"/>
    <m/>
    <m/>
    <s v="NA"/>
    <s v="NA"/>
    <s v="NA"/>
    <s v="NA"/>
    <s v="NA"/>
    <s v="NA"/>
    <s v="NA"/>
    <s v="NA"/>
    <s v="NA"/>
    <s v="NA"/>
    <s v="NA"/>
    <s v="NA"/>
    <s v="NA"/>
    <s v="NA"/>
    <s v="NA"/>
    <s v="NA"/>
    <s v="NA"/>
    <s v="NA"/>
    <s v="NA"/>
    <s v="NA"/>
    <s v="NA"/>
  </r>
  <r>
    <n v="585"/>
    <m/>
    <m/>
    <m/>
    <m/>
    <s v="G24.1"/>
    <s v="Genetic torsion dystonia"/>
    <x v="44"/>
    <s v="M"/>
    <m/>
    <m/>
    <s v="NA"/>
    <s v="NA"/>
    <s v="NA"/>
    <s v="NA"/>
    <s v="NA"/>
    <s v="NA"/>
    <s v="NA"/>
    <s v="NA"/>
    <s v="NA"/>
    <s v="NA"/>
    <s v="NA"/>
    <s v="NA"/>
    <s v="NA"/>
    <s v="NA"/>
    <s v="NA"/>
    <s v="NA"/>
    <s v="NA"/>
    <s v="NA"/>
    <s v="NA"/>
    <s v="NA"/>
    <s v="NA"/>
  </r>
  <r>
    <n v="586"/>
    <m/>
    <m/>
    <m/>
    <m/>
    <s v="G20"/>
    <s v="Parkinson's disease"/>
    <x v="222"/>
    <s v="F"/>
    <m/>
    <m/>
    <s v="NA"/>
    <s v="NA"/>
    <s v="NA"/>
    <s v="NA"/>
    <s v="NA"/>
    <s v="NA"/>
    <s v="NA"/>
    <s v="NA"/>
    <s v="NA"/>
    <s v="NA"/>
    <s v="NA"/>
    <s v="NA"/>
    <s v="NA"/>
    <s v="NA"/>
    <s v="NA"/>
    <s v="NA"/>
    <s v="NA"/>
    <s v="NA"/>
    <s v="NA"/>
    <s v="NA"/>
    <s v="NA"/>
  </r>
  <r>
    <n v="587"/>
    <m/>
    <m/>
    <m/>
    <m/>
    <s v="G25.0"/>
    <s v="Essential tremor"/>
    <x v="223"/>
    <s v="F"/>
    <m/>
    <m/>
    <s v="NA"/>
    <s v="NA"/>
    <s v="NA"/>
    <s v="NA"/>
    <s v="NA"/>
    <s v="NA"/>
    <s v="NA"/>
    <s v="NA"/>
    <s v="NA"/>
    <s v="NA"/>
    <s v="NA"/>
    <s v="NA"/>
    <s v="NA"/>
    <s v="NA"/>
    <s v="NA"/>
    <s v="NA"/>
    <s v="NA"/>
    <s v="NA"/>
    <s v="NA"/>
    <s v="NA"/>
    <s v="NA"/>
  </r>
  <r>
    <n v="588"/>
    <m/>
    <m/>
    <m/>
    <m/>
    <s v="G25.0"/>
    <s v="Essential tremor"/>
    <x v="224"/>
    <s v="F"/>
    <m/>
    <m/>
    <n v="69.405000000000001"/>
    <n v="70.48"/>
    <n v="140.00800000000001"/>
    <n v="139.881"/>
    <n v="145.59100000000001"/>
    <n v="145.64099999999999"/>
    <n v="124.929"/>
    <n v="125.407"/>
    <n v="60.326999999999998"/>
    <n v="59.600999999999999"/>
    <n v="39.673000000000002"/>
    <n v="40.399000000000001"/>
    <n v="10.234"/>
    <n v="9.7539999999999996"/>
    <n v="40.399000000000001"/>
    <n v="39.673000000000002"/>
    <n v="8.1679999999999993"/>
    <n v="21"/>
    <n v="24"/>
    <n v="21"/>
    <n v="21"/>
  </r>
  <r>
    <n v="589"/>
    <m/>
    <m/>
    <m/>
    <m/>
    <s v="G25.0"/>
    <s v="Essential tremor"/>
    <x v="65"/>
    <s v="M"/>
    <m/>
    <m/>
    <n v="58.866"/>
    <n v="61.31"/>
    <n v="120.226"/>
    <n v="120.855"/>
    <n v="106.08499999999999"/>
    <n v="106.474"/>
    <n v="105.40300000000001"/>
    <n v="105.419"/>
    <n v="63.484999999999999"/>
    <n v="63.969000000000001"/>
    <n v="36.515000000000001"/>
    <n v="36.030999999999999"/>
    <n v="12.722"/>
    <n v="15.035"/>
    <n v="36.030999999999999"/>
    <n v="36.515000000000001"/>
    <n v="11.186"/>
    <n v="21"/>
    <n v="22"/>
    <n v="21"/>
    <n v="21"/>
  </r>
  <r>
    <n v="590"/>
    <m/>
    <m/>
    <m/>
    <m/>
    <s v="G20"/>
    <s v="Parkinson's disease"/>
    <x v="225"/>
    <s v="M"/>
    <m/>
    <m/>
    <n v="68.332999999999998"/>
    <n v="56.789000000000001"/>
    <n v="125.77800000000001"/>
    <n v="125.117"/>
    <n v="114.379"/>
    <n v="114.057"/>
    <n v="109.941"/>
    <n v="109.438"/>
    <n v="62.378"/>
    <n v="61.360999999999997"/>
    <n v="37.622"/>
    <n v="38.639000000000003"/>
    <n v="10.135"/>
    <n v="13.903"/>
    <n v="38.639000000000003"/>
    <n v="37.622"/>
    <n v="15.946"/>
    <n v="18"/>
    <n v="20"/>
    <n v="18"/>
    <n v="18"/>
  </r>
  <r>
    <n v="591"/>
    <m/>
    <m/>
    <m/>
    <m/>
    <s v="G20"/>
    <s v="Parkinson's disease"/>
    <x v="226"/>
    <s v="M"/>
    <m/>
    <m/>
    <n v="8.6419999999999995"/>
    <n v="15.788"/>
    <n v="25.44"/>
    <n v="24.138999999999999"/>
    <n v="28.187000000000001"/>
    <n v="27.097999999999999"/>
    <n v="137.941"/>
    <n v="139.898"/>
    <n v="74.099000000000004"/>
    <n v="72.400999999999996"/>
    <n v="25.901"/>
    <n v="27.599"/>
    <n v="23.812999999999999"/>
    <n v="22.402999999999999"/>
    <n v="27.599"/>
    <n v="25.901"/>
    <n v="15.84"/>
    <n v="18"/>
    <n v="19"/>
    <n v="18"/>
    <n v="18"/>
  </r>
  <r>
    <n v="592"/>
    <m/>
    <m/>
    <m/>
    <m/>
    <s v="G20"/>
    <s v="Parkinson's disease"/>
    <x v="184"/>
    <s v="M"/>
    <m/>
    <m/>
    <n v="67.587000000000003"/>
    <n v="71.481999999999999"/>
    <n v="139.65299999999999"/>
    <n v="138.77799999999999"/>
    <n v="127.084"/>
    <n v="125.923"/>
    <n v="108.9"/>
    <n v="108.84099999999999"/>
    <n v="60.377000000000002"/>
    <n v="60.287999999999997"/>
    <n v="39.622999999999998"/>
    <n v="39.712000000000003"/>
    <n v="10.631"/>
    <n v="10.385"/>
    <n v="39.712000000000003"/>
    <n v="39.622999999999998"/>
    <n v="8.6519999999999992"/>
    <n v="15"/>
    <n v="16"/>
    <n v="15"/>
    <n v="15"/>
  </r>
  <r>
    <n v="593"/>
    <m/>
    <m/>
    <m/>
    <m/>
    <s v="G25.0"/>
    <s v="Essential tremor"/>
    <x v="72"/>
    <s v="F"/>
    <m/>
    <m/>
    <s v="NA"/>
    <s v="NA"/>
    <s v="NA"/>
    <s v="NA"/>
    <s v="NA"/>
    <s v="NA"/>
    <s v="NA"/>
    <s v="NA"/>
    <s v="NA"/>
    <s v="NA"/>
    <s v="NA"/>
    <s v="NA"/>
    <s v="NA"/>
    <s v="NA"/>
    <s v="NA"/>
    <s v="NA"/>
    <s v="NA"/>
    <s v="NA"/>
    <s v="NA"/>
    <s v="NA"/>
    <s v="NA"/>
  </r>
  <r>
    <n v="594"/>
    <m/>
    <m/>
    <m/>
    <m/>
    <s v="G20"/>
    <s v="Parkinson's disease"/>
    <x v="76"/>
    <s v="M"/>
    <m/>
    <m/>
    <n v="65.850999999999999"/>
    <n v="66.302999999999997"/>
    <n v="133.11199999999999"/>
    <n v="132.31200000000001"/>
    <n v="124.782"/>
    <n v="124.643"/>
    <n v="113.20699999999999"/>
    <n v="113.47799999999999"/>
    <n v="62.654000000000003"/>
    <n v="62.826999999999998"/>
    <n v="37.345999999999997"/>
    <n v="37.173000000000002"/>
    <n v="13.715999999999999"/>
    <n v="12.029"/>
    <n v="37.173000000000002"/>
    <n v="37.345999999999997"/>
    <n v="13.788"/>
    <n v="15"/>
    <n v="18"/>
    <n v="15"/>
    <n v="15"/>
  </r>
  <r>
    <n v="595"/>
    <m/>
    <m/>
    <m/>
    <m/>
    <s v="G25.0"/>
    <s v="Essential tremor"/>
    <x v="63"/>
    <s v="F"/>
    <m/>
    <m/>
    <n v="56.488"/>
    <n v="56.435000000000002"/>
    <n v="113.29300000000001"/>
    <n v="113.22199999999999"/>
    <n v="108.64100000000001"/>
    <n v="108.554"/>
    <n v="115.23399999999999"/>
    <n v="114.511"/>
    <n v="61.65"/>
    <n v="62.561"/>
    <n v="38.35"/>
    <n v="37.439"/>
    <n v="12.513"/>
    <n v="11.996"/>
    <n v="37.439"/>
    <n v="38.35"/>
    <n v="7.42"/>
    <n v="16"/>
    <n v="17"/>
    <n v="16"/>
    <n v="16"/>
  </r>
  <r>
    <n v="596"/>
    <m/>
    <m/>
    <m/>
    <m/>
    <s v="G20"/>
    <s v="Parkinson's disease"/>
    <x v="130"/>
    <s v="M"/>
    <m/>
    <m/>
    <n v="45.167999999999999"/>
    <n v="44.338000000000001"/>
    <n v="89.584000000000003"/>
    <n v="89.795000000000002"/>
    <n v="77.561999999999998"/>
    <n v="77.784000000000006"/>
    <n v="103.764"/>
    <n v="103.714"/>
    <n v="64.103999999999999"/>
    <n v="62.835999999999999"/>
    <n v="35.896000000000001"/>
    <n v="37.164000000000001"/>
    <n v="12.606999999999999"/>
    <n v="14.327"/>
    <n v="37.164000000000001"/>
    <n v="35.896000000000001"/>
    <n v="10.352"/>
    <n v="23"/>
    <n v="22"/>
    <n v="22"/>
    <n v="22"/>
  </r>
  <r>
    <n v="597"/>
    <m/>
    <m/>
    <m/>
    <m/>
    <s v="G24.1"/>
    <s v="Genetic torsion dystonia"/>
    <x v="55"/>
    <s v="M"/>
    <m/>
    <m/>
    <n v="28.344999999999999"/>
    <n v="41.783000000000001"/>
    <n v="69.66"/>
    <n v="70.156999999999996"/>
    <n v="37.341999999999999"/>
    <n v="37.731000000000002"/>
    <n v="63.994999999999997"/>
    <n v="64.572999999999993"/>
    <n v="55.134"/>
    <n v="73.513000000000005"/>
    <n v="44.866"/>
    <n v="26.486999999999998"/>
    <n v="13.098000000000001"/>
    <n v="16.024000000000001"/>
    <n v="26.486999999999998"/>
    <n v="44.866"/>
    <n v="23.385000000000002"/>
    <n v="12"/>
    <n v="13"/>
    <n v="12"/>
    <n v="12"/>
  </r>
  <r>
    <n v="598"/>
    <m/>
    <m/>
    <m/>
    <m/>
    <s v="G25.0"/>
    <s v="Essential tremor"/>
    <x v="227"/>
    <s v="M"/>
    <m/>
    <m/>
    <n v="66.183000000000007"/>
    <n v="60.88"/>
    <n v="127.099"/>
    <n v="127.279"/>
    <n v="121.786"/>
    <n v="121.94499999999999"/>
    <n v="114.38"/>
    <n v="114.49"/>
    <n v="62.996000000000002"/>
    <n v="61.802999999999997"/>
    <n v="37.003999999999998"/>
    <n v="38.197000000000003"/>
    <n v="13.069000000000001"/>
    <n v="12.481"/>
    <n v="38.197000000000003"/>
    <n v="37.003999999999998"/>
    <n v="13.504"/>
    <n v="15"/>
    <n v="17"/>
    <n v="15"/>
    <n v="15"/>
  </r>
  <r>
    <n v="599"/>
    <m/>
    <m/>
    <m/>
    <m/>
    <s v="G20"/>
    <s v="Parkinson's disease"/>
    <x v="228"/>
    <s v="M"/>
    <m/>
    <m/>
    <n v="50.238"/>
    <n v="59.17"/>
    <n v="109.842"/>
    <n v="110.251"/>
    <n v="98.677999999999997"/>
    <n v="98.82"/>
    <n v="107.545"/>
    <n v="107.26900000000001"/>
    <n v="63.04"/>
    <n v="63.476999999999997"/>
    <n v="36.96"/>
    <n v="36.523000000000003"/>
    <n v="12.412000000000001"/>
    <n v="14.276999999999999"/>
    <n v="36.523000000000003"/>
    <n v="36.96"/>
    <n v="12.577999999999999"/>
    <n v="22"/>
    <n v="22"/>
    <n v="22"/>
    <n v="22"/>
  </r>
  <r>
    <n v="600"/>
    <m/>
    <m/>
    <m/>
    <m/>
    <s v="G20"/>
    <s v="Parkinson's disease"/>
    <x v="229"/>
    <s v="F"/>
    <m/>
    <m/>
    <n v="64.353999999999999"/>
    <n v="58.533000000000001"/>
    <n v="123.583"/>
    <n v="122.71299999999999"/>
    <n v="114.718"/>
    <n v="113.626"/>
    <n v="111.06399999999999"/>
    <n v="110.911"/>
    <n v="64.597999999999999"/>
    <n v="63.412999999999997"/>
    <n v="35.402000000000001"/>
    <n v="36.587000000000003"/>
    <n v="12.944000000000001"/>
    <n v="15.233000000000001"/>
    <n v="36.587000000000003"/>
    <n v="35.402000000000001"/>
    <n v="11.003"/>
    <n v="19"/>
    <n v="19"/>
    <n v="19"/>
    <n v="19"/>
  </r>
  <r>
    <n v="601"/>
    <m/>
    <m/>
    <m/>
    <m/>
    <s v="G25.2"/>
    <s v="Other specified forms of tremor"/>
    <x v="35"/>
    <s v="NA"/>
    <m/>
    <m/>
    <n v="21.061"/>
    <n v="33.814999999999998"/>
    <n v="55.698"/>
    <n v="54.649000000000001"/>
    <n v="32.209000000000003"/>
    <n v="32.228000000000002"/>
    <n v="69.783000000000001"/>
    <n v="70.412999999999997"/>
    <n v="80.316000000000003"/>
    <n v="73.614999999999995"/>
    <n v="19.684000000000001"/>
    <n v="26.385000000000002"/>
    <n v="28.748999999999999"/>
    <n v="25.454999999999998"/>
    <n v="26.385000000000002"/>
    <n v="19.684000000000001"/>
    <n v="13.172000000000001"/>
    <n v="22"/>
    <n v="23"/>
    <n v="22"/>
    <n v="22"/>
  </r>
  <r>
    <n v="602"/>
    <m/>
    <m/>
    <m/>
    <m/>
    <s v="G25.0"/>
    <s v="Essential tremor"/>
    <x v="37"/>
    <s v="F"/>
    <m/>
    <m/>
    <n v="41.292000000000002"/>
    <n v="42.610999999999997"/>
    <n v="83.388999999999996"/>
    <n v="84.176000000000002"/>
    <n v="65.17"/>
    <n v="65.274000000000001"/>
    <n v="93.349000000000004"/>
    <n v="92.983999999999995"/>
    <n v="65.269000000000005"/>
    <n v="65.647000000000006"/>
    <n v="34.731000000000002"/>
    <n v="34.353000000000002"/>
    <n v="15.989000000000001"/>
    <n v="14.766"/>
    <n v="34.353000000000002"/>
    <n v="34.731000000000002"/>
    <n v="11.43"/>
    <n v="13"/>
    <n v="16"/>
    <n v="13"/>
    <n v="13"/>
  </r>
  <r>
    <n v="603"/>
    <m/>
    <m/>
    <m/>
    <m/>
    <s v="G25.0"/>
    <s v="Essential tremor"/>
    <x v="227"/>
    <s v="F"/>
    <m/>
    <m/>
    <n v="44.447000000000003"/>
    <n v="42.938000000000002"/>
    <n v="87.387"/>
    <n v="87.734999999999999"/>
    <n v="77.527000000000001"/>
    <n v="78.194000000000003"/>
    <n v="106.268"/>
    <n v="106.416"/>
    <n v="63.414000000000001"/>
    <n v="63.423999999999999"/>
    <n v="36.585999999999999"/>
    <n v="36.576000000000001"/>
    <n v="14.49"/>
    <n v="12.644"/>
    <n v="36.576000000000001"/>
    <n v="36.585999999999999"/>
    <n v="17.216999999999999"/>
    <n v="23"/>
    <n v="18"/>
    <n v="18"/>
    <n v="18"/>
  </r>
  <r>
    <n v="604"/>
    <m/>
    <m/>
    <m/>
    <m/>
    <s v="G20"/>
    <s v="Parkinson's disease"/>
    <x v="230"/>
    <s v="M"/>
    <m/>
    <m/>
    <n v="67.298000000000002"/>
    <n v="67.3"/>
    <n v="133.00200000000001"/>
    <n v="135.28700000000001"/>
    <n v="113.544"/>
    <n v="113.61"/>
    <n v="102.42700000000001"/>
    <n v="101.202"/>
    <n v="63.689"/>
    <n v="61.863"/>
    <n v="36.311"/>
    <n v="38.137"/>
    <n v="14.637"/>
    <n v="12.122"/>
    <n v="38.137"/>
    <n v="36.311"/>
    <n v="10.766999999999999"/>
    <n v="14"/>
    <n v="15"/>
    <n v="14"/>
    <n v="14"/>
  </r>
  <r>
    <n v="605"/>
    <m/>
    <m/>
    <m/>
    <m/>
    <s v="G24.3"/>
    <s v="Spasmodic torticollis"/>
    <x v="231"/>
    <s v="F"/>
    <m/>
    <m/>
    <n v="61.264000000000003"/>
    <n v="58.832000000000001"/>
    <n v="119.914"/>
    <n v="120.401"/>
    <n v="135.58799999999999"/>
    <n v="136.22300000000001"/>
    <n v="135.88300000000001"/>
    <n v="136.38300000000001"/>
    <n v="60.598999999999997"/>
    <n v="59.22"/>
    <n v="39.401000000000003"/>
    <n v="40.78"/>
    <n v="9.8119999999999994"/>
    <n v="10.361000000000001"/>
    <n v="40.78"/>
    <n v="39.401000000000003"/>
    <n v="12.116"/>
    <n v="21"/>
    <n v="23"/>
    <n v="21"/>
    <n v="21"/>
  </r>
  <r>
    <n v="606"/>
    <m/>
    <m/>
    <m/>
    <m/>
    <s v="G20"/>
    <s v="Parkinson's disease"/>
    <x v="232"/>
    <s v="M"/>
    <m/>
    <m/>
    <n v="76.724999999999994"/>
    <n v="77.009"/>
    <n v="154.053"/>
    <n v="154.369"/>
    <n v="141.97800000000001"/>
    <n v="143.41200000000001"/>
    <n v="109.90600000000001"/>
    <n v="110.887"/>
    <n v="61.42"/>
    <n v="61.582999999999998"/>
    <n v="38.58"/>
    <n v="38.417000000000002"/>
    <n v="12.042999999999999"/>
    <n v="11.863"/>
    <n v="38.417000000000002"/>
    <n v="38.58"/>
    <n v="14.705"/>
    <n v="14"/>
    <n v="12"/>
    <n v="12"/>
    <n v="12"/>
  </r>
  <r>
    <n v="607"/>
    <m/>
    <m/>
    <m/>
    <m/>
    <s v="G24.3"/>
    <s v="Spasmodic torticollis"/>
    <x v="1"/>
    <s v="F"/>
    <m/>
    <m/>
    <n v="54.920999999999999"/>
    <n v="56.36"/>
    <n v="111.11499999999999"/>
    <n v="111.69"/>
    <n v="90.287999999999997"/>
    <n v="90.028000000000006"/>
    <n v="96.867999999999995"/>
    <n v="96.257999999999996"/>
    <n v="63.960999999999999"/>
    <n v="64.661000000000001"/>
    <n v="36.039000000000001"/>
    <n v="35.338999999999999"/>
    <n v="14.776"/>
    <n v="14.35"/>
    <n v="35.338999999999999"/>
    <n v="36.039000000000001"/>
    <n v="8.9"/>
    <n v="10"/>
    <n v="10"/>
    <n v="10"/>
    <n v="10"/>
  </r>
  <r>
    <n v="608"/>
    <m/>
    <m/>
    <m/>
    <m/>
    <s v="NA"/>
    <s v="NA"/>
    <x v="35"/>
    <s v="NA"/>
    <m/>
    <m/>
    <n v="63.552"/>
    <n v="64.486999999999995"/>
    <n v="128.435"/>
    <n v="128.59899999999999"/>
    <n v="122.169"/>
    <n v="122.24299999999999"/>
    <n v="114.82599999999999"/>
    <n v="114.461"/>
    <n v="60.658000000000001"/>
    <n v="61.151000000000003"/>
    <n v="39.341999999999999"/>
    <n v="38.848999999999997"/>
    <n v="10.557"/>
    <n v="11.602"/>
    <n v="38.848999999999997"/>
    <n v="39.341999999999999"/>
    <n v="14.393000000000001"/>
    <n v="20"/>
    <n v="20"/>
    <n v="20"/>
    <n v="20"/>
  </r>
  <r>
    <n v="609"/>
    <m/>
    <m/>
    <m/>
    <m/>
    <s v="G25.0"/>
    <s v="Essential tremor"/>
    <x v="233"/>
    <s v="M"/>
    <m/>
    <m/>
    <n v="56.78"/>
    <n v="55.064"/>
    <n v="112.312"/>
    <n v="111.685"/>
    <n v="100.511"/>
    <n v="100.533"/>
    <n v="107.628"/>
    <n v="108.30500000000001"/>
    <n v="61.66"/>
    <n v="63.689"/>
    <n v="38.340000000000003"/>
    <n v="36.311"/>
    <n v="13.711"/>
    <n v="11.95"/>
    <n v="36.311"/>
    <n v="38.340000000000003"/>
    <n v="12.851000000000001"/>
    <n v="20"/>
    <n v="19"/>
    <n v="19"/>
    <n v="19"/>
  </r>
  <r>
    <n v="610"/>
    <m/>
    <m/>
    <m/>
    <m/>
    <s v="G20"/>
    <s v="Parkinson's disease"/>
    <x v="234"/>
    <s v="F"/>
    <m/>
    <m/>
    <n v="50.271999999999998"/>
    <n v="54.533000000000001"/>
    <n v="104.89100000000001"/>
    <n v="105.518"/>
    <n v="100.239"/>
    <n v="101.012"/>
    <n v="114.846"/>
    <n v="114.547"/>
    <n v="63.668999999999997"/>
    <n v="62.481000000000002"/>
    <n v="36.331000000000003"/>
    <n v="37.518999999999998"/>
    <n v="15.026999999999999"/>
    <n v="11.218999999999999"/>
    <n v="37.518999999999998"/>
    <n v="36.331000000000003"/>
    <n v="13.558"/>
    <n v="14"/>
    <n v="17"/>
    <n v="14"/>
    <n v="14"/>
  </r>
  <r>
    <n v="611"/>
    <m/>
    <m/>
    <m/>
    <m/>
    <s v="G24.3"/>
    <s v="Spasmodic torticollis"/>
    <x v="63"/>
    <s v="F"/>
    <m/>
    <m/>
    <n v="45.491"/>
    <n v="42.61"/>
    <n v="87.944999999999993"/>
    <n v="88.724999999999994"/>
    <n v="73.948999999999998"/>
    <n v="73.975999999999999"/>
    <n v="100.89100000000001"/>
    <n v="100.78700000000001"/>
    <n v="66.691000000000003"/>
    <n v="64.869"/>
    <n v="33.308999999999997"/>
    <n v="35.131"/>
    <n v="15.295999999999999"/>
    <n v="16.068999999999999"/>
    <n v="35.131"/>
    <n v="33.308999999999997"/>
    <n v="19.334"/>
    <n v="18"/>
    <n v="19"/>
    <n v="18"/>
    <n v="18"/>
  </r>
  <r>
    <n v="612"/>
    <m/>
    <m/>
    <m/>
    <m/>
    <s v="G20"/>
    <s v="Parkinson's disease"/>
    <x v="235"/>
    <s v="M"/>
    <m/>
    <m/>
    <n v="59.36"/>
    <n v="60.451999999999998"/>
    <n v="119.678"/>
    <n v="119.661"/>
    <n v="128.83699999999999"/>
    <n v="128.38800000000001"/>
    <n v="129.35900000000001"/>
    <n v="128.96100000000001"/>
    <n v="60.951999999999998"/>
    <n v="64.290999999999997"/>
    <n v="39.048000000000002"/>
    <n v="35.709000000000003"/>
    <n v="13.317"/>
    <n v="12.372999999999999"/>
    <n v="35.709000000000003"/>
    <n v="39.048000000000002"/>
    <n v="13.127000000000001"/>
    <n v="18"/>
    <n v="19"/>
    <n v="18"/>
    <n v="18"/>
  </r>
  <r>
    <n v="613"/>
    <m/>
    <m/>
    <m/>
    <m/>
    <s v="G24.1"/>
    <s v="Genetic torsion dystonia"/>
    <x v="236"/>
    <s v="M"/>
    <m/>
    <m/>
    <n v="62.698"/>
    <n v="64.572999999999993"/>
    <n v="127.239"/>
    <n v="127.123"/>
    <n v="97.253"/>
    <n v="96.944000000000003"/>
    <n v="92.022000000000006"/>
    <n v="91.274000000000001"/>
    <n v="59.555"/>
    <n v="63.570999999999998"/>
    <n v="40.445"/>
    <n v="36.429000000000002"/>
    <n v="8.68"/>
    <n v="14.215"/>
    <n v="36.429000000000002"/>
    <n v="40.445"/>
    <n v="15.82"/>
    <n v="10"/>
    <n v="12"/>
    <n v="10"/>
    <n v="10"/>
  </r>
  <r>
    <n v="615"/>
    <m/>
    <m/>
    <m/>
    <m/>
    <s v="R25.1"/>
    <s v="Tremor, unspecified"/>
    <x v="80"/>
    <s v="M"/>
    <m/>
    <m/>
    <n v="43.56"/>
    <n v="52.125"/>
    <n v="95.795000000000002"/>
    <n v="95.963999999999999"/>
    <n v="66.093000000000004"/>
    <n v="66.668999999999997"/>
    <n v="83.143000000000001"/>
    <n v="83.335999999999999"/>
    <n v="74.265000000000001"/>
    <n v="58.468000000000004"/>
    <n v="25.734999999999999"/>
    <n v="41.531999999999996"/>
    <n v="18.393000000000001"/>
    <n v="14.525"/>
    <n v="41.531999999999996"/>
    <n v="25.734999999999999"/>
    <n v="16.524000000000001"/>
    <n v="18"/>
    <n v="17"/>
    <n v="17"/>
    <n v="17"/>
  </r>
  <r>
    <n v="616"/>
    <m/>
    <m/>
    <m/>
    <m/>
    <s v="G25.0"/>
    <s v="Essential tremor"/>
    <x v="154"/>
    <s v="M"/>
    <m/>
    <m/>
    <n v="39.798999999999999"/>
    <n v="43.234999999999999"/>
    <n v="83.355999999999995"/>
    <n v="82.951999999999998"/>
    <n v="75.707999999999998"/>
    <n v="75.558999999999997"/>
    <n v="109.506"/>
    <n v="109.449"/>
    <n v="63.357999999999997"/>
    <n v="70.638000000000005"/>
    <n v="36.642000000000003"/>
    <n v="29.361999999999998"/>
    <n v="20.32"/>
    <n v="13.801"/>
    <n v="29.361999999999998"/>
    <n v="36.642000000000003"/>
    <n v="22.876000000000001"/>
    <n v="20"/>
    <n v="20"/>
    <n v="20"/>
    <n v="20"/>
  </r>
  <r>
    <n v="617"/>
    <m/>
    <m/>
    <m/>
    <m/>
    <s v="G24.1"/>
    <s v="Genetic torsion dystonia"/>
    <x v="115"/>
    <s v="M"/>
    <m/>
    <m/>
    <n v="58.210999999999999"/>
    <n v="57.482999999999997"/>
    <n v="115.99"/>
    <n v="115.14400000000001"/>
    <n v="106.72499999999999"/>
    <n v="106.21"/>
    <n v="110.373"/>
    <n v="110.461"/>
    <n v="62.777999999999999"/>
    <n v="61.029000000000003"/>
    <n v="37.222000000000001"/>
    <n v="38.970999999999997"/>
    <n v="11.956"/>
    <n v="11.894"/>
    <n v="38.970999999999997"/>
    <n v="37.222000000000001"/>
    <n v="12.295999999999999"/>
    <n v="26"/>
    <n v="23"/>
    <n v="23"/>
    <n v="23"/>
  </r>
  <r>
    <n v="618"/>
    <m/>
    <m/>
    <m/>
    <m/>
    <s v="R25.1"/>
    <s v="Tremor, unspecified"/>
    <x v="237"/>
    <s v="F"/>
    <m/>
    <m/>
    <n v="57.683"/>
    <n v="60.356000000000002"/>
    <n v="118.07899999999999"/>
    <n v="117.974"/>
    <n v="119.491"/>
    <n v="119.636"/>
    <n v="121.786"/>
    <n v="121.664"/>
    <n v="61.069000000000003"/>
    <n v="62.668999999999997"/>
    <n v="38.930999999999997"/>
    <n v="37.331000000000003"/>
    <n v="12.303000000000001"/>
    <n v="11.372"/>
    <n v="37.331000000000003"/>
    <n v="38.930999999999997"/>
    <n v="10.842000000000001"/>
    <n v="18"/>
    <n v="15"/>
    <n v="15"/>
    <n v="15"/>
  </r>
  <r>
    <n v="619"/>
    <m/>
    <m/>
    <m/>
    <m/>
    <s v="G20"/>
    <s v="Parkinson's disease"/>
    <x v="48"/>
    <s v="M"/>
    <m/>
    <m/>
    <n v="48.97"/>
    <n v="50.459000000000003"/>
    <n v="99.31"/>
    <n v="99.438000000000002"/>
    <n v="94.885000000000005"/>
    <n v="95.155000000000001"/>
    <n v="114.452"/>
    <n v="114.303"/>
    <n v="60.609000000000002"/>
    <n v="63.1"/>
    <n v="39.390999999999998"/>
    <n v="36.9"/>
    <n v="12.061999999999999"/>
    <n v="11.744999999999999"/>
    <n v="36.9"/>
    <n v="39.390999999999998"/>
    <n v="15.525"/>
    <n v="20"/>
    <n v="20"/>
    <n v="20"/>
    <n v="20"/>
  </r>
  <r>
    <n v="620"/>
    <m/>
    <m/>
    <m/>
    <m/>
    <s v="G40.409"/>
    <s v="Other generalized epilepsy and epileptic syndromes, not intractable, without status epilepticus"/>
    <x v="73"/>
    <s v="F"/>
    <m/>
    <m/>
    <n v="38.908999999999999"/>
    <n v="27.562999999999999"/>
    <n v="70.945999999999998"/>
    <n v="67.668999999999997"/>
    <n v="37.99"/>
    <n v="37.728999999999999"/>
    <n v="61.110999999999997"/>
    <n v="62.195"/>
    <n v="72.956000000000003"/>
    <n v="77.334000000000003"/>
    <n v="27.044"/>
    <n v="22.666"/>
    <n v="20.754999999999999"/>
    <n v="30.074999999999999"/>
    <n v="22.666"/>
    <n v="27.044"/>
    <n v="23.545000000000002"/>
    <n v="10"/>
    <n v="12"/>
    <n v="10"/>
    <n v="10"/>
  </r>
  <r>
    <n v="621"/>
    <m/>
    <m/>
    <m/>
    <m/>
    <s v="G20"/>
    <s v="Parkinson's disease"/>
    <x v="122"/>
    <s v="M"/>
    <m/>
    <m/>
    <n v="66.929000000000002"/>
    <n v="61.655999999999999"/>
    <n v="128.50299999999999"/>
    <n v="129.541"/>
    <n v="97.165999999999997"/>
    <n v="96.965000000000003"/>
    <n v="90.474999999999994"/>
    <n v="90.185000000000002"/>
    <n v="61.847000000000001"/>
    <n v="64.016999999999996"/>
    <n v="38.152999999999999"/>
    <n v="35.982999999999997"/>
    <n v="11.301"/>
    <n v="14.971"/>
    <n v="35.982999999999997"/>
    <n v="38.152999999999999"/>
    <n v="12.773"/>
    <n v="16"/>
    <n v="15"/>
    <n v="15"/>
    <n v="15"/>
  </r>
  <r>
    <n v="622"/>
    <m/>
    <m/>
    <m/>
    <m/>
    <s v="R25.8"/>
    <s v="Other abnormal involuntary movements"/>
    <x v="238"/>
    <s v="F"/>
    <m/>
    <m/>
    <n v="67.591999999999999"/>
    <n v="72.906000000000006"/>
    <n v="142.02500000000001"/>
    <n v="140.351"/>
    <n v="144.19900000000001"/>
    <n v="142.589"/>
    <n v="123.312"/>
    <n v="123.369"/>
    <n v="62.984000000000002"/>
    <n v="63.551000000000002"/>
    <n v="37.015999999999998"/>
    <n v="36.448999999999998"/>
    <n v="14.263999999999999"/>
    <n v="12.292"/>
    <n v="36.448999999999998"/>
    <n v="37.015999999999998"/>
    <n v="14.04"/>
    <n v="18"/>
    <n v="17"/>
    <n v="17"/>
    <n v="17"/>
  </r>
  <r>
    <n v="623"/>
    <m/>
    <m/>
    <m/>
    <m/>
    <s v="G20"/>
    <s v="Parkinson's disease"/>
    <x v="239"/>
    <s v="M"/>
    <m/>
    <m/>
    <n v="67.167000000000002"/>
    <n v="70.334000000000003"/>
    <n v="137.94999999999999"/>
    <n v="137.18100000000001"/>
    <n v="123.429"/>
    <n v="124.318"/>
    <n v="107.441"/>
    <n v="108.29900000000001"/>
    <n v="62.606999999999999"/>
    <n v="61.603999999999999"/>
    <n v="37.393000000000001"/>
    <n v="38.396000000000001"/>
    <n v="11.743"/>
    <n v="12.239000000000001"/>
    <n v="38.396000000000001"/>
    <n v="37.393000000000001"/>
    <n v="10.250999999999999"/>
    <n v="16"/>
    <n v="14"/>
    <n v="14"/>
    <n v="14"/>
  </r>
  <r>
    <n v="624"/>
    <m/>
    <m/>
    <m/>
    <m/>
    <s v="G20"/>
    <s v="Parkinson's disease"/>
    <x v="170"/>
    <s v="M"/>
    <m/>
    <m/>
    <n v="50.774000000000001"/>
    <n v="50.207999999999998"/>
    <n v="101.361"/>
    <n v="100.84399999999999"/>
    <n v="101.28700000000001"/>
    <n v="99.058000000000007"/>
    <n v="120.61199999999999"/>
    <n v="118.726"/>
    <n v="64.120999999999995"/>
    <n v="64.983000000000004"/>
    <n v="35.878999999999998"/>
    <n v="35.017000000000003"/>
    <n v="14.651999999999999"/>
    <n v="14.943"/>
    <n v="35.017000000000003"/>
    <n v="35.878999999999998"/>
    <n v="7.6970000000000001"/>
    <n v="19"/>
    <n v="21"/>
    <n v="19"/>
    <n v="19"/>
  </r>
  <r>
    <n v="625"/>
    <m/>
    <m/>
    <m/>
    <m/>
    <s v="G20"/>
    <s v="Parkinson's disease"/>
    <x v="240"/>
    <s v="F"/>
    <m/>
    <m/>
    <n v="53.74"/>
    <n v="55.554000000000002"/>
    <n v="109.146"/>
    <n v="109.422"/>
    <n v="97.063000000000002"/>
    <n v="97.597999999999999"/>
    <n v="106.71599999999999"/>
    <n v="106.886"/>
    <n v="63.914000000000001"/>
    <n v="64.165999999999997"/>
    <n v="36.085999999999999"/>
    <n v="35.834000000000003"/>
    <n v="13.831"/>
    <n v="14.754"/>
    <n v="35.834000000000003"/>
    <n v="36.085999999999999"/>
    <n v="14.477"/>
    <n v="18"/>
    <n v="20"/>
    <n v="18"/>
    <n v="18"/>
  </r>
  <r>
    <n v="626"/>
    <m/>
    <m/>
    <m/>
    <m/>
    <s v="G20"/>
    <s v="Parkinson's disease"/>
    <x v="241"/>
    <s v="F"/>
    <m/>
    <m/>
    <s v="NA"/>
    <s v="NA"/>
    <s v="NA"/>
    <s v="NA"/>
    <s v="NA"/>
    <s v="NA"/>
    <s v="NA"/>
    <s v="NA"/>
    <s v="NA"/>
    <s v="NA"/>
    <s v="NA"/>
    <s v="NA"/>
    <s v="NA"/>
    <s v="NA"/>
    <s v="NA"/>
    <s v="NA"/>
    <s v="NA"/>
    <s v="NA"/>
    <s v="NA"/>
    <s v="NA"/>
    <s v="NA"/>
  </r>
  <r>
    <n v="627"/>
    <m/>
    <m/>
    <m/>
    <m/>
    <s v="R26.81"/>
    <s v="Unsteadiness on feet"/>
    <x v="242"/>
    <s v="M"/>
    <m/>
    <m/>
    <n v="42.945"/>
    <n v="41.838000000000001"/>
    <n v="84.712000000000003"/>
    <n v="84.572999999999993"/>
    <n v="82.203000000000003"/>
    <n v="82.01"/>
    <n v="116.349"/>
    <n v="115.95"/>
    <n v="65.323999999999998"/>
    <n v="61.997"/>
    <n v="34.676000000000002"/>
    <n v="38.003"/>
    <n v="13.919"/>
    <n v="13.170999999999999"/>
    <n v="38.003"/>
    <n v="34.676000000000002"/>
    <n v="16.283999999999999"/>
    <n v="22"/>
    <n v="24"/>
    <n v="22"/>
    <n v="22"/>
  </r>
  <r>
    <n v="628"/>
    <m/>
    <m/>
    <m/>
    <m/>
    <s v="G20"/>
    <s v="Parkinson's disease"/>
    <x v="243"/>
    <s v="M"/>
    <m/>
    <m/>
    <n v="32.764000000000003"/>
    <n v="41.862000000000002"/>
    <n v="73.587999999999994"/>
    <n v="74.822999999999993"/>
    <n v="70.067999999999998"/>
    <n v="70.308000000000007"/>
    <n v="114.52"/>
    <n v="113.899"/>
    <n v="64.953999999999994"/>
    <n v="62.813000000000002"/>
    <n v="35.045999999999999"/>
    <n v="37.186999999999998"/>
    <n v="14.502000000000001"/>
    <n v="13.531000000000001"/>
    <n v="37.186999999999998"/>
    <n v="35.045999999999999"/>
    <n v="12.394"/>
    <n v="24"/>
    <n v="25"/>
    <n v="24"/>
    <n v="24"/>
  </r>
  <r>
    <n v="629"/>
    <m/>
    <m/>
    <m/>
    <m/>
    <s v="G20"/>
    <s v="Parkinson's disease"/>
    <x v="65"/>
    <s v="M"/>
    <m/>
    <m/>
    <n v="46.274000000000001"/>
    <n v="52.512999999999998"/>
    <n v="98.968000000000004"/>
    <n v="98.188999999999993"/>
    <n v="99.763999999999996"/>
    <n v="99.051000000000002"/>
    <n v="120.749"/>
    <n v="121.142"/>
    <n v="63.637"/>
    <n v="64.313999999999993"/>
    <n v="36.363"/>
    <n v="35.686"/>
    <n v="14.81"/>
    <n v="13.121"/>
    <n v="35.686"/>
    <n v="36.363"/>
    <n v="7.68"/>
    <n v="18"/>
    <n v="18"/>
    <n v="18"/>
    <n v="18"/>
  </r>
  <r>
    <n v="630"/>
    <m/>
    <m/>
    <m/>
    <m/>
    <s v="G20"/>
    <s v="Parkinson's disease"/>
    <x v="156"/>
    <s v="F"/>
    <m/>
    <m/>
    <n v="56.521000000000001"/>
    <n v="54.515999999999998"/>
    <n v="110.149"/>
    <n v="115.786"/>
    <n v="88.805999999999997"/>
    <n v="89.893000000000001"/>
    <n v="96.634"/>
    <n v="95.813999999999993"/>
    <n v="61.154000000000003"/>
    <n v="60.203000000000003"/>
    <n v="38.845999999999997"/>
    <n v="39.796999999999997"/>
    <n v="12.638"/>
    <n v="9.5359999999999996"/>
    <n v="39.796999999999997"/>
    <n v="38.845999999999997"/>
    <n v="8.7279999999999998"/>
    <n v="22"/>
    <n v="18"/>
    <n v="18"/>
    <n v="18"/>
  </r>
  <r>
    <n v="631"/>
    <m/>
    <m/>
    <m/>
    <m/>
    <s v="NA"/>
    <s v="NA"/>
    <x v="35"/>
    <s v="NA"/>
    <m/>
    <m/>
    <n v="64.552000000000007"/>
    <n v="59.091000000000001"/>
    <n v="123.544"/>
    <n v="124.423"/>
    <n v="100.64400000000001"/>
    <n v="101.407"/>
    <n v="98.492999999999995"/>
    <n v="98.048000000000002"/>
    <n v="60.210999999999999"/>
    <n v="63.043999999999997"/>
    <n v="39.789000000000001"/>
    <n v="36.956000000000003"/>
    <n v="9.9459999999999997"/>
    <n v="13.781000000000001"/>
    <n v="36.956000000000003"/>
    <n v="39.789000000000001"/>
    <n v="15.092000000000001"/>
    <n v="19"/>
    <n v="15"/>
    <n v="15"/>
    <n v="15"/>
  </r>
  <r>
    <n v="632"/>
    <m/>
    <m/>
    <m/>
    <m/>
    <s v="G20"/>
    <s v="Parkinson's disease"/>
    <x v="244"/>
    <s v="M"/>
    <m/>
    <m/>
    <n v="50.210999999999999"/>
    <n v="47.113"/>
    <n v="98.088999999999999"/>
    <n v="97.117999999999995"/>
    <n v="111.08499999999999"/>
    <n v="110.69199999999999"/>
    <n v="136.404"/>
    <n v="137.96100000000001"/>
    <n v="59.088000000000001"/>
    <n v="59.728999999999999"/>
    <n v="40.911999999999999"/>
    <n v="40.271000000000001"/>
    <n v="10.417"/>
    <n v="8.7629999999999999"/>
    <n v="40.271000000000001"/>
    <n v="40.911999999999999"/>
    <n v="9.6039999999999992"/>
    <n v="25"/>
    <n v="27"/>
    <n v="25"/>
    <n v="25"/>
  </r>
  <r>
    <n v="633"/>
    <m/>
    <m/>
    <m/>
    <m/>
    <s v="G25.0"/>
    <s v="Essential tremor"/>
    <x v="54"/>
    <s v="M"/>
    <m/>
    <m/>
    <n v="66.168000000000006"/>
    <n v="67.186000000000007"/>
    <n v="133.459"/>
    <n v="135.018"/>
    <n v="137.24700000000001"/>
    <n v="138.09399999999999"/>
    <n v="123.191"/>
    <n v="123.026"/>
    <n v="61.970999999999997"/>
    <n v="61"/>
    <n v="38.029000000000003"/>
    <n v="39"/>
    <n v="11.573"/>
    <n v="11.808999999999999"/>
    <n v="39"/>
    <n v="38.029000000000003"/>
    <n v="11.827999999999999"/>
    <n v="13"/>
    <n v="12"/>
    <n v="12"/>
    <n v="12"/>
  </r>
  <r>
    <n v="634"/>
    <m/>
    <m/>
    <m/>
    <m/>
    <s v="NA"/>
    <s v="NA"/>
    <x v="35"/>
    <s v="NA"/>
    <m/>
    <m/>
    <s v="NA"/>
    <s v="NA"/>
    <s v="NA"/>
    <s v="NA"/>
    <s v="NA"/>
    <s v="NA"/>
    <s v="NA"/>
    <s v="NA"/>
    <s v="NA"/>
    <s v="NA"/>
    <s v="NA"/>
    <s v="NA"/>
    <s v="NA"/>
    <s v="NA"/>
    <s v="NA"/>
    <s v="NA"/>
    <s v="NA"/>
    <s v="NA"/>
    <s v="NA"/>
    <s v="NA"/>
    <s v="NA"/>
  </r>
  <r>
    <n v="635"/>
    <m/>
    <m/>
    <m/>
    <m/>
    <s v="G25.0"/>
    <s v="Essential tremor"/>
    <x v="153"/>
    <s v="M"/>
    <m/>
    <m/>
    <n v="61.203000000000003"/>
    <n v="59.078000000000003"/>
    <n v="120.402"/>
    <n v="121.25700000000001"/>
    <n v="111.667"/>
    <n v="112.33"/>
    <n v="110.99299999999999"/>
    <n v="111.377"/>
    <n v="64.835999999999999"/>
    <n v="62.7"/>
    <n v="35.164000000000001"/>
    <n v="37.299999999999997"/>
    <n v="13.24"/>
    <n v="14.978999999999999"/>
    <n v="37.299999999999997"/>
    <n v="35.164000000000001"/>
    <n v="11.79"/>
    <n v="20"/>
    <n v="16"/>
    <n v="16"/>
    <n v="16"/>
  </r>
  <r>
    <n v="636"/>
    <m/>
    <m/>
    <m/>
    <m/>
    <s v="G25.0"/>
    <s v="Essential tremor"/>
    <x v="132"/>
    <s v="F"/>
    <m/>
    <m/>
    <n v="43.664000000000001"/>
    <n v="43.771999999999998"/>
    <n v="87.515000000000001"/>
    <n v="87.665999999999997"/>
    <n v="89.081999999999994"/>
    <n v="89.191000000000003"/>
    <n v="122.303"/>
    <n v="122.3"/>
    <n v="65.506"/>
    <n v="63.720999999999997"/>
    <n v="34.494"/>
    <n v="36.279000000000003"/>
    <n v="15.397"/>
    <n v="14.082000000000001"/>
    <n v="36.279000000000003"/>
    <n v="34.494"/>
    <n v="10.35"/>
    <n v="19"/>
    <n v="18"/>
    <n v="18"/>
    <n v="18"/>
  </r>
  <r>
    <n v="637"/>
    <m/>
    <m/>
    <m/>
    <m/>
    <s v="G20"/>
    <s v="Parkinson's disease"/>
    <x v="108"/>
    <s v="M"/>
    <m/>
    <m/>
    <s v="NA"/>
    <s v="NA"/>
    <s v="NA"/>
    <s v="NA"/>
    <s v="NA"/>
    <s v="NA"/>
    <s v="NA"/>
    <s v="NA"/>
    <s v="NA"/>
    <s v="NA"/>
    <s v="NA"/>
    <s v="NA"/>
    <s v="NA"/>
    <s v="NA"/>
    <s v="NA"/>
    <s v="NA"/>
    <s v="NA"/>
    <s v="NA"/>
    <s v="NA"/>
    <s v="NA"/>
    <s v="NA"/>
  </r>
  <r>
    <n v="638"/>
    <m/>
    <m/>
    <m/>
    <m/>
    <s v="NA"/>
    <s v="NA"/>
    <x v="35"/>
    <s v="NA"/>
    <m/>
    <m/>
    <s v="NA"/>
    <s v="NA"/>
    <s v="NA"/>
    <s v="NA"/>
    <s v="NA"/>
    <s v="NA"/>
    <s v="NA"/>
    <s v="NA"/>
    <s v="NA"/>
    <s v="NA"/>
    <s v="NA"/>
    <s v="NA"/>
    <s v="NA"/>
    <s v="NA"/>
    <s v="NA"/>
    <s v="NA"/>
    <s v="NA"/>
    <s v="NA"/>
    <s v="NA"/>
    <s v="NA"/>
    <s v="NA"/>
  </r>
  <r>
    <n v="639"/>
    <m/>
    <m/>
    <m/>
    <m/>
    <s v="G20"/>
    <s v="Parkinson's disease"/>
    <x v="27"/>
    <s v="M"/>
    <m/>
    <m/>
    <s v="NA"/>
    <s v="NA"/>
    <s v="NA"/>
    <s v="NA"/>
    <s v="NA"/>
    <s v="NA"/>
    <s v="NA"/>
    <s v="NA"/>
    <s v="NA"/>
    <s v="NA"/>
    <s v="NA"/>
    <s v="NA"/>
    <s v="NA"/>
    <s v="NA"/>
    <s v="NA"/>
    <s v="NA"/>
    <s v="NA"/>
    <s v="NA"/>
    <s v="NA"/>
    <s v="NA"/>
    <s v="NA"/>
  </r>
  <r>
    <n v="640"/>
    <m/>
    <m/>
    <m/>
    <m/>
    <s v="G20"/>
    <s v="Parkinson's disease"/>
    <x v="123"/>
    <s v="M"/>
    <m/>
    <m/>
    <n v="45.883000000000003"/>
    <n v="49.59"/>
    <n v="95.126000000000005"/>
    <n v="95.522000000000006"/>
    <n v="78.411000000000001"/>
    <n v="78.289000000000001"/>
    <n v="98.896000000000001"/>
    <n v="98.784000000000006"/>
    <n v="62.898000000000003"/>
    <n v="65.805000000000007"/>
    <n v="37.101999999999997"/>
    <n v="34.195"/>
    <n v="13.673"/>
    <n v="15.084"/>
    <n v="34.195"/>
    <n v="37.101999999999997"/>
    <n v="12.92"/>
    <n v="20"/>
    <n v="19"/>
    <n v="19"/>
    <n v="19"/>
  </r>
  <r>
    <n v="641"/>
    <m/>
    <m/>
    <m/>
    <m/>
    <s v="G20"/>
    <s v="Parkinson's disease"/>
    <x v="228"/>
    <s v="M"/>
    <m/>
    <m/>
    <n v="1.3680000000000001"/>
    <n v="16.274000000000001"/>
    <n v="18.149000000000001"/>
    <n v="17.308"/>
    <n v="10.45"/>
    <n v="9.3350000000000009"/>
    <n v="72.257000000000005"/>
    <n v="68.971000000000004"/>
    <n v="78.992000000000004"/>
    <n v="75.852999999999994"/>
    <n v="21.007999999999999"/>
    <n v="24.146999999999998"/>
    <n v="24.666"/>
    <n v="28.774000000000001"/>
    <n v="24.146999999999998"/>
    <n v="21.007999999999999"/>
    <n v="11.393000000000001"/>
    <n v="10"/>
    <n v="8"/>
    <n v="8"/>
    <n v="8"/>
  </r>
  <r>
    <n v="642"/>
    <m/>
    <m/>
    <m/>
    <m/>
    <s v="G25.0"/>
    <s v="Essential tremor"/>
    <x v="245"/>
    <s v="F"/>
    <m/>
    <m/>
    <n v="21.305"/>
    <n v="20.38"/>
    <n v="42.168999999999997"/>
    <n v="41.183999999999997"/>
    <n v="33.478000000000002"/>
    <n v="33.156999999999996"/>
    <n v="97.716999999999999"/>
    <n v="97.570999999999998"/>
    <n v="71.823999999999998"/>
    <n v="68.984999999999999"/>
    <n v="28.175999999999998"/>
    <n v="31.015000000000001"/>
    <n v="20.850999999999999"/>
    <n v="20.582000000000001"/>
    <n v="31.015000000000001"/>
    <n v="28.175999999999998"/>
    <n v="19.841999999999999"/>
    <n v="22"/>
    <n v="21"/>
    <n v="21"/>
    <n v="21"/>
  </r>
  <r>
    <n v="643"/>
    <m/>
    <m/>
    <m/>
    <m/>
    <s v="G25.0"/>
    <s v="Essential tremor"/>
    <x v="246"/>
    <s v="F"/>
    <m/>
    <m/>
    <s v="NA"/>
    <s v="NA"/>
    <s v="NA"/>
    <s v="NA"/>
    <s v="NA"/>
    <s v="NA"/>
    <s v="NA"/>
    <s v="NA"/>
    <s v="NA"/>
    <s v="NA"/>
    <s v="NA"/>
    <s v="NA"/>
    <s v="NA"/>
    <s v="NA"/>
    <s v="NA"/>
    <s v="NA"/>
    <s v="NA"/>
    <s v="NA"/>
    <s v="NA"/>
    <s v="NA"/>
    <s v="NA"/>
  </r>
  <r>
    <n v="644"/>
    <m/>
    <m/>
    <m/>
    <m/>
    <s v="G20"/>
    <s v="Parkinson's disease"/>
    <x v="247"/>
    <s v="F"/>
    <m/>
    <m/>
    <n v="46.496000000000002"/>
    <n v="36.956000000000003"/>
    <n v="83.575999999999993"/>
    <n v="83.233999999999995"/>
    <n v="65.3"/>
    <n v="64.491"/>
    <n v="93.631"/>
    <n v="93.242000000000004"/>
    <n v="64.858000000000004"/>
    <n v="64.322999999999993"/>
    <n v="35.142000000000003"/>
    <n v="35.677"/>
    <n v="13.058999999999999"/>
    <n v="16.792999999999999"/>
    <n v="35.677"/>
    <n v="35.142000000000003"/>
    <n v="11.887"/>
    <n v="14"/>
    <n v="14"/>
    <n v="14"/>
    <n v="14"/>
  </r>
  <r>
    <n v="645"/>
    <m/>
    <m/>
    <m/>
    <m/>
    <s v="G25.0"/>
    <s v="Essential tremor"/>
    <x v="178"/>
    <s v="F"/>
    <m/>
    <m/>
    <n v="51.850999999999999"/>
    <n v="54.753999999999998"/>
    <n v="106.483"/>
    <n v="106.60599999999999"/>
    <n v="94.772000000000006"/>
    <n v="94.629000000000005"/>
    <n v="106.34"/>
    <n v="106.452"/>
    <n v="63.564999999999998"/>
    <n v="62.656999999999996"/>
    <n v="36.435000000000002"/>
    <n v="37.343000000000004"/>
    <n v="13.082000000000001"/>
    <n v="13.451000000000001"/>
    <n v="37.343000000000004"/>
    <n v="36.435000000000002"/>
    <n v="9.7349999999999994"/>
    <n v="11"/>
    <n v="15"/>
    <n v="11"/>
    <n v="11"/>
  </r>
  <r>
    <n v="647"/>
    <m/>
    <m/>
    <m/>
    <m/>
    <s v="G25.0"/>
    <s v="Essential tremor"/>
    <x v="248"/>
    <s v="M"/>
    <m/>
    <m/>
    <n v="32.31"/>
    <n v="36.07"/>
    <n v="68.679000000000002"/>
    <n v="68.635000000000005"/>
    <n v="49.890999999999998"/>
    <n v="49.168999999999997"/>
    <n v="85.501999999999995"/>
    <n v="84.86"/>
    <n v="68.445999999999998"/>
    <n v="68.575000000000003"/>
    <n v="31.553999999999998"/>
    <n v="31.425000000000001"/>
    <n v="19.158999999999999"/>
    <n v="17.745999999999999"/>
    <n v="31.425000000000001"/>
    <n v="31.553999999999998"/>
    <n v="15.007"/>
    <n v="14"/>
    <n v="14"/>
    <n v="14"/>
    <n v="14"/>
  </r>
  <r>
    <n v="648"/>
    <m/>
    <m/>
    <m/>
    <m/>
    <s v="NA"/>
    <s v="NA"/>
    <x v="35"/>
    <s v="NA"/>
    <m/>
    <m/>
    <n v="56.679000000000002"/>
    <n v="54.454999999999998"/>
    <n v="111.255"/>
    <n v="111.345"/>
    <n v="101.322"/>
    <n v="102.03100000000001"/>
    <n v="109.03100000000001"/>
    <n v="109.622"/>
    <n v="62.253"/>
    <n v="61.35"/>
    <n v="37.747"/>
    <n v="38.65"/>
    <n v="11.849"/>
    <n v="12.068"/>
    <n v="38.65"/>
    <n v="37.747"/>
    <n v="12.202999999999999"/>
    <n v="15"/>
    <n v="15"/>
    <n v="15"/>
    <n v="15"/>
  </r>
  <r>
    <n v="649"/>
    <m/>
    <m/>
    <m/>
    <m/>
    <s v="G20"/>
    <s v="Parkinson's disease"/>
    <x v="249"/>
    <s v="M"/>
    <m/>
    <m/>
    <n v="32.624000000000002"/>
    <n v="36.963000000000001"/>
    <n v="69.382000000000005"/>
    <n v="69.988"/>
    <n v="74.986000000000004"/>
    <n v="75.834000000000003"/>
    <n v="129.006"/>
    <n v="129.511"/>
    <n v="63.947000000000003"/>
    <n v="63.65"/>
    <n v="36.052999999999997"/>
    <n v="36.35"/>
    <n v="11.955"/>
    <n v="15.92"/>
    <n v="36.35"/>
    <n v="36.052999999999997"/>
    <n v="16.149999999999999"/>
    <n v="20"/>
    <n v="20"/>
    <n v="20"/>
    <n v="20"/>
  </r>
  <r>
    <n v="650"/>
    <m/>
    <m/>
    <m/>
    <m/>
    <s v="G25.0"/>
    <s v="Essential tremor"/>
    <x v="250"/>
    <s v="M"/>
    <m/>
    <m/>
    <n v="45.744999999999997"/>
    <n v="47.856000000000002"/>
    <n v="94.278000000000006"/>
    <n v="93.504000000000005"/>
    <n v="83.427999999999997"/>
    <n v="83.537999999999997"/>
    <n v="106.28"/>
    <n v="106.78100000000001"/>
    <n v="62.387"/>
    <n v="63.051000000000002"/>
    <n v="37.613"/>
    <n v="36.948999999999998"/>
    <n v="12.648999999999999"/>
    <n v="13.42"/>
    <n v="36.948999999999998"/>
    <n v="37.613"/>
    <n v="10.163"/>
    <n v="18"/>
    <n v="20"/>
    <n v="18"/>
    <n v="18"/>
  </r>
  <r>
    <n v="651"/>
    <m/>
    <m/>
    <m/>
    <m/>
    <s v="G25.0"/>
    <s v="Essential tremor"/>
    <x v="210"/>
    <s v="M"/>
    <m/>
    <m/>
    <s v="NA"/>
    <s v="NA"/>
    <s v="NA"/>
    <s v="NA"/>
    <s v="NA"/>
    <s v="NA"/>
    <s v="NA"/>
    <s v="NA"/>
    <s v="NA"/>
    <s v="NA"/>
    <s v="NA"/>
    <s v="NA"/>
    <s v="NA"/>
    <s v="NA"/>
    <s v="NA"/>
    <s v="NA"/>
    <s v="NA"/>
    <s v="NA"/>
    <s v="NA"/>
    <s v="NA"/>
    <s v="NA"/>
  </r>
  <r>
    <n v="652"/>
    <m/>
    <m/>
    <m/>
    <m/>
    <s v="R25.1"/>
    <s v="Tremor, unspecified"/>
    <x v="169"/>
    <s v="F"/>
    <m/>
    <m/>
    <n v="54.110999999999997"/>
    <n v="52.631999999999998"/>
    <n v="106.767"/>
    <n v="106.871"/>
    <n v="92.15"/>
    <n v="92.066000000000003"/>
    <n v="103.47799999999999"/>
    <n v="103.304"/>
    <n v="64.534000000000006"/>
    <n v="63.908000000000001"/>
    <n v="35.466000000000001"/>
    <n v="36.091999999999999"/>
    <n v="15.172000000000001"/>
    <n v="13.382"/>
    <n v="36.091999999999999"/>
    <n v="35.466000000000001"/>
    <n v="12.273999999999999"/>
    <n v="15"/>
    <n v="15"/>
    <n v="15"/>
    <n v="15"/>
  </r>
  <r>
    <n v="653"/>
    <m/>
    <m/>
    <m/>
    <m/>
    <s v="G20"/>
    <s v="Parkinson's disease"/>
    <x v="251"/>
    <s v="M"/>
    <m/>
    <m/>
    <n v="60.588000000000001"/>
    <n v="60.454999999999998"/>
    <n v="120.864"/>
    <n v="121.093"/>
    <n v="96.334000000000003"/>
    <n v="96.816000000000003"/>
    <n v="95.981999999999999"/>
    <n v="95.572999999999993"/>
    <n v="66.272000000000006"/>
    <n v="65.448999999999998"/>
    <n v="33.728000000000002"/>
    <n v="34.551000000000002"/>
    <n v="16.561"/>
    <n v="15.241"/>
    <n v="34.551000000000002"/>
    <n v="33.728000000000002"/>
    <n v="9.6929999999999996"/>
    <n v="16"/>
    <n v="13"/>
    <n v="13"/>
    <n v="13"/>
  </r>
  <r>
    <n v="654"/>
    <m/>
    <m/>
    <m/>
    <m/>
    <s v="G20"/>
    <s v="Parkinson's disease"/>
    <x v="50"/>
    <s v="M"/>
    <m/>
    <m/>
    <n v="10.87"/>
    <n v="14.063000000000001"/>
    <n v="25.105"/>
    <n v="25.018000000000001"/>
    <n v="23.169"/>
    <n v="23.248000000000001"/>
    <n v="111.84"/>
    <n v="111.428"/>
    <n v="71.019000000000005"/>
    <n v="72.064999999999998"/>
    <n v="28.981000000000002"/>
    <n v="27.934000000000001"/>
    <n v="25.242000000000001"/>
    <n v="17.946000000000002"/>
    <n v="27.934000000000001"/>
    <n v="28.981000000000002"/>
    <n v="13.09"/>
    <n v="24"/>
    <n v="24"/>
    <n v="24"/>
    <n v="24"/>
  </r>
  <r>
    <n v="655"/>
    <m/>
    <m/>
    <m/>
    <m/>
    <s v="G25.2"/>
    <s v="Other specified forms of tremor"/>
    <x v="252"/>
    <s v="F"/>
    <m/>
    <m/>
    <s v="NA"/>
    <s v="NA"/>
    <s v="NA"/>
    <s v="NA"/>
    <s v="NA"/>
    <s v="NA"/>
    <s v="NA"/>
    <s v="NA"/>
    <s v="NA"/>
    <s v="NA"/>
    <s v="NA"/>
    <s v="NA"/>
    <s v="NA"/>
    <s v="NA"/>
    <s v="NA"/>
    <s v="NA"/>
    <s v="NA"/>
    <s v="NA"/>
    <s v="NA"/>
    <s v="NA"/>
    <s v="NA"/>
  </r>
  <r>
    <n v="656"/>
    <m/>
    <m/>
    <m/>
    <m/>
    <s v="G25.0"/>
    <s v="Essential tremor"/>
    <x v="253"/>
    <s v="M"/>
    <m/>
    <m/>
    <n v="60.171999999999997"/>
    <n v="59.912999999999997"/>
    <n v="120.167"/>
    <n v="120.22"/>
    <n v="105.623"/>
    <n v="105.453"/>
    <n v="105.761"/>
    <n v="105.389"/>
    <n v="62.453000000000003"/>
    <n v="62.783000000000001"/>
    <n v="37.546999999999997"/>
    <n v="37.216999999999999"/>
    <n v="13.164999999999999"/>
    <n v="12.252000000000001"/>
    <n v="37.216999999999999"/>
    <n v="37.546999999999997"/>
    <n v="11.718999999999999"/>
    <n v="20"/>
    <n v="15"/>
    <n v="15"/>
    <n v="15"/>
  </r>
  <r>
    <n v="658"/>
    <m/>
    <m/>
    <m/>
    <m/>
    <s v="R25.1"/>
    <s v="Tremor, unspecified"/>
    <x v="254"/>
    <s v="F"/>
    <m/>
    <m/>
    <n v="28.06"/>
    <n v="34.768999999999998"/>
    <n v="63.241"/>
    <n v="62.55"/>
    <n v="50.076999999999998"/>
    <n v="48.75"/>
    <n v="94.552999999999997"/>
    <n v="92.831000000000003"/>
    <n v="71.138000000000005"/>
    <n v="70.087999999999994"/>
    <n v="28.861999999999998"/>
    <n v="29.911999999999999"/>
    <n v="21.696000000000002"/>
    <n v="19.728999999999999"/>
    <n v="29.911999999999999"/>
    <n v="28.861999999999998"/>
    <n v="22.378"/>
    <n v="15"/>
    <n v="14"/>
    <n v="14"/>
    <n v="14"/>
  </r>
  <r>
    <n v="659"/>
    <m/>
    <m/>
    <m/>
    <m/>
    <s v="G20"/>
    <s v="Parkinson's disease"/>
    <x v="29"/>
    <s v="F"/>
    <m/>
    <m/>
    <n v="49.661999999999999"/>
    <n v="49.539000000000001"/>
    <n v="99.132999999999996"/>
    <n v="99.667000000000002"/>
    <n v="94.677000000000007"/>
    <n v="95.087000000000003"/>
    <n v="113.767"/>
    <n v="114.328"/>
    <n v="62.378"/>
    <n v="63.817"/>
    <n v="37.622"/>
    <n v="36.183"/>
    <n v="12.695"/>
    <n v="13.686999999999999"/>
    <n v="36.183"/>
    <n v="37.622"/>
    <n v="8.2759999999999998"/>
    <n v="12"/>
    <n v="12"/>
    <n v="12"/>
    <n v="12"/>
  </r>
  <r>
    <n v="660"/>
    <m/>
    <m/>
    <m/>
    <m/>
    <s v="G24.9"/>
    <s v="Dystonia, unspecified"/>
    <x v="79"/>
    <s v="M"/>
    <m/>
    <m/>
    <n v="65.573999999999998"/>
    <n v="62.185000000000002"/>
    <n v="128.09200000000001"/>
    <n v="127.82899999999999"/>
    <n v="105.94499999999999"/>
    <n v="105.806"/>
    <n v="98.575999999999993"/>
    <n v="98.480999999999995"/>
    <n v="63.048999999999999"/>
    <n v="64.194000000000003"/>
    <n v="36.951000000000001"/>
    <n v="35.805999999999997"/>
    <n v="12.237"/>
    <n v="15.539"/>
    <n v="35.805999999999997"/>
    <n v="36.951000000000001"/>
    <n v="16.547999999999998"/>
    <n v="8"/>
    <n v="7"/>
    <n v="7"/>
    <n v="7"/>
  </r>
  <r>
    <n v="661"/>
    <m/>
    <m/>
    <m/>
    <m/>
    <s v="G20"/>
    <s v="Parkinson's disease"/>
    <x v="176"/>
    <s v="M"/>
    <m/>
    <m/>
    <n v="39.783999999999999"/>
    <n v="46.058999999999997"/>
    <n v="85.372"/>
    <n v="86.314999999999998"/>
    <n v="85.638000000000005"/>
    <n v="86.182000000000002"/>
    <n v="121.044"/>
    <n v="118.98"/>
    <n v="64.813000000000002"/>
    <n v="65.373000000000005"/>
    <n v="35.186999999999998"/>
    <n v="34.627000000000002"/>
    <n v="15.407"/>
    <n v="15.023999999999999"/>
    <n v="34.627000000000002"/>
    <n v="35.186999999999998"/>
    <n v="15.446"/>
    <n v="14"/>
    <n v="15"/>
    <n v="14"/>
    <n v="14"/>
  </r>
  <r>
    <n v="662"/>
    <m/>
    <m/>
    <m/>
    <m/>
    <s v="G25.0"/>
    <s v="Essential tremor"/>
    <x v="204"/>
    <s v="F"/>
    <m/>
    <m/>
    <n v="29.082999999999998"/>
    <n v="28.998999999999999"/>
    <n v="58.511000000000003"/>
    <n v="57.962000000000003"/>
    <n v="56.387999999999998"/>
    <n v="56.722999999999999"/>
    <n v="116.026"/>
    <n v="116.029"/>
    <n v="68.548000000000002"/>
    <n v="67.135000000000005"/>
    <n v="31.452000000000002"/>
    <n v="32.865000000000002"/>
    <n v="16.655000000000001"/>
    <n v="18.655999999999999"/>
    <n v="32.865000000000002"/>
    <n v="31.452000000000002"/>
    <n v="18.896000000000001"/>
    <n v="17"/>
    <n v="17"/>
    <n v="17"/>
    <n v="17"/>
  </r>
  <r>
    <n v="663"/>
    <m/>
    <m/>
    <m/>
    <m/>
    <s v="NA"/>
    <s v="NA"/>
    <x v="35"/>
    <s v="NA"/>
    <m/>
    <m/>
    <n v="58.301000000000002"/>
    <n v="57.912999999999997"/>
    <n v="115.114"/>
    <n v="116.776"/>
    <n v="98.257000000000005"/>
    <n v="98.463999999999999"/>
    <n v="102.334"/>
    <n v="101.404"/>
    <n v="62.131"/>
    <n v="61.725999999999999"/>
    <n v="37.869"/>
    <n v="38.274000000000001"/>
    <n v="12.51"/>
    <n v="12.484999999999999"/>
    <n v="38.274000000000001"/>
    <n v="37.869"/>
    <n v="9.0079999999999991"/>
    <n v="6"/>
    <n v="9"/>
    <n v="6"/>
    <n v="6"/>
  </r>
  <r>
    <n v="664"/>
    <m/>
    <m/>
    <m/>
    <m/>
    <s v="G20"/>
    <s v="Parkinson's disease"/>
    <x v="74"/>
    <s v="M"/>
    <m/>
    <m/>
    <n v="65.42"/>
    <n v="64.661000000000001"/>
    <n v="130.476"/>
    <n v="130.22200000000001"/>
    <n v="123.65"/>
    <n v="123.944"/>
    <n v="113.044"/>
    <n v="113.809"/>
    <n v="61.110999999999997"/>
    <n v="61.284999999999997"/>
    <n v="38.889000000000003"/>
    <n v="38.715000000000003"/>
    <n v="11.590999999999999"/>
    <n v="10.82"/>
    <n v="38.715000000000003"/>
    <n v="38.889000000000003"/>
    <n v="9.1780000000000008"/>
    <n v="9"/>
    <n v="10"/>
    <n v="9"/>
    <n v="9"/>
  </r>
  <r>
    <n v="665"/>
    <m/>
    <m/>
    <m/>
    <m/>
    <s v="R25.1"/>
    <s v="Tremor, unspecified"/>
    <x v="255"/>
    <s v="F"/>
    <m/>
    <m/>
    <n v="52.000999999999998"/>
    <n v="53.3"/>
    <n v="105.57899999999999"/>
    <n v="105.197"/>
    <n v="95.180999999999997"/>
    <n v="94.947000000000003"/>
    <n v="108.071"/>
    <n v="108.455"/>
    <n v="62.448999999999998"/>
    <n v="63.238"/>
    <n v="37.551000000000002"/>
    <n v="36.762"/>
    <n v="14.08"/>
    <n v="12.920999999999999"/>
    <n v="36.762"/>
    <n v="37.551000000000002"/>
    <n v="10.808"/>
    <n v="12"/>
    <n v="12"/>
    <n v="12"/>
    <n v="12"/>
  </r>
  <r>
    <n v="666"/>
    <m/>
    <m/>
    <m/>
    <m/>
    <s v="R25.1"/>
    <s v="Tremor, unspecified"/>
    <x v="256"/>
    <s v="F"/>
    <m/>
    <m/>
    <n v="42.664000000000001"/>
    <n v="33.427999999999997"/>
    <n v="76.052999999999997"/>
    <n v="75.369"/>
    <n v="65.584999999999994"/>
    <n v="64.869"/>
    <n v="104.411"/>
    <n v="103.224"/>
    <n v="67.754000000000005"/>
    <n v="64.102000000000004"/>
    <n v="32.246000000000002"/>
    <n v="35.898000000000003"/>
    <n v="18.341999999999999"/>
    <n v="14.49"/>
    <n v="35.898000000000003"/>
    <n v="32.246000000000002"/>
    <n v="12.933999999999999"/>
    <n v="16"/>
    <n v="16"/>
    <n v="16"/>
    <n v="16"/>
  </r>
  <r>
    <n v="667"/>
    <m/>
    <m/>
    <m/>
    <m/>
    <s v="G20"/>
    <s v="Parkinson's disease"/>
    <x v="257"/>
    <s v="M"/>
    <m/>
    <m/>
    <s v="NA"/>
    <s v="NA"/>
    <s v="NA"/>
    <s v="NA"/>
    <s v="NA"/>
    <s v="NA"/>
    <s v="NA"/>
    <s v="NA"/>
    <s v="NA"/>
    <s v="NA"/>
    <s v="NA"/>
    <s v="NA"/>
    <s v="NA"/>
    <s v="NA"/>
    <s v="NA"/>
    <s v="NA"/>
    <s v="NA"/>
    <s v="NA"/>
    <s v="NA"/>
    <s v="NA"/>
    <s v="NA"/>
  </r>
  <r>
    <n v="668"/>
    <m/>
    <m/>
    <m/>
    <m/>
    <s v="G20"/>
    <s v="Parkinson's disease"/>
    <x v="170"/>
    <s v="M"/>
    <m/>
    <m/>
    <n v="45.055999999999997"/>
    <n v="42.816000000000003"/>
    <n v="86.748000000000005"/>
    <n v="88.51"/>
    <n v="88.620999999999995"/>
    <n v="89.334999999999994"/>
    <n v="124.277"/>
    <n v="123.232"/>
    <n v="62.935000000000002"/>
    <n v="60.777999999999999"/>
    <n v="37.064999999999998"/>
    <n v="39.222000000000001"/>
    <n v="14.105"/>
    <n v="10.58"/>
    <n v="39.222000000000001"/>
    <n v="37.064999999999998"/>
    <n v="13.348000000000001"/>
    <n v="12"/>
    <n v="13"/>
    <n v="12"/>
    <n v="12"/>
  </r>
  <r>
    <n v="669"/>
    <m/>
    <m/>
    <m/>
    <m/>
    <s v="G20"/>
    <s v="Parkinson's disease"/>
    <x v="31"/>
    <s v="M"/>
    <m/>
    <m/>
    <n v="44.878"/>
    <n v="46.98"/>
    <n v="93.448999999999998"/>
    <n v="90.816999999999993"/>
    <n v="73.534999999999997"/>
    <n v="72.796999999999997"/>
    <n v="95.123999999999995"/>
    <n v="95.653999999999996"/>
    <n v="66.747"/>
    <n v="62.616999999999997"/>
    <n v="33.253"/>
    <n v="37.383000000000003"/>
    <n v="14.699"/>
    <n v="15.435"/>
    <n v="37.383000000000003"/>
    <n v="33.253"/>
    <n v="8.75"/>
    <n v="11"/>
    <n v="13"/>
    <n v="11"/>
    <n v="11"/>
  </r>
  <r>
    <n v="670"/>
    <m/>
    <m/>
    <m/>
    <m/>
    <s v="NA"/>
    <s v="NA"/>
    <x v="35"/>
    <s v="NA"/>
    <m/>
    <m/>
    <n v="57.481000000000002"/>
    <n v="56.652000000000001"/>
    <n v="114.25"/>
    <n v="114.276"/>
    <n v="104.605"/>
    <n v="105.01300000000001"/>
    <n v="110.53700000000001"/>
    <n v="110.989"/>
    <n v="63.158000000000001"/>
    <n v="65.179000000000002"/>
    <n v="36.841999999999999"/>
    <n v="34.820999999999998"/>
    <n v="12.507"/>
    <n v="16.09"/>
    <n v="34.820999999999998"/>
    <n v="36.841999999999999"/>
    <n v="11.055999999999999"/>
    <n v="10"/>
    <n v="10"/>
    <n v="10"/>
    <n v="10"/>
  </r>
  <r>
    <n v="671"/>
    <m/>
    <m/>
    <m/>
    <m/>
    <s v="NA"/>
    <s v="NA"/>
    <x v="35"/>
    <s v="NA"/>
    <m/>
    <m/>
    <n v="37.915999999999997"/>
    <n v="38.594999999999999"/>
    <n v="76.325000000000003"/>
    <n v="76.444999999999993"/>
    <n v="62.881999999999998"/>
    <n v="63.677"/>
    <n v="99.183999999999997"/>
    <n v="99.775000000000006"/>
    <n v="66.128"/>
    <n v="67.272000000000006"/>
    <n v="33.872"/>
    <n v="32.728000000000002"/>
    <n v="15.702999999999999"/>
    <n v="17.876999999999999"/>
    <n v="32.728000000000002"/>
    <n v="33.872"/>
    <n v="12.89"/>
    <n v="15"/>
    <n v="18"/>
    <n v="15"/>
    <n v="15"/>
  </r>
  <r>
    <n v="672"/>
    <m/>
    <m/>
    <m/>
    <m/>
    <s v="G20"/>
    <s v="Parkinson's disease"/>
    <x v="258"/>
    <s v="F"/>
    <m/>
    <m/>
    <s v="NA"/>
    <s v="NA"/>
    <s v="NA"/>
    <s v="NA"/>
    <s v="NA"/>
    <s v="NA"/>
    <s v="NA"/>
    <s v="NA"/>
    <s v="NA"/>
    <s v="NA"/>
    <s v="NA"/>
    <s v="NA"/>
    <s v="NA"/>
    <s v="NA"/>
    <s v="NA"/>
    <s v="NA"/>
    <s v="NA"/>
    <s v="NA"/>
    <s v="NA"/>
    <s v="NA"/>
    <s v="NA"/>
  </r>
  <r>
    <n v="673"/>
    <m/>
    <m/>
    <m/>
    <m/>
    <s v="G20"/>
    <s v="Parkinson's disease"/>
    <x v="37"/>
    <s v="M"/>
    <m/>
    <m/>
    <s v="NA"/>
    <s v="NA"/>
    <s v="NA"/>
    <s v="NA"/>
    <s v="NA"/>
    <s v="NA"/>
    <s v="NA"/>
    <s v="NA"/>
    <s v="NA"/>
    <s v="NA"/>
    <s v="NA"/>
    <s v="NA"/>
    <s v="NA"/>
    <s v="NA"/>
    <s v="NA"/>
    <s v="NA"/>
    <s v="NA"/>
    <s v="NA"/>
    <s v="NA"/>
    <s v="NA"/>
    <s v="NA"/>
  </r>
  <r>
    <n v="674"/>
    <m/>
    <m/>
    <m/>
    <m/>
    <s v="G20"/>
    <s v="Parkinson's disease"/>
    <x v="154"/>
    <s v="F"/>
    <m/>
    <m/>
    <n v="38.545000000000002"/>
    <n v="34.243000000000002"/>
    <n v="72.584999999999994"/>
    <n v="72.935000000000002"/>
    <n v="57.7"/>
    <n v="58.265000000000001"/>
    <n v="95.337000000000003"/>
    <n v="96.132000000000005"/>
    <n v="68.649000000000001"/>
    <n v="68.11"/>
    <n v="31.350999999999999"/>
    <n v="31.89"/>
    <n v="17.986999999999998"/>
    <n v="18.844000000000001"/>
    <n v="31.89"/>
    <n v="31.350999999999999"/>
    <n v="6.16"/>
    <n v="15"/>
    <n v="15"/>
    <n v="15"/>
    <n v="15"/>
  </r>
  <r>
    <n v="675"/>
    <m/>
    <m/>
    <m/>
    <m/>
    <s v="G20"/>
    <s v="Parkinson's disease"/>
    <x v="67"/>
    <s v="M"/>
    <m/>
    <m/>
    <n v="33.228000000000002"/>
    <n v="34.131"/>
    <n v="67.09"/>
    <n v="67.197000000000003"/>
    <n v="72.057000000000002"/>
    <n v="71.600999999999999"/>
    <n v="129.023"/>
    <n v="128.30099999999999"/>
    <n v="65.064999999999998"/>
    <n v="62.588999999999999"/>
    <n v="34.935000000000002"/>
    <n v="37.411000000000001"/>
    <n v="14.442"/>
    <n v="13.105"/>
    <n v="37.411000000000001"/>
    <n v="34.935000000000002"/>
    <n v="8.5060000000000002"/>
    <n v="15"/>
    <n v="14"/>
    <n v="14"/>
    <n v="14"/>
  </r>
  <r>
    <n v="676"/>
    <m/>
    <m/>
    <m/>
    <m/>
    <s v="NA"/>
    <s v="NA"/>
    <x v="115"/>
    <s v="M"/>
    <m/>
    <m/>
    <n v="27.167000000000002"/>
    <n v="24.486000000000001"/>
    <n v="51.087000000000003"/>
    <n v="52.017000000000003"/>
    <n v="57.527000000000001"/>
    <n v="57.68"/>
    <n v="134.21600000000001"/>
    <n v="132.65"/>
    <n v="67.197000000000003"/>
    <n v="63.731999999999999"/>
    <n v="32.802999999999997"/>
    <n v="36.268000000000001"/>
    <n v="15.756"/>
    <n v="15.079000000000001"/>
    <n v="36.268000000000001"/>
    <n v="32.802999999999997"/>
    <n v="9.0820000000000007"/>
    <n v="16"/>
    <n v="15"/>
    <n v="15"/>
    <n v="15"/>
  </r>
  <r>
    <n v="677"/>
    <m/>
    <m/>
    <m/>
    <m/>
    <s v="NA"/>
    <s v="NA"/>
    <x v="7"/>
    <s v="M"/>
    <m/>
    <m/>
    <n v="53.936999999999998"/>
    <n v="54.241999999999997"/>
    <n v="108.30500000000001"/>
    <n v="107.7"/>
    <n v="93.397999999999996"/>
    <n v="93.897999999999996"/>
    <n v="103.092"/>
    <n v="103.181"/>
    <n v="63.651000000000003"/>
    <n v="63.838999999999999"/>
    <n v="36.348999999999997"/>
    <n v="36.161000000000001"/>
    <n v="13.657"/>
    <n v="13.965999999999999"/>
    <n v="36.161000000000001"/>
    <n v="36.348999999999997"/>
    <n v="7.7919999999999998"/>
    <n v="10"/>
    <n v="8"/>
    <n v="8"/>
    <n v="8"/>
  </r>
  <r>
    <n v="678"/>
    <m/>
    <m/>
    <m/>
    <m/>
    <s v="R26.9"/>
    <s v="Unspecified abnormalities of gait and mobility"/>
    <x v="130"/>
    <s v="M"/>
    <m/>
    <m/>
    <n v="24.012"/>
    <n v="20.741"/>
    <n v="44.570999999999998"/>
    <n v="45.273000000000003"/>
    <n v="40.701999999999998"/>
    <n v="41.048000000000002"/>
    <n v="108.455"/>
    <n v="108.776"/>
    <n v="70.299000000000007"/>
    <n v="69.718999999999994"/>
    <n v="29.701000000000001"/>
    <n v="30.280999999999999"/>
    <n v="21.276"/>
    <n v="18.817"/>
    <n v="30.280999999999999"/>
    <n v="29.701000000000001"/>
    <n v="21.562000000000001"/>
    <n v="23"/>
    <n v="21"/>
    <n v="21"/>
    <n v="21"/>
  </r>
  <r>
    <n v="679"/>
    <m/>
    <m/>
    <m/>
    <m/>
    <s v="NA"/>
    <s v="NA"/>
    <x v="35"/>
    <s v="NA"/>
    <m/>
    <m/>
    <n v="52.048999999999999"/>
    <n v="42.981000000000002"/>
    <n v="95.763999999999996"/>
    <n v="94.861999999999995"/>
    <n v="76.581000000000003"/>
    <n v="76.31"/>
    <n v="96.052999999999997"/>
    <n v="97.15"/>
    <n v="66.364000000000004"/>
    <n v="66.933999999999997"/>
    <n v="33.636000000000003"/>
    <n v="33.066000000000003"/>
    <n v="16.213999999999999"/>
    <n v="17.763999999999999"/>
    <n v="33.066000000000003"/>
    <n v="33.636000000000003"/>
    <n v="9.0559999999999992"/>
    <n v="11"/>
    <n v="11"/>
    <n v="11"/>
    <n v="11"/>
  </r>
  <r>
    <n v="680"/>
    <m/>
    <m/>
    <m/>
    <m/>
    <s v="NA"/>
    <s v="NA"/>
    <x v="35"/>
    <s v="NA"/>
    <m/>
    <m/>
    <n v="46.326999999999998"/>
    <n v="47.472000000000001"/>
    <n v="94.456000000000003"/>
    <n v="93.695999999999998"/>
    <n v="93.228999999999999"/>
    <n v="93.165000000000006"/>
    <n v="117.636"/>
    <n v="118.175"/>
    <n v="66.614000000000004"/>
    <n v="65.456000000000003"/>
    <n v="33.386000000000003"/>
    <n v="34.543999999999997"/>
    <n v="16.561"/>
    <n v="15.244999999999999"/>
    <n v="34.543999999999997"/>
    <n v="33.386000000000003"/>
    <n v="16.78"/>
    <n v="10"/>
    <n v="14"/>
    <n v="10"/>
    <n v="10"/>
  </r>
  <r>
    <n v="681"/>
    <m/>
    <m/>
    <m/>
    <m/>
    <s v="R25.1"/>
    <s v="Tremor, unspecified"/>
    <x v="14"/>
    <s v="F"/>
    <m/>
    <m/>
    <s v="NA"/>
    <s v="NA"/>
    <s v="NA"/>
    <s v="NA"/>
    <s v="NA"/>
    <s v="NA"/>
    <s v="NA"/>
    <s v="NA"/>
    <s v="NA"/>
    <s v="NA"/>
    <s v="NA"/>
    <s v="NA"/>
    <s v="NA"/>
    <s v="NA"/>
    <s v="NA"/>
    <s v="NA"/>
    <s v="NA"/>
    <s v="NA"/>
    <s v="NA"/>
    <s v="NA"/>
    <s v="NA"/>
  </r>
  <r>
    <n v="682"/>
    <m/>
    <m/>
    <m/>
    <m/>
    <s v="G25.0"/>
    <s v="Essential tremor"/>
    <x v="97"/>
    <s v="F"/>
    <m/>
    <m/>
    <n v="35.64"/>
    <n v="35.524999999999999"/>
    <n v="71.353999999999999"/>
    <n v="70.92"/>
    <n v="59.792000000000002"/>
    <n v="59.927"/>
    <n v="100.89"/>
    <n v="101.199"/>
    <n v="69.567999999999998"/>
    <n v="71.453999999999994"/>
    <n v="30.431999999999999"/>
    <n v="28.545999999999999"/>
    <n v="19.306999999999999"/>
    <n v="21.524999999999999"/>
    <n v="28.545999999999999"/>
    <n v="30.431999999999999"/>
    <n v="15.042"/>
    <n v="15"/>
    <n v="14"/>
    <n v="14"/>
    <n v="14"/>
  </r>
  <r>
    <n v="683"/>
    <m/>
    <m/>
    <m/>
    <m/>
    <s v="G20"/>
    <s v="Parkinson's disease"/>
    <x v="3"/>
    <s v="M"/>
    <m/>
    <m/>
    <n v="73.376000000000005"/>
    <n v="71.599000000000004"/>
    <n v="145.54599999999999"/>
    <n v="144.97499999999999"/>
    <n v="132.73500000000001"/>
    <n v="131.035"/>
    <n v="107.96"/>
    <n v="108.127"/>
    <n v="62.368000000000002"/>
    <n v="61.262"/>
    <n v="37.631999999999998"/>
    <n v="38.738"/>
    <n v="12.744999999999999"/>
    <n v="11.477"/>
    <n v="38.738"/>
    <n v="37.631999999999998"/>
    <n v="9.9939999999999998"/>
    <n v="5"/>
    <n v="10"/>
    <n v="5"/>
    <n v="5"/>
  </r>
  <r>
    <n v="684"/>
    <m/>
    <m/>
    <m/>
    <m/>
    <s v="G24.3"/>
    <s v="Spasmodic torticollis"/>
    <x v="170"/>
    <s v="F"/>
    <m/>
    <m/>
    <n v="52.576000000000001"/>
    <n v="49.305999999999997"/>
    <n v="102.276"/>
    <n v="102.36799999999999"/>
    <n v="93.739000000000004"/>
    <n v="93.239000000000004"/>
    <n v="109.562"/>
    <n v="109.34099999999999"/>
    <n v="63.804000000000002"/>
    <n v="62.866"/>
    <n v="36.195999999999998"/>
    <n v="37.134"/>
    <n v="13.178000000000001"/>
    <n v="13.951000000000001"/>
    <n v="37.134"/>
    <n v="36.195999999999998"/>
    <n v="8.35"/>
    <n v="12"/>
    <n v="13"/>
    <n v="12"/>
    <n v="12"/>
  </r>
  <r>
    <n v="685"/>
    <m/>
    <m/>
    <m/>
    <m/>
    <s v="NA"/>
    <s v="NA"/>
    <x v="35"/>
    <s v="NA"/>
    <m/>
    <m/>
    <n v="17.933"/>
    <n v="25.247"/>
    <n v="43.523000000000003"/>
    <n v="42.613"/>
    <n v="38.877000000000002"/>
    <n v="38.246000000000002"/>
    <n v="107.28"/>
    <n v="107.91800000000001"/>
    <n v="69.524000000000001"/>
    <n v="67.132000000000005"/>
    <n v="30.477"/>
    <n v="32.868000000000002"/>
    <n v="17.332999999999998"/>
    <n v="19.777999999999999"/>
    <n v="32.868000000000002"/>
    <n v="30.477"/>
    <n v="12.744"/>
    <n v="18"/>
    <n v="17"/>
    <n v="17"/>
    <n v="17"/>
  </r>
  <r>
    <n v="686"/>
    <m/>
    <m/>
    <m/>
    <m/>
    <s v="G20"/>
    <s v="Parkinson's disease"/>
    <x v="23"/>
    <s v="F"/>
    <m/>
    <m/>
    <n v="40.957000000000001"/>
    <n v="38.142000000000003"/>
    <n v="78.727000000000004"/>
    <n v="79.162999999999997"/>
    <n v="62.633000000000003"/>
    <n v="61.981999999999999"/>
    <n v="94.686000000000007"/>
    <n v="94.201999999999998"/>
    <n v="67.721999999999994"/>
    <n v="64.884"/>
    <n v="32.277999999999999"/>
    <n v="35.116"/>
    <n v="14.385999999999999"/>
    <n v="18.573"/>
    <n v="35.116"/>
    <n v="32.277999999999999"/>
    <n v="11.272"/>
    <n v="15"/>
    <n v="15"/>
    <n v="15"/>
    <n v="15"/>
  </r>
  <r>
    <n v="687"/>
    <m/>
    <m/>
    <m/>
    <m/>
    <s v="G20"/>
    <s v="Parkinson's disease"/>
    <x v="259"/>
    <s v="F"/>
    <m/>
    <m/>
    <n v="40.165999999999997"/>
    <n v="32.773000000000003"/>
    <n v="72.641999999999996"/>
    <n v="72.921999999999997"/>
    <n v="64.793000000000006"/>
    <n v="64.486000000000004"/>
    <n v="106.51900000000001"/>
    <n v="105.889"/>
    <n v="64.096000000000004"/>
    <n v="66.918000000000006"/>
    <n v="35.904000000000003"/>
    <n v="33.082000000000001"/>
    <n v="15.81"/>
    <n v="16.007999999999999"/>
    <n v="33.082000000000001"/>
    <n v="35.904000000000003"/>
    <n v="8.1620000000000008"/>
    <n v="16"/>
    <n v="16"/>
    <n v="16"/>
    <n v="16"/>
  </r>
  <r>
    <n v="688"/>
    <m/>
    <m/>
    <m/>
    <m/>
    <s v="G20"/>
    <s v="Parkinson's disease"/>
    <x v="199"/>
    <s v="F"/>
    <m/>
    <m/>
    <s v="NA"/>
    <s v="NA"/>
    <s v="NA"/>
    <s v="NA"/>
    <s v="NA"/>
    <s v="NA"/>
    <s v="NA"/>
    <s v="NA"/>
    <s v="NA"/>
    <s v="NA"/>
    <s v="NA"/>
    <s v="NA"/>
    <s v="NA"/>
    <s v="NA"/>
    <s v="NA"/>
    <s v="NA"/>
    <s v="NA"/>
    <s v="NA"/>
    <s v="NA"/>
    <s v="NA"/>
    <s v="NA"/>
  </r>
  <r>
    <n v="689"/>
    <m/>
    <m/>
    <m/>
    <m/>
    <s v="G20"/>
    <s v="Parkinson's disease"/>
    <x v="146"/>
    <s v="M"/>
    <m/>
    <m/>
    <n v="50.454999999999998"/>
    <n v="53.674999999999997"/>
    <n v="104.358"/>
    <n v="103.279"/>
    <n v="84.363"/>
    <n v="84.408000000000001"/>
    <n v="95.683000000000007"/>
    <n v="97.691999999999993"/>
    <n v="66.040000000000006"/>
    <n v="64.052000000000007"/>
    <n v="33.96"/>
    <n v="35.948"/>
    <n v="15.111000000000001"/>
    <n v="14.683999999999999"/>
    <n v="35.948"/>
    <n v="33.96"/>
    <n v="12.18"/>
    <n v="12"/>
    <n v="12"/>
    <n v="12"/>
    <n v="12"/>
  </r>
  <r>
    <n v="690"/>
    <m/>
    <m/>
    <m/>
    <m/>
    <s v="G20"/>
    <s v="Parkinson's disease"/>
    <x v="260"/>
    <s v="F"/>
    <m/>
    <m/>
    <s v="NA"/>
    <s v="NA"/>
    <s v="NA"/>
    <s v="NA"/>
    <s v="NA"/>
    <s v="NA"/>
    <s v="NA"/>
    <s v="NA"/>
    <s v="NA"/>
    <s v="NA"/>
    <s v="NA"/>
    <s v="NA"/>
    <s v="NA"/>
    <s v="NA"/>
    <s v="NA"/>
    <s v="NA"/>
    <s v="NA"/>
    <s v="NA"/>
    <s v="NA"/>
    <s v="NA"/>
    <s v="NA"/>
  </r>
  <r>
    <n v="691"/>
    <m/>
    <m/>
    <m/>
    <m/>
    <s v="G24.8"/>
    <s v="Other dystonia"/>
    <x v="261"/>
    <s v="M"/>
    <m/>
    <m/>
    <n v="58.752000000000002"/>
    <n v="54.978999999999999"/>
    <n v="114.42700000000001"/>
    <n v="113.369"/>
    <n v="105.84699999999999"/>
    <n v="105.476"/>
    <n v="110.59"/>
    <n v="111.328"/>
    <n v="62.290999999999997"/>
    <n v="62.606000000000002"/>
    <n v="37.709000000000003"/>
    <n v="37.393999999999998"/>
    <n v="13.565"/>
    <n v="11.742000000000001"/>
    <n v="37.393999999999998"/>
    <n v="37.709000000000003"/>
    <n v="17.585999999999999"/>
    <n v="9"/>
    <n v="10"/>
    <n v="9"/>
    <n v="9"/>
  </r>
  <r>
    <n v="692"/>
    <m/>
    <m/>
    <m/>
    <m/>
    <s v="G25.0"/>
    <s v="Essential tremor"/>
    <x v="8"/>
    <s v="F"/>
    <m/>
    <m/>
    <s v="NA"/>
    <s v="NA"/>
    <s v="NA"/>
    <s v="NA"/>
    <s v="NA"/>
    <s v="NA"/>
    <s v="NA"/>
    <s v="NA"/>
    <s v="NA"/>
    <s v="NA"/>
    <s v="NA"/>
    <s v="NA"/>
    <s v="NA"/>
    <s v="NA"/>
    <s v="NA"/>
    <s v="NA"/>
    <s v="NA"/>
    <s v="NA"/>
    <s v="NA"/>
    <s v="NA"/>
    <s v="NA"/>
  </r>
  <r>
    <n v="693"/>
    <m/>
    <m/>
    <m/>
    <m/>
    <s v="NA"/>
    <s v="NA"/>
    <x v="183"/>
    <s v="M"/>
    <m/>
    <m/>
    <s v="NA"/>
    <s v="NA"/>
    <s v="NA"/>
    <s v="NA"/>
    <s v="NA"/>
    <s v="NA"/>
    <s v="NA"/>
    <s v="NA"/>
    <s v="NA"/>
    <s v="NA"/>
    <s v="NA"/>
    <s v="NA"/>
    <s v="NA"/>
    <s v="NA"/>
    <s v="NA"/>
    <s v="NA"/>
    <s v="NA"/>
    <s v="NA"/>
    <s v="NA"/>
    <s v="NA"/>
    <s v="NA"/>
  </r>
  <r>
    <n v="694"/>
    <m/>
    <m/>
    <m/>
    <m/>
    <s v="G20"/>
    <s v="Parkinson's disease"/>
    <x v="262"/>
    <s v="M"/>
    <m/>
    <m/>
    <n v="45.411999999999999"/>
    <n v="62.674999999999997"/>
    <n v="108.248"/>
    <n v="108.633"/>
    <n v="83.222999999999999"/>
    <n v="83.28"/>
    <n v="92.158000000000001"/>
    <n v="91.521000000000001"/>
    <n v="65.388000000000005"/>
    <n v="69.911000000000001"/>
    <n v="34.612000000000002"/>
    <n v="30.088999999999999"/>
    <n v="17.795000000000002"/>
    <n v="17.431999999999999"/>
    <n v="30.088999999999999"/>
    <n v="34.612000000000002"/>
    <n v="13.4"/>
    <n v="11"/>
    <n v="11"/>
    <n v="11"/>
    <n v="11"/>
  </r>
  <r>
    <n v="695"/>
    <m/>
    <m/>
    <m/>
    <m/>
    <s v="G20"/>
    <s v="Parkinson's disease"/>
    <x v="263"/>
    <s v="M"/>
    <m/>
    <m/>
    <n v="21.760999999999999"/>
    <n v="46.603000000000002"/>
    <n v="68.200999999999993"/>
    <n v="68.408000000000001"/>
    <n v="72.346000000000004"/>
    <n v="71.849000000000004"/>
    <n v="124.595"/>
    <n v="125.17"/>
    <n v="66.19"/>
    <n v="61.832000000000001"/>
    <n v="33.81"/>
    <n v="38.167999999999999"/>
    <n v="12.874000000000001"/>
    <n v="14.249000000000001"/>
    <n v="38.167999999999999"/>
    <n v="33.81"/>
    <n v="13.99"/>
    <n v="18"/>
    <n v="17"/>
    <n v="17"/>
    <n v="17"/>
  </r>
  <r>
    <n v="696"/>
    <m/>
    <m/>
    <m/>
    <m/>
    <s v="R26.89"/>
    <s v="Other abnormalities of gait and mobility"/>
    <x v="264"/>
    <s v="M"/>
    <m/>
    <m/>
    <n v="43.634"/>
    <n v="37.85"/>
    <n v="81.447999999999993"/>
    <n v="82.441999999999993"/>
    <n v="60.762"/>
    <n v="61.393000000000001"/>
    <n v="89.644999999999996"/>
    <n v="89.619"/>
    <n v="66.56"/>
    <n v="70.391000000000005"/>
    <n v="33.44"/>
    <n v="29.609000000000002"/>
    <n v="18.896999999999998"/>
    <n v="18.268000000000001"/>
    <n v="29.609000000000002"/>
    <n v="33.44"/>
    <n v="9.5380000000000003"/>
    <n v="13"/>
    <n v="12"/>
    <n v="12"/>
    <n v="12"/>
  </r>
  <r>
    <n v="697"/>
    <m/>
    <m/>
    <m/>
    <m/>
    <s v="R26.9"/>
    <s v="Unspecified abnormalities of gait and mobility"/>
    <x v="265"/>
    <s v="M"/>
    <m/>
    <m/>
    <n v="40.393000000000001"/>
    <n v="38.817999999999998"/>
    <n v="79.959000000000003"/>
    <n v="78.710999999999999"/>
    <n v="67.588999999999999"/>
    <n v="67.114999999999995"/>
    <n v="101.59099999999999"/>
    <n v="101.40300000000001"/>
    <n v="66.006"/>
    <n v="67.394999999999996"/>
    <n v="33.994"/>
    <n v="32.604999999999997"/>
    <n v="15.542999999999999"/>
    <n v="17.375"/>
    <n v="32.604999999999997"/>
    <n v="33.994"/>
    <n v="11.125"/>
    <n v="12"/>
    <n v="13"/>
    <n v="12"/>
    <n v="12"/>
  </r>
  <r>
    <n v="698"/>
    <m/>
    <m/>
    <m/>
    <m/>
    <s v="G20"/>
    <s v="Parkinson's disease"/>
    <x v="57"/>
    <s v="F"/>
    <m/>
    <m/>
    <n v="18.728000000000002"/>
    <n v="19.027000000000001"/>
    <n v="37.755000000000003"/>
    <n v="38.401000000000003"/>
    <n v="30.109000000000002"/>
    <n v="30.279"/>
    <n v="95.5"/>
    <n v="95.3"/>
    <n v="74.421000000000006"/>
    <n v="74.19"/>
    <n v="25.579000000000001"/>
    <n v="25.81"/>
    <n v="21.713000000000001"/>
    <n v="27.562000000000001"/>
    <n v="25.81"/>
    <n v="25.579000000000001"/>
    <n v="16.77"/>
    <n v="14"/>
    <n v="12"/>
    <n v="12"/>
    <n v="12"/>
  </r>
  <r>
    <n v="699"/>
    <m/>
    <m/>
    <m/>
    <m/>
    <s v="G20"/>
    <s v="Parkinson's disease"/>
    <x v="204"/>
    <s v="M"/>
    <m/>
    <m/>
    <n v="61.869"/>
    <n v="68.323999999999998"/>
    <n v="130.38900000000001"/>
    <n v="129.88399999999999"/>
    <n v="115.88500000000001"/>
    <n v="115.46299999999999"/>
    <n v="105.9"/>
    <n v="105.837"/>
    <n v="60.784999999999997"/>
    <n v="62.088999999999999"/>
    <n v="39.215000000000003"/>
    <n v="37.911000000000001"/>
    <n v="11.763999999999999"/>
    <n v="11.302"/>
    <n v="37.911000000000001"/>
    <n v="39.215000000000003"/>
    <n v="9.1039999999999992"/>
    <n v="6"/>
    <n v="10"/>
    <n v="6"/>
    <n v="6"/>
  </r>
  <r>
    <n v="700"/>
    <m/>
    <m/>
    <m/>
    <m/>
    <s v="NA"/>
    <s v="NA"/>
    <x v="35"/>
    <s v="NA"/>
    <m/>
    <m/>
    <n v="48.417999999999999"/>
    <n v="51.093000000000004"/>
    <n v="99.789000000000001"/>
    <n v="99.13"/>
    <n v="99.337999999999994"/>
    <n v="99.209000000000003"/>
    <n v="119.083"/>
    <n v="118.90600000000001"/>
    <n v="61.383000000000003"/>
    <n v="61.886000000000003"/>
    <n v="38.616999999999997"/>
    <n v="38.113999999999997"/>
    <n v="11.938000000000001"/>
    <n v="11.002000000000001"/>
    <n v="38.113999999999997"/>
    <n v="38.616999999999997"/>
    <n v="13.808"/>
    <n v="11"/>
    <n v="12"/>
    <n v="11"/>
    <n v="11"/>
  </r>
  <r>
    <n v="701"/>
    <m/>
    <m/>
    <m/>
    <m/>
    <s v="R25.1"/>
    <s v="Tremor, unspecified"/>
    <x v="266"/>
    <s v="M"/>
    <m/>
    <m/>
    <n v="40.497"/>
    <n v="43.978999999999999"/>
    <n v="84.301000000000002"/>
    <n v="84.168999999999997"/>
    <n v="70.762"/>
    <n v="71.287000000000006"/>
    <n v="100.52500000000001"/>
    <n v="101.523"/>
    <n v="60.853000000000002"/>
    <n v="66.132999999999996"/>
    <n v="39.146999999999998"/>
    <n v="33.866999999999997"/>
    <n v="13.944000000000001"/>
    <n v="13.417"/>
    <n v="33.866999999999997"/>
    <n v="39.146999999999998"/>
    <n v="9.452"/>
    <n v="13"/>
    <n v="15"/>
    <n v="13"/>
    <n v="13"/>
  </r>
  <r>
    <n v="702"/>
    <m/>
    <m/>
    <m/>
    <m/>
    <s v="R26.9"/>
    <s v="Unspecified abnormalities of gait and mobility"/>
    <x v="58"/>
    <s v="M"/>
    <m/>
    <m/>
    <n v="60.898000000000003"/>
    <n v="57.442999999999998"/>
    <n v="118.13500000000001"/>
    <n v="118.818"/>
    <n v="119.113"/>
    <n v="119.444"/>
    <n v="121.36799999999999"/>
    <n v="120.264"/>
    <n v="63.601999999999997"/>
    <n v="62.951000000000001"/>
    <n v="36.396999999999998"/>
    <n v="37.048999999999999"/>
    <n v="13.896000000000001"/>
    <n v="12.73"/>
    <n v="37.048999999999999"/>
    <n v="36.396999999999998"/>
    <n v="20.062000000000001"/>
    <n v="8"/>
    <n v="10"/>
    <n v="8"/>
    <n v="8"/>
  </r>
  <r>
    <n v="703"/>
    <m/>
    <m/>
    <m/>
    <m/>
    <s v="G20"/>
    <s v="Parkinson's disease"/>
    <x v="41"/>
    <s v="F"/>
    <m/>
    <m/>
    <n v="43.491999999999997"/>
    <n v="39.869"/>
    <n v="83.769000000000005"/>
    <n v="83.608000000000004"/>
    <n v="79.497"/>
    <n v="78.831000000000003"/>
    <n v="113.602"/>
    <n v="113.26"/>
    <n v="61.585999999999999"/>
    <n v="63.576999999999998"/>
    <n v="38.414000000000001"/>
    <n v="36.423000000000002"/>
    <n v="13.646000000000001"/>
    <n v="12.177"/>
    <n v="36.423000000000002"/>
    <n v="38.414000000000001"/>
    <n v="8.5719999999999992"/>
    <n v="11"/>
    <n v="9"/>
    <n v="9"/>
    <n v="9"/>
  </r>
  <r>
    <n v="704"/>
    <m/>
    <m/>
    <m/>
    <m/>
    <s v="R26.9"/>
    <s v="Unspecified abnormalities of gait and mobility"/>
    <x v="85"/>
    <s v="M"/>
    <m/>
    <m/>
    <n v="58.881"/>
    <n v="57.820999999999998"/>
    <n v="116.83499999999999"/>
    <n v="116.41200000000001"/>
    <n v="95.572000000000003"/>
    <n v="95.924999999999997"/>
    <n v="97.614000000000004"/>
    <n v="98.715999999999994"/>
    <n v="63.143000000000001"/>
    <n v="63.341000000000001"/>
    <n v="36.856999999999999"/>
    <n v="36.658999999999999"/>
    <n v="13.954000000000001"/>
    <n v="12.253"/>
    <n v="36.658999999999999"/>
    <n v="36.856999999999999"/>
    <n v="9.6980000000000004"/>
    <n v="10"/>
    <n v="9"/>
    <n v="9"/>
    <n v="9"/>
  </r>
  <r>
    <n v="705"/>
    <m/>
    <m/>
    <m/>
    <m/>
    <s v="G20"/>
    <s v="Parkinson's disease"/>
    <x v="267"/>
    <s v="F"/>
    <m/>
    <m/>
    <n v="32.872"/>
    <n v="28.795000000000002"/>
    <n v="62.353000000000002"/>
    <n v="61.326999999999998"/>
    <n v="48.567999999999998"/>
    <n v="47.487000000000002"/>
    <n v="92.551000000000002"/>
    <n v="92.728999999999999"/>
    <n v="65.97"/>
    <n v="65.528000000000006"/>
    <n v="34.03"/>
    <n v="34.472000000000001"/>
    <n v="17.555"/>
    <n v="14.635999999999999"/>
    <n v="34.472000000000001"/>
    <n v="34.03"/>
    <n v="7.8929999999999998"/>
    <n v="11"/>
    <n v="12"/>
    <n v="11"/>
    <n v="11"/>
  </r>
  <r>
    <n v="706"/>
    <m/>
    <m/>
    <m/>
    <m/>
    <s v="G20"/>
    <s v="Parkinson's disease"/>
    <x v="30"/>
    <s v="M"/>
    <m/>
    <m/>
    <n v="53.667999999999999"/>
    <n v="52.862000000000002"/>
    <n v="106.03"/>
    <n v="106.79600000000001"/>
    <n v="94.414000000000001"/>
    <n v="95.076999999999998"/>
    <n v="107.324"/>
    <n v="107.319"/>
    <n v="65.691999999999993"/>
    <n v="64.744"/>
    <n v="34.308"/>
    <n v="35.256"/>
    <n v="15.903"/>
    <n v="14.284000000000001"/>
    <n v="35.256"/>
    <n v="34.308"/>
    <n v="11.9"/>
    <n v="11"/>
    <n v="12"/>
    <n v="11"/>
    <n v="11"/>
  </r>
  <r>
    <n v="707"/>
    <m/>
    <m/>
    <m/>
    <m/>
    <s v="G25.2"/>
    <s v="Other specified forms of tremor"/>
    <x v="8"/>
    <s v="M"/>
    <m/>
    <m/>
    <n v="49.848999999999997"/>
    <n v="50.674999999999997"/>
    <n v="100.93899999999999"/>
    <n v="100.658"/>
    <n v="92.893000000000001"/>
    <n v="93.438000000000002"/>
    <n v="110.30200000000001"/>
    <n v="110.99299999999999"/>
    <n v="62.351999999999997"/>
    <n v="62.454000000000001"/>
    <n v="37.648000000000003"/>
    <n v="37.545999999999999"/>
    <n v="12.13"/>
    <n v="12.638999999999999"/>
    <n v="37.545999999999999"/>
    <n v="37.648000000000003"/>
    <n v="15.598000000000001"/>
    <n v="12"/>
    <n v="12"/>
    <n v="12"/>
    <n v="12"/>
  </r>
  <r>
    <n v="708"/>
    <m/>
    <m/>
    <m/>
    <m/>
    <s v="R26.89"/>
    <s v="Other abnormalities of gait and mobility"/>
    <x v="268"/>
    <s v="M"/>
    <m/>
    <m/>
    <n v="41.283000000000001"/>
    <n v="50.71"/>
    <n v="92.23"/>
    <n v="92.031999999999996"/>
    <n v="80.305000000000007"/>
    <n v="80.022000000000006"/>
    <n v="104"/>
    <n v="104.02"/>
    <n v="64.192999999999998"/>
    <n v="62.691000000000003"/>
    <n v="35.807000000000002"/>
    <n v="37.308999999999997"/>
    <n v="14.371"/>
    <n v="12.452"/>
    <n v="37.308999999999997"/>
    <n v="35.807000000000002"/>
    <n v="10.994999999999999"/>
    <n v="10"/>
    <n v="12"/>
    <n v="10"/>
    <n v="10"/>
  </r>
  <r>
    <n v="709"/>
    <m/>
    <m/>
    <m/>
    <m/>
    <s v="G25.0"/>
    <s v="Essential tremor"/>
    <x v="190"/>
    <s v="F"/>
    <m/>
    <m/>
    <n v="45.207000000000001"/>
    <n v="47.896000000000001"/>
    <n v="92.683000000000007"/>
    <n v="93.462000000000003"/>
    <n v="85.656000000000006"/>
    <n v="86.682000000000002"/>
    <n v="110.357"/>
    <n v="111.19199999999999"/>
    <n v="64.293999999999997"/>
    <n v="66.548000000000002"/>
    <n v="35.706000000000003"/>
    <n v="33.451999999999998"/>
    <n v="15.853999999999999"/>
    <n v="14.727"/>
    <n v="33.451999999999998"/>
    <n v="35.706000000000003"/>
    <n v="11.146000000000001"/>
    <n v="13"/>
    <n v="10"/>
    <n v="10"/>
    <n v="10"/>
  </r>
  <r>
    <n v="710"/>
    <m/>
    <m/>
    <m/>
    <m/>
    <s v="G20"/>
    <s v="Parkinson's disease"/>
    <x v="1"/>
    <s v="M"/>
    <m/>
    <m/>
    <n v="47.819000000000003"/>
    <n v="55.11"/>
    <n v="102.527"/>
    <n v="102.19199999999999"/>
    <n v="92.858999999999995"/>
    <n v="92.89"/>
    <n v="107.376"/>
    <n v="106.887"/>
    <n v="64.555000000000007"/>
    <n v="65.807000000000002"/>
    <n v="35.445"/>
    <n v="34.192999999999998"/>
    <n v="14.363"/>
    <n v="16.161000000000001"/>
    <n v="34.192999999999998"/>
    <n v="35.445"/>
    <n v="13.97"/>
    <n v="12"/>
    <n v="12"/>
    <n v="12"/>
    <n v="12"/>
  </r>
  <r>
    <n v="711"/>
    <m/>
    <m/>
    <m/>
    <m/>
    <s v="G20"/>
    <s v="Parkinson's disease"/>
    <x v="165"/>
    <s v="M"/>
    <m/>
    <m/>
    <n v="44.856999999999999"/>
    <n v="43.762999999999998"/>
    <n v="88.253"/>
    <n v="88.855999999999995"/>
    <n v="73.527000000000001"/>
    <n v="74.123999999999995"/>
    <n v="99.061999999999998"/>
    <n v="99.403000000000006"/>
    <n v="65.272000000000006"/>
    <n v="65.364999999999995"/>
    <n v="34.728000000000002"/>
    <n v="34.634999999999998"/>
    <n v="17.248000000000001"/>
    <n v="13.484"/>
    <n v="34.634999999999998"/>
    <n v="34.728000000000002"/>
    <n v="9.2569999999999997"/>
    <n v="12"/>
    <n v="11"/>
    <n v="11"/>
    <n v="11"/>
  </r>
  <r>
    <n v="712"/>
    <m/>
    <m/>
    <m/>
    <m/>
    <s v="R26.9"/>
    <s v="Unspecified abnormalities of gait and mobility"/>
    <x v="269"/>
    <s v="M"/>
    <m/>
    <m/>
    <n v="48.292999999999999"/>
    <n v="50.752000000000002"/>
    <n v="100.1"/>
    <n v="98.509"/>
    <n v="91.414000000000001"/>
    <n v="89.908000000000001"/>
    <n v="109.53"/>
    <n v="109.09"/>
    <n v="64.307000000000002"/>
    <n v="65.164000000000001"/>
    <n v="35.692999999999998"/>
    <n v="34.835999999999999"/>
    <n v="13.673"/>
    <n v="16.338000000000001"/>
    <n v="34.835999999999999"/>
    <n v="35.692999999999998"/>
    <n v="12.564"/>
    <n v="11"/>
    <n v="14"/>
    <n v="11"/>
    <n v="11"/>
  </r>
  <r>
    <n v="713"/>
    <m/>
    <m/>
    <m/>
    <m/>
    <s v="G25.0"/>
    <s v="Essential tremor"/>
    <x v="270"/>
    <s v="M"/>
    <m/>
    <m/>
    <n v="65.150000000000006"/>
    <n v="61.915999999999997"/>
    <n v="127.126"/>
    <n v="127.411"/>
    <n v="110.703"/>
    <n v="111.17100000000001"/>
    <n v="105.074"/>
    <n v="105.077"/>
    <n v="61.670999999999999"/>
    <n v="62.162999999999997"/>
    <n v="38.329000000000001"/>
    <n v="37.837000000000003"/>
    <n v="11.907"/>
    <n v="11.323"/>
    <n v="37.837000000000003"/>
    <n v="38.329000000000001"/>
    <n v="10.5"/>
    <n v="9"/>
    <n v="10"/>
    <n v="9"/>
    <n v="9"/>
  </r>
  <r>
    <n v="714"/>
    <m/>
    <m/>
    <m/>
    <m/>
    <s v="R25.1"/>
    <s v="Tremor, unspecified"/>
    <x v="227"/>
    <s v="F"/>
    <m/>
    <m/>
    <n v="36.734999999999999"/>
    <n v="41.472999999999999"/>
    <n v="78.370999999999995"/>
    <n v="78.242999999999995"/>
    <n v="60.43"/>
    <n v="61.286000000000001"/>
    <n v="93.516999999999996"/>
    <n v="94.29"/>
    <n v="68.117999999999995"/>
    <n v="69.801000000000002"/>
    <n v="31.882000000000001"/>
    <n v="30.199000000000002"/>
    <n v="20.506"/>
    <n v="17.495000000000001"/>
    <n v="30.199000000000002"/>
    <n v="31.882000000000001"/>
    <n v="11.445"/>
    <n v="13"/>
    <n v="15"/>
    <n v="13"/>
    <n v="13"/>
  </r>
  <r>
    <n v="715"/>
    <m/>
    <m/>
    <m/>
    <m/>
    <s v="R25.1"/>
    <s v="Tremor, unspecified"/>
    <x v="79"/>
    <s v="F"/>
    <m/>
    <m/>
    <n v="43.188000000000002"/>
    <n v="42.085000000000001"/>
    <n v="85.373000000000005"/>
    <n v="86.241"/>
    <n v="72.397999999999996"/>
    <n v="73.073999999999998"/>
    <n v="101.669"/>
    <n v="101.876"/>
    <n v="65.564999999999998"/>
    <n v="63.313000000000002"/>
    <n v="34.435000000000002"/>
    <n v="36.686999999999998"/>
    <n v="14.906000000000001"/>
    <n v="14.769"/>
    <n v="36.686999999999998"/>
    <n v="34.435000000000002"/>
    <n v="15.298"/>
    <n v="13"/>
    <n v="13"/>
    <n v="13"/>
    <n v="13"/>
  </r>
  <r>
    <n v="716"/>
    <m/>
    <m/>
    <m/>
    <m/>
    <s v="G24.3"/>
    <s v="Spasmodic torticollis"/>
    <x v="271"/>
    <s v="F"/>
    <m/>
    <m/>
    <n v="51.9"/>
    <n v="55.543999999999997"/>
    <n v="108.223"/>
    <n v="107.31"/>
    <n v="96.491"/>
    <n v="95.754000000000005"/>
    <n v="106.648"/>
    <n v="106.717"/>
    <n v="62.994"/>
    <n v="62.875"/>
    <n v="37.006"/>
    <n v="37.125"/>
    <n v="13.519"/>
    <n v="12.103999999999999"/>
    <n v="37.125"/>
    <n v="37.006"/>
    <n v="11.991"/>
    <n v="17"/>
    <n v="23"/>
    <n v="17"/>
    <n v="17"/>
  </r>
  <r>
    <n v="717"/>
    <m/>
    <m/>
    <m/>
    <m/>
    <s v="G20"/>
    <s v="Parkinson's disease"/>
    <x v="98"/>
    <s v="F"/>
    <m/>
    <m/>
    <n v="50.731000000000002"/>
    <n v="55.634"/>
    <n v="106.75"/>
    <n v="106.55200000000001"/>
    <n v="128.43100000000001"/>
    <n v="128.56700000000001"/>
    <n v="144.203"/>
    <n v="144.38200000000001"/>
    <n v="61.985999999999997"/>
    <n v="59.5"/>
    <n v="38.014000000000003"/>
    <n v="40.5"/>
    <n v="11.407"/>
    <n v="10.337999999999999"/>
    <n v="40.5"/>
    <n v="38.014000000000003"/>
    <n v="9.1679999999999993"/>
    <n v="26"/>
    <n v="25"/>
    <n v="25"/>
    <n v="25"/>
  </r>
  <r>
    <n v="718"/>
    <m/>
    <m/>
    <m/>
    <m/>
    <s v="NA"/>
    <s v="NA"/>
    <x v="35"/>
    <s v="NA"/>
    <m/>
    <m/>
    <n v="34.901000000000003"/>
    <n v="32.805999999999997"/>
    <n v="67.649000000000001"/>
    <n v="68.754000000000005"/>
    <n v="34.966999999999999"/>
    <n v="34.25"/>
    <n v="64.457999999999998"/>
    <n v="60.04"/>
    <n v="76.950999999999993"/>
    <n v="72.02"/>
    <n v="23.048999999999999"/>
    <n v="27.98"/>
    <n v="18.792999999999999"/>
    <n v="27.169"/>
    <n v="27.98"/>
    <n v="23.048999999999999"/>
    <n v="13.64"/>
    <n v="10"/>
    <n v="11"/>
    <n v="10"/>
    <n v="10"/>
  </r>
  <r>
    <n v="719"/>
    <m/>
    <m/>
    <m/>
    <m/>
    <s v="G25.0"/>
    <s v="Essential tremor"/>
    <x v="256"/>
    <s v="M"/>
    <m/>
    <m/>
    <n v="44.136000000000003"/>
    <n v="43.271999999999998"/>
    <n v="87.185000000000002"/>
    <n v="88.974999999999994"/>
    <n v="88.942999999999998"/>
    <n v="90.617999999999995"/>
    <n v="120.962"/>
    <n v="121.69199999999999"/>
    <n v="64.567999999999998"/>
    <n v="64.072999999999993"/>
    <n v="35.432000000000002"/>
    <n v="35.927"/>
    <n v="14.541"/>
    <n v="13.83"/>
    <n v="35.927"/>
    <n v="35.432000000000002"/>
    <n v="8.9209999999999994"/>
    <n v="21"/>
    <n v="21"/>
    <n v="21"/>
    <n v="21"/>
  </r>
  <r>
    <n v="720"/>
    <m/>
    <m/>
    <m/>
    <m/>
    <s v="G20"/>
    <s v="Parkinson's disease"/>
    <x v="272"/>
    <s v="F"/>
    <m/>
    <m/>
    <n v="51.866"/>
    <n v="52.582000000000001"/>
    <n v="104.84699999999999"/>
    <n v="104.738"/>
    <n v="94.293999999999997"/>
    <n v="93.882000000000005"/>
    <n v="107.59099999999999"/>
    <n v="107.28"/>
    <n v="63.96"/>
    <n v="64.102999999999994"/>
    <n v="36.04"/>
    <n v="35.896999999999998"/>
    <n v="13.824"/>
    <n v="13.997"/>
    <n v="35.896999999999998"/>
    <n v="36.04"/>
    <n v="11.818"/>
    <n v="16"/>
    <n v="15"/>
    <n v="15"/>
    <n v="15"/>
  </r>
  <r>
    <n v="721"/>
    <m/>
    <m/>
    <m/>
    <m/>
    <s v="NA"/>
    <s v="NA"/>
    <x v="35"/>
    <s v="NA"/>
    <m/>
    <m/>
    <n v="60.171999999999997"/>
    <n v="63.055999999999997"/>
    <n v="123.78"/>
    <n v="123.017"/>
    <n v="107.80500000000001"/>
    <n v="106.83199999999999"/>
    <n v="104.09099999999999"/>
    <n v="103.395"/>
    <n v="63.542999999999999"/>
    <n v="64.37"/>
    <n v="36.457000000000001"/>
    <n v="35.630000000000003"/>
    <n v="13.377000000000001"/>
    <n v="14.757999999999999"/>
    <n v="35.630000000000003"/>
    <n v="36.457000000000001"/>
    <n v="9.1340000000000003"/>
    <n v="15"/>
    <n v="14"/>
    <n v="14"/>
    <n v="14"/>
  </r>
  <r>
    <n v="722"/>
    <m/>
    <m/>
    <m/>
    <m/>
    <s v="G25.0"/>
    <s v="Essential tremor"/>
    <x v="273"/>
    <s v="F"/>
    <m/>
    <m/>
    <n v="44.825000000000003"/>
    <n v="43.295999999999999"/>
    <n v="88.593000000000004"/>
    <n v="87.879000000000005"/>
    <n v="74.494"/>
    <n v="73.801000000000002"/>
    <n v="100.63200000000001"/>
    <n v="100.443"/>
    <n v="62.183"/>
    <n v="61.743000000000002"/>
    <n v="37.817"/>
    <n v="38.256999999999998"/>
    <n v="11.435"/>
    <n v="12.394"/>
    <n v="38.256999999999998"/>
    <n v="37.817"/>
    <n v="11.954000000000001"/>
    <n v="15"/>
    <n v="17"/>
    <n v="15"/>
    <n v="15"/>
  </r>
  <r>
    <n v="723"/>
    <m/>
    <m/>
    <m/>
    <m/>
    <s v="G24.3"/>
    <s v="Spasmodic torticollis"/>
    <x v="172"/>
    <s v="F"/>
    <m/>
    <m/>
    <n v="24.067"/>
    <n v="19.254999999999999"/>
    <n v="43.037999999999997"/>
    <n v="43.459000000000003"/>
    <n v="24.620999999999999"/>
    <n v="24.861999999999998"/>
    <n v="69.855000000000004"/>
    <n v="69.289000000000001"/>
    <n v="77.980999999999995"/>
    <n v="76.12"/>
    <n v="22.018999999999998"/>
    <n v="23.88"/>
    <n v="26.530999999999999"/>
    <n v="27.896999999999998"/>
    <n v="23.88"/>
    <n v="22.018999999999998"/>
    <n v="12.134"/>
    <n v="18"/>
    <n v="18"/>
    <n v="18"/>
    <n v="18"/>
  </r>
  <r>
    <n v="724"/>
    <m/>
    <m/>
    <m/>
    <m/>
    <s v="G20"/>
    <s v="Parkinson's disease"/>
    <x v="172"/>
    <s v="M"/>
    <m/>
    <m/>
    <n v="65.450999999999993"/>
    <n v="62.999000000000002"/>
    <n v="128.066"/>
    <n v="129.17500000000001"/>
    <n v="117.66500000000001"/>
    <n v="118.158"/>
    <n v="109.748"/>
    <n v="109.23099999999999"/>
    <n v="60.844000000000001"/>
    <n v="61.267000000000003"/>
    <n v="39.155999999999999"/>
    <n v="38.732999999999997"/>
    <n v="10.606999999999999"/>
    <n v="11.596"/>
    <n v="38.732999999999997"/>
    <n v="39.155999999999999"/>
    <n v="7.7709999999999999"/>
    <n v="13"/>
    <n v="14"/>
    <n v="13"/>
    <n v="13"/>
  </r>
  <r>
    <n v="725"/>
    <m/>
    <m/>
    <m/>
    <m/>
    <s v="G25.3"/>
    <s v="Myoclonus"/>
    <x v="274"/>
    <s v="F"/>
    <m/>
    <m/>
    <n v="56.442999999999998"/>
    <n v="57.415999999999997"/>
    <n v="113.268"/>
    <n v="114.34099999999999"/>
    <n v="103.584"/>
    <n v="103.664"/>
    <n v="110.19"/>
    <n v="108.848"/>
    <n v="60.74"/>
    <n v="63.783000000000001"/>
    <n v="39.26"/>
    <n v="36.216999999999999"/>
    <n v="11.359"/>
    <n v="13.29"/>
    <n v="36.216999999999999"/>
    <n v="39.26"/>
    <n v="13.253"/>
    <n v="15"/>
    <n v="16"/>
    <n v="15"/>
    <n v="15"/>
  </r>
  <r>
    <n v="726"/>
    <m/>
    <m/>
    <m/>
    <m/>
    <s v="G25.0"/>
    <s v="Essential tremor"/>
    <x v="275"/>
    <s v="F"/>
    <m/>
    <m/>
    <n v="62.911999999999999"/>
    <n v="61.904000000000003"/>
    <n v="124.851"/>
    <n v="124.845"/>
    <n v="111.813"/>
    <n v="111.078"/>
    <n v="107.821"/>
    <n v="107.27200000000001"/>
    <n v="64.775000000000006"/>
    <n v="64.442999999999998"/>
    <n v="35.225000000000001"/>
    <n v="35.557000000000002"/>
    <n v="15.191000000000001"/>
    <n v="13.935"/>
    <n v="35.557000000000002"/>
    <n v="35.225000000000001"/>
    <n v="10.115"/>
    <n v="16"/>
    <n v="17"/>
    <n v="16"/>
    <n v="16"/>
  </r>
  <r>
    <n v="727"/>
    <m/>
    <m/>
    <m/>
    <m/>
    <s v="G24.3"/>
    <s v="Spasmodic torticollis"/>
    <x v="276"/>
    <s v="F"/>
    <m/>
    <m/>
    <n v="58.198999999999998"/>
    <n v="56.009"/>
    <n v="113.815"/>
    <n v="114.61499999999999"/>
    <n v="101.753"/>
    <n v="102.834"/>
    <n v="107.586"/>
    <n v="107.44199999999999"/>
    <n v="64.001000000000005"/>
    <n v="63.061"/>
    <n v="35.999000000000002"/>
    <n v="36.939"/>
    <n v="14.221"/>
    <n v="13.319000000000001"/>
    <n v="36.939"/>
    <n v="35.999000000000002"/>
    <n v="14.532999999999999"/>
    <n v="16"/>
    <n v="14"/>
    <n v="14"/>
    <n v="14"/>
  </r>
  <r>
    <n v="728"/>
    <m/>
    <m/>
    <m/>
    <m/>
    <s v="G25.3"/>
    <s v="Myoclonus"/>
    <x v="277"/>
    <s v="F"/>
    <m/>
    <m/>
    <n v="59.420999999999999"/>
    <n v="58.896000000000001"/>
    <n v="118.71299999999999"/>
    <n v="118.212"/>
    <n v="128.73699999999999"/>
    <n v="128.79"/>
    <n v="129.87799999999999"/>
    <n v="130.26900000000001"/>
    <n v="61.728000000000002"/>
    <n v="61.55"/>
    <n v="38.271999999999998"/>
    <n v="38.450000000000003"/>
    <n v="12.378"/>
    <n v="11.07"/>
    <n v="38.450000000000003"/>
    <n v="38.271999999999998"/>
    <n v="10.528"/>
    <n v="24"/>
    <n v="24"/>
    <n v="24"/>
    <n v="24"/>
  </r>
  <r>
    <n v="729"/>
    <m/>
    <m/>
    <m/>
    <m/>
    <s v="G25.0"/>
    <s v="Essential tremor"/>
    <x v="278"/>
    <s v="M"/>
    <m/>
    <m/>
    <n v="62.173999999999999"/>
    <n v="55.384"/>
    <n v="117.952"/>
    <n v="117.861"/>
    <n v="88.221000000000004"/>
    <n v="88.040999999999997"/>
    <n v="89.421000000000006"/>
    <n v="89.15"/>
    <n v="63.024999999999999"/>
    <n v="63.521000000000001"/>
    <n v="36.975000000000001"/>
    <n v="36.478999999999999"/>
    <n v="14.815"/>
    <n v="12.528"/>
    <n v="36.478999999999999"/>
    <n v="36.975000000000001"/>
    <n v="11.757999999999999"/>
    <n v="9"/>
    <n v="9"/>
    <n v="9"/>
    <n v="9"/>
  </r>
  <r>
    <n v="730"/>
    <m/>
    <m/>
    <m/>
    <m/>
    <s v="G20"/>
    <s v="Parkinson's disease"/>
    <x v="162"/>
    <s v="F"/>
    <m/>
    <m/>
    <n v="48.71"/>
    <n v="47.93"/>
    <n v="96.384"/>
    <n v="97.143000000000001"/>
    <n v="89.855000000000004"/>
    <n v="90.376000000000005"/>
    <n v="111.98699999999999"/>
    <n v="111.712"/>
    <n v="64.078999999999994"/>
    <n v="64.326999999999998"/>
    <n v="35.920999999999999"/>
    <n v="35.671999999999997"/>
    <n v="13.43"/>
    <n v="15.417999999999999"/>
    <n v="35.671999999999997"/>
    <n v="35.920999999999999"/>
    <n v="9.2680000000000007"/>
    <n v="17"/>
    <n v="18"/>
    <n v="17"/>
    <n v="17"/>
  </r>
  <r>
    <n v="731"/>
    <m/>
    <m/>
    <m/>
    <m/>
    <s v="G25.0"/>
    <s v="Essential tremor"/>
    <x v="279"/>
    <s v="M"/>
    <m/>
    <m/>
    <n v="34.783999999999999"/>
    <n v="40.728000000000002"/>
    <n v="75.417000000000002"/>
    <n v="75.385000000000005"/>
    <n v="65.881"/>
    <n v="65.563000000000002"/>
    <n v="104.57"/>
    <n v="104.26"/>
    <n v="72.852000000000004"/>
    <n v="60.289000000000001"/>
    <n v="27.148"/>
    <n v="39.710999999999999"/>
    <n v="16.021999999999998"/>
    <n v="17.356999999999999"/>
    <n v="39.710999999999999"/>
    <n v="27.148"/>
    <n v="16.606999999999999"/>
    <n v="14"/>
    <n v="16"/>
    <n v="14"/>
    <n v="14"/>
  </r>
  <r>
    <n v="732"/>
    <m/>
    <m/>
    <m/>
    <m/>
    <s v="G20"/>
    <s v="Parkinson's disease"/>
    <x v="55"/>
    <s v="M"/>
    <m/>
    <m/>
    <n v="54.293999999999997"/>
    <n v="49.497"/>
    <n v="102.714"/>
    <n v="103.075"/>
    <n v="79.19"/>
    <n v="80.47"/>
    <n v="94.320999999999998"/>
    <n v="95.204999999999998"/>
    <n v="64.540999999999997"/>
    <n v="65.709999999999994"/>
    <n v="35.459000000000003"/>
    <n v="34.29"/>
    <n v="14.048"/>
    <n v="16.759"/>
    <n v="34.29"/>
    <n v="35.459000000000003"/>
    <n v="19.260000000000002"/>
    <n v="17"/>
    <n v="14"/>
    <n v="14"/>
    <n v="14"/>
  </r>
  <r>
    <n v="733"/>
    <m/>
    <m/>
    <m/>
    <m/>
    <s v="G25.0"/>
    <s v="Essential tremor"/>
    <x v="280"/>
    <s v="M"/>
    <m/>
    <m/>
    <n v="58.09"/>
    <n v="57.253999999999998"/>
    <n v="115.4"/>
    <n v="114.89700000000001"/>
    <n v="101.85"/>
    <n v="101.51600000000001"/>
    <n v="105.741"/>
    <n v="105.73699999999999"/>
    <n v="61.154000000000003"/>
    <n v="61.783000000000001"/>
    <n v="38.845999999999997"/>
    <n v="38.216999999999999"/>
    <n v="13.377000000000001"/>
    <n v="9.9339999999999993"/>
    <n v="38.216999999999999"/>
    <n v="38.845999999999997"/>
    <n v="8.5549999999999997"/>
    <n v="13"/>
    <n v="13"/>
    <n v="13"/>
    <n v="13"/>
  </r>
  <r>
    <n v="734"/>
    <m/>
    <m/>
    <m/>
    <m/>
    <s v="NA"/>
    <s v="NA"/>
    <x v="35"/>
    <s v="NA"/>
    <m/>
    <m/>
    <n v="54.470999999999997"/>
    <n v="55.267000000000003"/>
    <n v="110.021"/>
    <n v="109.73699999999999"/>
    <n v="96.980999999999995"/>
    <n v="97.344999999999999"/>
    <n v="106.288"/>
    <n v="105.97"/>
    <n v="63.776000000000003"/>
    <n v="62.89"/>
    <n v="36.223999999999997"/>
    <n v="37.11"/>
    <n v="13.227"/>
    <n v="13.933"/>
    <n v="37.11"/>
    <n v="36.223999999999997"/>
    <n v="10.74"/>
    <n v="18"/>
    <n v="16"/>
    <n v="16"/>
    <n v="16"/>
  </r>
  <r>
    <n v="735"/>
    <m/>
    <m/>
    <m/>
    <m/>
    <s v="G20"/>
    <s v="Parkinson's disease"/>
    <x v="239"/>
    <s v="M"/>
    <m/>
    <m/>
    <n v="59.177999999999997"/>
    <n v="70.497"/>
    <n v="129.43299999999999"/>
    <n v="129.642"/>
    <n v="106.85599999999999"/>
    <n v="107.455"/>
    <n v="99.004999999999995"/>
    <n v="99.043999999999997"/>
    <n v="60.923000000000002"/>
    <n v="61.828000000000003"/>
    <n v="39.076999999999998"/>
    <n v="38.171999999999997"/>
    <n v="10.423999999999999"/>
    <n v="12.492000000000001"/>
    <n v="38.171999999999997"/>
    <n v="39.076999999999998"/>
    <n v="11.643000000000001"/>
    <n v="12"/>
    <n v="12"/>
    <n v="12"/>
    <n v="12"/>
  </r>
  <r>
    <n v="736"/>
    <m/>
    <m/>
    <m/>
    <m/>
    <s v="G25.0"/>
    <s v="Essential tremor"/>
    <x v="39"/>
    <s v="F"/>
    <m/>
    <m/>
    <n v="44.524999999999999"/>
    <n v="46.966000000000001"/>
    <n v="91.858000000000004"/>
    <n v="91.364000000000004"/>
    <n v="68.927000000000007"/>
    <n v="68.673000000000002"/>
    <n v="89.448999999999998"/>
    <n v="89.822000000000003"/>
    <n v="68.486000000000004"/>
    <n v="67.007999999999996"/>
    <n v="31.513999999999999"/>
    <n v="32.991999999999997"/>
    <n v="17.058"/>
    <n v="17.571000000000002"/>
    <n v="32.991999999999997"/>
    <n v="31.513999999999999"/>
    <n v="7.7080000000000002"/>
    <n v="13"/>
    <n v="13"/>
    <n v="13"/>
    <n v="13"/>
  </r>
  <r>
    <n v="737"/>
    <m/>
    <m/>
    <m/>
    <m/>
    <s v="G25.2"/>
    <s v="Other specified forms of tremor"/>
    <x v="195"/>
    <s v="F"/>
    <m/>
    <m/>
    <n v="43.338000000000001"/>
    <n v="40.137999999999998"/>
    <n v="84.102999999999994"/>
    <n v="83.468000000000004"/>
    <n v="65.411000000000001"/>
    <n v="64.951999999999998"/>
    <n v="93.91"/>
    <n v="93.674000000000007"/>
    <n v="64.453000000000003"/>
    <n v="65.814999999999998"/>
    <n v="35.546999999999997"/>
    <n v="34.185000000000002"/>
    <n v="15.896000000000001"/>
    <n v="13.811"/>
    <n v="34.185000000000002"/>
    <n v="35.546999999999997"/>
    <n v="12.406000000000001"/>
    <n v="16"/>
    <n v="19"/>
    <n v="16"/>
    <n v="16"/>
  </r>
  <r>
    <n v="738"/>
    <m/>
    <m/>
    <m/>
    <m/>
    <s v="G25.0"/>
    <s v="Essential tremor"/>
    <x v="281"/>
    <s v="F"/>
    <m/>
    <m/>
    <n v="40.895000000000003"/>
    <n v="37.186999999999998"/>
    <n v="78.629000000000005"/>
    <n v="78.381"/>
    <n v="63.819000000000003"/>
    <n v="64.119"/>
    <n v="97.911000000000001"/>
    <n v="97.796999999999997"/>
    <n v="66.977000000000004"/>
    <n v="68.385000000000005"/>
    <n v="33.023000000000003"/>
    <n v="31.614999999999998"/>
    <n v="18.914000000000001"/>
    <n v="16.745000000000001"/>
    <n v="31.614999999999998"/>
    <n v="33.023000000000003"/>
    <n v="17.103999999999999"/>
    <n v="16"/>
    <n v="16"/>
    <n v="16"/>
    <n v="16"/>
  </r>
  <r>
    <n v="739"/>
    <m/>
    <m/>
    <m/>
    <m/>
    <s v="NA"/>
    <s v="NA"/>
    <x v="35"/>
    <s v="NA"/>
    <m/>
    <m/>
    <n v="67.486999999999995"/>
    <n v="59.488999999999997"/>
    <n v="127.14700000000001"/>
    <n v="126.886"/>
    <n v="119.035"/>
    <n v="118.80500000000001"/>
    <n v="112.51600000000001"/>
    <n v="112.251"/>
    <n v="63.408999999999999"/>
    <n v="62.993000000000002"/>
    <n v="36.591000000000001"/>
    <n v="37.006999999999998"/>
    <n v="11.813000000000001"/>
    <n v="15.071"/>
    <n v="37.006999999999998"/>
    <n v="36.591000000000001"/>
    <n v="9.5920000000000005"/>
    <n v="17"/>
    <n v="12"/>
    <n v="12"/>
    <n v="12"/>
  </r>
  <r>
    <n v="740"/>
    <m/>
    <m/>
    <m/>
    <m/>
    <s v="NA"/>
    <s v="NA"/>
    <x v="35"/>
    <s v="NA"/>
    <m/>
    <m/>
    <n v="36.764000000000003"/>
    <n v="41.137"/>
    <n v="78.378"/>
    <n v="77.581000000000003"/>
    <n v="47.445"/>
    <n v="47.984999999999999"/>
    <n v="72.650000000000006"/>
    <n v="73.686999999999998"/>
    <n v="65.48"/>
    <n v="72.125"/>
    <n v="34.520000000000003"/>
    <n v="27.875"/>
    <n v="15.794"/>
    <n v="21.721"/>
    <n v="27.875"/>
    <n v="34.520000000000003"/>
    <n v="18.783000000000001"/>
    <n v="15"/>
    <n v="14"/>
    <n v="14"/>
    <n v="14"/>
  </r>
  <r>
    <n v="741"/>
    <m/>
    <m/>
    <m/>
    <m/>
    <s v="NA"/>
    <s v="NA"/>
    <x v="35"/>
    <s v="NA"/>
    <m/>
    <m/>
    <n v="41.176000000000002"/>
    <n v="43.496000000000002"/>
    <n v="85.066000000000003"/>
    <n v="84.343000000000004"/>
    <n v="67.741"/>
    <n v="67.561999999999998"/>
    <n v="95.278000000000006"/>
    <n v="95.528999999999996"/>
    <n v="68.322000000000003"/>
    <n v="66.688000000000002"/>
    <n v="31.678000000000001"/>
    <n v="33.311999999999998"/>
    <n v="18.117999999999999"/>
    <n v="16.579999999999998"/>
    <n v="33.311999999999998"/>
    <n v="31.678000000000001"/>
    <n v="12.574999999999999"/>
    <n v="14"/>
    <n v="15"/>
    <n v="14"/>
    <n v="14"/>
  </r>
  <r>
    <n v="742"/>
    <m/>
    <m/>
    <m/>
    <m/>
    <s v="R27.0"/>
    <s v="Ataxia, unspecified"/>
    <x v="282"/>
    <s v="F"/>
    <m/>
    <m/>
    <n v="37.07"/>
    <n v="39.914000000000001"/>
    <n v="77.62"/>
    <n v="76.528000000000006"/>
    <n v="61.643999999999998"/>
    <n v="60.506"/>
    <n v="95.346999999999994"/>
    <n v="95.266000000000005"/>
    <n v="70.503"/>
    <n v="67.043999999999997"/>
    <n v="29.497"/>
    <n v="32.956000000000003"/>
    <n v="17.349"/>
    <n v="21.065000000000001"/>
    <n v="32.956000000000003"/>
    <n v="29.497"/>
    <n v="14.821999999999999"/>
    <n v="14"/>
    <n v="14"/>
    <n v="14"/>
    <n v="14"/>
  </r>
  <r>
    <n v="743"/>
    <m/>
    <m/>
    <m/>
    <m/>
    <s v="G20"/>
    <s v="Parkinson's disease"/>
    <x v="266"/>
    <s v="M"/>
    <m/>
    <m/>
    <n v="59.037999999999997"/>
    <n v="62.743000000000002"/>
    <n v="122.25"/>
    <n v="122.258"/>
    <n v="105.298"/>
    <n v="106.321"/>
    <n v="102.971"/>
    <n v="104.14100000000001"/>
    <n v="63.743000000000002"/>
    <n v="63.375"/>
    <n v="36.256999999999998"/>
    <n v="36.625"/>
    <n v="14.066000000000001"/>
    <n v="13.613"/>
    <n v="36.625"/>
    <n v="36.256999999999998"/>
    <n v="16.324999999999999"/>
    <n v="16"/>
    <n v="12"/>
    <n v="12"/>
    <n v="12"/>
  </r>
  <r>
    <n v="744"/>
    <m/>
    <m/>
    <m/>
    <m/>
    <s v="G25.0"/>
    <s v="Essential tremor"/>
    <x v="69"/>
    <s v="M"/>
    <m/>
    <m/>
    <n v="66.540999999999997"/>
    <n v="63.628999999999998"/>
    <n v="130.41"/>
    <n v="130.53399999999999"/>
    <n v="117.14700000000001"/>
    <n v="116.979"/>
    <n v="107.36199999999999"/>
    <n v="107.345"/>
    <n v="63.787999999999997"/>
    <n v="63.914000000000001"/>
    <n v="36.212000000000003"/>
    <n v="36.085999999999999"/>
    <n v="15.026999999999999"/>
    <n v="12.419"/>
    <n v="36.085999999999999"/>
    <n v="36.212000000000003"/>
    <n v="11.382999999999999"/>
    <n v="12"/>
    <n v="12"/>
    <n v="12"/>
    <n v="12"/>
  </r>
  <r>
    <n v="745"/>
    <m/>
    <m/>
    <m/>
    <m/>
    <s v="G24.9"/>
    <s v="Dystonia, unspecified"/>
    <x v="283"/>
    <s v="F"/>
    <m/>
    <m/>
    <s v="NA"/>
    <s v="NA"/>
    <s v="NA"/>
    <s v="NA"/>
    <s v="NA"/>
    <s v="NA"/>
    <s v="NA"/>
    <s v="NA"/>
    <s v="NA"/>
    <s v="NA"/>
    <s v="NA"/>
    <s v="NA"/>
    <s v="NA"/>
    <s v="NA"/>
    <s v="NA"/>
    <s v="NA"/>
    <s v="NA"/>
    <s v="NA"/>
    <s v="NA"/>
    <s v="NA"/>
    <s v="NA"/>
  </r>
  <r>
    <n v="746"/>
    <m/>
    <m/>
    <m/>
    <m/>
    <s v="R25.1"/>
    <s v="Tremor, unspecified"/>
    <x v="243"/>
    <s v="F"/>
    <m/>
    <m/>
    <n v="48.847999999999999"/>
    <n v="46.93"/>
    <n v="95.320999999999998"/>
    <n v="96.394999999999996"/>
    <n v="91.47"/>
    <n v="92.879000000000005"/>
    <n v="114.343"/>
    <n v="114.827"/>
    <n v="62.088999999999999"/>
    <n v="61.256999999999998"/>
    <n v="37.911000000000001"/>
    <n v="38.743000000000002"/>
    <n v="12.387"/>
    <n v="11.346"/>
    <n v="38.743000000000002"/>
    <n v="37.911000000000001"/>
    <n v="11.09"/>
    <n v="13"/>
    <n v="13"/>
    <n v="13"/>
    <n v="13"/>
  </r>
  <r>
    <n v="747"/>
    <m/>
    <m/>
    <m/>
    <m/>
    <s v="R25.1"/>
    <s v="Tremor, unspecified"/>
    <x v="284"/>
    <s v="M"/>
    <m/>
    <m/>
    <n v="48.771999999999998"/>
    <n v="48"/>
    <n v="97.084000000000003"/>
    <n v="96.718999999999994"/>
    <n v="93.501999999999995"/>
    <n v="93.394000000000005"/>
    <n v="115.532"/>
    <n v="115.626"/>
    <n v="59.953000000000003"/>
    <n v="61.277999999999999"/>
    <n v="40.046999999999997"/>
    <n v="38.722000000000001"/>
    <n v="10.199999999999999"/>
    <n v="11.324999999999999"/>
    <n v="38.722000000000001"/>
    <n v="40.046999999999997"/>
    <n v="11.09"/>
    <n v="15"/>
    <n v="14"/>
    <n v="14"/>
    <n v="14"/>
  </r>
  <r>
    <n v="748"/>
    <m/>
    <m/>
    <m/>
    <m/>
    <s v="R25.1"/>
    <s v="Tremor, unspecified"/>
    <x v="185"/>
    <s v="F"/>
    <m/>
    <m/>
    <n v="52.344999999999999"/>
    <n v="51.146999999999998"/>
    <n v="102.90900000000001"/>
    <n v="104.39400000000001"/>
    <n v="93.319000000000003"/>
    <n v="94.471000000000004"/>
    <n v="109.283"/>
    <n v="108.666"/>
    <n v="63.828000000000003"/>
    <n v="63.305"/>
    <n v="36.171999999999997"/>
    <n v="36.695"/>
    <n v="13.372999999999999"/>
    <n v="15.162000000000001"/>
    <n v="36.695"/>
    <n v="36.171999999999997"/>
    <n v="20.603999999999999"/>
    <n v="12"/>
    <n v="11"/>
    <n v="11"/>
    <n v="11"/>
  </r>
  <r>
    <n v="749"/>
    <m/>
    <m/>
    <m/>
    <m/>
    <s v="G20"/>
    <s v="Parkinson's disease"/>
    <x v="210"/>
    <s v="M"/>
    <m/>
    <m/>
    <n v="68.552999999999997"/>
    <n v="69.775999999999996"/>
    <n v="136.59100000000001"/>
    <n v="139.19399999999999"/>
    <n v="136.67500000000001"/>
    <n v="136.69999999999999"/>
    <n v="118.547"/>
    <n v="117.661"/>
    <n v="62.564"/>
    <n v="60.988999999999997"/>
    <n v="37.436"/>
    <n v="39.011000000000003"/>
    <n v="13.994"/>
    <n v="8.9589999999999996"/>
    <n v="39.011000000000003"/>
    <n v="37.436"/>
    <n v="8.0440000000000005"/>
    <n v="6"/>
    <n v="9"/>
    <n v="6"/>
    <n v="6"/>
  </r>
  <r>
    <n v="750"/>
    <m/>
    <m/>
    <m/>
    <m/>
    <s v="G20"/>
    <s v="Parkinson's disease"/>
    <x v="85"/>
    <s v="M"/>
    <m/>
    <m/>
    <n v="56.877000000000002"/>
    <n v="57.978000000000002"/>
    <n v="114.879"/>
    <n v="114.678"/>
    <n v="94.974000000000004"/>
    <n v="95.078000000000003"/>
    <n v="98.866"/>
    <n v="99.224000000000004"/>
    <n v="63.277000000000001"/>
    <n v="63.889000000000003"/>
    <n v="36.722999999999999"/>
    <n v="36.110999999999997"/>
    <n v="13.785"/>
    <n v="13.43"/>
    <n v="36.110999999999997"/>
    <n v="36.722999999999999"/>
    <n v="7.77"/>
    <n v="10"/>
    <n v="12"/>
    <n v="10"/>
    <n v="10"/>
  </r>
  <r>
    <n v="751"/>
    <m/>
    <m/>
    <m/>
    <m/>
    <s v="G20"/>
    <s v="Parkinson's disease"/>
    <x v="285"/>
    <s v="M"/>
    <m/>
    <m/>
    <n v="75.064999999999998"/>
    <n v="73.290000000000006"/>
    <n v="148.822"/>
    <n v="148.18100000000001"/>
    <n v="153.357"/>
    <n v="153.44200000000001"/>
    <n v="123.122"/>
    <n v="122.947"/>
    <n v="59.968000000000004"/>
    <n v="59.341999999999999"/>
    <n v="40.031999999999996"/>
    <n v="40.658000000000001"/>
    <n v="9.6769999999999996"/>
    <n v="10.705"/>
    <n v="40.658000000000001"/>
    <n v="40.031999999999996"/>
    <n v="3.0259999999999998"/>
    <n v="6"/>
    <n v="9"/>
    <n v="6"/>
    <n v="6"/>
  </r>
  <r>
    <n v="752"/>
    <m/>
    <m/>
    <m/>
    <m/>
    <s v="G20"/>
    <s v="Parkinson's disease"/>
    <x v="176"/>
    <s v="M"/>
    <m/>
    <m/>
    <n v="59.895000000000003"/>
    <n v="51.722000000000001"/>
    <n v="110.55800000000001"/>
    <n v="112.67"/>
    <n v="108.41500000000001"/>
    <n v="110.58499999999999"/>
    <n v="117.732"/>
    <n v="118.364"/>
    <n v="61.136000000000003"/>
    <n v="60.884999999999998"/>
    <n v="38.863999999999997"/>
    <n v="39.115000000000002"/>
    <n v="11.629"/>
    <n v="11.012"/>
    <n v="39.115000000000002"/>
    <n v="38.863999999999997"/>
    <n v="12.311999999999999"/>
    <n v="9"/>
    <n v="10"/>
    <n v="9"/>
    <n v="9"/>
  </r>
  <r>
    <n v="753"/>
    <m/>
    <m/>
    <m/>
    <m/>
    <s v="G20"/>
    <s v="Parkinson's disease"/>
    <x v="153"/>
    <s v="M"/>
    <m/>
    <m/>
    <s v="NA"/>
    <s v="NA"/>
    <s v="NA"/>
    <s v="NA"/>
    <s v="NA"/>
    <s v="NA"/>
    <s v="NA"/>
    <s v="NA"/>
    <s v="NA"/>
    <s v="NA"/>
    <s v="NA"/>
    <s v="NA"/>
    <s v="NA"/>
    <s v="NA"/>
    <s v="NA"/>
    <s v="NA"/>
    <s v="NA"/>
    <s v="NA"/>
    <s v="NA"/>
    <s v="NA"/>
    <s v="NA"/>
  </r>
  <r>
    <n v="754"/>
    <m/>
    <m/>
    <m/>
    <m/>
    <s v="G20"/>
    <s v="Parkinson's disease"/>
    <x v="286"/>
    <s v="M"/>
    <m/>
    <m/>
    <n v="34.396000000000001"/>
    <n v="38.658999999999999"/>
    <n v="73.441999999999993"/>
    <n v="72.105000000000004"/>
    <n v="76.716999999999999"/>
    <n v="76.852999999999994"/>
    <n v="127.191"/>
    <n v="127.589"/>
    <n v="65.072999999999993"/>
    <n v="60.73"/>
    <n v="34.927"/>
    <n v="39.270000000000003"/>
    <n v="16.321000000000002"/>
    <n v="9.0960000000000001"/>
    <n v="39.270000000000003"/>
    <n v="34.927"/>
    <n v="10.532"/>
    <n v="15"/>
    <n v="16"/>
    <n v="15"/>
    <n v="15"/>
  </r>
  <r>
    <n v="755"/>
    <m/>
    <m/>
    <m/>
    <m/>
    <s v="NA"/>
    <s v="NA"/>
    <x v="35"/>
    <s v="NA"/>
    <m/>
    <m/>
    <n v="55.082999999999998"/>
    <n v="47.816000000000003"/>
    <n v="103.38800000000001"/>
    <n v="102.89700000000001"/>
    <n v="89.703999999999994"/>
    <n v="89.588999999999999"/>
    <n v="103.398"/>
    <n v="103.78700000000001"/>
    <n v="63.777999999999999"/>
    <n v="64.957999999999998"/>
    <n v="36.222000000000001"/>
    <n v="35.042000000000002"/>
    <n v="14.01"/>
    <n v="14.919"/>
    <n v="35.042000000000002"/>
    <n v="36.222000000000001"/>
    <n v="8.5540000000000003"/>
    <n v="11"/>
    <n v="11"/>
    <n v="11"/>
    <n v="11"/>
  </r>
  <r>
    <n v="756"/>
    <m/>
    <m/>
    <m/>
    <m/>
    <s v="G20"/>
    <s v="Parkinson's disease"/>
    <x v="219"/>
    <s v="F"/>
    <m/>
    <m/>
    <n v="56.767000000000003"/>
    <n v="51.527999999999999"/>
    <n v="108.751"/>
    <n v="108.661"/>
    <n v="92.566000000000003"/>
    <n v="93.114999999999995"/>
    <n v="102.078"/>
    <n v="102.38"/>
    <n v="65.965999999999994"/>
    <n v="64.552999999999997"/>
    <n v="34.033999999999999"/>
    <n v="35.448"/>
    <n v="14.407999999999999"/>
    <n v="17.033000000000001"/>
    <n v="35.448"/>
    <n v="34.033999999999999"/>
    <n v="13.94"/>
    <n v="10"/>
    <n v="10"/>
    <n v="10"/>
    <n v="10"/>
  </r>
  <r>
    <n v="757"/>
    <m/>
    <m/>
    <m/>
    <m/>
    <s v="NA"/>
    <s v="NA"/>
    <x v="35"/>
    <s v="NA"/>
    <m/>
    <m/>
    <s v="NA"/>
    <s v="NA"/>
    <s v="NA"/>
    <s v="NA"/>
    <s v="NA"/>
    <s v="NA"/>
    <s v="NA"/>
    <s v="NA"/>
    <s v="NA"/>
    <s v="NA"/>
    <s v="NA"/>
    <s v="NA"/>
    <s v="NA"/>
    <s v="NA"/>
    <s v="NA"/>
    <s v="NA"/>
    <s v="NA"/>
    <s v="NA"/>
    <s v="NA"/>
    <s v="NA"/>
    <s v="NA"/>
  </r>
  <r>
    <n v="758"/>
    <m/>
    <m/>
    <m/>
    <m/>
    <s v="G20"/>
    <s v="Parkinson's disease"/>
    <x v="183"/>
    <s v="F"/>
    <m/>
    <m/>
    <n v="47.177"/>
    <n v="55.683999999999997"/>
    <n v="103.887"/>
    <n v="103.24"/>
    <n v="103.58799999999999"/>
    <n v="104.11799999999999"/>
    <n v="119.31100000000001"/>
    <n v="120.377"/>
    <n v="65.113"/>
    <n v="60.261000000000003"/>
    <n v="34.887"/>
    <n v="39.738999999999997"/>
    <n v="13.795999999999999"/>
    <n v="11.759"/>
    <n v="39.738999999999997"/>
    <n v="34.887"/>
    <n v="10.766"/>
    <n v="12"/>
    <n v="13"/>
    <n v="12"/>
    <n v="12"/>
  </r>
  <r>
    <n v="759"/>
    <m/>
    <m/>
    <m/>
    <m/>
    <s v="G20"/>
    <s v="Parkinson's disease"/>
    <x v="12"/>
    <s v="F"/>
    <m/>
    <m/>
    <s v="NA"/>
    <s v="NA"/>
    <s v="NA"/>
    <s v="NA"/>
    <s v="NA"/>
    <s v="NA"/>
    <s v="NA"/>
    <s v="NA"/>
    <s v="NA"/>
    <s v="NA"/>
    <s v="NA"/>
    <s v="NA"/>
    <s v="NA"/>
    <s v="NA"/>
    <s v="NA"/>
    <s v="NA"/>
    <s v="NA"/>
    <s v="NA"/>
    <s v="NA"/>
    <s v="NA"/>
    <s v="NA"/>
  </r>
  <r>
    <n v="760"/>
    <m/>
    <m/>
    <m/>
    <m/>
    <s v="G20"/>
    <s v="Parkinson's disease"/>
    <x v="204"/>
    <s v="M"/>
    <m/>
    <m/>
    <n v="61.962000000000003"/>
    <n v="54.511000000000003"/>
    <n v="115.95699999999999"/>
    <n v="117.565"/>
    <n v="110.40600000000001"/>
    <n v="112.128"/>
    <n v="113.267"/>
    <n v="113.324"/>
    <n v="62.392000000000003"/>
    <n v="59.084000000000003"/>
    <n v="37.607999999999997"/>
    <n v="40.915999999999997"/>
    <n v="11.36"/>
    <n v="10.459"/>
    <n v="40.915999999999997"/>
    <n v="37.607999999999997"/>
    <n v="6.7060000000000004"/>
    <n v="11"/>
    <n v="10"/>
    <n v="10"/>
    <n v="10"/>
  </r>
  <r>
    <n v="761"/>
    <m/>
    <m/>
    <m/>
    <m/>
    <s v="NA"/>
    <s v="NA"/>
    <x v="242"/>
    <s v="F"/>
    <m/>
    <m/>
    <s v="NA"/>
    <s v="NA"/>
    <s v="NA"/>
    <s v="NA"/>
    <s v="NA"/>
    <s v="NA"/>
    <s v="NA"/>
    <s v="NA"/>
    <s v="NA"/>
    <s v="NA"/>
    <s v="NA"/>
    <s v="NA"/>
    <s v="NA"/>
    <s v="NA"/>
    <s v="NA"/>
    <s v="NA"/>
    <s v="NA"/>
    <s v="NA"/>
    <s v="NA"/>
    <s v="NA"/>
    <s v="NA"/>
  </r>
  <r>
    <n v="762"/>
    <m/>
    <m/>
    <m/>
    <m/>
    <s v="G20"/>
    <s v="Parkinson's disease"/>
    <x v="83"/>
    <s v="M"/>
    <m/>
    <m/>
    <n v="44.773000000000003"/>
    <n v="45.661999999999999"/>
    <n v="90.281000000000006"/>
    <n v="90.340999999999994"/>
    <n v="102.206"/>
    <n v="102.01900000000001"/>
    <n v="135.446"/>
    <n v="136.05500000000001"/>
    <n v="62.924999999999997"/>
    <n v="62.969000000000001"/>
    <n v="37.075000000000003"/>
    <n v="37.030999999999999"/>
    <n v="11.269"/>
    <n v="13.928000000000001"/>
    <n v="37.030999999999999"/>
    <n v="37.075000000000003"/>
    <n v="7.3079999999999998"/>
    <n v="13"/>
    <n v="13"/>
    <n v="13"/>
    <n v="13"/>
  </r>
  <r>
    <n v="763"/>
    <m/>
    <m/>
    <m/>
    <m/>
    <s v="G20"/>
    <s v="Parkinson's disease"/>
    <x v="263"/>
    <s v="M"/>
    <m/>
    <m/>
    <n v="61.369"/>
    <n v="59.932000000000002"/>
    <n v="121.05800000000001"/>
    <n v="121.85299999999999"/>
    <n v="111.89700000000001"/>
    <n v="112.30500000000001"/>
    <n v="110.45699999999999"/>
    <n v="110.31"/>
    <n v="63.5"/>
    <n v="62.81"/>
    <n v="36.5"/>
    <n v="37.19"/>
    <n v="13.422000000000001"/>
    <n v="12.680999999999999"/>
    <n v="37.19"/>
    <n v="36.5"/>
    <n v="12.976000000000001"/>
    <n v="10"/>
    <n v="9"/>
    <n v="9"/>
    <n v="9"/>
  </r>
  <r>
    <n v="764"/>
    <m/>
    <m/>
    <m/>
    <m/>
    <s v="G20"/>
    <s v="Parkinson's disease"/>
    <x v="39"/>
    <s v="M"/>
    <m/>
    <m/>
    <s v="NA"/>
    <s v="NA"/>
    <s v="NA"/>
    <s v="NA"/>
    <s v="NA"/>
    <s v="NA"/>
    <s v="NA"/>
    <s v="NA"/>
    <s v="NA"/>
    <s v="NA"/>
    <s v="NA"/>
    <s v="NA"/>
    <s v="NA"/>
    <s v="NA"/>
    <s v="NA"/>
    <s v="NA"/>
    <s v="NA"/>
    <s v="NA"/>
    <s v="NA"/>
    <s v="NA"/>
    <s v="NA"/>
  </r>
  <r>
    <n v="765"/>
    <m/>
    <m/>
    <m/>
    <m/>
    <s v="R25.1"/>
    <s v="Tremor, unspecified"/>
    <x v="287"/>
    <s v="M"/>
    <m/>
    <m/>
    <s v="NA"/>
    <s v="NA"/>
    <s v="NA"/>
    <s v="NA"/>
    <s v="NA"/>
    <s v="NA"/>
    <s v="NA"/>
    <s v="NA"/>
    <s v="NA"/>
    <s v="NA"/>
    <s v="NA"/>
    <s v="NA"/>
    <s v="NA"/>
    <s v="NA"/>
    <s v="NA"/>
    <s v="NA"/>
    <s v="NA"/>
    <s v="NA"/>
    <s v="NA"/>
    <s v="NA"/>
    <s v="NA"/>
  </r>
  <r>
    <n v="766"/>
    <m/>
    <m/>
    <m/>
    <m/>
    <s v="G20"/>
    <s v="Parkinson's disease"/>
    <x v="288"/>
    <s v="M"/>
    <m/>
    <m/>
    <n v="48.472999999999999"/>
    <n v="45.82"/>
    <n v="93.159000000000006"/>
    <n v="95.028999999999996"/>
    <n v="76.242000000000004"/>
    <n v="76.218999999999994"/>
    <n v="100.26"/>
    <n v="97.872"/>
    <n v="63.536000000000001"/>
    <n v="62.17"/>
    <n v="36.463999999999999"/>
    <n v="37.83"/>
    <n v="13.102"/>
    <n v="13.914"/>
    <n v="37.83"/>
    <n v="36.463999999999999"/>
    <n v="11.46"/>
    <n v="10"/>
    <n v="13"/>
    <n v="10"/>
    <n v="10"/>
  </r>
  <r>
    <n v="767"/>
    <m/>
    <m/>
    <m/>
    <m/>
    <s v="G20"/>
    <s v="Parkinson's disease"/>
    <x v="188"/>
    <s v="F"/>
    <m/>
    <m/>
    <n v="4.3689999999999998"/>
    <n v="1.0289999999999999"/>
    <n v="5.0209999999999999"/>
    <n v="5.3029999999999999"/>
    <n v="3.8889999999999998"/>
    <n v="3.681"/>
    <n v="84.355000000000004"/>
    <n v="76.626000000000005"/>
    <n v="86.331999999999994"/>
    <n v="85.936000000000007"/>
    <n v="13.667999999999999"/>
    <n v="14.064"/>
    <n v="35.838999999999999"/>
    <n v="39.103000000000002"/>
    <n v="14.064"/>
    <n v="13.667999999999999"/>
    <n v="10.707000000000001"/>
    <n v="9"/>
    <n v="9"/>
    <n v="9"/>
    <n v="9"/>
  </r>
  <r>
    <n v="768"/>
    <m/>
    <m/>
    <m/>
    <m/>
    <s v="NA"/>
    <s v="NA"/>
    <x v="289"/>
    <s v="M"/>
    <m/>
    <m/>
    <s v="NA"/>
    <s v="NA"/>
    <s v="NA"/>
    <s v="NA"/>
    <s v="NA"/>
    <s v="NA"/>
    <s v="NA"/>
    <s v="NA"/>
    <s v="NA"/>
    <s v="NA"/>
    <s v="NA"/>
    <s v="NA"/>
    <s v="NA"/>
    <s v="NA"/>
    <s v="NA"/>
    <s v="NA"/>
    <s v="NA"/>
    <s v="NA"/>
    <s v="NA"/>
    <s v="NA"/>
    <s v="NA"/>
  </r>
  <r>
    <n v="769"/>
    <m/>
    <m/>
    <m/>
    <m/>
    <s v="G20"/>
    <s v="Parkinson's disease"/>
    <x v="258"/>
    <s v="M"/>
    <m/>
    <m/>
    <n v="65.796000000000006"/>
    <n v="69.105000000000004"/>
    <n v="135.12200000000001"/>
    <n v="134.88399999999999"/>
    <n v="125.86199999999999"/>
    <n v="125.18300000000001"/>
    <n v="111.255"/>
    <n v="111.068"/>
    <n v="60.13"/>
    <n v="60.682000000000002"/>
    <n v="39.869999999999997"/>
    <n v="39.317"/>
    <n v="9.8420000000000005"/>
    <n v="10.340999999999999"/>
    <n v="39.317"/>
    <n v="39.869999999999997"/>
    <n v="7.0119999999999996"/>
    <n v="8"/>
    <n v="10"/>
    <n v="8"/>
    <n v="8"/>
  </r>
  <r>
    <n v="770"/>
    <m/>
    <m/>
    <m/>
    <m/>
    <s v="NA"/>
    <s v="NA"/>
    <x v="168"/>
    <s v="M"/>
    <m/>
    <m/>
    <s v="NA"/>
    <s v="NA"/>
    <s v="NA"/>
    <s v="NA"/>
    <s v="NA"/>
    <s v="NA"/>
    <s v="NA"/>
    <s v="NA"/>
    <s v="NA"/>
    <s v="NA"/>
    <s v="NA"/>
    <s v="NA"/>
    <s v="NA"/>
    <s v="NA"/>
    <s v="NA"/>
    <s v="NA"/>
    <s v="NA"/>
    <s v="NA"/>
    <s v="NA"/>
    <s v="NA"/>
    <s v="NA"/>
  </r>
  <r>
    <n v="771"/>
    <m/>
    <m/>
    <m/>
    <m/>
    <s v="G20"/>
    <s v="Parkinson's disease"/>
    <x v="290"/>
    <s v="M"/>
    <m/>
    <m/>
    <n v="62.57"/>
    <n v="62.161999999999999"/>
    <n v="125.256"/>
    <n v="124.346"/>
    <n v="122.294"/>
    <n v="121.642"/>
    <n v="117.114"/>
    <n v="116.999"/>
    <n v="62.064999999999998"/>
    <n v="62.148000000000003"/>
    <n v="37.935000000000002"/>
    <n v="37.851999999999997"/>
    <n v="11.737"/>
    <n v="12.592000000000001"/>
    <n v="37.851999999999997"/>
    <n v="37.935000000000002"/>
    <n v="10.968"/>
    <n v="9"/>
    <n v="10"/>
    <n v="9"/>
    <n v="9"/>
  </r>
  <r>
    <n v="772"/>
    <m/>
    <m/>
    <m/>
    <m/>
    <s v="G20"/>
    <s v="Parkinson's disease"/>
    <x v="291"/>
    <s v="M"/>
    <m/>
    <m/>
    <n v="37.463000000000001"/>
    <n v="44.51"/>
    <n v="82.031999999999996"/>
    <n v="81.516999999999996"/>
    <n v="74.027000000000001"/>
    <n v="74.08"/>
    <n v="110.148"/>
    <n v="110.235"/>
    <n v="63.917999999999999"/>
    <n v="63.572000000000003"/>
    <n v="36.082000000000001"/>
    <n v="36.427999999999997"/>
    <n v="11.478"/>
    <n v="15.686"/>
    <n v="36.427999999999997"/>
    <n v="36.082000000000001"/>
    <n v="7.0650000000000004"/>
    <n v="10"/>
    <n v="10"/>
    <n v="10"/>
    <n v="10"/>
  </r>
  <r>
    <n v="773"/>
    <m/>
    <m/>
    <m/>
    <m/>
    <s v="G20"/>
    <s v="Parkinson's disease"/>
    <x v="292"/>
    <s v="M"/>
    <m/>
    <m/>
    <n v="48.503999999999998"/>
    <n v="49.039000000000001"/>
    <n v="97.748000000000005"/>
    <n v="97.983999999999995"/>
    <n v="70.081000000000003"/>
    <n v="70.087000000000003"/>
    <n v="85.605999999999995"/>
    <n v="84.835999999999999"/>
    <n v="66.67"/>
    <n v="65.185000000000002"/>
    <n v="33.33"/>
    <n v="34.814999999999998"/>
    <n v="14.278"/>
    <n v="17.199000000000002"/>
    <n v="34.814999999999998"/>
    <n v="33.33"/>
    <n v="8.4619999999999997"/>
    <n v="10"/>
    <n v="8"/>
    <n v="8"/>
    <n v="8"/>
  </r>
  <r>
    <n v="774"/>
    <m/>
    <m/>
    <m/>
    <m/>
    <s v="R26.9"/>
    <s v="Unspecified abnormalities of gait and mobility"/>
    <x v="293"/>
    <s v="M"/>
    <m/>
    <m/>
    <n v="50.377000000000002"/>
    <n v="47.771000000000001"/>
    <n v="98.111000000000004"/>
    <n v="98.25"/>
    <n v="81.138000000000005"/>
    <n v="81.206999999999994"/>
    <n v="99.155000000000001"/>
    <n v="98.843999999999994"/>
    <n v="63.671999999999997"/>
    <n v="63.296999999999997"/>
    <n v="36.328000000000003"/>
    <n v="36.703000000000003"/>
    <n v="14.927"/>
    <n v="12.891999999999999"/>
    <n v="36.703000000000003"/>
    <n v="36.328000000000003"/>
    <n v="10.134"/>
    <n v="10"/>
    <n v="10"/>
    <n v="10"/>
    <n v="10"/>
  </r>
  <r>
    <n v="775"/>
    <m/>
    <m/>
    <m/>
    <m/>
    <s v="G25.0"/>
    <s v="Essential tremor"/>
    <x v="210"/>
    <s v="M"/>
    <m/>
    <m/>
    <n v="44.755000000000003"/>
    <n v="37.817"/>
    <n v="82.864999999999995"/>
    <n v="82.338999999999999"/>
    <n v="73.959999999999994"/>
    <n v="73.366"/>
    <n v="107.288"/>
    <n v="106.69799999999999"/>
    <n v="62.067999999999998"/>
    <n v="66.034000000000006"/>
    <n v="37.932000000000002"/>
    <n v="33.966000000000001"/>
    <n v="13.170999999999999"/>
    <n v="15.266"/>
    <n v="33.966000000000001"/>
    <n v="37.932000000000002"/>
    <n v="8.3000000000000007"/>
    <n v="12"/>
    <n v="13"/>
    <n v="12"/>
    <n v="12"/>
  </r>
  <r>
    <n v="776"/>
    <m/>
    <m/>
    <m/>
    <m/>
    <s v="G20"/>
    <s v="Parkinson's disease"/>
    <x v="294"/>
    <s v="M"/>
    <m/>
    <m/>
    <n v="66.242999999999995"/>
    <n v="59.978999999999999"/>
    <n v="125.20699999999999"/>
    <n v="126.15"/>
    <n v="126.139"/>
    <n v="127.10899999999999"/>
    <n v="122.06699999999999"/>
    <n v="121.65900000000001"/>
    <n v="64.3"/>
    <n v="62.723999999999997"/>
    <n v="35.700000000000003"/>
    <n v="37.276000000000003"/>
    <n v="12.929"/>
    <n v="14.502000000000001"/>
    <n v="37.276000000000003"/>
    <n v="35.700000000000003"/>
    <n v="9.6240000000000006"/>
    <n v="8"/>
    <n v="10"/>
    <n v="8"/>
    <n v="8"/>
  </r>
  <r>
    <n v="777"/>
    <m/>
    <m/>
    <m/>
    <m/>
    <s v="G20"/>
    <s v="Parkinson's disease"/>
    <x v="198"/>
    <s v="F"/>
    <m/>
    <m/>
    <s v="NA"/>
    <s v="NA"/>
    <s v="NA"/>
    <s v="NA"/>
    <s v="NA"/>
    <s v="NA"/>
    <s v="NA"/>
    <s v="NA"/>
    <s v="NA"/>
    <s v="NA"/>
    <s v="NA"/>
    <s v="NA"/>
    <s v="NA"/>
    <s v="NA"/>
    <s v="NA"/>
    <s v="NA"/>
    <s v="NA"/>
    <s v="NA"/>
    <s v="NA"/>
    <s v="NA"/>
    <s v="NA"/>
  </r>
  <r>
    <n v="778"/>
    <m/>
    <m/>
    <m/>
    <m/>
    <s v="G20"/>
    <s v="Parkinson's disease"/>
    <x v="153"/>
    <s v="M"/>
    <m/>
    <m/>
    <n v="45.582999999999998"/>
    <n v="48.713999999999999"/>
    <n v="94.543000000000006"/>
    <n v="94.034000000000006"/>
    <n v="83.210999999999999"/>
    <n v="82.715000000000003"/>
    <n v="105.35"/>
    <n v="105.139"/>
    <n v="61.677999999999997"/>
    <n v="61.933999999999997"/>
    <n v="38.322000000000003"/>
    <n v="38.066000000000003"/>
    <n v="12.244999999999999"/>
    <n v="11.839"/>
    <n v="38.066000000000003"/>
    <n v="38.322000000000003"/>
    <n v="10.853999999999999"/>
    <n v="12"/>
    <n v="13"/>
    <n v="12"/>
    <n v="12"/>
  </r>
  <r>
    <n v="779"/>
    <m/>
    <m/>
    <m/>
    <m/>
    <s v="NA"/>
    <s v="NA"/>
    <x v="35"/>
    <s v="NA"/>
    <m/>
    <m/>
    <n v="39.557000000000002"/>
    <n v="41.243000000000002"/>
    <n v="80.891000000000005"/>
    <n v="80.378"/>
    <n v="56.235999999999997"/>
    <n v="56.533000000000001"/>
    <n v="83.099000000000004"/>
    <n v="83.338999999999999"/>
    <n v="68.781000000000006"/>
    <n v="63.908000000000001"/>
    <n v="31.219000000000001"/>
    <n v="36.091999999999999"/>
    <n v="12.762"/>
    <n v="19.722000000000001"/>
    <n v="36.091999999999999"/>
    <n v="31.219000000000001"/>
    <n v="24.15"/>
    <n v="12"/>
    <n v="12"/>
    <n v="12"/>
    <n v="12"/>
  </r>
  <r>
    <n v="780"/>
    <m/>
    <m/>
    <m/>
    <m/>
    <s v="G20"/>
    <s v="Parkinson's disease"/>
    <x v="241"/>
    <s v="M"/>
    <m/>
    <m/>
    <n v="63.078000000000003"/>
    <n v="60.923000000000002"/>
    <n v="123.628"/>
    <n v="125.099"/>
    <n v="115.529"/>
    <n v="117.797"/>
    <n v="111.292"/>
    <n v="112.32599999999999"/>
    <n v="61.368000000000002"/>
    <n v="63.837000000000003"/>
    <n v="38.631999999999998"/>
    <n v="36.162999999999997"/>
    <n v="12.585000000000001"/>
    <n v="13.242000000000001"/>
    <n v="36.162999999999997"/>
    <n v="38.631999999999998"/>
    <n v="9.0120000000000005"/>
    <n v="7"/>
    <n v="8"/>
    <n v="7"/>
    <n v="7"/>
  </r>
  <r>
    <n v="781"/>
    <m/>
    <m/>
    <m/>
    <m/>
    <s v="NA"/>
    <s v="NA"/>
    <x v="35"/>
    <s v="NA"/>
    <m/>
    <m/>
    <n v="55.347000000000001"/>
    <n v="60.962000000000003"/>
    <n v="116.80800000000001"/>
    <n v="116.309"/>
    <n v="108.331"/>
    <n v="107.06"/>
    <n v="110.996"/>
    <n v="110.342"/>
    <n v="62.570999999999998"/>
    <n v="61.816000000000003"/>
    <n v="37.429000000000002"/>
    <n v="38.183999999999997"/>
    <n v="12.129"/>
    <n v="12.435"/>
    <n v="38.183999999999997"/>
    <n v="37.429000000000002"/>
    <n v="12.004"/>
    <n v="10"/>
    <n v="15"/>
    <n v="10"/>
    <n v="10"/>
  </r>
  <r>
    <n v="782"/>
    <m/>
    <m/>
    <m/>
    <m/>
    <s v="G25.0"/>
    <s v="Essential tremor"/>
    <x v="295"/>
    <s v="F"/>
    <m/>
    <m/>
    <n v="59.314"/>
    <n v="59.710999999999999"/>
    <n v="119.753"/>
    <n v="118.642"/>
    <n v="110.83199999999999"/>
    <n v="110.279"/>
    <n v="110.498"/>
    <n v="111.25700000000001"/>
    <n v="63.119"/>
    <n v="63.62"/>
    <n v="36.881"/>
    <n v="36.380000000000003"/>
    <n v="13.494999999999999"/>
    <n v="13.741"/>
    <n v="36.380000000000003"/>
    <n v="36.881"/>
    <n v="10.246"/>
    <n v="10"/>
    <n v="10"/>
    <n v="10"/>
    <n v="10"/>
  </r>
  <r>
    <n v="783"/>
    <m/>
    <m/>
    <m/>
    <m/>
    <s v="NA"/>
    <s v="NA"/>
    <x v="35"/>
    <s v="NA"/>
    <m/>
    <m/>
    <n v="57.640999999999998"/>
    <n v="53.62"/>
    <n v="111.426"/>
    <n v="111.57"/>
    <n v="113.51900000000001"/>
    <n v="112.767"/>
    <n v="121.405"/>
    <n v="120.828"/>
    <n v="61.874000000000002"/>
    <n v="62.651000000000003"/>
    <n v="38.125999999999998"/>
    <n v="37.348999999999997"/>
    <n v="12.722"/>
    <n v="12.252000000000001"/>
    <n v="37.348999999999997"/>
    <n v="38.125999999999998"/>
    <n v="12.811999999999999"/>
    <n v="12"/>
    <n v="11"/>
    <n v="11"/>
    <n v="11"/>
  </r>
  <r>
    <n v="784"/>
    <m/>
    <m/>
    <m/>
    <m/>
    <s v="G20"/>
    <s v="Parkinson's disease"/>
    <x v="121"/>
    <s v="F"/>
    <m/>
    <m/>
    <n v="30.477"/>
    <n v="24.916"/>
    <n v="56.384999999999998"/>
    <n v="54.988"/>
    <n v="45.075000000000003"/>
    <n v="45.893999999999998"/>
    <n v="98.888000000000005"/>
    <n v="99.991"/>
    <n v="68.010999999999996"/>
    <n v="70.786000000000001"/>
    <n v="31.989000000000001"/>
    <n v="29.213999999999999"/>
    <n v="13.532999999999999"/>
    <n v="24.707000000000001"/>
    <n v="29.213999999999999"/>
    <n v="31.989000000000001"/>
    <n v="11.068"/>
    <n v="20"/>
    <n v="17"/>
    <n v="17"/>
    <n v="17"/>
  </r>
  <r>
    <n v="785"/>
    <m/>
    <m/>
    <m/>
    <m/>
    <s v="G20"/>
    <s v="Parkinson's disease"/>
    <x v="296"/>
    <s v="F"/>
    <m/>
    <m/>
    <n v="25.431000000000001"/>
    <n v="22.542999999999999"/>
    <n v="48.752000000000002"/>
    <n v="48.005000000000003"/>
    <n v="34.466000000000001"/>
    <n v="33.768999999999998"/>
    <n v="84.840999999999994"/>
    <n v="84.328999999999994"/>
    <n v="70.775999999999996"/>
    <n v="73.86"/>
    <n v="29.224"/>
    <n v="26.138999999999999"/>
    <n v="20.96"/>
    <n v="23.132999999999999"/>
    <n v="26.138999999999999"/>
    <n v="29.224"/>
    <n v="11.02"/>
    <n v="13"/>
    <n v="14"/>
    <n v="13"/>
    <n v="13"/>
  </r>
  <r>
    <n v="786"/>
    <m/>
    <m/>
    <m/>
    <m/>
    <s v="R26.9"/>
    <s v="Unspecified abnormalities of gait and mobility"/>
    <x v="130"/>
    <s v="F"/>
    <m/>
    <m/>
    <n v="30.783999999999999"/>
    <n v="26.463999999999999"/>
    <n v="57.695999999999998"/>
    <n v="57.433999999999997"/>
    <n v="47.905000000000001"/>
    <n v="47.991999999999997"/>
    <n v="100.18899999999999"/>
    <n v="100.199"/>
    <n v="69.778999999999996"/>
    <n v="65.834999999999994"/>
    <n v="30.221"/>
    <n v="34.164999999999999"/>
    <n v="17.216999999999999"/>
    <n v="18.207999999999998"/>
    <n v="34.164999999999999"/>
    <n v="30.221"/>
    <n v="13.715"/>
    <n v="10"/>
    <n v="9"/>
    <n v="9"/>
    <n v="9"/>
  </r>
  <r>
    <n v="787"/>
    <m/>
    <m/>
    <m/>
    <m/>
    <s v="G20"/>
    <s v="Parkinson's disease"/>
    <x v="197"/>
    <s v="M"/>
    <m/>
    <m/>
    <n v="43.515999999999998"/>
    <n v="45.433"/>
    <n v="89.688999999999993"/>
    <n v="87.888999999999996"/>
    <n v="72.506"/>
    <n v="70.978999999999999"/>
    <n v="96.814999999999998"/>
    <n v="96.731999999999999"/>
    <n v="66.81"/>
    <n v="67.224000000000004"/>
    <n v="33.19"/>
    <n v="32.776000000000003"/>
    <n v="17.742999999999999"/>
    <n v="16.318999999999999"/>
    <n v="32.776000000000003"/>
    <n v="33.19"/>
    <n v="16.52"/>
    <n v="10"/>
    <n v="10"/>
    <n v="10"/>
    <n v="10"/>
  </r>
  <r>
    <n v="788"/>
    <m/>
    <m/>
    <m/>
    <m/>
    <s v="G24.9"/>
    <s v="Dystonia, unspecified"/>
    <x v="297"/>
    <s v="M"/>
    <m/>
    <m/>
    <n v="47.171999999999997"/>
    <n v="52.167999999999999"/>
    <n v="99.138999999999996"/>
    <n v="99.710999999999999"/>
    <n v="83.734999999999999"/>
    <n v="82.84"/>
    <n v="101.49"/>
    <n v="99.317999999999998"/>
    <n v="59.537999999999997"/>
    <n v="60.45"/>
    <n v="40.462000000000003"/>
    <n v="39.549999999999997"/>
    <n v="12.532999999999999"/>
    <n v="7.5460000000000003"/>
    <n v="39.549999999999997"/>
    <n v="40.462000000000003"/>
    <n v="26.792999999999999"/>
    <n v="7"/>
    <n v="6"/>
    <n v="6"/>
    <n v="6"/>
  </r>
  <r>
    <n v="789"/>
    <m/>
    <m/>
    <m/>
    <m/>
    <s v="NA"/>
    <s v="NA"/>
    <x v="35"/>
    <s v="NA"/>
    <m/>
    <m/>
    <s v="NA"/>
    <s v="NA"/>
    <s v="NA"/>
    <s v="NA"/>
    <s v="NA"/>
    <s v="NA"/>
    <s v="NA"/>
    <s v="NA"/>
    <s v="NA"/>
    <s v="NA"/>
    <s v="NA"/>
    <s v="NA"/>
    <s v="NA"/>
    <s v="NA"/>
    <s v="NA"/>
    <s v="NA"/>
    <s v="NA"/>
    <s v="NA"/>
    <s v="NA"/>
    <s v="NA"/>
    <s v="NA"/>
  </r>
  <r>
    <n v="790"/>
    <m/>
    <m/>
    <m/>
    <m/>
    <s v="R25.1"/>
    <s v="Tremor, unspecified"/>
    <x v="242"/>
    <s v="M"/>
    <m/>
    <m/>
    <n v="70.802000000000007"/>
    <n v="71.137"/>
    <n v="142.75299999999999"/>
    <n v="142.07"/>
    <n v="129.749"/>
    <n v="129.34299999999999"/>
    <n v="108.62"/>
    <n v="109.313"/>
    <n v="61.142000000000003"/>
    <n v="60.112000000000002"/>
    <n v="38.857999999999997"/>
    <n v="39.887999999999998"/>
    <n v="11.614000000000001"/>
    <n v="9.8670000000000009"/>
    <n v="39.887999999999998"/>
    <n v="38.857999999999997"/>
    <n v="10.125999999999999"/>
    <n v="9"/>
    <n v="9"/>
    <n v="9"/>
    <n v="9"/>
  </r>
  <r>
    <n v="791"/>
    <m/>
    <m/>
    <m/>
    <m/>
    <s v="R26.9"/>
    <s v="Unspecified abnormalities of gait and mobility"/>
    <x v="27"/>
    <s v="F"/>
    <m/>
    <m/>
    <n v="25.768999999999998"/>
    <n v="11.493"/>
    <n v="36.823"/>
    <n v="37.261000000000003"/>
    <n v="27.704000000000001"/>
    <n v="28.172000000000001"/>
    <n v="90.24"/>
    <n v="91.692999999999998"/>
    <n v="71.766000000000005"/>
    <n v="81.400000000000006"/>
    <n v="28.233000000000001"/>
    <n v="18.600000000000001"/>
    <n v="24.58"/>
    <n v="27.972000000000001"/>
    <n v="18.600000000000001"/>
    <n v="28.233000000000001"/>
    <n v="18.114999999999998"/>
    <n v="14"/>
    <n v="16"/>
    <n v="14"/>
    <n v="14"/>
  </r>
  <r>
    <n v="792"/>
    <m/>
    <m/>
    <m/>
    <m/>
    <s v="G25.0"/>
    <s v="Essential tremor"/>
    <x v="298"/>
    <s v="M"/>
    <m/>
    <m/>
    <n v="46.963000000000001"/>
    <n v="44.225999999999999"/>
    <n v="91.147000000000006"/>
    <n v="90.665999999999997"/>
    <n v="70.768000000000001"/>
    <n v="70.590999999999994"/>
    <n v="94.046000000000006"/>
    <n v="93.067999999999998"/>
    <n v="68.213999999999999"/>
    <n v="67.995999999999995"/>
    <n v="31.786000000000001"/>
    <n v="32.003999999999998"/>
    <n v="17.706"/>
    <n v="17.373999999999999"/>
    <n v="32.003999999999998"/>
    <n v="31.786000000000001"/>
    <n v="13.413"/>
    <n v="13"/>
    <n v="11"/>
    <n v="11"/>
    <n v="11"/>
  </r>
  <r>
    <n v="793"/>
    <m/>
    <m/>
    <m/>
    <m/>
    <s v="R25.1"/>
    <s v="Tremor, unspecified"/>
    <x v="299"/>
    <s v="F"/>
    <m/>
    <m/>
    <n v="37.625"/>
    <n v="26.497"/>
    <n v="64.387"/>
    <n v="63.997999999999998"/>
    <n v="47.152999999999999"/>
    <n v="46.572000000000003"/>
    <n v="88.287999999999997"/>
    <n v="87.38"/>
    <n v="72.849999999999994"/>
    <n v="70.953000000000003"/>
    <n v="27.15"/>
    <n v="29.047000000000001"/>
    <n v="22.484999999999999"/>
    <n v="21.446000000000002"/>
    <n v="29.047000000000001"/>
    <n v="27.15"/>
    <n v="14.436999999999999"/>
    <n v="13"/>
    <n v="14"/>
    <n v="13"/>
    <n v="13"/>
  </r>
  <r>
    <n v="794"/>
    <m/>
    <m/>
    <m/>
    <m/>
    <s v="G20"/>
    <s v="Parkinson's disease"/>
    <x v="300"/>
    <s v="F"/>
    <m/>
    <m/>
    <n v="43.451999999999998"/>
    <n v="42.255000000000003"/>
    <n v="87.369"/>
    <n v="85.245999999999995"/>
    <n v="77.724999999999994"/>
    <n v="75.801000000000002"/>
    <n v="104.95099999999999"/>
    <n v="104.504"/>
    <n v="63.68"/>
    <n v="64.328000000000003"/>
    <n v="36.32"/>
    <n v="35.671999999999997"/>
    <n v="13.662000000000001"/>
    <n v="13.627000000000001"/>
    <n v="35.671999999999997"/>
    <n v="36.32"/>
    <n v="9.9320000000000004"/>
    <n v="13"/>
    <n v="12"/>
    <n v="12"/>
    <n v="12"/>
  </r>
  <r>
    <n v="795"/>
    <m/>
    <m/>
    <m/>
    <m/>
    <s v="R26.9"/>
    <s v="Unspecified abnormalities of gait and mobility"/>
    <x v="301"/>
    <s v="F"/>
    <m/>
    <m/>
    <n v="31.228999999999999"/>
    <n v="32.695999999999998"/>
    <n v="64.552000000000007"/>
    <n v="64.033000000000001"/>
    <n v="55.168999999999997"/>
    <n v="55.51"/>
    <n v="102.979"/>
    <n v="103.792"/>
    <n v="66.16"/>
    <n v="65.843999999999994"/>
    <n v="33.840000000000003"/>
    <n v="34.155999999999999"/>
    <n v="13.968999999999999"/>
    <n v="17.698"/>
    <n v="34.155999999999999"/>
    <n v="33.840000000000003"/>
    <n v="11.457000000000001"/>
    <n v="14"/>
    <n v="13"/>
    <n v="13"/>
    <n v="13"/>
  </r>
  <r>
    <n v="796"/>
    <m/>
    <m/>
    <m/>
    <m/>
    <s v="R25.1"/>
    <s v="Tremor, unspecified"/>
    <x v="302"/>
    <s v="F"/>
    <m/>
    <m/>
    <n v="55.296999999999997"/>
    <n v="55.63"/>
    <n v="110.952"/>
    <n v="110.922"/>
    <n v="106.88200000000001"/>
    <n v="107.057"/>
    <n v="115.869"/>
    <n v="115.776"/>
    <n v="63.173000000000002"/>
    <n v="61.652000000000001"/>
    <n v="36.826999999999998"/>
    <n v="38.347999999999999"/>
    <n v="13.164"/>
    <n v="11.909000000000001"/>
    <n v="38.347999999999999"/>
    <n v="36.826999999999998"/>
    <n v="11.02"/>
    <n v="11"/>
    <n v="11"/>
    <n v="11"/>
    <n v="11"/>
  </r>
  <r>
    <n v="797"/>
    <m/>
    <m/>
    <m/>
    <m/>
    <s v="G20"/>
    <s v="Parkinson's disease"/>
    <x v="303"/>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798"/>
    <m/>
    <m/>
    <m/>
    <m/>
    <s v="G20"/>
    <s v="Parkinson's disease"/>
    <x v="141"/>
    <s v="M"/>
    <m/>
    <m/>
    <n v="56.841000000000001"/>
    <n v="55.996000000000002"/>
    <n v="115.101"/>
    <n v="111.848"/>
    <n v="121.13500000000001"/>
    <n v="120.59699999999999"/>
    <n v="125.81399999999999"/>
    <n v="127.547"/>
    <n v="59.472000000000001"/>
    <n v="64.143000000000001"/>
    <n v="40.527999999999999"/>
    <n v="35.856999999999999"/>
    <n v="12.567"/>
    <n v="11.109"/>
    <n v="35.856999999999999"/>
    <n v="40.527999999999999"/>
    <n v="7.23"/>
    <n v="10"/>
    <n v="11"/>
    <n v="10"/>
    <n v="10"/>
  </r>
  <r>
    <n v="799"/>
    <m/>
    <m/>
    <m/>
    <m/>
    <s v="R25.1"/>
    <s v="Tremor, unspecified"/>
    <x v="53"/>
    <s v="F"/>
    <m/>
    <m/>
    <n v="34.905000000000001"/>
    <n v="28.677"/>
    <n v="63.024999999999999"/>
    <n v="63.933999999999997"/>
    <n v="34.865000000000002"/>
    <n v="35.399000000000001"/>
    <n v="67.069000000000003"/>
    <n v="66.882000000000005"/>
    <n v="69.5"/>
    <n v="75.165999999999997"/>
    <n v="30.5"/>
    <n v="24.834"/>
    <n v="22.952000000000002"/>
    <n v="21.972999999999999"/>
    <n v="24.834"/>
    <n v="30.5"/>
    <n v="13.898"/>
    <n v="11"/>
    <n v="9"/>
    <n v="9"/>
    <n v="9"/>
  </r>
  <r>
    <n v="800"/>
    <m/>
    <m/>
    <m/>
    <m/>
    <s v="G25.0"/>
    <s v="Essential tremor"/>
    <x v="304"/>
    <s v="F"/>
    <m/>
    <m/>
    <n v="55.743000000000002"/>
    <n v="55.542999999999999"/>
    <n v="111.03100000000001"/>
    <n v="111.681"/>
    <n v="134.33699999999999"/>
    <n v="134.73099999999999"/>
    <n v="145.27500000000001"/>
    <n v="144.505"/>
    <n v="59.473999999999997"/>
    <n v="58.795000000000002"/>
    <n v="40.526000000000003"/>
    <n v="41.204999999999998"/>
    <n v="8.9269999999999996"/>
    <n v="10.304"/>
    <n v="41.204999999999998"/>
    <n v="40.526000000000003"/>
    <n v="9.91"/>
    <n v="14"/>
    <n v="11"/>
    <n v="11"/>
    <n v="11"/>
  </r>
  <r>
    <n v="801"/>
    <m/>
    <m/>
    <m/>
    <m/>
    <s v="G20"/>
    <s v="Parkinson's disease"/>
    <x v="305"/>
    <s v="F"/>
    <m/>
    <m/>
    <n v="30.274999999999999"/>
    <n v="28.05"/>
    <n v="58.353999999999999"/>
    <n v="57.993000000000002"/>
    <n v="55.351999999999997"/>
    <n v="55.366"/>
    <n v="113.63500000000001"/>
    <n v="114.565"/>
    <n v="64.004999999999995"/>
    <n v="68.316000000000003"/>
    <n v="35.994"/>
    <n v="31.684000000000001"/>
    <n v="18.529"/>
    <n v="13.930999999999999"/>
    <n v="31.684000000000001"/>
    <n v="35.994"/>
    <n v="8.702"/>
    <n v="17"/>
    <n v="17"/>
    <n v="17"/>
    <n v="17"/>
  </r>
  <r>
    <n v="802"/>
    <m/>
    <m/>
    <m/>
    <m/>
    <s v="NA"/>
    <s v="NA"/>
    <x v="35"/>
    <s v="NA"/>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3"/>
    <m/>
    <m/>
    <m/>
    <m/>
    <s v="R25.1"/>
    <s v="Tremor, unspecified"/>
    <x v="196"/>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4"/>
    <m/>
    <m/>
    <m/>
    <m/>
    <s v="G20"/>
    <s v="Parkinson's disease"/>
    <x v="204"/>
    <s v="F"/>
    <m/>
    <m/>
    <n v="52.32"/>
    <n v="49.777000000000001"/>
    <n v="101.85"/>
    <n v="102.608"/>
    <n v="84.9"/>
    <n v="84.486000000000004"/>
    <n v="99.912999999999997"/>
    <n v="98.894999999999996"/>
    <n v="63.655999999999999"/>
    <n v="63.945"/>
    <n v="36.344999999999999"/>
    <n v="36.055"/>
    <n v="14.462999999999999"/>
    <n v="13.792999999999999"/>
    <n v="36.055"/>
    <n v="36.344999999999999"/>
    <n v="10.238"/>
    <n v="14"/>
    <n v="11"/>
    <n v="11"/>
    <n v="11"/>
  </r>
  <r>
    <n v="805"/>
    <m/>
    <m/>
    <m/>
    <m/>
    <s v="R26.89"/>
    <s v="Other abnormalities of gait and mobility"/>
    <x v="306"/>
    <s v="M"/>
    <m/>
    <m/>
    <n v="34.340000000000003"/>
    <n v="38.838000000000001"/>
    <n v="73.194999999999993"/>
    <n v="72.900999999999996"/>
    <n v="58.45"/>
    <n v="57.884999999999998"/>
    <n v="95.46"/>
    <n v="94.947999999999993"/>
    <n v="68.471999999999994"/>
    <n v="68.325000000000003"/>
    <n v="31.527999999999999"/>
    <n v="31.675000000000001"/>
    <n v="17.701000000000001"/>
    <n v="19.259"/>
    <n v="31.675000000000001"/>
    <n v="31.527999999999999"/>
    <n v="17.36"/>
    <n v="14"/>
    <n v="15"/>
    <n v="14"/>
    <n v="14"/>
  </r>
  <r>
    <n v="806"/>
    <m/>
    <m/>
    <m/>
    <m/>
    <s v="G20"/>
    <s v="Parkinson's disease"/>
    <x v="260"/>
    <s v="M"/>
    <m/>
    <m/>
    <n v="52.13"/>
    <n v="45.738999999999997"/>
    <n v="98.55"/>
    <n v="98.001999999999995"/>
    <n v="80.337999999999994"/>
    <n v="81.183999999999997"/>
    <n v="97.787999999999997"/>
    <n v="99.027000000000001"/>
    <n v="64.665999999999997"/>
    <n v="63.194000000000003"/>
    <n v="35.334000000000003"/>
    <n v="36.805999999999997"/>
    <n v="13.612"/>
    <n v="14.413"/>
    <n v="36.805999999999997"/>
    <n v="35.334000000000003"/>
    <n v="12.853999999999999"/>
    <n v="12"/>
    <n v="13"/>
    <n v="12"/>
    <n v="12"/>
  </r>
  <r>
    <n v="807"/>
    <m/>
    <m/>
    <m/>
    <m/>
    <s v="R25.9"/>
    <s v="Unspecified abnormal involuntary movements"/>
    <x v="212"/>
    <s v="F"/>
    <m/>
    <m/>
    <n v="53.268999999999998"/>
    <n v="51.664999999999999"/>
    <n v="104.764"/>
    <n v="104.408"/>
    <n v="104.292"/>
    <n v="104.377"/>
    <n v="119.41800000000001"/>
    <n v="120.017"/>
    <n v="62.61"/>
    <n v="62.566000000000003"/>
    <n v="37.39"/>
    <n v="37.433999999999997"/>
    <n v="13.292999999999999"/>
    <n v="12.092000000000001"/>
    <n v="37.433999999999997"/>
    <n v="37.39"/>
    <n v="10.725"/>
    <n v="17"/>
    <n v="15"/>
    <n v="15"/>
    <n v="15"/>
  </r>
  <r>
    <n v="808"/>
    <m/>
    <m/>
    <m/>
    <m/>
    <s v="G25.0"/>
    <s v="Essential tremor"/>
    <x v="45"/>
    <s v="M"/>
    <m/>
    <m/>
    <n v="50.317999999999998"/>
    <n v="52.067"/>
    <n v="102.167"/>
    <n v="102.82"/>
    <n v="86.869"/>
    <n v="87.448999999999998"/>
    <n v="101.97799999999999"/>
    <n v="102.015"/>
    <n v="64.007000000000005"/>
    <n v="62.027999999999999"/>
    <n v="35.993000000000002"/>
    <n v="37.972000000000001"/>
    <n v="12.779"/>
    <n v="13.656000000000001"/>
    <n v="37.972000000000001"/>
    <n v="35.993000000000002"/>
    <n v="17.257999999999999"/>
    <n v="13"/>
    <n v="13"/>
    <n v="13"/>
    <n v="13"/>
  </r>
  <r>
    <n v="809"/>
    <m/>
    <m/>
    <m/>
    <m/>
    <s v="G25.0"/>
    <s v="Essential tremor"/>
    <x v="307"/>
    <s v="M"/>
    <m/>
    <m/>
    <n v="54.31"/>
    <n v="54.762999999999998"/>
    <n v="109.05"/>
    <n v="109.10599999999999"/>
    <n v="98.760999999999996"/>
    <n v="99.677000000000007"/>
    <n v="108.57599999999999"/>
    <n v="109.084"/>
    <n v="64.915999999999997"/>
    <n v="64.674999999999997"/>
    <n v="35.084000000000003"/>
    <n v="35.325000000000003"/>
    <n v="13.938000000000001"/>
    <n v="16.347000000000001"/>
    <n v="35.325000000000003"/>
    <n v="35.084000000000003"/>
    <n v="8.3230000000000004"/>
    <n v="16"/>
    <n v="12"/>
    <n v="12"/>
    <n v="12"/>
  </r>
  <r>
    <n v="810"/>
    <m/>
    <m/>
    <m/>
    <m/>
    <s v="G60.3"/>
    <s v="Idiopathic progressive neuropathy"/>
    <x v="308"/>
    <s v="M"/>
    <m/>
    <m/>
    <n v="45.247"/>
    <n v="49.155999999999999"/>
    <n v="94.555000000000007"/>
    <n v="94.6"/>
    <n v="74.878"/>
    <n v="74.646000000000001"/>
    <n v="95.516000000000005"/>
    <n v="94.125"/>
    <n v="69.456999999999994"/>
    <n v="67.768000000000001"/>
    <n v="30.542999999999999"/>
    <n v="32.231999999999999"/>
    <n v="18.312999999999999"/>
    <n v="19.048999999999999"/>
    <n v="32.231999999999999"/>
    <n v="30.542999999999999"/>
    <n v="8.6479999999999997"/>
    <n v="12"/>
    <n v="12"/>
    <n v="12"/>
    <n v="12"/>
  </r>
  <r>
    <n v="811"/>
    <m/>
    <m/>
    <m/>
    <m/>
    <s v="G20"/>
    <s v="Parkinson's disease"/>
    <x v="136"/>
    <s v="M"/>
    <m/>
    <m/>
    <s v="NA"/>
    <s v="NA"/>
    <s v="NA"/>
    <s v="NA"/>
    <s v="NA"/>
    <s v="NA"/>
    <s v="NA"/>
    <s v="NA"/>
    <s v="NA"/>
    <s v="NA"/>
    <s v="NA"/>
    <s v="NA"/>
    <s v="NA"/>
    <s v="NA"/>
    <s v="NA"/>
    <s v="NA"/>
    <s v="NA"/>
    <s v="NA"/>
    <s v="NA"/>
    <s v="NA"/>
    <s v="NA"/>
  </r>
  <r>
    <n v="812"/>
    <m/>
    <m/>
    <m/>
    <m/>
    <s v="G20"/>
    <s v="Parkinson's disease"/>
    <x v="204"/>
    <s v="M"/>
    <m/>
    <m/>
    <n v="41.204000000000001"/>
    <n v="47.88"/>
    <n v="89.399000000000001"/>
    <n v="89.022999999999996"/>
    <n v="53.402000000000001"/>
    <n v="53.241999999999997"/>
    <n v="71.024000000000001"/>
    <n v="70.972999999999999"/>
    <n v="70.807000000000002"/>
    <n v="71.061999999999998"/>
    <n v="29.193000000000001"/>
    <n v="28.937999999999999"/>
    <n v="22.305"/>
    <n v="19.282"/>
    <n v="28.937999999999999"/>
    <n v="29.193000000000001"/>
    <n v="11.98"/>
    <n v="7"/>
    <n v="7"/>
    <n v="7"/>
    <n v="7"/>
  </r>
  <r>
    <n v="813"/>
    <m/>
    <m/>
    <m/>
    <m/>
    <s v="G20"/>
    <s v="Parkinson's disease"/>
    <x v="107"/>
    <s v="M"/>
    <m/>
    <m/>
    <n v="52.875"/>
    <n v="52.329000000000001"/>
    <n v="105.858"/>
    <n v="105.26600000000001"/>
    <n v="96.888999999999996"/>
    <n v="96.754000000000005"/>
    <n v="109.45399999999999"/>
    <n v="109.65900000000001"/>
    <n v="64.149000000000001"/>
    <n v="64.938000000000002"/>
    <n v="35.850999999999999"/>
    <n v="35.061999999999998"/>
    <n v="13.680999999999999"/>
    <n v="15.497999999999999"/>
    <n v="35.061999999999998"/>
    <n v="35.850999999999999"/>
    <n v="16.167999999999999"/>
    <n v="10"/>
    <n v="14"/>
    <n v="10"/>
    <n v="10"/>
  </r>
  <r>
    <n v="814"/>
    <m/>
    <m/>
    <m/>
    <m/>
    <s v="R48.2"/>
    <s v="Apraxia"/>
    <x v="309"/>
    <s v="F"/>
    <m/>
    <m/>
    <n v="42.723999999999997"/>
    <n v="45.793999999999997"/>
    <n v="89.355999999999995"/>
    <n v="87.793000000000006"/>
    <n v="63.189"/>
    <n v="62.515000000000001"/>
    <n v="85.611999999999995"/>
    <n v="84.793000000000006"/>
    <n v="66.134"/>
    <n v="68.412999999999997"/>
    <n v="33.866"/>
    <n v="31.587"/>
    <n v="18.161999999999999"/>
    <n v="16.882000000000001"/>
    <n v="31.587"/>
    <n v="33.866"/>
    <n v="11.686999999999999"/>
    <n v="11"/>
    <n v="11"/>
    <n v="11"/>
    <n v="11"/>
  </r>
  <r>
    <n v="815"/>
    <m/>
    <m/>
    <m/>
    <m/>
    <s v="NA"/>
    <s v="NA"/>
    <x v="35"/>
    <s v="NA"/>
    <m/>
    <m/>
    <s v="NA"/>
    <s v="NA"/>
    <s v="NA"/>
    <s v="NA"/>
    <s v="NA"/>
    <s v="NA"/>
    <s v="NA"/>
    <s v="NA"/>
    <s v="NA"/>
    <s v="NA"/>
    <s v="NA"/>
    <s v="NA"/>
    <s v="NA"/>
    <s v="NA"/>
    <s v="NA"/>
    <s v="NA"/>
    <s v="NA"/>
    <s v="NA"/>
    <s v="NA"/>
    <s v="NA"/>
    <s v="NA"/>
  </r>
  <r>
    <n v="816"/>
    <m/>
    <m/>
    <m/>
    <m/>
    <s v="G25.0"/>
    <s v="Essential tremor"/>
    <x v="235"/>
    <s v="M"/>
    <m/>
    <m/>
    <n v="58.999000000000002"/>
    <n v="61.96"/>
    <n v="121.71299999999999"/>
    <n v="120.705"/>
    <n v="95.602999999999994"/>
    <n v="94.727000000000004"/>
    <n v="94.483999999999995"/>
    <n v="94.164000000000001"/>
    <n v="62.399000000000001"/>
    <n v="66.578000000000003"/>
    <n v="37.600999999999999"/>
    <n v="33.421999999999997"/>
    <n v="14.798"/>
    <n v="14.326000000000001"/>
    <n v="33.421999999999997"/>
    <n v="37.600999999999999"/>
    <n v="12.448"/>
    <n v="12"/>
    <n v="15"/>
    <n v="12"/>
    <n v="12"/>
  </r>
  <r>
    <n v="817"/>
    <m/>
    <m/>
    <m/>
    <m/>
    <s v="NA"/>
    <s v="NA"/>
    <x v="35"/>
    <s v="NA"/>
    <m/>
    <m/>
    <n v="66.069000000000003"/>
    <n v="63.618000000000002"/>
    <n v="129.905"/>
    <n v="130.095"/>
    <n v="117.09099999999999"/>
    <n v="117.29300000000001"/>
    <n v="108.52800000000001"/>
    <n v="108.361"/>
    <n v="61.622"/>
    <n v="61.676000000000002"/>
    <n v="38.378"/>
    <n v="38.323999999999998"/>
    <n v="11.093999999999999"/>
    <n v="12.362"/>
    <n v="38.323999999999998"/>
    <n v="38.378"/>
    <n v="14.071"/>
    <n v="16"/>
    <n v="16"/>
    <n v="16"/>
    <n v="16"/>
  </r>
  <r>
    <n v="818"/>
    <m/>
    <m/>
    <m/>
    <m/>
    <s v="G20"/>
    <s v="Parkinson's disease"/>
    <x v="310"/>
    <s v="F"/>
    <m/>
    <m/>
    <n v="0.67200000000000004"/>
    <n v="10.069000000000001"/>
    <n v="10.87"/>
    <n v="11.500999999999999"/>
    <n v="8.3729999999999993"/>
    <n v="8.5169999999999995"/>
    <n v="81.825999999999993"/>
    <n v="89.933000000000007"/>
    <n v="80.847999999999999"/>
    <n v="89.686999999999998"/>
    <n v="19.152000000000001"/>
    <n v="10.313000000000001"/>
    <n v="24.959"/>
    <n v="44.591000000000001"/>
    <n v="10.313000000000001"/>
    <n v="19.152000000000001"/>
    <n v="23.37"/>
    <n v="16"/>
    <n v="15"/>
    <n v="15"/>
    <n v="15"/>
  </r>
  <r>
    <n v="819"/>
    <m/>
    <m/>
    <m/>
    <m/>
    <s v="G20"/>
    <s v="Parkinson's disease"/>
    <x v="60"/>
    <s v="M"/>
    <m/>
    <m/>
    <n v="54.798999999999999"/>
    <n v="52.786999999999999"/>
    <n v="107.774"/>
    <n v="108.642"/>
    <n v="96.257999999999996"/>
    <n v="96.287999999999997"/>
    <n v="106.41200000000001"/>
    <n v="105.93899999999999"/>
    <n v="63.301000000000002"/>
    <n v="61.957000000000001"/>
    <n v="36.698999999999998"/>
    <n v="38.042999999999999"/>
    <n v="12.618"/>
    <n v="12.933999999999999"/>
    <n v="38.042999999999999"/>
    <n v="36.698999999999998"/>
    <n v="12.182"/>
    <n v="13"/>
    <n v="12"/>
    <n v="12"/>
    <n v="12"/>
  </r>
  <r>
    <n v="820"/>
    <m/>
    <m/>
    <m/>
    <m/>
    <s v="G25.0"/>
    <s v="Essential tremor"/>
    <x v="134"/>
    <s v="M"/>
    <m/>
    <m/>
    <n v="59.718000000000004"/>
    <n v="55.26"/>
    <n v="114.98"/>
    <n v="115.289"/>
    <n v="107.93899999999999"/>
    <n v="108.379"/>
    <n v="112.34699999999999"/>
    <n v="112.078"/>
    <n v="63.601999999999997"/>
    <n v="62.841000000000001"/>
    <n v="36.398000000000003"/>
    <n v="37.158999999999999"/>
    <n v="13.676"/>
    <n v="12.839"/>
    <n v="37.158999999999999"/>
    <n v="36.398000000000003"/>
    <n v="9.77"/>
    <n v="15"/>
    <n v="12"/>
    <n v="12"/>
    <n v="12"/>
  </r>
  <r>
    <n v="821"/>
    <m/>
    <m/>
    <m/>
    <m/>
    <s v="G20"/>
    <s v="Parkinson's disease"/>
    <x v="247"/>
    <s v="M"/>
    <m/>
    <m/>
    <s v="NA"/>
    <s v="NA"/>
    <s v="NA"/>
    <s v="NA"/>
    <s v="NA"/>
    <s v="NA"/>
    <s v="NA"/>
    <s v="NA"/>
    <s v="NA"/>
    <s v="NA"/>
    <s v="NA"/>
    <s v="NA"/>
    <s v="NA"/>
    <s v="NA"/>
    <s v="NA"/>
    <s v="NA"/>
    <s v="NA"/>
    <s v="NA"/>
    <s v="NA"/>
    <s v="NA"/>
    <s v="NA"/>
  </r>
  <r>
    <n v="822"/>
    <m/>
    <m/>
    <m/>
    <m/>
    <s v="NA"/>
    <s v="NA"/>
    <x v="35"/>
    <s v="NA"/>
    <m/>
    <m/>
    <n v="50.8"/>
    <n v="65.322999999999993"/>
    <n v="115.113"/>
    <n v="116.29"/>
    <n v="94.01"/>
    <n v="94.713999999999999"/>
    <n v="99.128"/>
    <n v="98.379000000000005"/>
    <n v="61.43"/>
    <n v="62.034999999999997"/>
    <n v="38.57"/>
    <n v="37.965000000000003"/>
    <n v="12.63"/>
    <n v="11.923"/>
    <n v="37.965000000000003"/>
    <n v="38.57"/>
    <n v="8.86"/>
    <n v="14"/>
    <n v="17"/>
    <n v="14"/>
    <n v="14"/>
  </r>
  <r>
    <n v="823"/>
    <m/>
    <m/>
    <m/>
    <m/>
    <s v="NA"/>
    <s v="NA"/>
    <x v="35"/>
    <s v="NA"/>
    <m/>
    <m/>
    <n v="50.668999999999997"/>
    <n v="48.664999999999999"/>
    <n v="99.091999999999999"/>
    <n v="99.790999999999997"/>
    <n v="89.28"/>
    <n v="89.766000000000005"/>
    <n v="108.15600000000001"/>
    <n v="107.76900000000001"/>
    <n v="62.750999999999998"/>
    <n v="63.445"/>
    <n v="37.249000000000002"/>
    <n v="36.555"/>
    <n v="14.084"/>
    <n v="12.208"/>
    <n v="36.555"/>
    <n v="37.249000000000002"/>
    <n v="11.866"/>
    <n v="16"/>
    <n v="15"/>
    <n v="15"/>
    <n v="15"/>
  </r>
  <r>
    <n v="824"/>
    <m/>
    <m/>
    <m/>
    <m/>
    <s v="G20"/>
    <s v="Parkinson's disease"/>
    <x v="29"/>
    <s v="M"/>
    <m/>
    <m/>
    <n v="57.485999999999997"/>
    <n v="58.488"/>
    <n v="116.774"/>
    <n v="116.227"/>
    <n v="107.46"/>
    <n v="106.866"/>
    <n v="110.08199999999999"/>
    <n v="109.873"/>
    <n v="62.652999999999999"/>
    <n v="62.148000000000003"/>
    <n v="37.347000000000001"/>
    <n v="37.851999999999997"/>
    <n v="13.045999999999999"/>
    <n v="12.337999999999999"/>
    <n v="37.851999999999997"/>
    <n v="37.347000000000001"/>
    <n v="13.09"/>
    <n v="11"/>
    <n v="9"/>
    <n v="9"/>
    <n v="9"/>
  </r>
  <r>
    <n v="825"/>
    <m/>
    <m/>
    <m/>
    <m/>
    <s v="G20"/>
    <s v="Parkinson's disease"/>
    <x v="60"/>
    <s v="M"/>
    <m/>
    <m/>
    <n v="46.295999999999999"/>
    <n v="47.781999999999996"/>
    <n v="93.911000000000001"/>
    <n v="94.102999999999994"/>
    <n v="96.736999999999995"/>
    <n v="96.896000000000001"/>
    <n v="123.13500000000001"/>
    <n v="123.169"/>
    <n v="63.905000000000001"/>
    <n v="61.654000000000003"/>
    <n v="36.094999999999999"/>
    <n v="38.345999999999997"/>
    <n v="12.759"/>
    <n v="12.69"/>
    <n v="38.345999999999997"/>
    <n v="36.094999999999999"/>
    <n v="12.651999999999999"/>
    <n v="13"/>
    <n v="14"/>
    <n v="13"/>
    <n v="13"/>
  </r>
  <r>
    <n v="826"/>
    <m/>
    <m/>
    <m/>
    <m/>
    <s v="NA"/>
    <s v="NA"/>
    <x v="35"/>
    <s v="NA"/>
    <m/>
    <m/>
    <s v="NA"/>
    <s v="NA"/>
    <s v="NA"/>
    <s v="NA"/>
    <s v="NA"/>
    <s v="NA"/>
    <s v="NA"/>
    <s v="NA"/>
    <s v="NA"/>
    <s v="NA"/>
    <s v="NA"/>
    <s v="NA"/>
    <s v="NA"/>
    <s v="NA"/>
    <s v="NA"/>
    <s v="NA"/>
    <s v="NA"/>
    <s v="NA"/>
    <s v="NA"/>
    <s v="NA"/>
    <s v="NA"/>
  </r>
  <r>
    <n v="827"/>
    <m/>
    <m/>
    <m/>
    <m/>
    <s v="G20"/>
    <s v="Parkinson's disease"/>
    <x v="311"/>
    <s v="M"/>
    <m/>
    <m/>
    <n v="52.906999999999996"/>
    <n v="45.965000000000003"/>
    <n v="98.906000000000006"/>
    <n v="98.778000000000006"/>
    <n v="88.177999999999997"/>
    <n v="86.78"/>
    <n v="106.041"/>
    <n v="105.229"/>
    <n v="65.843000000000004"/>
    <n v="64.400999999999996"/>
    <n v="34.156999999999996"/>
    <n v="35.598999999999997"/>
    <n v="16.254999999999999"/>
    <n v="14.534000000000001"/>
    <n v="35.598999999999997"/>
    <n v="34.156999999999996"/>
    <n v="13.954000000000001"/>
    <n v="13"/>
    <n v="12"/>
    <n v="12"/>
    <n v="12"/>
  </r>
  <r>
    <n v="828"/>
    <m/>
    <m/>
    <m/>
    <m/>
    <s v="G20"/>
    <s v="Parkinson's disease"/>
    <x v="164"/>
    <s v="M"/>
    <m/>
    <m/>
    <n v="58.95"/>
    <n v="56.491999999999997"/>
    <n v="115.28400000000001"/>
    <n v="115.82599999999999"/>
    <n v="112.352"/>
    <n v="112.556"/>
    <n v="117.124"/>
    <n v="116.53700000000001"/>
    <n v="62.088000000000001"/>
    <n v="63.594000000000001"/>
    <n v="37.911999999999999"/>
    <n v="36.405999999999999"/>
    <n v="12.994"/>
    <n v="12.948"/>
    <n v="36.405999999999999"/>
    <n v="37.911999999999999"/>
    <n v="9.9"/>
    <n v="11"/>
    <n v="10"/>
    <n v="10"/>
    <n v="10"/>
  </r>
  <r>
    <n v="829"/>
    <m/>
    <m/>
    <m/>
    <m/>
    <s v="G25.0"/>
    <s v="Essential tremor"/>
    <x v="184"/>
    <s v="M"/>
    <m/>
    <m/>
    <n v="65.903999999999996"/>
    <n v="64.313999999999993"/>
    <n v="130.37299999999999"/>
    <n v="130.01499999999999"/>
    <n v="117.119"/>
    <n v="116.931"/>
    <n v="108.104"/>
    <n v="107.505"/>
    <n v="62.195999999999998"/>
    <n v="62.686"/>
    <n v="37.804000000000002"/>
    <n v="37.314"/>
    <n v="12.01"/>
    <n v="12.462999999999999"/>
    <n v="37.314"/>
    <n v="37.804000000000002"/>
    <n v="12.064"/>
    <n v="8"/>
    <n v="10"/>
    <n v="8"/>
    <n v="8"/>
  </r>
  <r>
    <n v="830"/>
    <m/>
    <m/>
    <m/>
    <m/>
    <s v="R25.1"/>
    <s v="Tremor, unspecified"/>
    <x v="18"/>
    <s v="M"/>
    <m/>
    <m/>
    <n v="59.48"/>
    <n v="61.902000000000001"/>
    <n v="122.669"/>
    <n v="121.09099999999999"/>
    <n v="121.03"/>
    <n v="120.735"/>
    <n v="117.828"/>
    <n v="119.123"/>
    <n v="62.83"/>
    <n v="62.106999999999999"/>
    <n v="37.17"/>
    <n v="37.892000000000003"/>
    <n v="12.125"/>
    <n v="12.372999999999999"/>
    <n v="37.892000000000003"/>
    <n v="37.17"/>
    <n v="10.901999999999999"/>
    <n v="8"/>
    <n v="7"/>
    <n v="7"/>
    <n v="7"/>
  </r>
  <r>
    <n v="831"/>
    <m/>
    <m/>
    <m/>
    <m/>
    <s v="G20"/>
    <s v="Parkinson's disease"/>
    <x v="44"/>
    <s v="M"/>
    <m/>
    <m/>
    <n v="46.7"/>
    <n v="42.537999999999997"/>
    <n v="89.647999999999996"/>
    <n v="88.730999999999995"/>
    <n v="66.531999999999996"/>
    <n v="66.215999999999994"/>
    <n v="89.454999999999998"/>
    <n v="89.504999999999995"/>
    <n v="58.966999999999999"/>
    <n v="64.766999999999996"/>
    <n v="41.033000000000001"/>
    <n v="35.232999999999997"/>
    <n v="9.0060000000000002"/>
    <n v="15.55"/>
    <n v="35.232999999999997"/>
    <n v="41.033000000000001"/>
    <n v="12.347"/>
    <n v="12"/>
    <n v="11"/>
    <n v="11"/>
    <n v="11"/>
  </r>
  <r>
    <n v="832"/>
    <m/>
    <m/>
    <m/>
    <m/>
    <s v="G24.1"/>
    <s v="Genetic torsion dystonia"/>
    <x v="312"/>
    <s v="F"/>
    <m/>
    <m/>
    <n v="59.883000000000003"/>
    <n v="50.735999999999997"/>
    <n v="110.58"/>
    <n v="111.098"/>
    <n v="99.927000000000007"/>
    <n v="100.81"/>
    <n v="108.405"/>
    <n v="108.721"/>
    <n v="62.829000000000001"/>
    <n v="60.69"/>
    <n v="37.170999999999999"/>
    <n v="39.31"/>
    <n v="12.228"/>
    <n v="11.198"/>
    <n v="39.31"/>
    <n v="37.170999999999999"/>
    <n v="15.49"/>
    <n v="13"/>
    <n v="10"/>
    <n v="10"/>
    <n v="10"/>
  </r>
  <r>
    <n v="833"/>
    <m/>
    <m/>
    <m/>
    <m/>
    <s v="R25.1"/>
    <s v="Tremor, unspecified"/>
    <x v="292"/>
    <s v="F"/>
    <m/>
    <m/>
    <n v="59.981999999999999"/>
    <n v="62.222999999999999"/>
    <n v="122.65900000000001"/>
    <n v="122.233"/>
    <n v="117.265"/>
    <n v="116.803"/>
    <n v="115.074"/>
    <n v="114.723"/>
    <n v="61.945"/>
    <n v="61.026000000000003"/>
    <n v="38.055"/>
    <n v="38.973999999999997"/>
    <n v="12.372999999999999"/>
    <n v="11.746"/>
    <n v="38.973999999999997"/>
    <n v="38.055"/>
    <n v="8.952"/>
    <n v="10"/>
    <n v="9"/>
    <n v="9"/>
    <n v="9"/>
  </r>
  <r>
    <n v="834"/>
    <m/>
    <m/>
    <m/>
    <m/>
    <s v="G20"/>
    <s v="Parkinson's disease"/>
    <x v="121"/>
    <s v="M"/>
    <m/>
    <m/>
    <n v="36.591999999999999"/>
    <n v="37.399000000000001"/>
    <n v="74.156999999999996"/>
    <n v="74.11"/>
    <n v="61.524000000000001"/>
    <n v="61.957000000000001"/>
    <n v="100.29"/>
    <n v="99.852000000000004"/>
    <n v="68.953999999999994"/>
    <n v="63.146000000000001"/>
    <n v="31.045999999999999"/>
    <n v="36.853999999999999"/>
    <n v="15.695"/>
    <n v="16.364000000000001"/>
    <n v="36.853999999999999"/>
    <n v="31.045999999999999"/>
    <n v="15.532"/>
    <n v="15"/>
    <n v="16"/>
    <n v="15"/>
    <n v="15"/>
  </r>
  <r>
    <n v="835"/>
    <m/>
    <m/>
    <m/>
    <m/>
    <s v="G20"/>
    <s v="Parkinson's disease"/>
    <x v="252"/>
    <s v="M"/>
    <m/>
    <m/>
    <n v="44.793999999999997"/>
    <n v="30.49"/>
    <n v="75.373000000000005"/>
    <n v="75.622"/>
    <n v="66.781999999999996"/>
    <n v="67.450999999999993"/>
    <n v="106.27"/>
    <n v="104.786"/>
    <n v="67.370999999999995"/>
    <n v="66.64"/>
    <n v="32.628999999999998"/>
    <n v="33.36"/>
    <n v="12.904999999999999"/>
    <n v="21.138999999999999"/>
    <n v="33.36"/>
    <n v="32.628999999999998"/>
    <n v="13.178000000000001"/>
    <n v="15"/>
    <n v="12"/>
    <n v="12"/>
    <n v="12"/>
  </r>
  <r>
    <n v="836"/>
    <m/>
    <m/>
    <m/>
    <m/>
    <s v="G20"/>
    <s v="Parkinson's disease"/>
    <x v="174"/>
    <s v="F"/>
    <m/>
    <m/>
    <n v="43.052"/>
    <n v="44.21"/>
    <n v="87.307000000000002"/>
    <n v="86.977999999999994"/>
    <n v="72.3"/>
    <n v="72.682000000000002"/>
    <n v="99.233999999999995"/>
    <n v="100.01900000000001"/>
    <n v="65.436000000000007"/>
    <n v="63.439"/>
    <n v="34.564"/>
    <n v="36.561"/>
    <n v="16.567"/>
    <n v="12.199"/>
    <n v="36.561"/>
    <n v="34.564"/>
    <n v="14.981999999999999"/>
    <n v="11"/>
    <n v="12"/>
    <n v="11"/>
    <n v="11"/>
  </r>
  <r>
    <n v="837"/>
    <m/>
    <m/>
    <m/>
    <m/>
    <s v="G20"/>
    <s v="Parkinson's disease"/>
    <x v="307"/>
    <s v="M"/>
    <m/>
    <m/>
    <n v="18.457000000000001"/>
    <n v="12.301"/>
    <n v="31.373000000000001"/>
    <n v="31.548999999999999"/>
    <n v="21.119"/>
    <n v="20.991"/>
    <n v="80.754999999999995"/>
    <n v="81.191999999999993"/>
    <n v="75.528999999999996"/>
    <n v="72.376000000000005"/>
    <n v="24.47"/>
    <n v="27.623999999999999"/>
    <n v="19.007000000000001"/>
    <n v="28.934000000000001"/>
    <n v="27.623999999999999"/>
    <n v="24.47"/>
    <n v="13.21"/>
    <n v="14"/>
    <n v="14"/>
    <n v="14"/>
    <n v="14"/>
  </r>
  <r>
    <n v="838"/>
    <m/>
    <m/>
    <m/>
    <m/>
    <s v="G20"/>
    <s v="Parkinson's disease"/>
    <x v="313"/>
    <s v="F"/>
    <m/>
    <m/>
    <n v="34.658999999999999"/>
    <n v="38.070999999999998"/>
    <n v="72.834000000000003"/>
    <n v="72.808999999999997"/>
    <n v="49.634"/>
    <n v="49.863"/>
    <n v="81.453000000000003"/>
    <n v="81.960999999999999"/>
    <n v="68.551000000000002"/>
    <n v="69.352000000000004"/>
    <n v="31.449000000000002"/>
    <n v="30.648"/>
    <n v="18.446000000000002"/>
    <n v="19.018999999999998"/>
    <n v="30.648"/>
    <n v="31.449000000000002"/>
    <n v="10.865"/>
    <n v="13"/>
    <n v="14"/>
    <n v="13"/>
    <n v="13"/>
  </r>
  <r>
    <n v="839"/>
    <m/>
    <m/>
    <m/>
    <m/>
    <s v="G20"/>
    <s v="Parkinson's disease"/>
    <x v="218"/>
    <s v="M"/>
    <m/>
    <m/>
    <n v="27.489000000000001"/>
    <n v="34.832000000000001"/>
    <n v="62.564999999999998"/>
    <n v="62.72"/>
    <n v="63.146999999999998"/>
    <n v="62.765000000000001"/>
    <n v="119.10899999999999"/>
    <n v="119.652"/>
    <n v="64.177999999999997"/>
    <n v="62.841999999999999"/>
    <n v="35.822000000000003"/>
    <n v="37.158000000000001"/>
    <n v="12.459"/>
    <n v="13.798"/>
    <n v="37.158000000000001"/>
    <n v="35.822000000000003"/>
    <n v="11.8"/>
    <n v="14"/>
    <n v="12"/>
    <n v="12"/>
    <n v="12"/>
  </r>
  <r>
    <n v="840"/>
    <m/>
    <m/>
    <m/>
    <m/>
    <s v="NA"/>
    <s v="NA"/>
    <x v="35"/>
    <s v="NA"/>
    <m/>
    <m/>
    <n v="61.957000000000001"/>
    <n v="64.302999999999997"/>
    <n v="125.985"/>
    <n v="126.98"/>
    <n v="100.68600000000001"/>
    <n v="101.88500000000001"/>
    <n v="96.614999999999995"/>
    <n v="97.027000000000001"/>
    <n v="60.933"/>
    <n v="63.594000000000001"/>
    <n v="39.067"/>
    <n v="36.405999999999999"/>
    <n v="12.974"/>
    <n v="12.465"/>
    <n v="36.405999999999999"/>
    <n v="39.067"/>
    <n v="12.836"/>
    <n v="9"/>
    <n v="10"/>
    <n v="9"/>
    <n v="9"/>
  </r>
  <r>
    <n v="841"/>
    <m/>
    <m/>
    <m/>
    <m/>
    <s v="R26.9"/>
    <s v="Unspecified abnormalities of gait and mobility"/>
    <x v="314"/>
    <s v="M"/>
    <m/>
    <m/>
    <n v="7.18"/>
    <n v="16.03"/>
    <n v="23.529"/>
    <n v="23.053000000000001"/>
    <n v="29.13"/>
    <n v="28.63"/>
    <n v="150.929"/>
    <n v="149.12100000000001"/>
    <n v="67.667000000000002"/>
    <n v="67.873000000000005"/>
    <n v="32.332999999999998"/>
    <n v="32.127000000000002"/>
    <n v="16.978000000000002"/>
    <n v="18.739999999999998"/>
    <n v="32.127000000000002"/>
    <n v="32.332999999999998"/>
    <n v="14.82"/>
    <n v="16"/>
    <n v="16"/>
    <n v="16"/>
    <n v="16"/>
  </r>
  <r>
    <n v="842"/>
    <m/>
    <m/>
    <m/>
    <m/>
    <s v="R25.1"/>
    <s v="Tremor, unspecified"/>
    <x v="76"/>
    <s v="M"/>
    <m/>
    <m/>
    <n v="59.628999999999998"/>
    <n v="56.548000000000002"/>
    <n v="116.36499999999999"/>
    <n v="116.524"/>
    <n v="98.554000000000002"/>
    <n v="97.852999999999994"/>
    <n v="101.09"/>
    <n v="101.001"/>
    <n v="61.893000000000001"/>
    <n v="61.625999999999998"/>
    <n v="38.106999999999999"/>
    <n v="38.374000000000002"/>
    <n v="11.507"/>
    <n v="12.433999999999999"/>
    <n v="38.374000000000002"/>
    <n v="38.106999999999999"/>
    <n v="15.103999999999999"/>
    <n v="10"/>
    <n v="11"/>
    <n v="10"/>
    <n v="10"/>
  </r>
  <r>
    <n v="843"/>
    <m/>
    <m/>
    <m/>
    <m/>
    <s v="NA"/>
    <s v="NA"/>
    <x v="35"/>
    <s v="NA"/>
    <m/>
    <m/>
    <s v="NA"/>
    <s v="NA"/>
    <s v="NA"/>
    <s v="NA"/>
    <s v="NA"/>
    <s v="NA"/>
    <s v="NA"/>
    <s v="NA"/>
    <s v="NA"/>
    <s v="NA"/>
    <s v="NA"/>
    <s v="NA"/>
    <s v="NA"/>
    <s v="NA"/>
    <s v="NA"/>
    <s v="NA"/>
    <s v="NA"/>
    <s v="NA"/>
    <s v="NA"/>
    <s v="NA"/>
    <s v="NA"/>
  </r>
  <r>
    <n v="844"/>
    <m/>
    <m/>
    <m/>
    <m/>
    <s v="G20"/>
    <s v="Parkinson's disease"/>
    <x v="315"/>
    <s v="F"/>
    <m/>
    <m/>
    <n v="51.576999999999998"/>
    <n v="53.274000000000001"/>
    <n v="104.887"/>
    <n v="104.476"/>
    <n v="97.353999999999999"/>
    <n v="97.165999999999997"/>
    <n v="111.851"/>
    <n v="111.9"/>
    <n v="65.519000000000005"/>
    <n v="61.820999999999998"/>
    <n v="34.481000000000002"/>
    <n v="38.179000000000002"/>
    <n v="14.590999999999999"/>
    <n v="13.009"/>
    <n v="38.179000000000002"/>
    <n v="34.481000000000002"/>
    <n v="4.3600000000000003"/>
    <n v="13"/>
    <n v="11"/>
    <n v="11"/>
    <n v="11"/>
  </r>
  <r>
    <n v="845"/>
    <m/>
    <m/>
    <m/>
    <m/>
    <s v="G25.0"/>
    <s v="Essential tremor"/>
    <x v="316"/>
    <s v="M"/>
    <m/>
    <m/>
    <n v="68.658000000000001"/>
    <n v="70.429000000000002"/>
    <n v="138.88900000000001"/>
    <n v="139.22999999999999"/>
    <n v="117.31399999999999"/>
    <n v="117.468"/>
    <n v="101.43300000000001"/>
    <n v="100.551"/>
    <n v="62.072000000000003"/>
    <n v="61.15"/>
    <n v="37.927999999999997"/>
    <n v="38.85"/>
    <n v="11.46"/>
    <n v="11.848000000000001"/>
    <n v="38.85"/>
    <n v="37.927999999999997"/>
    <n v="9.4120000000000008"/>
    <n v="7"/>
    <n v="9"/>
    <n v="7"/>
    <n v="7"/>
  </r>
  <r>
    <n v="846"/>
    <m/>
    <m/>
    <m/>
    <m/>
    <s v="G20"/>
    <s v="Parkinson's disease"/>
    <x v="262"/>
    <s v="M"/>
    <m/>
    <m/>
    <n v="56.494999999999997"/>
    <n v="57.497"/>
    <n v="113.596"/>
    <n v="114.205"/>
    <n v="98.683000000000007"/>
    <n v="98.718000000000004"/>
    <n v="103.756"/>
    <n v="103.29600000000001"/>
    <n v="63.320999999999998"/>
    <n v="62.585999999999999"/>
    <n v="36.679000000000002"/>
    <n v="37.414000000000001"/>
    <n v="12.236000000000001"/>
    <n v="14.081"/>
    <n v="37.414000000000001"/>
    <n v="36.679000000000002"/>
    <n v="14.098000000000001"/>
    <n v="12"/>
    <n v="11"/>
    <n v="11"/>
    <n v="11"/>
  </r>
  <r>
    <n v="847"/>
    <m/>
    <m/>
    <m/>
    <m/>
    <s v="R25.1"/>
    <s v="Tremor, unspecified"/>
    <x v="317"/>
    <s v="M"/>
    <m/>
    <m/>
    <n v="62.390999999999998"/>
    <n v="60.033999999999999"/>
    <n v="122.26"/>
    <n v="122.449"/>
    <n v="107.91800000000001"/>
    <n v="108.661"/>
    <n v="105.828"/>
    <n v="105.78700000000001"/>
    <n v="60.905999999999999"/>
    <n v="61.456000000000003"/>
    <n v="39.094000000000001"/>
    <n v="38.543999999999997"/>
    <n v="11.162000000000001"/>
    <n v="11.092000000000001"/>
    <n v="38.543999999999997"/>
    <n v="39.094000000000001"/>
    <n v="11.098000000000001"/>
    <n v="10"/>
    <n v="10"/>
    <n v="10"/>
    <n v="10"/>
  </r>
  <r>
    <n v="848"/>
    <m/>
    <m/>
    <m/>
    <m/>
    <s v="R25.1"/>
    <s v="Tremor, unspecified"/>
    <x v="318"/>
    <s v="F"/>
    <m/>
    <m/>
    <n v="27.105"/>
    <n v="24.847000000000001"/>
    <n v="52.033000000000001"/>
    <n v="51.853999999999999"/>
    <n v="43.884"/>
    <n v="43.814"/>
    <n v="100.753"/>
    <n v="100.495"/>
    <n v="73.474000000000004"/>
    <n v="73.305999999999997"/>
    <n v="26.526"/>
    <n v="26.693999999999999"/>
    <n v="22.574999999999999"/>
    <n v="24.356999999999999"/>
    <n v="26.693999999999999"/>
    <n v="26.526"/>
    <n v="12.97"/>
    <n v="15"/>
    <n v="14"/>
    <n v="14"/>
    <n v="14"/>
  </r>
  <r>
    <n v="849"/>
    <m/>
    <m/>
    <m/>
    <m/>
    <s v="R25.1"/>
    <s v="Tremor, unspecified"/>
    <x v="18"/>
    <s v="F"/>
    <m/>
    <m/>
    <n v="38.890999999999998"/>
    <n v="44.59"/>
    <n v="83.686000000000007"/>
    <n v="83.198999999999998"/>
    <n v="87.68"/>
    <n v="88.173000000000002"/>
    <n v="126.794"/>
    <n v="128.02600000000001"/>
    <n v="65.058000000000007"/>
    <n v="61.472999999999999"/>
    <n v="34.942"/>
    <n v="38.527000000000001"/>
    <n v="13.627000000000001"/>
    <n v="13.718"/>
    <n v="38.527000000000001"/>
    <n v="34.942"/>
    <n v="19.600000000000001"/>
    <n v="16"/>
    <n v="16"/>
    <n v="16"/>
    <n v="16"/>
  </r>
  <r>
    <n v="850"/>
    <m/>
    <m/>
    <m/>
    <m/>
    <s v="R25.1"/>
    <s v="Tremor, unspecified"/>
    <x v="319"/>
    <s v="F"/>
    <m/>
    <m/>
    <n v="33.125"/>
    <n v="30.177"/>
    <n v="62.984000000000002"/>
    <n v="62.533999999999999"/>
    <n v="45.279000000000003"/>
    <n v="45.747"/>
    <n v="86.447999999999993"/>
    <n v="87.917000000000002"/>
    <n v="64.061000000000007"/>
    <n v="65.254999999999995"/>
    <n v="35.939"/>
    <n v="34.744999999999997"/>
    <n v="14.773999999999999"/>
    <n v="14.734999999999999"/>
    <n v="34.744999999999997"/>
    <n v="35.939"/>
    <n v="10.651999999999999"/>
    <n v="14"/>
    <n v="13"/>
    <n v="13"/>
    <n v="13"/>
  </r>
  <r>
    <n v="851"/>
    <m/>
    <m/>
    <m/>
    <m/>
    <s v="G20"/>
    <s v="Parkinson's disease"/>
    <x v="147"/>
    <s v="M"/>
    <m/>
    <m/>
    <n v="75.471999999999994"/>
    <n v="76.649000000000001"/>
    <n v="154.89699999999999"/>
    <n v="148.642"/>
    <n v="127.878"/>
    <n v="127.76900000000001"/>
    <n v="98.91"/>
    <n v="101.93899999999999"/>
    <n v="63.02"/>
    <n v="62.573"/>
    <n v="36.979999999999997"/>
    <n v="37.427"/>
    <n v="13.923999999999999"/>
    <n v="13.21"/>
    <n v="37.427"/>
    <n v="36.979999999999997"/>
    <n v="11.75"/>
    <n v="8"/>
    <n v="9"/>
    <n v="8"/>
    <n v="8"/>
  </r>
  <r>
    <n v="852"/>
    <m/>
    <m/>
    <m/>
    <m/>
    <s v="G25.2"/>
    <s v="Other specified forms of tremor"/>
    <x v="163"/>
    <s v="M"/>
    <m/>
    <m/>
    <n v="52.151000000000003"/>
    <n v="50.613"/>
    <n v="103.57299999999999"/>
    <n v="102.744"/>
    <n v="86.432000000000002"/>
    <n v="85.686000000000007"/>
    <n v="99.483999999999995"/>
    <n v="99.531999999999996"/>
    <n v="63.274000000000001"/>
    <n v="64.662999999999997"/>
    <n v="36.725999999999999"/>
    <n v="35.337000000000003"/>
    <n v="13.992000000000001"/>
    <n v="14.28"/>
    <n v="35.337000000000003"/>
    <n v="36.725999999999999"/>
    <n v="10.256"/>
    <n v="11"/>
    <n v="13"/>
    <n v="11"/>
    <n v="11"/>
  </r>
  <r>
    <n v="853"/>
    <m/>
    <m/>
    <m/>
    <m/>
    <s v="G20"/>
    <s v="Parkinson's disease"/>
    <x v="35"/>
    <s v="NA"/>
    <m/>
    <m/>
    <n v="54.231000000000002"/>
    <n v="54.203000000000003"/>
    <n v="107.62"/>
    <n v="108.84699999999999"/>
    <n v="111.361"/>
    <n v="112.947"/>
    <n v="122.82599999999999"/>
    <n v="123.248"/>
    <n v="62.429000000000002"/>
    <n v="61.6"/>
    <n v="37.570999999999998"/>
    <n v="38.4"/>
    <n v="12.52"/>
    <n v="11.708"/>
    <n v="38.4"/>
    <n v="37.570999999999998"/>
    <n v="9.44"/>
    <n v="11"/>
    <n v="12"/>
    <n v="11"/>
    <n v="11"/>
  </r>
  <r>
    <n v="854"/>
    <m/>
    <m/>
    <m/>
    <m/>
    <s v="G20"/>
    <s v="Parkinson's disease"/>
    <x v="153"/>
    <s v="F"/>
    <m/>
    <m/>
    <n v="41.311"/>
    <n v="33.695"/>
    <n v="75.113"/>
    <n v="74.552000000000007"/>
    <n v="62.152000000000001"/>
    <n v="61.918999999999997"/>
    <n v="98.953999999999994"/>
    <n v="99.284999999999997"/>
    <n v="67.591999999999999"/>
    <n v="66.897000000000006"/>
    <n v="32.408000000000001"/>
    <n v="33.103000000000002"/>
    <n v="16.815999999999999"/>
    <n v="17.399000000000001"/>
    <n v="33.103000000000002"/>
    <n v="32.408000000000001"/>
    <n v="10.003"/>
    <n v="14"/>
    <n v="15"/>
    <n v="14"/>
    <n v="14"/>
  </r>
  <r>
    <n v="855"/>
    <m/>
    <m/>
    <m/>
    <m/>
    <s v="NA"/>
    <s v="NA"/>
    <x v="35"/>
    <s v="NA"/>
    <m/>
    <m/>
    <n v="61.085000000000001"/>
    <n v="59.101999999999997"/>
    <n v="120.27800000000001"/>
    <n v="120.93899999999999"/>
    <n v="116.851"/>
    <n v="116.47"/>
    <n v="116.887"/>
    <n v="114.631"/>
    <n v="63.481000000000002"/>
    <n v="65.555000000000007"/>
    <n v="36.518999999999998"/>
    <n v="34.445"/>
    <n v="14.731999999999999"/>
    <n v="14.548"/>
    <n v="34.445"/>
    <n v="36.518999999999998"/>
    <n v="11.885999999999999"/>
    <n v="10"/>
    <n v="10"/>
    <n v="10"/>
    <n v="10"/>
  </r>
  <r>
    <n v="856"/>
    <m/>
    <m/>
    <m/>
    <m/>
    <s v="G20"/>
    <s v="Parkinson's disease"/>
    <x v="89"/>
    <s v="F"/>
    <m/>
    <m/>
    <n v="53.313000000000002"/>
    <n v="50.05"/>
    <n v="103.43899999999999"/>
    <n v="103.205"/>
    <n v="85.147999999999996"/>
    <n v="84.025999999999996"/>
    <n v="98.363"/>
    <n v="97.328000000000003"/>
    <n v="64.792000000000002"/>
    <n v="66.900000000000006"/>
    <n v="35.207999999999998"/>
    <n v="33.1"/>
    <n v="15.824999999999999"/>
    <n v="15.925000000000001"/>
    <n v="33.1"/>
    <n v="35.207999999999998"/>
    <n v="6.2050000000000001"/>
    <n v="10"/>
    <n v="10"/>
    <n v="10"/>
    <n v="10"/>
  </r>
  <r>
    <n v="857"/>
    <m/>
    <m/>
    <m/>
    <m/>
    <s v="G20"/>
    <s v="Parkinson's disease"/>
    <x v="179"/>
    <s v="M"/>
    <m/>
    <m/>
    <n v="44.805"/>
    <n v="47.097999999999999"/>
    <n v="92.738"/>
    <n v="92.17"/>
    <n v="95.067999999999998"/>
    <n v="95.042000000000002"/>
    <n v="123.691"/>
    <n v="123.28400000000001"/>
    <n v="61.042999999999999"/>
    <n v="63.258000000000003"/>
    <n v="38.957000000000001"/>
    <n v="36.741999999999997"/>
    <n v="11.257999999999999"/>
    <n v="12.536"/>
    <n v="36.741999999999997"/>
    <n v="38.957000000000001"/>
    <n v="8.2759999999999998"/>
    <n v="14"/>
    <n v="14"/>
    <n v="14"/>
    <n v="14"/>
  </r>
  <r>
    <n v="858"/>
    <m/>
    <m/>
    <m/>
    <m/>
    <s v="G20"/>
    <s v="Parkinson's disease"/>
    <x v="320"/>
    <s v="F"/>
    <m/>
    <m/>
    <n v="46.042000000000002"/>
    <n v="41.817"/>
    <n v="87.468999999999994"/>
    <n v="88.251000000000005"/>
    <n v="78.289000000000001"/>
    <n v="78.837000000000003"/>
    <n v="107.553"/>
    <n v="106.836"/>
    <n v="65.006"/>
    <n v="64.082999999999998"/>
    <n v="34.994"/>
    <n v="35.917000000000002"/>
    <n v="14.847"/>
    <n v="14.576000000000001"/>
    <n v="35.917000000000002"/>
    <n v="34.994"/>
    <n v="14.055"/>
    <n v="16"/>
    <n v="16"/>
    <n v="16"/>
    <n v="16"/>
  </r>
  <r>
    <n v="859"/>
    <m/>
    <m/>
    <m/>
    <m/>
    <s v="R25.1"/>
    <s v="Tremor, unspecified"/>
    <x v="234"/>
    <s v="F"/>
    <m/>
    <m/>
    <s v="NA"/>
    <s v="NA"/>
    <s v="NA"/>
    <s v="NA"/>
    <s v="NA"/>
    <s v="NA"/>
    <s v="NA"/>
    <s v="NA"/>
    <s v="NA"/>
    <s v="NA"/>
    <s v="NA"/>
    <s v="NA"/>
    <s v="NA"/>
    <s v="NA"/>
    <s v="NA"/>
    <s v="NA"/>
    <s v="NA"/>
    <s v="NA"/>
    <s v="NA"/>
    <s v="NA"/>
    <s v="NA"/>
  </r>
  <r>
    <n v="860"/>
    <m/>
    <m/>
    <m/>
    <m/>
    <s v="NA"/>
    <s v="NA"/>
    <x v="35"/>
    <s v="NA"/>
    <m/>
    <m/>
    <n v="65.879000000000005"/>
    <n v="64.180999999999997"/>
    <n v="130.27000000000001"/>
    <n v="130.084"/>
    <n v="122.06"/>
    <n v="122.18300000000001"/>
    <n v="112.175"/>
    <n v="112.009"/>
    <n v="61.683999999999997"/>
    <n v="62.203000000000003"/>
    <n v="38.316000000000003"/>
    <n v="37.796999999999997"/>
    <n v="11.917"/>
    <n v="12.598000000000001"/>
    <n v="37.796999999999997"/>
    <n v="38.316000000000003"/>
    <n v="12.676"/>
    <n v="10"/>
    <n v="10"/>
    <n v="10"/>
    <n v="10"/>
  </r>
  <r>
    <n v="861"/>
    <m/>
    <m/>
    <m/>
    <m/>
    <s v="G25.0"/>
    <s v="Essential tremor"/>
    <x v="133"/>
    <s v="F"/>
    <m/>
    <m/>
    <n v="53.915999999999997"/>
    <n v="52.078000000000003"/>
    <n v="105.91800000000001"/>
    <n v="104.91800000000001"/>
    <n v="104.988"/>
    <n v="104.96"/>
    <n v="119.004"/>
    <n v="119.099"/>
    <n v="64.808000000000007"/>
    <n v="63.744999999999997"/>
    <n v="35.192"/>
    <n v="36.255000000000003"/>
    <n v="14.039"/>
    <n v="14.178000000000001"/>
    <n v="36.255000000000003"/>
    <n v="35.192"/>
    <n v="9.5920000000000005"/>
    <n v="15"/>
    <n v="13"/>
    <n v="13"/>
    <n v="13"/>
  </r>
  <r>
    <n v="862"/>
    <m/>
    <m/>
    <m/>
    <m/>
    <s v="R25.1"/>
    <s v="Tremor, unspecified"/>
    <x v="321"/>
    <s v="F"/>
    <m/>
    <m/>
    <n v="56.893000000000001"/>
    <n v="56.746000000000002"/>
    <n v="113.173"/>
    <n v="113.524"/>
    <n v="104.211"/>
    <n v="104.256"/>
    <n v="111.006"/>
    <n v="110.43600000000001"/>
    <n v="61.182000000000002"/>
    <n v="60.530999999999999"/>
    <n v="38.817999999999998"/>
    <n v="39.469000000000001"/>
    <n v="11.398999999999999"/>
    <n v="10.73"/>
    <n v="39.469000000000001"/>
    <n v="38.817999999999998"/>
    <n v="9.5340000000000007"/>
    <n v="11"/>
    <n v="12"/>
    <n v="11"/>
    <n v="11"/>
  </r>
  <r>
    <n v="863"/>
    <m/>
    <m/>
    <m/>
    <m/>
    <s v="G20"/>
    <s v="Parkinson's disease"/>
    <x v="26"/>
    <s v="M"/>
    <m/>
    <m/>
    <s v="NA"/>
    <s v="NA"/>
    <s v="NA"/>
    <s v="NA"/>
    <s v="NA"/>
    <s v="NA"/>
    <s v="NA"/>
    <s v="NA"/>
    <s v="NA"/>
    <s v="NA"/>
    <s v="NA"/>
    <s v="NA"/>
    <s v="NA"/>
    <s v="NA"/>
    <s v="NA"/>
    <s v="NA"/>
    <s v="NA"/>
    <s v="NA"/>
    <s v="NA"/>
    <s v="NA"/>
    <s v="NA"/>
  </r>
  <r>
    <n v="864"/>
    <m/>
    <m/>
    <m/>
    <m/>
    <s v="NA"/>
    <s v="NA"/>
    <x v="35"/>
    <s v="NA"/>
    <m/>
    <m/>
    <n v="36.177999999999997"/>
    <n v="39.140999999999998"/>
    <n v="75.225999999999999"/>
    <n v="75.731999999999999"/>
    <n v="57.204999999999998"/>
    <n v="57.713000000000001"/>
    <n v="91.35"/>
    <n v="90.766000000000005"/>
    <n v="66.888000000000005"/>
    <n v="63.834000000000003"/>
    <n v="33.112000000000002"/>
    <n v="36.165999999999997"/>
    <n v="14.840999999999999"/>
    <n v="15.483000000000001"/>
    <n v="36.165999999999997"/>
    <n v="33.112000000000002"/>
    <n v="13.797000000000001"/>
    <n v="10"/>
    <n v="11"/>
    <n v="10"/>
    <n v="10"/>
  </r>
  <r>
    <n v="865"/>
    <m/>
    <m/>
    <m/>
    <m/>
    <s v="G25.0"/>
    <s v="Essential tremor"/>
    <x v="63"/>
    <s v="M"/>
    <m/>
    <m/>
    <n v="56.682000000000002"/>
    <n v="59.161999999999999"/>
    <n v="116.026"/>
    <n v="116.34699999999999"/>
    <n v="89.022999999999996"/>
    <n v="88.99"/>
    <n v="91.995000000000005"/>
    <n v="91.984999999999999"/>
    <n v="64.015000000000001"/>
    <n v="63.021000000000001"/>
    <n v="35.984999999999999"/>
    <n v="36.978999999999999"/>
    <n v="14.305999999999999"/>
    <n v="13.589"/>
    <n v="36.978999999999999"/>
    <n v="35.984999999999999"/>
    <n v="13.974"/>
    <n v="12"/>
    <n v="11"/>
    <n v="11"/>
    <n v="11"/>
  </r>
  <r>
    <n v="866"/>
    <m/>
    <m/>
    <m/>
    <m/>
    <s v="R25.1"/>
    <s v="Tremor, unspecified"/>
    <x v="98"/>
    <s v="F"/>
    <m/>
    <m/>
    <s v="NA"/>
    <s v="NA"/>
    <s v="NA"/>
    <s v="NA"/>
    <s v="NA"/>
    <s v="NA"/>
    <s v="NA"/>
    <s v="NA"/>
    <s v="NA"/>
    <s v="NA"/>
    <s v="NA"/>
    <s v="NA"/>
    <s v="NA"/>
    <s v="NA"/>
    <s v="NA"/>
    <s v="NA"/>
    <s v="NA"/>
    <s v="NA"/>
    <s v="NA"/>
    <s v="NA"/>
    <s v="NA"/>
  </r>
  <r>
    <n v="867"/>
    <m/>
    <m/>
    <m/>
    <m/>
    <s v="G25.0"/>
    <s v="Essential tremor"/>
    <x v="309"/>
    <s v="F"/>
    <m/>
    <m/>
    <n v="70.847999999999999"/>
    <n v="67.799000000000007"/>
    <n v="139.00399999999999"/>
    <n v="137.756"/>
    <n v="130.65100000000001"/>
    <n v="129.821"/>
    <n v="112.008"/>
    <n v="112.108"/>
    <n v="59.399000000000001"/>
    <n v="60.844000000000001"/>
    <n v="40.600999999999999"/>
    <n v="39.155999999999999"/>
    <n v="10.855"/>
    <n v="10.622999999999999"/>
    <n v="39.155999999999999"/>
    <n v="40.600999999999999"/>
    <n v="9.1129999999999995"/>
    <n v="11"/>
    <n v="8"/>
    <n v="8"/>
    <n v="8"/>
  </r>
  <r>
    <n v="868"/>
    <m/>
    <m/>
    <m/>
    <m/>
    <s v="G11.8"/>
    <s v="Other hereditary ataxias"/>
    <x v="72"/>
    <s v="M"/>
    <m/>
    <m/>
    <n v="52.069000000000003"/>
    <n v="56.848999999999997"/>
    <n v="108.663"/>
    <n v="109.551"/>
    <n v="92.673000000000002"/>
    <n v="93.417000000000002"/>
    <n v="102.048"/>
    <n v="101.85"/>
    <n v="64.367000000000004"/>
    <n v="63.491999999999997"/>
    <n v="35.633000000000003"/>
    <n v="36.508000000000003"/>
    <n v="14.186999999999999"/>
    <n v="14.592000000000001"/>
    <n v="36.508000000000003"/>
    <n v="35.633000000000003"/>
    <n v="8.6059999999999999"/>
    <n v="11"/>
    <n v="14"/>
    <n v="11"/>
    <n v="11"/>
  </r>
  <r>
    <n v="869"/>
    <m/>
    <m/>
    <m/>
    <m/>
    <s v="G20"/>
    <s v="Parkinson's disease"/>
    <x v="91"/>
    <s v="M"/>
    <m/>
    <m/>
    <n v="46.353999999999999"/>
    <n v="49.45"/>
    <n v="97.007000000000005"/>
    <n v="95.57"/>
    <n v="78.117999999999995"/>
    <n v="77.513000000000005"/>
    <n v="97.748999999999995"/>
    <n v="97.117999999999995"/>
    <n v="65.091999999999999"/>
    <n v="63.866"/>
    <n v="34.908000000000001"/>
    <n v="36.134"/>
    <n v="14.625999999999999"/>
    <n v="14.33"/>
    <n v="36.134"/>
    <n v="34.908000000000001"/>
    <n v="14.167999999999999"/>
    <n v="11"/>
    <n v="15"/>
    <n v="11"/>
    <n v="11"/>
  </r>
  <r>
    <n v="870"/>
    <m/>
    <m/>
    <m/>
    <m/>
    <s v="R25.1"/>
    <s v="Tremor, unspecified"/>
    <x v="216"/>
    <s v="M"/>
    <m/>
    <m/>
    <n v="61.063000000000002"/>
    <n v="65.917000000000002"/>
    <n v="127.18600000000001"/>
    <n v="127.526"/>
    <n v="122.063"/>
    <n v="122.294"/>
    <n v="114.926"/>
    <n v="114.499"/>
    <n v="62.04"/>
    <n v="62.893999999999998"/>
    <n v="37.96"/>
    <n v="37.106000000000002"/>
    <n v="11.967000000000001"/>
    <n v="12.989000000000001"/>
    <n v="37.106000000000002"/>
    <n v="37.96"/>
    <n v="12.04"/>
    <n v="12"/>
    <n v="9"/>
    <n v="9"/>
    <n v="9"/>
  </r>
  <r>
    <n v="871"/>
    <m/>
    <m/>
    <m/>
    <m/>
    <s v="NA"/>
    <s v="NA"/>
    <x v="35"/>
    <s v="NA"/>
    <m/>
    <m/>
    <n v="36.156999999999996"/>
    <n v="45.279000000000003"/>
    <n v="82.528999999999996"/>
    <n v="81.198999999999998"/>
    <n v="75.209999999999994"/>
    <n v="74.462999999999994"/>
    <n v="109.399"/>
    <n v="108.738"/>
    <n v="66.275999999999996"/>
    <n v="65.712000000000003"/>
    <n v="33.723999999999997"/>
    <n v="34.287999999999997"/>
    <n v="16.940999999999999"/>
    <n v="15.007"/>
    <n v="34.287999999999997"/>
    <n v="33.723999999999997"/>
    <n v="14.045999999999999"/>
    <n v="15"/>
    <n v="19"/>
    <n v="15"/>
    <n v="15"/>
  </r>
  <r>
    <n v="872"/>
    <m/>
    <m/>
    <m/>
    <m/>
    <s v="NA"/>
    <s v="NA"/>
    <x v="35"/>
    <s v="NA"/>
    <m/>
    <m/>
    <s v="NA"/>
    <s v="NA"/>
    <s v="NA"/>
    <s v="NA"/>
    <s v="NA"/>
    <s v="NA"/>
    <s v="NA"/>
    <s v="NA"/>
    <s v="NA"/>
    <s v="NA"/>
    <s v="NA"/>
    <s v="NA"/>
    <s v="NA"/>
    <s v="NA"/>
    <s v="NA"/>
    <s v="NA"/>
    <s v="NA"/>
    <s v="NA"/>
    <s v="NA"/>
    <s v="NA"/>
    <s v="NA"/>
  </r>
  <r>
    <n v="873"/>
    <m/>
    <m/>
    <m/>
    <m/>
    <s v="G25.0"/>
    <s v="Essential tremor"/>
    <x v="89"/>
    <s v="M"/>
    <m/>
    <m/>
    <n v="45.463999999999999"/>
    <n v="40.442999999999998"/>
    <n v="85.71"/>
    <n v="85.884"/>
    <n v="70.759"/>
    <n v="71.138999999999996"/>
    <n v="99.599000000000004"/>
    <n v="100.098"/>
    <n v="65.465999999999994"/>
    <n v="65.638999999999996"/>
    <n v="34.533999999999999"/>
    <n v="34.360999999999997"/>
    <n v="14.683999999999999"/>
    <n v="16.681000000000001"/>
    <n v="34.360999999999997"/>
    <n v="34.533999999999999"/>
    <n v="15.497999999999999"/>
    <n v="16"/>
    <n v="15"/>
    <n v="15"/>
    <n v="15"/>
  </r>
  <r>
    <n v="874"/>
    <m/>
    <m/>
    <m/>
    <m/>
    <s v="G20"/>
    <s v="Parkinson's disease"/>
    <x v="322"/>
    <s v="F"/>
    <m/>
    <m/>
    <n v="28.021999999999998"/>
    <n v="26.79"/>
    <n v="54.396999999999998"/>
    <n v="54.981000000000002"/>
    <n v="58.825000000000003"/>
    <n v="59.009"/>
    <n v="129.91300000000001"/>
    <n v="129.28299999999999"/>
    <n v="68.356999999999999"/>
    <n v="67.31"/>
    <n v="31.643000000000001"/>
    <n v="32.69"/>
    <n v="19.084"/>
    <n v="16.719000000000001"/>
    <n v="32.69"/>
    <n v="31.643000000000001"/>
    <n v="12.888"/>
    <n v="20"/>
    <n v="21"/>
    <n v="20"/>
    <n v="20"/>
  </r>
  <r>
    <n v="875"/>
    <m/>
    <m/>
    <m/>
    <m/>
    <s v="NA"/>
    <s v="NA"/>
    <x v="35"/>
    <s v="NA"/>
    <m/>
    <m/>
    <n v="61.44"/>
    <n v="62.337000000000003"/>
    <n v="124.27"/>
    <n v="124.08199999999999"/>
    <n v="122.624"/>
    <n v="122.752"/>
    <n v="118.97"/>
    <n v="119.024"/>
    <n v="59.874000000000002"/>
    <n v="59.981000000000002"/>
    <n v="40.125999999999998"/>
    <n v="40.018999999999998"/>
    <n v="9.8420000000000005"/>
    <n v="10.134"/>
    <n v="40.018999999999998"/>
    <n v="40.125999999999998"/>
    <n v="9.0709999999999997"/>
    <n v="17"/>
    <n v="18"/>
    <n v="17"/>
    <n v="17"/>
  </r>
  <r>
    <n v="876"/>
    <m/>
    <m/>
    <m/>
    <m/>
    <s v="G25.0"/>
    <s v="Essential tremor"/>
    <x v="323"/>
    <s v="F"/>
    <m/>
    <m/>
    <n v="53.649000000000001"/>
    <n v="54.11"/>
    <n v="108.28400000000001"/>
    <n v="107.81699999999999"/>
    <n v="103.578"/>
    <n v="102.6"/>
    <n v="115.042"/>
    <n v="114.46"/>
    <n v="62.56"/>
    <n v="62.738999999999997"/>
    <n v="37.44"/>
    <n v="37.261000000000003"/>
    <n v="12.625999999999999"/>
    <n v="12.736000000000001"/>
    <n v="37.261000000000003"/>
    <n v="37.44"/>
    <n v="8.59"/>
    <n v="17"/>
    <n v="18"/>
    <n v="17"/>
    <n v="17"/>
  </r>
  <r>
    <n v="877"/>
    <m/>
    <m/>
    <m/>
    <m/>
    <s v="G25.2"/>
    <s v="Other specified forms of tremor"/>
    <x v="230"/>
    <s v="M"/>
    <m/>
    <m/>
    <n v="34.951999999999998"/>
    <n v="33.444000000000003"/>
    <n v="68.588999999999999"/>
    <n v="68.5"/>
    <n v="57.048000000000002"/>
    <n v="56.896000000000001"/>
    <n v="99.843999999999994"/>
    <n v="99.361000000000004"/>
    <n v="67.335999999999999"/>
    <n v="69.623000000000005"/>
    <n v="32.664000000000001"/>
    <n v="30.376999999999999"/>
    <n v="19.198"/>
    <n v="17.713999999999999"/>
    <n v="30.376999999999999"/>
    <n v="32.664000000000001"/>
    <n v="11.385"/>
    <n v="16"/>
    <n v="16"/>
    <n v="16"/>
    <n v="16"/>
  </r>
  <r>
    <n v="878"/>
    <m/>
    <m/>
    <m/>
    <m/>
    <s v="R25.1"/>
    <s v="Tremor, unspecified"/>
    <x v="324"/>
    <s v="F"/>
    <m/>
    <m/>
    <n v="59.173999999999999"/>
    <n v="58.082000000000001"/>
    <n v="117.20699999999999"/>
    <n v="117.675"/>
    <n v="98.066999999999993"/>
    <n v="98.5"/>
    <n v="100.66800000000001"/>
    <n v="100.32299999999999"/>
    <n v="63.244"/>
    <n v="64.44"/>
    <n v="36.756"/>
    <n v="35.56"/>
    <n v="14.853999999999999"/>
    <n v="13.301"/>
    <n v="35.56"/>
    <n v="36.756"/>
    <n v="7.0730000000000004"/>
    <n v="16"/>
    <n v="16"/>
    <n v="16"/>
    <n v="16"/>
  </r>
  <r>
    <n v="879"/>
    <m/>
    <m/>
    <m/>
    <m/>
    <s v="G20"/>
    <s v="Parkinson's disease"/>
    <x v="195"/>
    <s v="M"/>
    <m/>
    <m/>
    <s v="NA"/>
    <s v="NA"/>
    <s v="NA"/>
    <s v="NA"/>
    <s v="NA"/>
    <s v="NA"/>
    <s v="NA"/>
    <s v="NA"/>
    <s v="NA"/>
    <s v="NA"/>
    <s v="NA"/>
    <s v="NA"/>
    <s v="NA"/>
    <s v="NA"/>
    <s v="NA"/>
    <s v="NA"/>
    <s v="NA"/>
    <s v="NA"/>
    <s v="NA"/>
    <s v="NA"/>
    <s v="NA"/>
  </r>
  <r>
    <n v="880"/>
    <m/>
    <m/>
    <m/>
    <m/>
    <s v="NA"/>
    <s v="NA"/>
    <x v="35"/>
    <s v="NA"/>
    <m/>
    <m/>
    <n v="44.542999999999999"/>
    <n v="46.85"/>
    <n v="92.262"/>
    <n v="91.42"/>
    <n v="86.203999999999994"/>
    <n v="85.781000000000006"/>
    <n v="112.258"/>
    <n v="112.28"/>
    <n v="62.42"/>
    <n v="62.045999999999999"/>
    <n v="37.58"/>
    <n v="37.954000000000001"/>
    <n v="11.598000000000001"/>
    <n v="13.02"/>
    <n v="37.954000000000001"/>
    <n v="37.58"/>
    <n v="11.516999999999999"/>
    <n v="18"/>
    <n v="20"/>
    <n v="18"/>
    <n v="18"/>
  </r>
  <r>
    <n v="881"/>
    <m/>
    <m/>
    <m/>
    <m/>
    <s v="G25.0"/>
    <s v="Essential tremor"/>
    <x v="214"/>
    <s v="F"/>
    <m/>
    <m/>
    <n v="44.616"/>
    <n v="47.856999999999999"/>
    <n v="92.950999999999993"/>
    <n v="92.340999999999994"/>
    <n v="72.691999999999993"/>
    <n v="72.171999999999997"/>
    <n v="94.224000000000004"/>
    <n v="93.406999999999996"/>
    <n v="65.221999999999994"/>
    <n v="64.004000000000005"/>
    <n v="34.777999999999999"/>
    <n v="35.996000000000002"/>
    <n v="14.563000000000001"/>
    <n v="14.436"/>
    <n v="35.996000000000002"/>
    <n v="34.777999999999999"/>
    <n v="15.942"/>
    <n v="14"/>
    <n v="17"/>
    <n v="14"/>
    <n v="14"/>
  </r>
  <r>
    <n v="882"/>
    <m/>
    <m/>
    <m/>
    <m/>
    <s v="R27.0"/>
    <s v="Ataxia, unspecified"/>
    <x v="123"/>
    <s v="M"/>
    <m/>
    <m/>
    <n v="66.709999999999994"/>
    <n v="66.909000000000006"/>
    <n v="132.96799999999999"/>
    <n v="132.708"/>
    <n v="108.398"/>
    <n v="108.982"/>
    <n v="97.700999999999993"/>
    <n v="99.472999999999999"/>
    <n v="65.093000000000004"/>
    <n v="63.582999999999998"/>
    <n v="34.906999999999996"/>
    <n v="36.417000000000002"/>
    <n v="14.004"/>
    <n v="15.56"/>
    <n v="36.417000000000002"/>
    <n v="34.906999999999996"/>
    <n v="18.585000000000001"/>
    <n v="12"/>
    <n v="11"/>
    <n v="11"/>
    <n v="11"/>
  </r>
  <r>
    <n v="883"/>
    <m/>
    <m/>
    <m/>
    <m/>
    <s v="G20"/>
    <s v="Parkinson's disease"/>
    <x v="325"/>
    <s v="M"/>
    <m/>
    <m/>
    <n v="48.42"/>
    <n v="58.985999999999997"/>
    <n v="108.401"/>
    <n v="107.059"/>
    <n v="68.599999999999994"/>
    <n v="67.682000000000002"/>
    <n v="75.391999999999996"/>
    <n v="76.295000000000002"/>
    <n v="70.003"/>
    <n v="60.915999999999997"/>
    <n v="29.997"/>
    <n v="39.084000000000003"/>
    <n v="12.205"/>
    <n v="18.626000000000001"/>
    <n v="39.084000000000003"/>
    <n v="29.997"/>
    <n v="19.558"/>
    <n v="11"/>
    <n v="13"/>
    <n v="11"/>
    <n v="11"/>
  </r>
  <r>
    <n v="884"/>
    <m/>
    <m/>
    <m/>
    <m/>
    <s v="R25.1"/>
    <s v="Tremor, unspecified"/>
    <x v="310"/>
    <s v="F"/>
    <m/>
    <m/>
    <n v="65.971999999999994"/>
    <n v="63.726999999999997"/>
    <n v="129.95599999999999"/>
    <n v="129.69"/>
    <n v="138.065"/>
    <n v="137.386"/>
    <n v="127.19799999999999"/>
    <n v="127.06699999999999"/>
    <n v="59.89"/>
    <n v="60.307000000000002"/>
    <n v="40.11"/>
    <n v="39.692999999999998"/>
    <n v="10.491"/>
    <n v="10.054"/>
    <n v="39.692999999999998"/>
    <n v="40.11"/>
    <n v="8.8879999999999999"/>
    <n v="18"/>
    <n v="19"/>
    <n v="18"/>
    <n v="18"/>
  </r>
  <r>
    <n v="885"/>
    <m/>
    <m/>
    <m/>
    <m/>
    <s v="G25.0"/>
    <s v="Essential tremor"/>
    <x v="256"/>
    <s v="F"/>
    <m/>
    <m/>
    <n v="53.755000000000003"/>
    <n v="55.567999999999998"/>
    <n v="109.23699999999999"/>
    <n v="109.16800000000001"/>
    <n v="93.284000000000006"/>
    <n v="93.272999999999996"/>
    <n v="102.152"/>
    <n v="102.337"/>
    <n v="61.975000000000001"/>
    <n v="62.488"/>
    <n v="38.024999999999999"/>
    <n v="37.512"/>
    <n v="13.257999999999999"/>
    <n v="11.77"/>
    <n v="37.512"/>
    <n v="38.024999999999999"/>
    <n v="8.1929999999999996"/>
    <n v="15"/>
    <n v="15"/>
    <n v="15"/>
    <n v="15"/>
  </r>
  <r>
    <n v="886"/>
    <m/>
    <m/>
    <m/>
    <m/>
    <s v="R25.1"/>
    <s v="Tremor, unspecified"/>
    <x v="236"/>
    <s v="M"/>
    <m/>
    <m/>
    <n v="44.688000000000002"/>
    <n v="40.194000000000003"/>
    <n v="84.37"/>
    <n v="84.709000000000003"/>
    <n v="70.61"/>
    <n v="71.344999999999999"/>
    <n v="100.967"/>
    <n v="100.624"/>
    <n v="67.117000000000004"/>
    <n v="68.975999999999999"/>
    <n v="32.883000000000003"/>
    <n v="31.024000000000001"/>
    <n v="16.763000000000002"/>
    <n v="19.47"/>
    <n v="31.024000000000001"/>
    <n v="32.883000000000003"/>
    <n v="24.228000000000002"/>
    <n v="13"/>
    <n v="12"/>
    <n v="12"/>
    <n v="12"/>
  </r>
  <r>
    <n v="887"/>
    <m/>
    <m/>
    <m/>
    <m/>
    <s v="G20"/>
    <s v="Parkinson's disease"/>
    <x v="7"/>
    <s v="M"/>
    <m/>
    <m/>
    <n v="9.8940000000000001"/>
    <n v="11.3"/>
    <n v="21.140999999999998"/>
    <n v="20.87"/>
    <n v="30.109000000000002"/>
    <n v="30.033000000000001"/>
    <n v="182.09100000000001"/>
    <n v="180.45699999999999"/>
    <n v="74.849000000000004"/>
    <n v="73.268000000000001"/>
    <n v="25.151"/>
    <n v="26.731999999999999"/>
    <n v="24.506"/>
    <n v="23.350999999999999"/>
    <n v="26.731999999999999"/>
    <n v="25.151"/>
    <n v="17.225999999999999"/>
    <n v="24"/>
    <n v="23"/>
    <n v="23"/>
    <n v="23"/>
  </r>
  <r>
    <n v="888"/>
    <m/>
    <m/>
    <m/>
    <m/>
    <s v="G20"/>
    <s v="Parkinson's disease"/>
    <x v="326"/>
    <s v="F"/>
    <m/>
    <m/>
    <n v="43.381999999999998"/>
    <n v="42.15"/>
    <n v="86.36"/>
    <n v="85.634"/>
    <n v="93.14"/>
    <n v="92.319000000000003"/>
    <n v="129.078"/>
    <n v="129.251"/>
    <n v="60.24"/>
    <n v="63.113999999999997"/>
    <n v="39.76"/>
    <n v="36.886000000000003"/>
    <n v="12.759"/>
    <n v="10.409000000000001"/>
    <n v="36.886000000000003"/>
    <n v="39.76"/>
    <n v="12.183999999999999"/>
    <n v="22"/>
    <n v="27"/>
    <n v="22"/>
    <n v="22"/>
  </r>
  <r>
    <n v="889"/>
    <m/>
    <m/>
    <m/>
    <m/>
    <s v="R25.1"/>
    <s v="Tremor, unspecified"/>
    <x v="327"/>
    <s v="F"/>
    <m/>
    <m/>
    <n v="63.692999999999998"/>
    <n v="64.406000000000006"/>
    <n v="126.93600000000001"/>
    <n v="124.20699999999999"/>
    <n v="106.264"/>
    <n v="103.04600000000001"/>
    <n v="101.169"/>
    <n v="101.05"/>
    <n v="63.779000000000003"/>
    <n v="62.890999999999998"/>
    <n v="36.220999999999997"/>
    <n v="37.109000000000002"/>
    <n v="13.696999999999999"/>
    <n v="13.93"/>
    <n v="37.109000000000002"/>
    <n v="36.220999999999997"/>
    <n v="14.614000000000001"/>
    <n v="10"/>
    <n v="8"/>
    <n v="8"/>
    <n v="8"/>
  </r>
  <r>
    <n v="890"/>
    <m/>
    <m/>
    <m/>
    <m/>
    <s v="G20"/>
    <s v="Parkinson's disease"/>
    <x v="328"/>
    <s v="F"/>
    <m/>
    <m/>
    <n v="61.701999999999998"/>
    <n v="58.847999999999999"/>
    <n v="120.816"/>
    <n v="121.223"/>
    <n v="100.295"/>
    <n v="100.035"/>
    <n v="98.507000000000005"/>
    <n v="98.503"/>
    <n v="64.108000000000004"/>
    <n v="62.335999999999999"/>
    <n v="35.892000000000003"/>
    <n v="37.664000000000001"/>
    <n v="12.907999999999999"/>
    <n v="13.973000000000001"/>
    <n v="37.664000000000001"/>
    <n v="35.892000000000003"/>
    <n v="7.234"/>
    <n v="10"/>
    <n v="11"/>
    <n v="10"/>
    <n v="10"/>
  </r>
  <r>
    <n v="891"/>
    <m/>
    <m/>
    <m/>
    <m/>
    <s v="G20"/>
    <s v="Parkinson's disease"/>
    <x v="10"/>
    <s v="M"/>
    <m/>
    <m/>
    <n v="58.585999999999999"/>
    <n v="58.448"/>
    <n v="117.06100000000001"/>
    <n v="117.504"/>
    <n v="117.464"/>
    <n v="117.452"/>
    <n v="119.877"/>
    <n v="119.926"/>
    <n v="63.237000000000002"/>
    <n v="62.174999999999997"/>
    <n v="36.762999999999998"/>
    <n v="37.825000000000003"/>
    <n v="13.234"/>
    <n v="12.73"/>
    <n v="37.825000000000003"/>
    <n v="36.762999999999998"/>
    <n v="13.032"/>
    <n v="11"/>
    <n v="13"/>
    <n v="11"/>
    <n v="11"/>
  </r>
  <r>
    <n v="892"/>
    <m/>
    <m/>
    <m/>
    <m/>
    <s v="NA"/>
    <s v="NA"/>
    <x v="35"/>
    <s v="NA"/>
    <m/>
    <m/>
    <n v="25.8"/>
    <n v="23.370999999999999"/>
    <n v="48.59"/>
    <n v="49.011000000000003"/>
    <n v="48.146000000000001"/>
    <n v="48.883000000000003"/>
    <n v="117.694"/>
    <n v="118.161"/>
    <n v="67.611000000000004"/>
    <n v="67.323999999999998"/>
    <n v="32.389000000000003"/>
    <n v="32.676000000000002"/>
    <n v="15.555"/>
    <n v="18.812000000000001"/>
    <n v="32.676000000000002"/>
    <n v="32.389000000000003"/>
    <n v="8.61"/>
    <n v="11"/>
    <n v="12"/>
    <n v="11"/>
    <n v="11"/>
  </r>
  <r>
    <n v="893"/>
    <m/>
    <m/>
    <m/>
    <m/>
    <s v="G20"/>
    <s v="Parkinson's disease"/>
    <x v="329"/>
    <s v="M"/>
    <m/>
    <m/>
    <n v="33.143999999999998"/>
    <n v="42.515999999999998"/>
    <n v="76.161000000000001"/>
    <n v="75.930000000000007"/>
    <n v="77.644999999999996"/>
    <n v="77.194999999999993"/>
    <n v="121.556"/>
    <n v="120.551"/>
    <n v="57.207000000000001"/>
    <n v="66.158000000000001"/>
    <n v="42.792999999999999"/>
    <n v="33.841999999999999"/>
    <n v="8.7219999999999995"/>
    <n v="14.967000000000001"/>
    <n v="33.841999999999999"/>
    <n v="42.792999999999999"/>
    <n v="13.151999999999999"/>
    <n v="15"/>
    <n v="15"/>
    <n v="15"/>
    <n v="15"/>
  </r>
  <r>
    <n v="894"/>
    <m/>
    <m/>
    <m/>
    <m/>
    <s v="G20"/>
    <s v="Parkinson's disease"/>
    <x v="27"/>
    <s v="M"/>
    <m/>
    <m/>
    <s v="NA"/>
    <s v="NA"/>
    <s v="NA"/>
    <s v="NA"/>
    <s v="NA"/>
    <s v="NA"/>
    <s v="NA"/>
    <s v="NA"/>
    <s v="NA"/>
    <s v="NA"/>
    <s v="NA"/>
    <s v="NA"/>
    <s v="NA"/>
    <s v="NA"/>
    <s v="NA"/>
    <s v="NA"/>
    <s v="NA"/>
    <s v="NA"/>
    <s v="NA"/>
    <s v="NA"/>
    <s v="NA"/>
  </r>
  <r>
    <n v="895"/>
    <m/>
    <m/>
    <m/>
    <m/>
    <s v="G25.0"/>
    <s v="Essential tremor"/>
    <x v="168"/>
    <s v="M"/>
    <m/>
    <m/>
    <n v="62.924999999999997"/>
    <n v="63.029000000000003"/>
    <n v="125.578"/>
    <n v="126.339"/>
    <n v="112.64100000000001"/>
    <n v="113.738"/>
    <n v="107.023"/>
    <n v="107.492"/>
    <n v="62.594999999999999"/>
    <n v="62.271000000000001"/>
    <n v="37.405000000000001"/>
    <n v="37.728999999999999"/>
    <n v="12.63"/>
    <n v="12.933999999999999"/>
    <n v="37.728999999999999"/>
    <n v="37.405000000000001"/>
    <n v="12.73"/>
    <n v="9"/>
    <n v="9"/>
    <n v="9"/>
    <n v="9"/>
  </r>
  <r>
    <n v="896"/>
    <m/>
    <m/>
    <m/>
    <m/>
    <s v="NA"/>
    <s v="NA"/>
    <x v="50"/>
    <s v="F"/>
    <m/>
    <m/>
    <s v="NA"/>
    <s v="NA"/>
    <s v="NA"/>
    <s v="NA"/>
    <s v="NA"/>
    <s v="NA"/>
    <s v="NA"/>
    <s v="NA"/>
    <s v="NA"/>
    <s v="NA"/>
    <s v="NA"/>
    <s v="NA"/>
    <s v="NA"/>
    <s v="NA"/>
    <s v="NA"/>
    <s v="NA"/>
    <s v="NA"/>
    <s v="NA"/>
    <s v="NA"/>
    <s v="NA"/>
    <s v="NA"/>
  </r>
  <r>
    <n v="897"/>
    <m/>
    <m/>
    <m/>
    <m/>
    <s v="G20"/>
    <s v="Parkinson's disease"/>
    <x v="79"/>
    <s v="F"/>
    <m/>
    <m/>
    <n v="52.793999999999997"/>
    <n v="52.603999999999999"/>
    <n v="104.999"/>
    <n v="105.71"/>
    <n v="87.617999999999995"/>
    <n v="87.891000000000005"/>
    <n v="99.445999999999998"/>
    <n v="98.808999999999997"/>
    <n v="64.203999999999994"/>
    <n v="62.058"/>
    <n v="35.795999999999999"/>
    <n v="37.942"/>
    <n v="14.085000000000001"/>
    <n v="12.813000000000001"/>
    <n v="37.942"/>
    <n v="35.795999999999999"/>
    <n v="10.888"/>
    <n v="12"/>
    <n v="10"/>
    <n v="10"/>
    <n v="10"/>
  </r>
  <r>
    <n v="898"/>
    <m/>
    <m/>
    <m/>
    <m/>
    <s v="G20"/>
    <s v="Parkinson's disease"/>
    <x v="54"/>
    <s v="M"/>
    <m/>
    <m/>
    <n v="50.073"/>
    <n v="47.656999999999996"/>
    <n v="98.628"/>
    <n v="98.05"/>
    <n v="102.059"/>
    <n v="102.432"/>
    <n v="124.39700000000001"/>
    <n v="124.97"/>
    <n v="62.710999999999999"/>
    <n v="61.755000000000003"/>
    <n v="37.289000000000001"/>
    <n v="38.244999999999997"/>
    <n v="12.813000000000001"/>
    <n v="11.638"/>
    <n v="38.244999999999997"/>
    <n v="37.289000000000001"/>
    <n v="12.18"/>
    <n v="14"/>
    <n v="12"/>
    <n v="12"/>
    <n v="12"/>
  </r>
  <r>
    <n v="899"/>
    <m/>
    <m/>
    <m/>
    <m/>
    <s v="NA"/>
    <s v="NA"/>
    <x v="35"/>
    <s v="NA"/>
    <m/>
    <m/>
    <n v="43.322000000000003"/>
    <n v="42.21"/>
    <n v="85.474999999999994"/>
    <n v="86.268000000000001"/>
    <n v="81.968000000000004"/>
    <n v="82.289000000000001"/>
    <n v="115.164"/>
    <n v="114.381"/>
    <n v="62.302"/>
    <n v="64.474000000000004"/>
    <n v="37.698"/>
    <n v="35.526000000000003"/>
    <n v="14.446"/>
    <n v="12.989000000000001"/>
    <n v="35.526000000000003"/>
    <n v="37.698"/>
    <n v="15.186"/>
    <n v="17"/>
    <n v="14"/>
    <n v="14"/>
    <n v="14"/>
  </r>
  <r>
    <n v="900"/>
    <m/>
    <m/>
    <m/>
    <m/>
    <s v="NA"/>
    <s v="NA"/>
    <x v="305"/>
    <s v="M"/>
    <m/>
    <m/>
    <s v="NA"/>
    <s v="NA"/>
    <s v="NA"/>
    <s v="NA"/>
    <s v="NA"/>
    <s v="NA"/>
    <s v="NA"/>
    <s v="NA"/>
    <s v="NA"/>
    <s v="NA"/>
    <s v="NA"/>
    <s v="NA"/>
    <s v="NA"/>
    <s v="NA"/>
    <s v="NA"/>
    <s v="NA"/>
    <s v="NA"/>
    <s v="NA"/>
    <s v="NA"/>
    <s v="NA"/>
    <s v="NA"/>
  </r>
  <r>
    <n v="901"/>
    <m/>
    <m/>
    <m/>
    <m/>
    <s v="NA"/>
    <s v="NA"/>
    <x v="35"/>
    <s v="NA"/>
    <m/>
    <m/>
    <s v="NA"/>
    <s v="NA"/>
    <s v="NA"/>
    <s v="NA"/>
    <s v="NA"/>
    <s v="NA"/>
    <s v="NA"/>
    <s v="NA"/>
    <s v="NA"/>
    <s v="NA"/>
    <s v="NA"/>
    <s v="NA"/>
    <s v="NA"/>
    <s v="NA"/>
    <s v="NA"/>
    <s v="NA"/>
    <s v="NA"/>
    <s v="NA"/>
    <s v="NA"/>
    <s v="NA"/>
    <s v="NA"/>
  </r>
  <r>
    <n v="902"/>
    <m/>
    <m/>
    <m/>
    <m/>
    <s v="G25.0"/>
    <s v="Essential tremor"/>
    <x v="330"/>
    <s v="M"/>
    <m/>
    <m/>
    <n v="37.395000000000003"/>
    <n v="30.036999999999999"/>
    <n v="67.641999999999996"/>
    <n v="67.238"/>
    <n v="63.313000000000002"/>
    <n v="62.991"/>
    <n v="112.501"/>
    <n v="112.182"/>
    <n v="65.876000000000005"/>
    <n v="65.001999999999995"/>
    <n v="34.124000000000002"/>
    <n v="34.997999999999998"/>
    <n v="16.643999999999998"/>
    <n v="14.201000000000001"/>
    <n v="34.997999999999998"/>
    <n v="34.124000000000002"/>
    <n v="8.08"/>
    <n v="15"/>
    <n v="15"/>
    <n v="15"/>
    <n v="15"/>
  </r>
  <r>
    <n v="903"/>
    <m/>
    <m/>
    <m/>
    <m/>
    <s v="NA"/>
    <s v="NA"/>
    <x v="35"/>
    <s v="NA"/>
    <m/>
    <m/>
    <n v="15.375999999999999"/>
    <n v="26.966999999999999"/>
    <n v="42.655999999999999"/>
    <n v="41.616999999999997"/>
    <n v="36.192"/>
    <n v="36.133000000000003"/>
    <n v="101.624"/>
    <n v="101.38200000000001"/>
    <n v="69.787000000000006"/>
    <n v="76.492000000000004"/>
    <n v="30.213000000000001"/>
    <n v="23.507999999999999"/>
    <n v="12.000999999999999"/>
    <n v="33.96"/>
    <n v="23.507999999999999"/>
    <n v="30.213000000000001"/>
    <n v="16.14"/>
    <n v="21"/>
    <n v="22"/>
    <n v="21"/>
    <n v="21"/>
  </r>
  <r>
    <n v="904"/>
    <m/>
    <m/>
    <m/>
    <m/>
    <s v="NA"/>
    <s v="NA"/>
    <x v="35"/>
    <s v="NA"/>
    <m/>
    <m/>
    <n v="49.856000000000002"/>
    <n v="52.244999999999997"/>
    <n v="103.024"/>
    <n v="101.629"/>
    <n v="101.25"/>
    <n v="100.64100000000001"/>
    <n v="118.08499999999999"/>
    <n v="117.556"/>
    <n v="67.200999999999993"/>
    <n v="61.247999999999998"/>
    <n v="32.798999999999999"/>
    <n v="38.752000000000002"/>
    <n v="14.183"/>
    <n v="14.666"/>
    <n v="38.752000000000002"/>
    <n v="32.798999999999999"/>
    <n v="14.462"/>
    <n v="13"/>
    <n v="12"/>
    <n v="12"/>
    <n v="12"/>
  </r>
  <r>
    <n v="905"/>
    <m/>
    <m/>
    <m/>
    <m/>
    <s v="NA"/>
    <s v="NA"/>
    <x v="35"/>
    <s v="NA"/>
    <m/>
    <m/>
    <s v="NA"/>
    <s v="NA"/>
    <s v="NA"/>
    <s v="NA"/>
    <s v="NA"/>
    <s v="NA"/>
    <s v="NA"/>
    <s v="NA"/>
    <s v="NA"/>
    <s v="NA"/>
    <s v="NA"/>
    <s v="NA"/>
    <s v="NA"/>
    <s v="NA"/>
    <s v="NA"/>
    <s v="NA"/>
    <s v="NA"/>
    <s v="NA"/>
    <s v="NA"/>
    <s v="NA"/>
    <s v="NA"/>
  </r>
  <r>
    <n v="906"/>
    <m/>
    <m/>
    <m/>
    <m/>
    <s v="NA"/>
    <s v="NA"/>
    <x v="149"/>
    <s v="M"/>
    <m/>
    <m/>
    <s v="NA"/>
    <s v="NA"/>
    <s v="NA"/>
    <s v="NA"/>
    <s v="NA"/>
    <s v="NA"/>
    <s v="NA"/>
    <s v="NA"/>
    <s v="NA"/>
    <s v="NA"/>
    <s v="NA"/>
    <s v="NA"/>
    <s v="NA"/>
    <s v="NA"/>
    <s v="NA"/>
    <s v="NA"/>
    <s v="NA"/>
    <s v="NA"/>
    <s v="NA"/>
    <s v="NA"/>
    <s v="NA"/>
  </r>
  <r>
    <n v="907"/>
    <m/>
    <m/>
    <m/>
    <m/>
    <s v="G20"/>
    <s v="Parkinson's disease"/>
    <x v="37"/>
    <s v="M"/>
    <m/>
    <m/>
    <s v="NA"/>
    <s v="NA"/>
    <s v="NA"/>
    <s v="NA"/>
    <s v="NA"/>
    <s v="NA"/>
    <s v="NA"/>
    <s v="NA"/>
    <s v="NA"/>
    <s v="NA"/>
    <s v="NA"/>
    <s v="NA"/>
    <s v="NA"/>
    <s v="NA"/>
    <s v="NA"/>
    <s v="NA"/>
    <s v="NA"/>
    <s v="NA"/>
    <s v="NA"/>
    <s v="NA"/>
    <s v="NA"/>
  </r>
  <r>
    <n v="908"/>
    <m/>
    <m/>
    <m/>
    <m/>
    <s v="NA"/>
    <s v="NA"/>
    <x v="35"/>
    <s v="NA"/>
    <m/>
    <m/>
    <n v="58.643999999999998"/>
    <n v="60.555"/>
    <n v="119.02500000000001"/>
    <n v="118.827"/>
    <n v="103.794"/>
    <n v="104.96599999999999"/>
    <n v="104.70699999999999"/>
    <n v="105.79900000000001"/>
    <n v="61.256999999999998"/>
    <n v="62.094999999999999"/>
    <n v="38.743000000000002"/>
    <n v="37.905000000000001"/>
    <n v="12.045"/>
    <n v="11.949"/>
    <n v="37.905000000000001"/>
    <n v="38.743000000000002"/>
    <n v="10.02"/>
    <n v="12"/>
    <n v="10"/>
    <n v="10"/>
    <n v="10"/>
  </r>
  <r>
    <n v="909"/>
    <m/>
    <m/>
    <m/>
    <m/>
    <s v="NA"/>
    <s v="NA"/>
    <x v="35"/>
    <s v="NA"/>
    <m/>
    <m/>
    <n v="38.281999999999996"/>
    <n v="45.652999999999999"/>
    <n v="83.861000000000004"/>
    <n v="83.933000000000007"/>
    <n v="82.22"/>
    <n v="82.521000000000001"/>
    <n v="117.339"/>
    <n v="117.872"/>
    <n v="64.757999999999996"/>
    <n v="64.481999999999999"/>
    <n v="35.241999999999997"/>
    <n v="35.518000000000001"/>
    <n v="16.079000000000001"/>
    <n v="13.054"/>
    <n v="35.518000000000001"/>
    <n v="35.241999999999997"/>
    <n v="8.6999999999999993"/>
    <n v="11"/>
    <n v="12"/>
    <n v="11"/>
    <n v="11"/>
  </r>
  <r>
    <n v="910"/>
    <m/>
    <m/>
    <m/>
    <m/>
    <s v="NA"/>
    <s v="NA"/>
    <x v="331"/>
    <s v="F"/>
    <m/>
    <m/>
    <n v="56.7"/>
    <n v="44.52"/>
    <n v="101.34"/>
    <n v="98.88"/>
    <n v="73.92"/>
    <n v="72.53"/>
    <n v="87.43"/>
    <n v="88.08"/>
    <n v="62.6"/>
    <n v="71.260000000000005"/>
    <n v="37.4"/>
    <n v="28.74"/>
    <n v="14.46"/>
    <n v="19.649999999999999"/>
    <n v="28.74"/>
    <n v="37.4"/>
    <n v="26.58"/>
    <n v="14"/>
    <n v="11"/>
    <n v="10"/>
    <n v="10"/>
  </r>
  <r>
    <n v="911"/>
    <m/>
    <m/>
    <m/>
    <m/>
    <s v="NA"/>
    <s v="NA"/>
    <x v="210"/>
    <s v="M"/>
    <m/>
    <m/>
    <s v="NA"/>
    <s v="NA"/>
    <s v="NA"/>
    <s v="NA"/>
    <s v="NA"/>
    <s v="NA"/>
    <s v="NA"/>
    <s v="NA"/>
    <s v="NA"/>
    <s v="NA"/>
    <s v="NA"/>
    <s v="NA"/>
    <s v="NA"/>
    <s v="NA"/>
    <s v="NA"/>
    <s v="NA"/>
    <s v="NA"/>
    <s v="NA"/>
    <s v="NA"/>
    <s v="NA"/>
    <s v="NA"/>
  </r>
  <r>
    <n v="912"/>
    <m/>
    <m/>
    <m/>
    <m/>
    <s v="NA"/>
    <s v="NA"/>
    <x v="328"/>
    <s v="M"/>
    <m/>
    <m/>
    <n v="34.363"/>
    <n v="34.683999999999997"/>
    <n v="69.245000000000005"/>
    <n v="68.36"/>
    <n v="45.137"/>
    <n v="45.531999999999996"/>
    <n v="78.816999999999993"/>
    <n v="79.938999999999993"/>
    <n v="69.141999999999996"/>
    <n v="73.576999999999998"/>
    <n v="30.858000000000001"/>
    <n v="26.422999999999998"/>
    <n v="21.373999999999999"/>
    <n v="21.934000000000001"/>
    <n v="26.422999999999998"/>
    <n v="30.858000000000001"/>
    <n v="13.82"/>
    <n v="13"/>
    <n v="12"/>
    <n v="12"/>
    <n v="12"/>
  </r>
  <r>
    <n v="913"/>
    <m/>
    <m/>
    <m/>
    <m/>
    <s v="NA"/>
    <s v="NA"/>
    <x v="178"/>
    <s v="M"/>
    <m/>
    <m/>
    <n v="27.667000000000002"/>
    <n v="25.367999999999999"/>
    <n v="52.869"/>
    <n v="53.040999999999997"/>
    <n v="45.776000000000003"/>
    <n v="46.25"/>
    <n v="104.815"/>
    <n v="105.8"/>
    <n v="66.730999999999995"/>
    <n v="71.638999999999996"/>
    <n v="33.268999999999998"/>
    <n v="28.361000000000001"/>
    <n v="19.210999999999999"/>
    <n v="19.184000000000001"/>
    <n v="28.361000000000001"/>
    <n v="33.268999999999998"/>
    <n v="11.602"/>
    <n v="19"/>
    <n v="16"/>
    <n v="16"/>
    <n v="16"/>
  </r>
  <r>
    <n v="914"/>
    <m/>
    <m/>
    <m/>
    <m/>
    <s v="NA"/>
    <s v="NA"/>
    <x v="332"/>
    <s v="M"/>
    <m/>
    <m/>
    <n v="37.508000000000003"/>
    <n v="36.04"/>
    <n v="73.036000000000001"/>
    <n v="73.546000000000006"/>
    <n v="79.494"/>
    <n v="79.790000000000006"/>
    <n v="129.73500000000001"/>
    <n v="130.56899999999999"/>
    <n v="63.991"/>
    <n v="64.849000000000004"/>
    <n v="36.009"/>
    <n v="35.151000000000003"/>
    <n v="15.003"/>
    <n v="13.244"/>
    <n v="35.151000000000003"/>
    <n v="36.009"/>
    <n v="16.187999999999999"/>
    <n v="11"/>
    <n v="14"/>
    <n v="11"/>
    <n v="11"/>
  </r>
  <r>
    <n v="915"/>
    <m/>
    <m/>
    <m/>
    <m/>
    <s v="NA"/>
    <s v="NA"/>
    <x v="43"/>
    <s v="F"/>
    <m/>
    <m/>
    <n v="53.935000000000002"/>
    <n v="51.606000000000002"/>
    <n v="105.223"/>
    <n v="105.831"/>
    <n v="89.144999999999996"/>
    <n v="89.533000000000001"/>
    <n v="100.819"/>
    <n v="101.274"/>
    <n v="64.998000000000005"/>
    <n v="63.357999999999997"/>
    <n v="35.002000000000002"/>
    <n v="36.642000000000003"/>
    <n v="14.202"/>
    <n v="14.215"/>
    <n v="36.642000000000003"/>
    <n v="35.002000000000002"/>
    <n v="10.486000000000001"/>
    <n v="7"/>
    <n v="9"/>
    <n v="7"/>
    <n v="7"/>
  </r>
  <r>
    <n v="916"/>
    <m/>
    <m/>
    <m/>
    <m/>
    <s v="NA"/>
    <s v="NA"/>
    <x v="173"/>
    <s v="M"/>
    <m/>
    <m/>
    <n v="42.414999999999999"/>
    <n v="36.703000000000003"/>
    <n v="79.049000000000007"/>
    <n v="79.138999999999996"/>
    <n v="79.087000000000003"/>
    <n v="79.114000000000004"/>
    <n v="120.197"/>
    <n v="119.773"/>
    <n v="65.798000000000002"/>
    <n v="65.39"/>
    <n v="34.201999999999998"/>
    <n v="34.61"/>
    <n v="16.736999999999998"/>
    <n v="14.340999999999999"/>
    <n v="34.61"/>
    <n v="34.201999999999998"/>
    <n v="10.308"/>
    <n v="12"/>
    <n v="15"/>
    <n v="12"/>
    <n v="12"/>
  </r>
  <r>
    <n v="917"/>
    <m/>
    <m/>
    <m/>
    <m/>
    <s v="NA"/>
    <s v="NA"/>
    <x v="168"/>
    <s v="M"/>
    <m/>
    <m/>
    <n v="66.116"/>
    <n v="67.465000000000003"/>
    <n v="132.56899999999999"/>
    <n v="135.62299999999999"/>
    <n v="101.592"/>
    <n v="103.724"/>
    <n v="91.802000000000007"/>
    <n v="91.587999999999994"/>
    <n v="63.65"/>
    <n v="63.341999999999999"/>
    <n v="36.35"/>
    <n v="36.658000000000001"/>
    <n v="14.301"/>
    <n v="14.516999999999999"/>
    <n v="36.658000000000001"/>
    <n v="36.35"/>
    <n v="9.7520000000000007"/>
    <n v="8"/>
    <n v="6"/>
    <n v="6"/>
    <n v="6"/>
  </r>
  <r>
    <n v="918"/>
    <m/>
    <m/>
    <m/>
    <m/>
    <s v="NA"/>
    <s v="NA"/>
    <x v="333"/>
    <s v="M"/>
    <m/>
    <m/>
    <s v="NA"/>
    <s v="NA"/>
    <s v="NA"/>
    <s v="NA"/>
    <s v="NA"/>
    <s v="NA"/>
    <s v="NA"/>
    <s v="NA"/>
    <s v="NA"/>
    <s v="NA"/>
    <s v="NA"/>
    <s v="NA"/>
    <s v="NA"/>
    <s v="NA"/>
    <s v="NA"/>
    <s v="NA"/>
    <s v="NA"/>
    <s v="NA"/>
    <s v="NA"/>
    <s v="NA"/>
    <s v="NA"/>
  </r>
  <r>
    <n v="919"/>
    <m/>
    <m/>
    <m/>
    <m/>
    <s v="NA"/>
    <s v="NA"/>
    <x v="333"/>
    <s v="M"/>
    <m/>
    <m/>
    <s v="NA"/>
    <s v="NA"/>
    <s v="NA"/>
    <s v="NA"/>
    <s v="NA"/>
    <s v="NA"/>
    <s v="NA"/>
    <s v="NA"/>
    <s v="NA"/>
    <s v="NA"/>
    <s v="NA"/>
    <s v="NA"/>
    <s v="NA"/>
    <s v="NA"/>
    <s v="NA"/>
    <s v="NA"/>
    <s v="NA"/>
    <s v="NA"/>
    <s v="NA"/>
    <s v="NA"/>
    <s v="NA"/>
  </r>
  <r>
    <n v="920"/>
    <m/>
    <m/>
    <m/>
    <m/>
    <s v="NA"/>
    <s v="NA"/>
    <x v="199"/>
    <s v="M"/>
    <m/>
    <m/>
    <n v="53.055"/>
    <n v="53.427999999999997"/>
    <n v="106.92400000000001"/>
    <n v="106.634"/>
    <n v="76.317999999999998"/>
    <n v="75.981999999999999"/>
    <n v="84.98"/>
    <n v="84.991"/>
    <n v="64.352000000000004"/>
    <n v="64.576999999999998"/>
    <n v="35.648000000000003"/>
    <n v="35.423000000000002"/>
    <n v="16.565999999999999"/>
    <n v="13.343999999999999"/>
    <n v="35.423000000000002"/>
    <n v="35.648000000000003"/>
    <n v="11.032"/>
    <n v="10"/>
    <n v="10"/>
    <n v="10"/>
    <n v="10"/>
  </r>
  <r>
    <n v="921"/>
    <m/>
    <m/>
    <m/>
    <m/>
    <s v="NA"/>
    <s v="NA"/>
    <x v="271"/>
    <s v="M"/>
    <m/>
    <m/>
    <s v="NA"/>
    <s v="NA"/>
    <s v="NA"/>
    <s v="NA"/>
    <s v="NA"/>
    <s v="NA"/>
    <s v="NA"/>
    <s v="NA"/>
    <s v="NA"/>
    <s v="NA"/>
    <s v="NA"/>
    <s v="NA"/>
    <s v="NA"/>
    <s v="NA"/>
    <s v="NA"/>
    <s v="NA"/>
    <s v="NA"/>
    <s v="NA"/>
    <s v="NA"/>
    <s v="NA"/>
    <s v="NA"/>
  </r>
  <r>
    <n v="922"/>
    <m/>
    <m/>
    <m/>
    <m/>
    <s v="NA"/>
    <s v="NA"/>
    <x v="35"/>
    <s v="M"/>
    <m/>
    <m/>
    <n v="30.427"/>
    <n v="29.791"/>
    <n v="60.460999999999999"/>
    <n v="60.015000000000001"/>
    <n v="36.340000000000003"/>
    <n v="36.792999999999999"/>
    <n v="72.677999999999997"/>
    <n v="73.39"/>
    <n v="72.853999999999999"/>
    <n v="72.853999999999999"/>
    <n v="27.146000000000001"/>
    <n v="27.146000000000001"/>
    <n v="24.640999999999998"/>
    <n v="21.245000000000001"/>
    <n v="27.146000000000001"/>
    <n v="27.146000000000001"/>
    <n v="31.262"/>
    <n v="16"/>
    <n v="18"/>
    <n v="16"/>
    <n v="16"/>
  </r>
  <r>
    <n v="923"/>
    <m/>
    <m/>
    <m/>
    <m/>
    <s v="NA"/>
    <s v="NA"/>
    <x v="83"/>
    <s v="F"/>
    <m/>
    <m/>
    <n v="38.735999999999997"/>
    <n v="38.351999999999997"/>
    <n v="76.540000000000006"/>
    <n v="77.397999999999996"/>
    <n v="75.838999999999999"/>
    <n v="75.611000000000004"/>
    <n v="118.98099999999999"/>
    <n v="118.124"/>
    <n v="63.070999999999998"/>
    <n v="62.597000000000001"/>
    <n v="36.929000000000002"/>
    <n v="37.402999999999999"/>
    <n v="12.369"/>
    <n v="13.063000000000001"/>
    <n v="37.402999999999999"/>
    <n v="36.929000000000002"/>
    <n v="5.9420000000000002"/>
    <n v="13"/>
    <n v="13"/>
    <n v="13"/>
    <n v="13"/>
  </r>
  <r>
    <n v="924"/>
    <m/>
    <m/>
    <m/>
    <m/>
    <s v="NA"/>
    <s v="NA"/>
    <x v="334"/>
    <s v="NA"/>
    <m/>
    <m/>
    <n v="57.128"/>
    <n v="53.988"/>
    <n v="111.815"/>
    <n v="110.861"/>
    <n v="93.611999999999995"/>
    <n v="93.846000000000004"/>
    <n v="100.245"/>
    <n v="100.291"/>
    <n v="63.03"/>
    <n v="62.470999999999997"/>
    <n v="36.97"/>
    <n v="37.529000000000003"/>
    <n v="13.231999999999999"/>
    <n v="13.037000000000001"/>
    <n v="37.529000000000003"/>
    <n v="36.97"/>
    <n v="9.1620000000000008"/>
    <n v="10"/>
    <n v="8"/>
    <n v="8"/>
    <n v="8"/>
  </r>
  <r>
    <n v="925"/>
    <m/>
    <m/>
    <m/>
    <m/>
    <s v="NA"/>
    <s v="NA"/>
    <x v="138"/>
    <s v="M"/>
    <m/>
    <m/>
    <n v="41.152000000000001"/>
    <n v="45.125"/>
    <n v="85.134"/>
    <n v="85.706999999999994"/>
    <n v="71.903999999999996"/>
    <n v="73.403999999999996"/>
    <n v="100.986"/>
    <n v="101.557"/>
    <n v="68.206999999999994"/>
    <n v="64.183000000000007"/>
    <n v="31.792999999999999"/>
    <n v="35.817"/>
    <n v="17.702999999999999"/>
    <n v="15.458"/>
    <n v="35.817"/>
    <n v="31.792999999999999"/>
    <n v="10.65"/>
    <n v="12"/>
    <n v="11"/>
    <n v="11"/>
    <n v="11"/>
  </r>
  <r>
    <n v="926"/>
    <m/>
    <m/>
    <m/>
    <m/>
    <s v="NA"/>
    <s v="NA"/>
    <x v="60"/>
    <s v="F"/>
    <m/>
    <m/>
    <n v="32.604999999999997"/>
    <n v="25.486000000000001"/>
    <n v="58.137999999999998"/>
    <n v="57.524999999999999"/>
    <n v="51.64"/>
    <n v="51.015999999999998"/>
    <n v="105.2"/>
    <n v="105.029"/>
    <n v="65.897000000000006"/>
    <n v="67.102000000000004"/>
    <n v="34.103000000000002"/>
    <n v="32.898000000000003"/>
    <n v="17.611999999999998"/>
    <n v="15.582000000000001"/>
    <n v="32.898000000000003"/>
    <n v="34.103000000000002"/>
    <n v="12.576000000000001"/>
    <n v="15"/>
    <n v="13"/>
    <n v="13"/>
    <n v="13"/>
  </r>
  <r>
    <n v="927"/>
    <m/>
    <m/>
    <m/>
    <m/>
    <s v="NA"/>
    <s v="NA"/>
    <x v="35"/>
    <s v="F"/>
    <m/>
    <m/>
    <s v="NA"/>
    <s v="NA"/>
    <s v="NA"/>
    <s v="NA"/>
    <s v="NA"/>
    <s v="NA"/>
    <s v="NA"/>
    <s v="NA"/>
    <s v="NA"/>
    <s v="NA"/>
    <s v="NA"/>
    <s v="NA"/>
    <s v="NA"/>
    <s v="NA"/>
    <s v="NA"/>
    <s v="NA"/>
    <s v="NA"/>
    <s v="NA"/>
    <s v="NA"/>
    <s v="NA"/>
    <s v="NA"/>
  </r>
  <r>
    <n v="928"/>
    <m/>
    <m/>
    <m/>
    <m/>
    <s v="NA"/>
    <s v="NA"/>
    <x v="173"/>
    <s v="M"/>
    <m/>
    <m/>
    <s v="NA"/>
    <s v="NA"/>
    <s v="NA"/>
    <s v="NA"/>
    <s v="NA"/>
    <s v="NA"/>
    <s v="NA"/>
    <s v="NA"/>
    <s v="NA"/>
    <s v="NA"/>
    <s v="NA"/>
    <s v="NA"/>
    <s v="NA"/>
    <s v="NA"/>
    <s v="NA"/>
    <s v="NA"/>
    <s v="NA"/>
    <s v="NA"/>
    <s v="NA"/>
    <s v="NA"/>
    <s v="NA"/>
  </r>
  <r>
    <n v="929"/>
    <m/>
    <m/>
    <m/>
    <m/>
    <s v="NA"/>
    <s v="NA"/>
    <x v="137"/>
    <s v="M"/>
    <m/>
    <m/>
    <n v="50.695"/>
    <n v="56.253999999999998"/>
    <n v="106.825"/>
    <n v="107.52200000000001"/>
    <n v="70.709999999999994"/>
    <n v="71.025999999999996"/>
    <n v="78.805999999999997"/>
    <n v="79.158000000000001"/>
    <n v="68.222999999999999"/>
    <n v="64.185000000000002"/>
    <n v="31.777000000000001"/>
    <n v="35.814999999999998"/>
    <n v="16.829999999999998"/>
    <n v="15.284000000000001"/>
    <n v="35.814999999999998"/>
    <n v="31.777000000000001"/>
    <n v="11.114000000000001"/>
    <n v="9"/>
    <n v="10"/>
    <n v="9"/>
    <n v="9"/>
  </r>
  <r>
    <n v="930"/>
    <m/>
    <m/>
    <m/>
    <m/>
    <s v="NA"/>
    <s v="NA"/>
    <x v="133"/>
    <s v="M"/>
    <m/>
    <m/>
    <s v="NA"/>
    <s v="NA"/>
    <s v="NA"/>
    <s v="NA"/>
    <s v="NA"/>
    <s v="NA"/>
    <s v="NA"/>
    <s v="NA"/>
    <s v="NA"/>
    <s v="NA"/>
    <s v="NA"/>
    <s v="NA"/>
    <s v="NA"/>
    <s v="NA"/>
    <s v="NA"/>
    <s v="NA"/>
    <s v="NA"/>
    <s v="NA"/>
    <s v="NA"/>
    <s v="NA"/>
    <s v="NA"/>
  </r>
  <r>
    <n v="931"/>
    <m/>
    <m/>
    <m/>
    <m/>
    <s v="NA"/>
    <s v="NA"/>
    <x v="77"/>
    <s v="M"/>
    <m/>
    <m/>
    <n v="40.704000000000001"/>
    <n v="37.127000000000002"/>
    <n v="78.674999999999997"/>
    <n v="76.239999999999995"/>
    <n v="50.661999999999999"/>
    <n v="49.545000000000002"/>
    <n v="76.771000000000001"/>
    <n v="76.849999999999994"/>
    <n v="68.876000000000005"/>
    <n v="69.518000000000001"/>
    <n v="31.123999999999999"/>
    <n v="30.481999999999999"/>
    <n v="18.544"/>
    <n v="20.274000000000001"/>
    <n v="30.481999999999999"/>
    <n v="31.123999999999999"/>
    <n v="15.496"/>
    <n v="13"/>
    <n v="11"/>
    <n v="11"/>
    <n v="11"/>
  </r>
  <r>
    <n v="932"/>
    <m/>
    <m/>
    <m/>
    <m/>
    <s v="NA"/>
    <s v="NA"/>
    <x v="107"/>
    <s v="M"/>
    <m/>
    <m/>
    <n v="37.981999999999999"/>
    <n v="33.6"/>
    <n v="71.879000000000005"/>
    <n v="70.930999999999997"/>
    <n v="43.953000000000003"/>
    <n v="44.603000000000002"/>
    <n v="73.715999999999994"/>
    <n v="74.78"/>
    <n v="69.617000000000004"/>
    <n v="70.067999999999998"/>
    <n v="30.382999999999999"/>
    <n v="29.931999999999999"/>
    <n v="19.12"/>
    <n v="20.704999999999998"/>
    <n v="29.931999999999999"/>
    <n v="30.382999999999999"/>
    <n v="16.010000000000002"/>
    <n v="13"/>
    <n v="13"/>
    <n v="13"/>
    <n v="13"/>
  </r>
  <r>
    <n v="933"/>
    <m/>
    <m/>
    <m/>
    <m/>
    <s v="NA"/>
    <s v="NA"/>
    <x v="6"/>
    <s v="M"/>
    <m/>
    <m/>
    <n v="28.274000000000001"/>
    <n v="27.39"/>
    <n v="55.354999999999997"/>
    <n v="55.503"/>
    <n v="69.108999999999995"/>
    <n v="69.236000000000004"/>
    <n v="149.74100000000001"/>
    <n v="149.86600000000001"/>
    <n v="65.876000000000005"/>
    <n v="52.5"/>
    <n v="34.124000000000002"/>
    <n v="47.5"/>
    <n v="3.6960000000000002"/>
    <n v="14.135999999999999"/>
    <n v="47.5"/>
    <n v="34.124000000000002"/>
    <n v="19.582000000000001"/>
    <n v="16"/>
    <n v="16"/>
    <n v="16"/>
    <n v="16"/>
  </r>
  <r>
    <n v="934"/>
    <m/>
    <m/>
    <m/>
    <m/>
    <s v="NA"/>
    <s v="NA"/>
    <x v="31"/>
    <s v="M"/>
    <m/>
    <m/>
    <s v="NA"/>
    <s v="NA"/>
    <s v="NA"/>
    <s v="NA"/>
    <s v="NA"/>
    <s v="NA"/>
    <s v="NA"/>
    <s v="NA"/>
    <s v="NA"/>
    <s v="NA"/>
    <s v="NA"/>
    <s v="NA"/>
    <s v="NA"/>
    <s v="NA"/>
    <s v="NA"/>
    <s v="NA"/>
    <s v="NA"/>
    <s v="NA"/>
    <s v="NA"/>
    <s v="NA"/>
    <s v="NA"/>
  </r>
  <r>
    <n v="935"/>
    <m/>
    <m/>
    <m/>
    <m/>
    <s v="NA"/>
    <s v="NA"/>
    <x v="35"/>
    <s v="NA"/>
    <m/>
    <m/>
    <s v="NA"/>
    <s v="NA"/>
    <s v="NA"/>
    <s v="NA"/>
    <s v="NA"/>
    <s v="NA"/>
    <s v="NA"/>
    <s v="NA"/>
    <s v="NA"/>
    <s v="NA"/>
    <s v="NA"/>
    <s v="NA"/>
    <s v="NA"/>
    <s v="NA"/>
    <s v="NA"/>
    <s v="NA"/>
    <s v="NA"/>
    <s v="NA"/>
    <s v="NA"/>
    <s v="NA"/>
    <s v="NA"/>
  </r>
  <r>
    <n v="936"/>
    <m/>
    <m/>
    <m/>
    <m/>
    <s v="NA"/>
    <s v="NA"/>
    <x v="234"/>
    <s v="F"/>
    <m/>
    <m/>
    <n v="32.603000000000002"/>
    <n v="36.030999999999999"/>
    <n v="68.995999999999995"/>
    <n v="68.519000000000005"/>
    <n v="51.628"/>
    <n v="51.588000000000001"/>
    <n v="90.441999999999993"/>
    <n v="90.671000000000006"/>
    <n v="70.853999999999999"/>
    <n v="68.164000000000001"/>
    <n v="29.146000000000001"/>
    <n v="31.835999999999999"/>
    <n v="19.510999999999999"/>
    <n v="20.026"/>
    <n v="31.835999999999999"/>
    <n v="29.146000000000001"/>
    <n v="15.794"/>
    <n v="15"/>
    <n v="16"/>
    <n v="15"/>
    <n v="15"/>
  </r>
  <r>
    <n v="937"/>
    <m/>
    <m/>
    <m/>
    <m/>
    <s v="NA"/>
    <s v="NA"/>
    <x v="333"/>
    <s v="M"/>
    <m/>
    <m/>
    <n v="39.237000000000002"/>
    <n v="40.701000000000001"/>
    <n v="79.724999999999994"/>
    <n v="79.88"/>
    <n v="74.522999999999996"/>
    <n v="74.873999999999995"/>
    <n v="112.85"/>
    <n v="112.279"/>
    <n v="67.974999999999994"/>
    <n v="68.174000000000007"/>
    <n v="32.024999999999999"/>
    <n v="31.826000000000001"/>
    <n v="18.614000000000001"/>
    <n v="18.172000000000001"/>
    <n v="31.826000000000001"/>
    <n v="32.024999999999999"/>
    <n v="14.27"/>
    <n v="12"/>
    <n v="13"/>
    <n v="12"/>
    <n v="12"/>
  </r>
  <r>
    <n v="938"/>
    <m/>
    <m/>
    <m/>
    <m/>
    <s v="NA"/>
    <s v="NA"/>
    <x v="92"/>
    <s v="M"/>
    <m/>
    <m/>
    <n v="27.966999999999999"/>
    <n v="30.187999999999999"/>
    <n v="58.439"/>
    <n v="57.106999999999999"/>
    <n v="55.43"/>
    <n v="55.066000000000003"/>
    <n v="114.30800000000001"/>
    <n v="115.723"/>
    <n v="68.938999999999993"/>
    <n v="64.852000000000004"/>
    <n v="31.061"/>
    <n v="35.148000000000003"/>
    <n v="19.100000000000001"/>
    <n v="14.417"/>
    <n v="35.148000000000003"/>
    <n v="31.061"/>
    <n v="18.577999999999999"/>
    <n v="17"/>
    <n v="17"/>
    <n v="17"/>
    <n v="17"/>
  </r>
  <r>
    <n v="939"/>
    <m/>
    <m/>
    <m/>
    <m/>
    <s v="NA"/>
    <s v="NA"/>
    <x v="176"/>
    <s v="M"/>
    <m/>
    <m/>
    <n v="47.152999999999999"/>
    <n v="44.322000000000003"/>
    <n v="91.991"/>
    <n v="91.799000000000007"/>
    <n v="68.064999999999998"/>
    <n v="68.191999999999993"/>
    <n v="87.968000000000004"/>
    <n v="88.498000000000005"/>
    <n v="67.218999999999994"/>
    <n v="66.058000000000007"/>
    <n v="32.780999999999999"/>
    <n v="33.942"/>
    <n v="18.93"/>
    <n v="14.744"/>
    <n v="33.942"/>
    <n v="32.780999999999999"/>
    <n v="11.206"/>
    <n v="10"/>
    <n v="10"/>
    <n v="10"/>
    <n v="10"/>
  </r>
  <r>
    <n v="940"/>
    <m/>
    <m/>
    <m/>
    <m/>
    <s v="NA"/>
    <s v="NA"/>
    <x v="7"/>
    <s v="F"/>
    <m/>
    <m/>
    <n v="28.663"/>
    <n v="32.299999999999997"/>
    <n v="60.587000000000003"/>
    <n v="61.436999999999998"/>
    <n v="50.906999999999996"/>
    <n v="51.189"/>
    <n v="100.88200000000001"/>
    <n v="100.39"/>
    <n v="66.745000000000005"/>
    <n v="65.548000000000002"/>
    <n v="33.255000000000003"/>
    <n v="34.451999999999998"/>
    <n v="17.103000000000002"/>
    <n v="15.433999999999999"/>
    <n v="34.451999999999998"/>
    <n v="33.255000000000003"/>
    <n v="13.586"/>
    <n v="17"/>
    <n v="16"/>
    <n v="16"/>
    <n v="16"/>
  </r>
  <r>
    <n v="941"/>
    <m/>
    <m/>
    <m/>
    <m/>
    <s v="NA"/>
    <s v="NA"/>
    <x v="269"/>
    <s v="F"/>
    <m/>
    <m/>
    <n v="41.048999999999999"/>
    <n v="40.451999999999998"/>
    <n v="81.489999999999995"/>
    <n v="81.665000000000006"/>
    <n v="59.951000000000001"/>
    <n v="60.298999999999999"/>
    <n v="87.921999999999997"/>
    <n v="88.533000000000001"/>
    <n v="68.543999999999997"/>
    <n v="67.239999999999995"/>
    <n v="31.456"/>
    <n v="32.76"/>
    <n v="16.332999999999998"/>
    <n v="19.155999999999999"/>
    <n v="32.76"/>
    <n v="31.456"/>
    <n v="9.016"/>
    <n v="11"/>
    <n v="10"/>
    <n v="10"/>
    <n v="10"/>
  </r>
  <r>
    <n v="1001"/>
    <m/>
    <m/>
    <m/>
    <m/>
    <s v="NA"/>
    <s v="NA"/>
    <x v="165"/>
    <s v="M"/>
    <m/>
    <m/>
    <n v="34.238"/>
    <n v="39.899000000000001"/>
    <n v="73.799000000000007"/>
    <n v="75.182000000000002"/>
    <n v="60.322000000000003"/>
    <n v="61.609000000000002"/>
    <n v="99.051000000000002"/>
    <n v="98.980999999999995"/>
    <n v="62.710999999999999"/>
    <n v="62.722000000000001"/>
    <n v="37.289000000000001"/>
    <n v="37.277999999999999"/>
    <n v="13.618"/>
    <n v="12.672000000000001"/>
    <n v="37.277999999999999"/>
    <n v="37.289000000000001"/>
    <n v="15.885999999999999"/>
    <n v="15"/>
    <n v="14"/>
    <n v="14"/>
    <n v="14"/>
  </r>
  <r>
    <n v="1002"/>
    <m/>
    <m/>
    <m/>
    <m/>
    <s v="NA"/>
    <s v="NA"/>
    <x v="35"/>
    <s v="NA"/>
    <m/>
    <m/>
    <n v="18.48"/>
    <n v="11.406000000000001"/>
    <n v="29.869"/>
    <n v="30.035"/>
    <n v="18.55"/>
    <n v="18.451000000000001"/>
    <n v="74.551000000000002"/>
    <n v="73.239000000000004"/>
    <n v="72.096000000000004"/>
    <n v="79.914000000000001"/>
    <n v="27.904"/>
    <n v="20.085999999999999"/>
    <n v="30.507000000000001"/>
    <n v="21.670999999999999"/>
    <n v="20.085999999999999"/>
    <n v="27.904"/>
    <n v="11.545"/>
    <n v="16"/>
    <n v="16"/>
    <n v="16"/>
    <n v="16"/>
  </r>
  <r>
    <n v="1003"/>
    <m/>
    <m/>
    <m/>
    <m/>
    <s v="NA"/>
    <s v="NA"/>
    <x v="35"/>
    <s v="M"/>
    <m/>
    <m/>
    <n v="53.045000000000002"/>
    <n v="52.527999999999999"/>
    <n v="106.502"/>
    <n v="104.967"/>
    <n v="94.081000000000003"/>
    <n v="92.647000000000006"/>
    <n v="105.96899999999999"/>
    <n v="105.79"/>
    <n v="63.924999999999997"/>
    <n v="63.29"/>
    <n v="36.075000000000003"/>
    <n v="36.71"/>
    <n v="14.771000000000001"/>
    <n v="12.691000000000001"/>
    <n v="36.71"/>
    <n v="36.075000000000003"/>
    <n v="12.614000000000001"/>
    <n v="12"/>
    <n v="13"/>
    <n v="12"/>
    <n v="12"/>
  </r>
  <r>
    <n v="1004"/>
    <m/>
    <m/>
    <m/>
    <m/>
    <s v="NA"/>
    <s v="NA"/>
    <x v="35"/>
    <s v="NA"/>
    <m/>
    <m/>
    <n v="53.07"/>
    <n v="55.802"/>
    <n v="108.81699999999999"/>
    <n v="109.438"/>
    <n v="101.431"/>
    <n v="102.05500000000001"/>
    <n v="111.83499999999999"/>
    <n v="111.395"/>
    <n v="63.896999999999998"/>
    <n v="63.046999999999997"/>
    <n v="36.103000000000002"/>
    <n v="36.953000000000003"/>
    <n v="14.468"/>
    <n v="12.964"/>
    <n v="36.953000000000003"/>
    <n v="36.103000000000002"/>
    <n v="9.43"/>
    <n v="9"/>
    <n v="9"/>
    <n v="9"/>
    <n v="9"/>
  </r>
  <r>
    <n v="1005"/>
    <m/>
    <m/>
    <m/>
    <m/>
    <s v="NA"/>
    <s v="NA"/>
    <x v="35"/>
    <s v="M"/>
    <m/>
    <m/>
    <n v="33.999000000000002"/>
    <n v="40.234000000000002"/>
    <n v="74.206999999999994"/>
    <n v="74.366"/>
    <n v="78.295000000000002"/>
    <n v="78.781999999999996"/>
    <n v="126.38800000000001"/>
    <n v="126.083"/>
    <n v="64.537000000000006"/>
    <n v="63.387999999999998"/>
    <n v="35.463000000000001"/>
    <n v="36.612000000000002"/>
    <n v="14.122999999999999"/>
    <n v="14.111000000000001"/>
    <n v="36.612000000000002"/>
    <n v="35.463000000000001"/>
    <n v="11.08"/>
    <n v="17"/>
    <n v="16"/>
    <n v="16"/>
    <n v="16"/>
  </r>
  <r>
    <n v="1006"/>
    <m/>
    <m/>
    <m/>
    <m/>
    <s v="NA"/>
    <s v="NA"/>
    <x v="35"/>
    <s v="NA"/>
    <m/>
    <m/>
    <n v="39.866999999999997"/>
    <n v="41.046999999999997"/>
    <n v="80.265000000000001"/>
    <n v="81.183000000000007"/>
    <n v="83.576999999999998"/>
    <n v="84.293999999999997"/>
    <n v="123.77500000000001"/>
    <n v="123.709"/>
    <n v="65.822000000000003"/>
    <n v="64.897000000000006"/>
    <n v="34.177999999999997"/>
    <n v="35.103000000000002"/>
    <n v="16.317"/>
    <n v="14.33"/>
    <n v="35.103000000000002"/>
    <n v="34.177999999999997"/>
    <n v="11.602"/>
    <n v="22"/>
    <n v="20"/>
    <n v="20"/>
    <n v="20"/>
  </r>
  <r>
    <n v="1007"/>
    <m/>
    <m/>
    <m/>
    <m/>
    <s v="NA"/>
    <s v="NA"/>
    <x v="35"/>
    <s v="NA"/>
    <m/>
    <m/>
    <n v="48.097999999999999"/>
    <n v="44.033000000000001"/>
    <n v="91.180999999999997"/>
    <n v="93.227999999999994"/>
    <n v="75.62"/>
    <n v="76.986000000000004"/>
    <n v="98.998000000000005"/>
    <n v="98.988"/>
    <n v="63.661000000000001"/>
    <n v="65.548000000000002"/>
    <n v="36.338999999999999"/>
    <n v="34.451999999999998"/>
    <n v="14.545999999999999"/>
    <n v="15.634"/>
    <n v="34.451999999999998"/>
    <n v="36.338999999999999"/>
    <n v="10.255000000000001"/>
    <n v="13"/>
    <n v="12"/>
    <n v="12"/>
    <n v="12"/>
  </r>
  <r>
    <n v="1008"/>
    <m/>
    <m/>
    <m/>
    <m/>
    <s v="NA"/>
    <s v="NA"/>
    <x v="77"/>
    <s v="M"/>
    <m/>
    <m/>
    <n v="50.204999999999998"/>
    <n v="53.063000000000002"/>
    <n v="102.788"/>
    <n v="103.279"/>
    <n v="80.959000000000003"/>
    <n v="81.478999999999999"/>
    <n v="93.971999999999994"/>
    <n v="94.433000000000007"/>
    <n v="65.546000000000006"/>
    <n v="61.728999999999999"/>
    <n v="34.454000000000001"/>
    <n v="38.271000000000001"/>
    <n v="15.175000000000001"/>
    <n v="12.51"/>
    <n v="38.271000000000001"/>
    <n v="34.454000000000001"/>
    <n v="12.045"/>
    <n v="10"/>
    <n v="10"/>
    <n v="10"/>
    <n v="10"/>
  </r>
  <r>
    <n v="1009"/>
    <m/>
    <m/>
    <m/>
    <m/>
    <s v="NA"/>
    <s v="NA"/>
    <x v="35"/>
    <s v="M"/>
    <m/>
    <m/>
    <n v="44.465000000000003"/>
    <n v="47.933"/>
    <n v="92.111000000000004"/>
    <n v="92.427000000000007"/>
    <n v="87.168000000000006"/>
    <n v="87.152000000000001"/>
    <n v="113.29"/>
    <n v="113.04"/>
    <n v="63.862000000000002"/>
    <n v="61.816000000000003"/>
    <n v="36.137999999999998"/>
    <n v="38.183999999999997"/>
    <n v="12.867000000000001"/>
    <n v="13.124000000000001"/>
    <n v="38.183999999999997"/>
    <n v="36.137999999999998"/>
    <n v="11.218"/>
    <n v="16"/>
    <n v="15"/>
    <n v="15"/>
    <n v="15"/>
  </r>
  <r>
    <n v="1010"/>
    <m/>
    <m/>
    <m/>
    <m/>
    <s v="NA"/>
    <s v="NA"/>
    <x v="35"/>
    <s v="NA"/>
    <m/>
    <m/>
    <n v="40.32"/>
    <n v="41.530999999999999"/>
    <n v="81.721000000000004"/>
    <n v="81.840999999999994"/>
    <n v="95.915000000000006"/>
    <n v="96.525000000000006"/>
    <n v="141.761"/>
    <n v="141.23699999999999"/>
    <n v="61.066000000000003"/>
    <n v="61.201999999999998"/>
    <n v="38.933999999999997"/>
    <n v="38.798000000000002"/>
    <n v="12.116"/>
    <n v="10.504"/>
    <n v="38.798000000000002"/>
    <n v="38.933999999999997"/>
    <n v="7.9749999999999996"/>
    <n v="16"/>
    <n v="14"/>
    <n v="14"/>
    <n v="14"/>
  </r>
  <r>
    <n v="1011"/>
    <m/>
    <m/>
    <m/>
    <m/>
    <s v="NA"/>
    <s v="NA"/>
    <x v="35"/>
    <s v="NA"/>
    <m/>
    <m/>
    <n v="30.475999999999999"/>
    <n v="33.753999999999998"/>
    <n v="64.775000000000006"/>
    <n v="64.111999999999995"/>
    <n v="65.421000000000006"/>
    <n v="65.111999999999995"/>
    <n v="120.85599999999999"/>
    <n v="120.992"/>
    <n v="65.506"/>
    <n v="66.656999999999996"/>
    <n v="34.494"/>
    <n v="33.343000000000004"/>
    <n v="14.487"/>
    <n v="17.331"/>
    <n v="33.343000000000004"/>
    <n v="34.494"/>
    <n v="24.44"/>
    <n v="10"/>
    <n v="10"/>
    <n v="10"/>
    <n v="10"/>
  </r>
  <r>
    <n v="1012"/>
    <m/>
    <m/>
    <m/>
    <m/>
    <s v="NA"/>
    <s v="NA"/>
    <x v="35"/>
    <s v="NA"/>
    <m/>
    <m/>
    <n v="36.615000000000002"/>
    <n v="27.248999999999999"/>
    <n v="64.316999999999993"/>
    <n v="64.025000000000006"/>
    <n v="73.677999999999997"/>
    <n v="73.662000000000006"/>
    <n v="139.404"/>
    <n v="138.024"/>
    <n v="62.578000000000003"/>
    <n v="64.024000000000001"/>
    <n v="37.421999999999997"/>
    <n v="35.975999999999999"/>
    <n v="15.906000000000001"/>
    <n v="10.717000000000001"/>
    <n v="35.975999999999999"/>
    <n v="37.421999999999997"/>
    <n v="22.036999999999999"/>
    <n v="18"/>
    <n v="17"/>
    <n v="17"/>
    <n v="17"/>
  </r>
  <r>
    <n v="1013"/>
    <m/>
    <m/>
    <m/>
    <m/>
    <s v="NA"/>
    <s v="NA"/>
    <x v="35"/>
    <s v="M"/>
    <m/>
    <m/>
    <n v="43.862000000000002"/>
    <n v="42.747999999999998"/>
    <n v="86.626999999999995"/>
    <n v="86.105000000000004"/>
    <n v="88.352000000000004"/>
    <n v="88.555999999999997"/>
    <n v="122.449"/>
    <n v="123.092"/>
    <n v="64.828999999999994"/>
    <n v="62.552999999999997"/>
    <n v="35.170999999999999"/>
    <n v="37.447000000000003"/>
    <n v="12.051"/>
    <n v="15.757999999999999"/>
    <n v="37.447000000000003"/>
    <n v="35.170999999999999"/>
    <n v="17.547999999999998"/>
    <n v="17"/>
    <n v="18"/>
    <n v="17"/>
    <n v="17"/>
  </r>
  <r>
    <n v="1014"/>
    <m/>
    <m/>
    <m/>
    <m/>
    <s v="NA"/>
    <s v="NA"/>
    <x v="12"/>
    <s v="NA"/>
    <m/>
    <m/>
    <s v="NA"/>
    <s v="NA"/>
    <s v="NA"/>
    <s v="NA"/>
    <s v="NA"/>
    <s v="NA"/>
    <s v="NA"/>
    <s v="NA"/>
    <s v="NA"/>
    <s v="NA"/>
    <s v="NA"/>
    <s v="NA"/>
    <s v="NA"/>
    <s v="NA"/>
    <s v="NA"/>
    <s v="NA"/>
    <s v="NA"/>
    <s v="NA"/>
    <s v="NA"/>
    <s v="NA"/>
    <s v="NA"/>
  </r>
  <r>
    <n v="1015"/>
    <m/>
    <m/>
    <m/>
    <m/>
    <s v="NA"/>
    <s v="NA"/>
    <x v="35"/>
    <s v="NA"/>
    <m/>
    <m/>
    <n v="49.069000000000003"/>
    <n v="50.335999999999999"/>
    <n v="99.013000000000005"/>
    <n v="100.005"/>
    <n v="114.369"/>
    <n v="115.399"/>
    <n v="140.61099999999999"/>
    <n v="142.19200000000001"/>
    <n v="60.363"/>
    <n v="61.267000000000003"/>
    <n v="39.637"/>
    <n v="38.732999999999997"/>
    <n v="12.019"/>
    <n v="9.7569999999999997"/>
    <n v="38.732999999999997"/>
    <n v="39.637"/>
    <n v="13.936"/>
    <n v="17"/>
    <n v="16"/>
    <n v="16"/>
    <n v="16"/>
  </r>
  <r>
    <n v="1016"/>
    <m/>
    <m/>
    <m/>
    <m/>
    <s v="NA"/>
    <s v="NA"/>
    <x v="35"/>
    <s v="NA"/>
    <m/>
    <m/>
    <n v="26.585999999999999"/>
    <n v="40.590000000000003"/>
    <n v="66.945999999999998"/>
    <n v="66.554000000000002"/>
    <n v="54.765000000000001"/>
    <n v="54.965000000000003"/>
    <n v="100.392"/>
    <n v="100.02800000000001"/>
    <n v="67.966999999999999"/>
    <n v="66.149000000000001"/>
    <n v="32.033000000000001"/>
    <n v="33.850999999999999"/>
    <n v="17.77"/>
    <n v="16.521000000000001"/>
    <n v="33.850999999999999"/>
    <n v="32.033000000000001"/>
    <n v="11.875"/>
    <n v="19"/>
    <n v="16"/>
    <n v="16"/>
    <n v="16"/>
  </r>
  <r>
    <n v="1017"/>
    <m/>
    <m/>
    <m/>
    <m/>
    <s v="NA"/>
    <s v="NA"/>
    <x v="35"/>
    <s v="M"/>
    <m/>
    <m/>
    <n v="50.195"/>
    <n v="46.162999999999997"/>
    <n v="96.707999999999998"/>
    <n v="97.090999999999994"/>
    <n v="121.758"/>
    <n v="121.67"/>
    <n v="151.79900000000001"/>
    <n v="151.03800000000001"/>
    <n v="60.542000000000002"/>
    <n v="60.234999999999999"/>
    <n v="39.457999999999998"/>
    <n v="39.765000000000001"/>
    <n v="9.8119999999999994"/>
    <n v="11.186"/>
    <n v="39.765000000000001"/>
    <n v="39.457999999999998"/>
    <n v="9.9740000000000002"/>
    <n v="15"/>
    <n v="15"/>
    <n v="15"/>
    <n v="15"/>
  </r>
  <r>
    <n v="1018"/>
    <m/>
    <m/>
    <m/>
    <m/>
    <s v="NA"/>
    <s v="NA"/>
    <x v="35"/>
    <s v="NA"/>
    <m/>
    <m/>
    <n v="49.423999999999999"/>
    <n v="50.253999999999998"/>
    <n v="99.908000000000001"/>
    <n v="99.533000000000001"/>
    <n v="93.685000000000002"/>
    <n v="93.423000000000002"/>
    <n v="112.654"/>
    <n v="112.869"/>
    <n v="63.4"/>
    <n v="61.497999999999998"/>
    <n v="36.6"/>
    <n v="38.502000000000002"/>
    <n v="13.683999999999999"/>
    <n v="11.058"/>
    <n v="38.502000000000002"/>
    <n v="36.6"/>
    <n v="12.342000000000001"/>
    <n v="14"/>
    <n v="11"/>
    <n v="11"/>
    <n v="11"/>
  </r>
  <r>
    <n v="1019"/>
    <m/>
    <m/>
    <m/>
    <m/>
    <s v="NA"/>
    <s v="NA"/>
    <x v="35"/>
    <s v="NA"/>
    <m/>
    <m/>
    <n v="49.082999999999998"/>
    <n v="50.926000000000002"/>
    <n v="100.14"/>
    <n v="100.10599999999999"/>
    <n v="84.71"/>
    <n v="84.918000000000006"/>
    <n v="101.86"/>
    <n v="101.76900000000001"/>
    <n v="64.054000000000002"/>
    <n v="64.201999999999998"/>
    <n v="35.945999999999998"/>
    <n v="35.798000000000002"/>
    <n v="15.907999999999999"/>
    <n v="13.012"/>
    <n v="35.798000000000002"/>
    <n v="35.945999999999998"/>
    <n v="10.212"/>
    <n v="14"/>
    <n v="10"/>
    <n v="10"/>
    <n v="10"/>
  </r>
  <r>
    <n v="1020"/>
    <m/>
    <m/>
    <m/>
    <m/>
    <s v="NA"/>
    <s v="NA"/>
    <x v="35"/>
    <s v="NA"/>
    <m/>
    <m/>
    <n v="41.104999999999997"/>
    <n v="36.593000000000004"/>
    <n v="78.644999999999996"/>
    <n v="78.040000000000006"/>
    <n v="32.631999999999998"/>
    <n v="32.249000000000002"/>
    <n v="49.55"/>
    <n v="49.048999999999999"/>
    <n v="75.218000000000004"/>
    <n v="77.484999999999999"/>
    <n v="24.782"/>
    <n v="22.513999999999999"/>
    <n v="27.228999999999999"/>
    <n v="26.052"/>
    <n v="22.513999999999999"/>
    <n v="24.782"/>
    <n v="9.3230000000000004"/>
    <n v="11"/>
    <n v="11"/>
    <n v="11"/>
    <n v="11"/>
  </r>
  <r>
    <n v="1021"/>
    <m/>
    <m/>
    <m/>
    <m/>
    <s v="NA"/>
    <s v="NA"/>
    <x v="35"/>
    <s v="NA"/>
    <m/>
    <m/>
    <n v="41.646000000000001"/>
    <n v="44.790999999999997"/>
    <n v="85.837999999999994"/>
    <n v="87.864999999999995"/>
    <n v="111.21899999999999"/>
    <n v="112.67100000000001"/>
    <n v="154.67500000000001"/>
    <n v="153.292"/>
    <n v="60.206000000000003"/>
    <n v="62.072000000000003"/>
    <n v="39.793999999999997"/>
    <n v="37.927999999999997"/>
    <n v="11.461"/>
    <n v="10.260999999999999"/>
    <n v="37.927999999999997"/>
    <n v="39.793999999999997"/>
    <n v="9.6379999999999999"/>
    <n v="16"/>
    <n v="15"/>
    <n v="15"/>
    <n v="15"/>
  </r>
  <r>
    <n v="1022"/>
    <m/>
    <m/>
    <m/>
    <m/>
    <s v="NA"/>
    <s v="NA"/>
    <x v="35"/>
    <s v="NA"/>
    <m/>
    <m/>
    <n v="37.502000000000002"/>
    <n v="37.088999999999999"/>
    <n v="74.081999999999994"/>
    <n v="74.799000000000007"/>
    <n v="93.022999999999996"/>
    <n v="93.213999999999999"/>
    <n v="150.88900000000001"/>
    <n v="150.36099999999999"/>
    <n v="64.933000000000007"/>
    <n v="63.226999999999997"/>
    <n v="35.067"/>
    <n v="36.773000000000003"/>
    <n v="13.919"/>
    <n v="14.326000000000001"/>
    <n v="36.773000000000003"/>
    <n v="35.067"/>
    <n v="20.498000000000001"/>
    <n v="19"/>
    <n v="22"/>
    <n v="19"/>
    <n v="19"/>
  </r>
  <r>
    <n v="1023"/>
    <m/>
    <m/>
    <m/>
    <m/>
    <s v="NA"/>
    <s v="NA"/>
    <x v="35"/>
    <s v="F"/>
    <m/>
    <m/>
    <n v="43.308999999999997"/>
    <n v="44.524999999999999"/>
    <n v="87.965999999999994"/>
    <n v="87.644999999999996"/>
    <n v="81.23"/>
    <n v="81.182000000000002"/>
    <n v="110.666"/>
    <n v="110.605"/>
    <n v="64.765000000000001"/>
    <n v="65.811000000000007"/>
    <n v="35.234999999999999"/>
    <n v="34.189"/>
    <n v="14.882"/>
    <n v="15.692"/>
    <n v="34.189"/>
    <n v="35.234999999999999"/>
    <n v="12.428000000000001"/>
    <n v="12"/>
    <n v="11"/>
    <n v="11"/>
    <n v="11"/>
  </r>
  <r>
    <n v="1024"/>
    <m/>
    <m/>
    <m/>
    <m/>
    <s v="NA"/>
    <s v="NA"/>
    <x v="35"/>
    <s v="NA"/>
    <m/>
    <m/>
    <n v="60.295999999999999"/>
    <n v="61.124000000000002"/>
    <n v="122.874"/>
    <n v="120.697"/>
    <n v="103.325"/>
    <n v="101.244"/>
    <n v="101.29900000000001"/>
    <n v="100.129"/>
    <n v="64.021000000000001"/>
    <n v="62.851999999999997"/>
    <n v="35.978999999999999"/>
    <n v="37.148000000000003"/>
    <n v="13.555999999999999"/>
    <n v="13.532"/>
    <n v="37.148000000000003"/>
    <n v="35.978999999999999"/>
    <n v="11.332000000000001"/>
    <n v="10"/>
    <n v="11"/>
    <n v="10"/>
    <n v="10"/>
  </r>
  <r>
    <n v="1025"/>
    <m/>
    <m/>
    <m/>
    <m/>
    <s v="NA"/>
    <s v="NA"/>
    <x v="35"/>
    <s v="NA"/>
    <m/>
    <m/>
    <n v="22.835999999999999"/>
    <n v="16.167000000000002"/>
    <n v="37.954000000000001"/>
    <n v="41.509"/>
    <n v="40.692999999999998"/>
    <n v="42.645000000000003"/>
    <n v="136.43100000000001"/>
    <n v="133.91200000000001"/>
    <n v="75.802000000000007"/>
    <n v="74.063000000000002"/>
    <n v="24.198"/>
    <n v="25.937000000000001"/>
    <n v="25.026"/>
    <n v="25.495000000000001"/>
    <n v="25.937000000000001"/>
    <n v="24.198"/>
    <n v="14.305"/>
    <n v="11"/>
    <n v="11"/>
    <n v="11"/>
    <n v="11"/>
  </r>
  <r>
    <n v="1026"/>
    <m/>
    <m/>
    <m/>
    <m/>
    <s v="NA"/>
    <s v="NA"/>
    <x v="35"/>
    <s v="NA"/>
    <m/>
    <m/>
    <n v="57.043999999999997"/>
    <n v="53.247"/>
    <n v="108.813"/>
    <n v="110.291"/>
    <n v="112.492"/>
    <n v="113.438"/>
    <n v="123.04"/>
    <n v="123.58799999999999"/>
    <n v="64.754999999999995"/>
    <n v="66.731999999999999"/>
    <n v="35.244"/>
    <n v="33.268000000000001"/>
    <n v="15.048"/>
    <n v="16.3"/>
    <n v="33.268000000000001"/>
    <n v="35.244"/>
    <n v="5.6879999999999997"/>
    <n v="10"/>
    <n v="15"/>
    <n v="10"/>
    <n v="10"/>
  </r>
  <r>
    <n v="1027"/>
    <m/>
    <m/>
    <m/>
    <m/>
    <s v="NA"/>
    <s v="NA"/>
    <x v="35"/>
    <s v="NA"/>
    <m/>
    <m/>
    <n v="28.73"/>
    <n v="30.265000000000001"/>
    <n v="59.279000000000003"/>
    <n v="59.194000000000003"/>
    <n v="49.091000000000001"/>
    <n v="49.188000000000002"/>
    <n v="99.658000000000001"/>
    <n v="99.320999999999998"/>
    <n v="68.594999999999999"/>
    <n v="71.108000000000004"/>
    <n v="31.405000000000001"/>
    <n v="28.891999999999999"/>
    <n v="22.248999999999999"/>
    <n v="17.561"/>
    <n v="28.891999999999999"/>
    <n v="31.405000000000001"/>
    <n v="14.72"/>
    <n v="18"/>
    <n v="18"/>
    <n v="18"/>
    <n v="18"/>
  </r>
  <r>
    <n v="1028"/>
    <m/>
    <m/>
    <m/>
    <m/>
    <s v="NA"/>
    <s v="NA"/>
    <x v="35"/>
    <s v="NA"/>
    <m/>
    <m/>
    <n v="62.628"/>
    <n v="64.474999999999994"/>
    <n v="126.511"/>
    <n v="127.63"/>
    <n v="121.014"/>
    <n v="121.602"/>
    <n v="114.102"/>
    <n v="114.538"/>
    <n v="65.159000000000006"/>
    <n v="64.106999999999999"/>
    <n v="34.841000000000001"/>
    <n v="35.893000000000001"/>
    <n v="14.938000000000001"/>
    <n v="14.494999999999999"/>
    <n v="35.893000000000001"/>
    <n v="34.841000000000001"/>
    <n v="12.066000000000001"/>
    <n v="10"/>
    <n v="8"/>
    <n v="8"/>
    <n v="8"/>
  </r>
  <r>
    <n v="1029"/>
    <m/>
    <m/>
    <m/>
    <m/>
    <s v="NA"/>
    <s v="NA"/>
    <x v="35"/>
    <s v="NA"/>
    <m/>
    <m/>
    <n v="58.639000000000003"/>
    <n v="66.781000000000006"/>
    <n v="125.56399999999999"/>
    <n v="126.012"/>
    <n v="115.92100000000001"/>
    <n v="116.97499999999999"/>
    <n v="111.479"/>
    <n v="111.17"/>
    <n v="60.064999999999998"/>
    <n v="63.505000000000003"/>
    <n v="39.935000000000002"/>
    <n v="36.494999999999997"/>
    <n v="10.763"/>
    <n v="13.115"/>
    <n v="36.494999999999997"/>
    <n v="39.935000000000002"/>
    <n v="11.222"/>
    <n v="11"/>
    <n v="10"/>
    <n v="10"/>
    <n v="10"/>
  </r>
  <r>
    <n v="1030"/>
    <m/>
    <m/>
    <m/>
    <m/>
    <s v="NA"/>
    <s v="NA"/>
    <x v="35"/>
    <s v="NA"/>
    <m/>
    <m/>
    <n v="48.255000000000003"/>
    <n v="50.38"/>
    <n v="100.367"/>
    <n v="98.295000000000002"/>
    <n v="91.218999999999994"/>
    <n v="90.906000000000006"/>
    <n v="108.913"/>
    <n v="109.41200000000001"/>
    <n v="64.200999999999993"/>
    <n v="63.465000000000003"/>
    <n v="35.798999999999999"/>
    <n v="36.534999999999997"/>
    <n v="14.49"/>
    <n v="13.439"/>
    <n v="36.534999999999997"/>
    <n v="35.798999999999999"/>
    <n v="12.477"/>
    <n v="9"/>
    <n v="11"/>
    <n v="9"/>
    <n v="9"/>
  </r>
  <r>
    <n v="1031"/>
    <m/>
    <m/>
    <m/>
    <m/>
    <s v="NA"/>
    <s v="NA"/>
    <x v="35"/>
    <s v="NA"/>
    <m/>
    <m/>
    <n v="56.828000000000003"/>
    <n v="59.253"/>
    <n v="116.035"/>
    <n v="115.125"/>
    <n v="92.355999999999995"/>
    <n v="90.744"/>
    <n v="95.185000000000002"/>
    <n v="94.668999999999997"/>
    <n v="64.245999999999995"/>
    <n v="61.399000000000001"/>
    <n v="35.753999999999998"/>
    <n v="38.600999999999999"/>
    <n v="12.428000000000001"/>
    <n v="13.349"/>
    <n v="38.600999999999999"/>
    <n v="35.753999999999998"/>
    <n v="11.932"/>
    <n v="15"/>
    <n v="14"/>
    <n v="14"/>
    <n v="14"/>
  </r>
  <r>
    <n v="1032"/>
    <m/>
    <m/>
    <m/>
    <m/>
    <s v="NA"/>
    <s v="NA"/>
    <x v="35"/>
    <s v="M"/>
    <m/>
    <m/>
    <n v="38.218000000000004"/>
    <n v="41.399000000000001"/>
    <n v="79.662999999999997"/>
    <n v="79.637"/>
    <n v="75.162000000000006"/>
    <n v="74.56"/>
    <n v="112.953"/>
    <n v="112.887"/>
    <n v="65.301000000000002"/>
    <n v="66.034999999999997"/>
    <n v="34.698999999999998"/>
    <n v="33.965000000000003"/>
    <n v="16.244"/>
    <n v="15.436"/>
    <n v="33.965000000000003"/>
    <n v="34.698999999999998"/>
    <n v="20.552"/>
    <n v="14"/>
    <n v="13"/>
    <n v="13"/>
    <n v="13"/>
  </r>
  <r>
    <n v="1033"/>
    <m/>
    <m/>
    <m/>
    <m/>
    <s v="NA"/>
    <s v="NA"/>
    <x v="35"/>
    <s v="NA"/>
    <m/>
    <m/>
    <n v="70.644999999999996"/>
    <n v="68.251000000000005"/>
    <n v="139.77099999999999"/>
    <n v="139.90799999999999"/>
    <n v="141.78299999999999"/>
    <n v="141.577"/>
    <n v="122.753"/>
    <n v="122.988"/>
    <n v="59.648000000000003"/>
    <n v="58.207000000000001"/>
    <n v="40.351999999999997"/>
    <n v="41.792999999999999"/>
    <n v="9.3859999999999992"/>
    <n v="9.2309999999999999"/>
    <n v="41.792999999999999"/>
    <n v="40.351999999999997"/>
    <n v="12.385"/>
    <n v="5"/>
    <n v="5"/>
    <n v="5"/>
    <n v="5"/>
  </r>
  <r>
    <n v="1034"/>
    <m/>
    <m/>
    <m/>
    <m/>
    <s v="NA"/>
    <s v="NA"/>
    <x v="35"/>
    <s v="NA"/>
    <m/>
    <m/>
    <n v="57.082000000000001"/>
    <n v="55.694000000000003"/>
    <n v="113.06699999999999"/>
    <n v="112.45"/>
    <n v="116.15300000000001"/>
    <n v="115.134"/>
    <n v="123.024"/>
    <n v="122.42100000000001"/>
    <n v="61.648000000000003"/>
    <n v="61.481999999999999"/>
    <n v="38.351999999999997"/>
    <n v="38.518000000000001"/>
    <n v="10.151"/>
    <n v="13.124000000000001"/>
    <n v="38.518000000000001"/>
    <n v="38.351999999999997"/>
    <n v="12.02"/>
    <n v="10"/>
    <n v="9"/>
    <n v="9"/>
    <n v="9"/>
  </r>
  <r>
    <n v="1035"/>
    <m/>
    <m/>
    <m/>
    <m/>
    <s v="NA"/>
    <s v="NA"/>
    <x v="35"/>
    <s v="NA"/>
    <m/>
    <m/>
    <n v="57.085000000000001"/>
    <n v="58.488"/>
    <n v="115.86799999999999"/>
    <n v="115.401"/>
    <n v="112.393"/>
    <n v="112.301"/>
    <n v="116.083"/>
    <n v="116.155"/>
    <n v="60.734000000000002"/>
    <n v="57.828000000000003"/>
    <n v="39.265999999999998"/>
    <n v="42.171999999999997"/>
    <n v="9.0909999999999993"/>
    <n v="9.9220000000000006"/>
    <n v="42.171999999999997"/>
    <n v="39.265999999999998"/>
    <n v="11.391999999999999"/>
    <n v="11"/>
    <n v="10"/>
    <n v="10"/>
    <n v="10"/>
  </r>
  <r>
    <n v="1036"/>
    <m/>
    <m/>
    <m/>
    <m/>
    <s v="NA"/>
    <s v="NA"/>
    <x v="35"/>
    <s v="NA"/>
    <m/>
    <m/>
    <n v="52.56"/>
    <n v="60.546999999999997"/>
    <n v="113.425"/>
    <n v="113.43899999999999"/>
    <n v="106.664"/>
    <n v="106.26600000000001"/>
    <n v="112.289"/>
    <n v="111.998"/>
    <n v="64.191999999999993"/>
    <n v="63.850999999999999"/>
    <n v="35.808"/>
    <n v="36.149000000000001"/>
    <n v="14.401999999999999"/>
    <n v="13.664"/>
    <n v="36.149000000000001"/>
    <n v="35.808"/>
    <n v="11.06"/>
    <n v="14"/>
    <n v="12"/>
    <n v="12"/>
    <n v="12"/>
  </r>
  <r>
    <n v="1037"/>
    <m/>
    <m/>
    <m/>
    <m/>
    <s v="NA"/>
    <s v="NA"/>
    <x v="35"/>
    <s v="NA"/>
    <m/>
    <m/>
    <n v="50.771000000000001"/>
    <n v="50.459000000000003"/>
    <n v="101.24"/>
    <n v="102.55"/>
    <n v="104.098"/>
    <n v="105.28100000000001"/>
    <n v="121.89"/>
    <n v="122.858"/>
    <n v="58.628"/>
    <n v="58.668999999999997"/>
    <n v="41.372"/>
    <n v="41.331000000000003"/>
    <n v="8.8670000000000009"/>
    <n v="8.8170000000000002"/>
    <n v="41.331000000000003"/>
    <n v="41.372"/>
    <n v="6.4660000000000002"/>
    <n v="15"/>
    <n v="12"/>
    <n v="12"/>
    <n v="12"/>
  </r>
  <r>
    <n v="1038"/>
    <m/>
    <m/>
    <m/>
    <m/>
    <s v="NA"/>
    <s v="NA"/>
    <x v="35"/>
    <s v="NA"/>
    <m/>
    <m/>
    <n v="48.491999999999997"/>
    <n v="59.932000000000002"/>
    <n v="106.31399999999999"/>
    <n v="110.22799999999999"/>
    <n v="83.888000000000005"/>
    <n v="85.09"/>
    <n v="93.274000000000001"/>
    <n v="93.463999999999999"/>
    <n v="67.963999999999999"/>
    <n v="66.611999999999995"/>
    <n v="32.036000000000001"/>
    <n v="33.387999999999998"/>
    <n v="19.388999999999999"/>
    <n v="15.882999999999999"/>
    <n v="33.387999999999998"/>
    <n v="32.036000000000001"/>
    <n v="8.9320000000000004"/>
    <n v="13"/>
    <n v="14"/>
    <n v="13"/>
    <n v="13"/>
  </r>
  <r>
    <n v="1039"/>
    <m/>
    <m/>
    <m/>
    <m/>
    <s v="NA"/>
    <s v="NA"/>
    <x v="35"/>
    <s v="NA"/>
    <m/>
    <m/>
    <n v="67.641999999999996"/>
    <n v="67.427000000000007"/>
    <n v="134.548"/>
    <n v="136.209"/>
    <n v="114.315"/>
    <n v="115.569"/>
    <n v="101.786"/>
    <n v="101.50700000000001"/>
    <n v="61.652000000000001"/>
    <n v="61.003"/>
    <n v="38.347999999999999"/>
    <n v="38.997"/>
    <n v="11.566000000000001"/>
    <n v="11.586"/>
    <n v="38.997"/>
    <n v="38.347999999999999"/>
    <n v="14.173999999999999"/>
    <n v="8"/>
    <n v="9"/>
    <n v="8"/>
    <n v="8"/>
  </r>
  <r>
    <n v="1040"/>
    <m/>
    <m/>
    <m/>
    <m/>
    <s v="NA"/>
    <s v="NA"/>
    <x v="35"/>
    <s v="NA"/>
    <m/>
    <m/>
    <n v="64.239999999999995"/>
    <n v="64.424000000000007"/>
    <n v="128.47300000000001"/>
    <n v="128.69200000000001"/>
    <n v="115.92400000000001"/>
    <n v="116.79"/>
    <n v="107.929"/>
    <n v="108.621"/>
    <n v="63.587000000000003"/>
    <n v="62.496000000000002"/>
    <n v="36.412999999999997"/>
    <n v="37.503999999999998"/>
    <n v="13.782999999999999"/>
    <n v="12.647"/>
    <n v="37.503999999999998"/>
    <n v="36.412999999999997"/>
    <n v="9.4260000000000002"/>
    <n v="10"/>
    <n v="9"/>
    <n v="9"/>
    <n v="9"/>
  </r>
  <r>
    <n v="1041"/>
    <m/>
    <m/>
    <m/>
    <m/>
    <s v="NA"/>
    <s v="NA"/>
    <x v="35"/>
    <s v="NA"/>
    <m/>
    <m/>
    <n v="45.161000000000001"/>
    <n v="46.034999999999997"/>
    <n v="90.671000000000006"/>
    <n v="91.573999999999998"/>
    <n v="75.370999999999995"/>
    <n v="75.379000000000005"/>
    <n v="99.808999999999997"/>
    <n v="98.031999999999996"/>
    <n v="65.396000000000001"/>
    <n v="63.46"/>
    <n v="34.603999999999999"/>
    <n v="36.54"/>
    <n v="14.29"/>
    <n v="14.16"/>
    <n v="36.54"/>
    <n v="34.603999999999999"/>
    <n v="12.9"/>
    <n v="10"/>
    <n v="12"/>
    <n v="10"/>
    <n v="10"/>
  </r>
  <r>
    <n v="1042"/>
    <m/>
    <m/>
    <m/>
    <m/>
    <s v="NA"/>
    <s v="NA"/>
    <x v="35"/>
    <s v="NA"/>
    <m/>
    <m/>
    <n v="38.08"/>
    <n v="34.063000000000002"/>
    <n v="72.010000000000005"/>
    <n v="72.325999999999993"/>
    <n v="48.106000000000002"/>
    <n v="48.540999999999997"/>
    <n v="79.364000000000004"/>
    <n v="80.45"/>
    <n v="71.108999999999995"/>
    <n v="67.781999999999996"/>
    <n v="28.890999999999998"/>
    <n v="32.218000000000004"/>
    <n v="18.309000000000001"/>
    <n v="20.774000000000001"/>
    <n v="32.218000000000004"/>
    <n v="28.890999999999998"/>
    <n v="17.797999999999998"/>
    <n v="14"/>
    <n v="14"/>
    <n v="14"/>
    <n v="14"/>
  </r>
  <r>
    <n v="1043"/>
    <m/>
    <m/>
    <m/>
    <m/>
    <s v="NA"/>
    <s v="NA"/>
    <x v="35"/>
    <s v="NA"/>
    <m/>
    <m/>
    <n v="46.052"/>
    <n v="48.183"/>
    <n v="94.384"/>
    <n v="95.099000000000004"/>
    <n v="85.867999999999995"/>
    <n v="86.444999999999993"/>
    <n v="109.304"/>
    <n v="109.264"/>
    <n v="67.344999999999999"/>
    <n v="64.063999999999993"/>
    <n v="32.655000000000001"/>
    <n v="35.936"/>
    <n v="15.637"/>
    <n v="15.813000000000001"/>
    <n v="35.936"/>
    <n v="32.655000000000001"/>
    <n v="13.956"/>
    <n v="15"/>
    <n v="14"/>
    <n v="14"/>
    <n v="14"/>
  </r>
  <r>
    <n v="1044"/>
    <m/>
    <m/>
    <m/>
    <m/>
    <s v="NA"/>
    <s v="NA"/>
    <x v="35"/>
    <s v="NA"/>
    <m/>
    <m/>
    <n v="54.374000000000002"/>
    <n v="51.618000000000002"/>
    <n v="106.43300000000001"/>
    <n v="105.876"/>
    <n v="92.364999999999995"/>
    <n v="91.570999999999998"/>
    <n v="103.488"/>
    <n v="103.304"/>
    <n v="65.367999999999995"/>
    <n v="61.34"/>
    <n v="34.631999999999998"/>
    <n v="38.659999999999997"/>
    <n v="13.335000000000001"/>
    <n v="13.688000000000001"/>
    <n v="38.659999999999997"/>
    <n v="34.631999999999998"/>
    <n v="9.7639999999999993"/>
    <n v="14"/>
    <n v="13"/>
    <n v="13"/>
    <n v="13"/>
  </r>
  <r>
    <n v="1045"/>
    <m/>
    <m/>
    <m/>
    <m/>
    <s v="NA"/>
    <s v="NA"/>
    <x v="35"/>
    <s v="F"/>
    <m/>
    <m/>
    <n v="43.015999999999998"/>
    <n v="50.756999999999998"/>
    <n v="94.012"/>
    <n v="93.316000000000003"/>
    <n v="84.617000000000004"/>
    <n v="84.561999999999998"/>
    <n v="108.468"/>
    <n v="108.702"/>
    <n v="65.001999999999995"/>
    <n v="62.831000000000003"/>
    <n v="34.997"/>
    <n v="37.168999999999997"/>
    <n v="16.709"/>
    <n v="11.996"/>
    <n v="37.168999999999997"/>
    <n v="34.997"/>
    <n v="13.016"/>
    <n v="13"/>
    <n v="12"/>
    <n v="12"/>
    <n v="12"/>
  </r>
  <r>
    <n v="1046"/>
    <m/>
    <m/>
    <m/>
    <m/>
    <s v="NA"/>
    <s v="NA"/>
    <x v="35"/>
    <s v="NA"/>
    <m/>
    <m/>
    <n v="73.703999999999994"/>
    <n v="71.019000000000005"/>
    <n v="144.87700000000001"/>
    <n v="145.30199999999999"/>
    <n v="148.68799999999999"/>
    <n v="149.58000000000001"/>
    <n v="123.63500000000001"/>
    <n v="123.02500000000001"/>
    <n v="60.194000000000003"/>
    <n v="58.924999999999997"/>
    <n v="39.805999999999997"/>
    <n v="41.075000000000003"/>
    <n v="11.272"/>
    <n v="9.5730000000000004"/>
    <n v="41.075000000000003"/>
    <n v="39.805999999999997"/>
    <n v="10.602"/>
    <n v="8"/>
    <n v="9"/>
    <n v="8"/>
    <n v="8"/>
  </r>
  <r>
    <n v="1047"/>
    <m/>
    <m/>
    <m/>
    <m/>
    <s v="NA"/>
    <s v="NA"/>
    <x v="35"/>
    <s v="NA"/>
    <m/>
    <m/>
    <n v="66.835999999999999"/>
    <n v="65.846000000000004"/>
    <n v="133.03899999999999"/>
    <n v="133.41399999999999"/>
    <n v="120.992"/>
    <n v="121.73399999999999"/>
    <n v="108.096"/>
    <n v="108.955"/>
    <n v="64.129000000000005"/>
    <n v="61.076999999999998"/>
    <n v="35.871000000000002"/>
    <n v="38.923000000000002"/>
    <n v="12.295999999999999"/>
    <n v="13.125999999999999"/>
    <n v="38.923000000000002"/>
    <n v="35.871000000000002"/>
    <n v="9.5039999999999996"/>
    <n v="10"/>
    <n v="10"/>
    <n v="10"/>
    <n v="10"/>
  </r>
  <r>
    <n v="1048"/>
    <m/>
    <m/>
    <m/>
    <m/>
    <s v="NA"/>
    <s v="NA"/>
    <x v="35"/>
    <s v="NA"/>
    <m/>
    <m/>
    <n v="33.414000000000001"/>
    <n v="34.536999999999999"/>
    <n v="67.804000000000002"/>
    <n v="67.953999999999994"/>
    <n v="64.513000000000005"/>
    <n v="64.569999999999993"/>
    <n v="114.14400000000001"/>
    <n v="113.678"/>
    <n v="65.242999999999995"/>
    <n v="65.45"/>
    <n v="34.756999999999998"/>
    <n v="34.549999999999997"/>
    <n v="14.907999999999999"/>
    <n v="15.981"/>
    <n v="34.549999999999997"/>
    <n v="34.756999999999998"/>
    <n v="14.071999999999999"/>
    <n v="18"/>
    <n v="17"/>
    <n v="17"/>
    <n v="17"/>
  </r>
  <r>
    <n v="1049"/>
    <m/>
    <m/>
    <m/>
    <m/>
    <s v="NA"/>
    <s v="NA"/>
    <x v="35"/>
    <s v="F"/>
    <m/>
    <m/>
    <n v="51.679000000000002"/>
    <n v="49.143999999999998"/>
    <n v="101.295"/>
    <n v="100.65300000000001"/>
    <n v="92.683999999999997"/>
    <n v="91.554000000000002"/>
    <n v="108.73099999999999"/>
    <n v="108.214"/>
    <n v="65.403000000000006"/>
    <n v="64.031999999999996"/>
    <n v="34.597000000000001"/>
    <n v="35.968000000000004"/>
    <n v="13.55"/>
    <n v="16.420000000000002"/>
    <n v="35.968000000000004"/>
    <n v="34.597000000000001"/>
    <n v="9.0280000000000005"/>
    <n v="13"/>
    <n v="16"/>
    <n v="13"/>
    <n v="13"/>
  </r>
  <r>
    <n v="1050"/>
    <m/>
    <m/>
    <m/>
    <m/>
    <s v="NA"/>
    <s v="NA"/>
    <x v="35"/>
    <s v="NA"/>
    <m/>
    <m/>
    <n v="48.329000000000001"/>
    <n v="51.994999999999997"/>
    <n v="100.479"/>
    <n v="100.654"/>
    <n v="92.623999999999995"/>
    <n v="93.201999999999998"/>
    <n v="110.047"/>
    <n v="110.559"/>
    <n v="63.744"/>
    <n v="61.848999999999997"/>
    <n v="36.256"/>
    <n v="38.151000000000003"/>
    <n v="12.733000000000001"/>
    <n v="13.273999999999999"/>
    <n v="38.151000000000003"/>
    <n v="36.256"/>
    <n v="11.33"/>
    <n v="9"/>
    <n v="7"/>
    <n v="7"/>
    <n v="7"/>
  </r>
  <r>
    <n v="1051"/>
    <m/>
    <m/>
    <m/>
    <m/>
    <s v="NA"/>
    <s v="NA"/>
    <x v="174"/>
    <s v="NA"/>
    <m/>
    <m/>
    <n v="37.148000000000003"/>
    <n v="45.777999999999999"/>
    <n v="83.418000000000006"/>
    <n v="81.161000000000001"/>
    <n v="64.825000000000003"/>
    <n v="62.195999999999998"/>
    <n v="91.016999999999996"/>
    <n v="89.861999999999995"/>
    <n v="70.381"/>
    <n v="64.503"/>
    <n v="29.619"/>
    <n v="35.497"/>
    <n v="16.677"/>
    <n v="18.649000000000001"/>
    <n v="35.497"/>
    <n v="29.619"/>
    <n v="19.922000000000001"/>
    <n v="14"/>
    <n v="14"/>
    <n v="14"/>
    <n v="14"/>
  </r>
  <r>
    <n v="1052"/>
    <m/>
    <m/>
    <m/>
    <m/>
    <s v="NA"/>
    <s v="NA"/>
    <x v="35"/>
    <s v="NA"/>
    <m/>
    <m/>
    <n v="69.826999999999998"/>
    <n v="73.391000000000005"/>
    <n v="143.76"/>
    <n v="143.089"/>
    <n v="99.396000000000001"/>
    <n v="100.188"/>
    <n v="82.700999999999993"/>
    <n v="83.350999999999999"/>
    <n v="64.447999999999993"/>
    <n v="61.36"/>
    <n v="35.552"/>
    <n v="38.64"/>
    <n v="12.661"/>
    <n v="13.759"/>
    <n v="38.64"/>
    <n v="35.552"/>
    <n v="12.228"/>
    <n v="10"/>
    <n v="10"/>
    <n v="10"/>
    <n v="10"/>
  </r>
  <r>
    <n v="1053"/>
    <m/>
    <m/>
    <m/>
    <m/>
    <s v="NA"/>
    <s v="NA"/>
    <x v="247"/>
    <s v="M"/>
    <m/>
    <m/>
    <s v="NA"/>
    <s v="NA"/>
    <s v="NA"/>
    <s v="NA"/>
    <s v="NA"/>
    <s v="NA"/>
    <s v="NA"/>
    <s v="NA"/>
    <s v="NA"/>
    <s v="NA"/>
    <s v="NA"/>
    <s v="NA"/>
    <s v="NA"/>
    <s v="NA"/>
    <s v="NA"/>
    <s v="NA"/>
    <s v="NA"/>
    <s v="NA"/>
    <s v="NA"/>
    <s v="NA"/>
    <s v="NA"/>
  </r>
  <r>
    <n v="1054"/>
    <m/>
    <m/>
    <m/>
    <m/>
    <s v="NA"/>
    <s v="NA"/>
    <x v="35"/>
    <s v="NA"/>
    <m/>
    <m/>
    <n v="65.106999999999999"/>
    <n v="64.778000000000006"/>
    <n v="130.98099999999999"/>
    <n v="129.405"/>
    <n v="138.90100000000001"/>
    <n v="138.40199999999999"/>
    <n v="127.621"/>
    <n v="128.029"/>
    <n v="60.244999999999997"/>
    <n v="60.750999999999998"/>
    <n v="39.755000000000003"/>
    <n v="39.249000000000002"/>
    <n v="10.519"/>
    <n v="10.369"/>
    <n v="39.249000000000002"/>
    <n v="39.755000000000003"/>
    <n v="10.577999999999999"/>
    <n v="8"/>
    <n v="6"/>
    <n v="6"/>
    <n v="6"/>
  </r>
  <r>
    <n v="1055"/>
    <m/>
    <m/>
    <m/>
    <m/>
    <s v="NA"/>
    <s v="NA"/>
    <x v="35"/>
    <s v="NA"/>
    <m/>
    <m/>
    <n v="41.69"/>
    <n v="51.552999999999997"/>
    <n v="92.692999999999998"/>
    <n v="94.072000000000003"/>
    <n v="98.474000000000004"/>
    <n v="99.328999999999994"/>
    <n v="125.378"/>
    <n v="125.11"/>
    <n v="63.243000000000002"/>
    <n v="62.78"/>
    <n v="36.756999999999998"/>
    <n v="37.22"/>
    <n v="12.025"/>
    <n v="14.082000000000001"/>
    <n v="37.22"/>
    <n v="36.756999999999998"/>
    <n v="10.27"/>
    <n v="13"/>
    <n v="13"/>
    <n v="13"/>
    <n v="13"/>
  </r>
  <r>
    <n v="1056"/>
    <m/>
    <m/>
    <m/>
    <m/>
    <s v="NA"/>
    <s v="NA"/>
    <x v="35"/>
    <s v="NA"/>
    <m/>
    <m/>
    <n v="59.661000000000001"/>
    <n v="62.069000000000003"/>
    <n v="122.408"/>
    <n v="121.364"/>
    <n v="114.60599999999999"/>
    <n v="114.175"/>
    <n v="111.67700000000001"/>
    <n v="112.44799999999999"/>
    <n v="61.773000000000003"/>
    <n v="62.744999999999997"/>
    <n v="38.226999999999997"/>
    <n v="37.255000000000003"/>
    <n v="12.548"/>
    <n v="12.275"/>
    <n v="37.255000000000003"/>
    <n v="38.226999999999997"/>
    <n v="11.21"/>
    <n v="10"/>
    <n v="11"/>
    <n v="10"/>
    <n v="10"/>
  </r>
  <r>
    <n v="1057"/>
    <m/>
    <m/>
    <m/>
    <m/>
    <s v="NA"/>
    <s v="NA"/>
    <x v="35"/>
    <s v="NA"/>
    <m/>
    <m/>
    <n v="30.879000000000001"/>
    <n v="28.03"/>
    <n v="52.511000000000003"/>
    <n v="62.488"/>
    <n v="65.185000000000002"/>
    <n v="63.906999999999996"/>
    <n v="1758.7260000000001"/>
    <n v="1082.4970000000001"/>
    <n v="202.94800000000001"/>
    <n v="-506.76"/>
    <n v="-102.946"/>
    <n v="606.76199999999994"/>
    <n v="-804.91"/>
    <n v="-833.51300000000003"/>
    <n v="606.76199999999994"/>
    <n v="-102.946"/>
    <n v="20.943000000000001"/>
    <n v="23"/>
    <n v="22"/>
    <n v="20"/>
    <n v="20"/>
  </r>
  <r>
    <n v="1058"/>
    <m/>
    <m/>
    <m/>
    <m/>
    <s v="NA"/>
    <s v="NA"/>
    <x v="35"/>
    <s v="NA"/>
    <m/>
    <m/>
    <n v="31.068000000000001"/>
    <n v="34.749000000000002"/>
    <n v="65.542000000000002"/>
    <n v="65.527000000000001"/>
    <n v="62.999000000000002"/>
    <n v="63.481000000000002"/>
    <n v="115.654"/>
    <n v="115.583"/>
    <n v="64.897000000000006"/>
    <n v="65.989999999999995"/>
    <n v="35.103000000000002"/>
    <n v="34.01"/>
    <n v="15.698"/>
    <n v="15.598000000000001"/>
    <n v="34.01"/>
    <n v="35.103000000000002"/>
    <n v="6.9550000000000001"/>
    <n v="17"/>
    <n v="16"/>
    <n v="16"/>
    <n v="16"/>
  </r>
  <r>
    <n v="1059"/>
    <m/>
    <m/>
    <m/>
    <m/>
    <s v="NA"/>
    <s v="NA"/>
    <x v="35"/>
    <s v="NA"/>
    <m/>
    <m/>
    <n v="49.735999999999997"/>
    <n v="55.231999999999999"/>
    <n v="104.922"/>
    <n v="107.99"/>
    <n v="101.401"/>
    <n v="102.32"/>
    <n v="115.98399999999999"/>
    <n v="114.919"/>
    <n v="63.134999999999998"/>
    <n v="61.709000000000003"/>
    <n v="36.865000000000002"/>
    <n v="38.290999999999997"/>
    <n v="12.555"/>
    <n v="13.26"/>
    <n v="38.290999999999997"/>
    <n v="36.865000000000002"/>
    <n v="9.9600000000000009"/>
    <n v="15"/>
    <n v="12"/>
    <n v="12"/>
    <n v="12"/>
  </r>
  <r>
    <n v="1060"/>
    <m/>
    <m/>
    <m/>
    <m/>
    <s v="NA"/>
    <s v="NA"/>
    <x v="35"/>
    <s v="NA"/>
    <m/>
    <m/>
    <n v="47.031999999999996"/>
    <n v="43.618000000000002"/>
    <n v="90.540999999999997"/>
    <n v="90.88"/>
    <n v="98.328000000000003"/>
    <n v="99.021000000000001"/>
    <n v="129.39599999999999"/>
    <n v="130.23400000000001"/>
    <n v="62.670999999999999"/>
    <n v="61.524999999999999"/>
    <n v="37.329000000000001"/>
    <n v="38.475000000000001"/>
    <n v="12.816000000000001"/>
    <n v="11.805999999999999"/>
    <n v="38.475000000000001"/>
    <n v="37.329000000000001"/>
    <n v="9.4939999999999998"/>
    <n v="14"/>
    <n v="15"/>
    <n v="14"/>
    <n v="14"/>
  </r>
  <r>
    <n v="1061"/>
    <m/>
    <m/>
    <m/>
    <m/>
    <s v="NA"/>
    <s v="NA"/>
    <x v="230"/>
    <s v="M"/>
    <m/>
    <m/>
    <n v="42.863"/>
    <n v="40.630000000000003"/>
    <n v="83.498000000000005"/>
    <n v="84.227000000000004"/>
    <n v="72.435000000000002"/>
    <n v="72.929000000000002"/>
    <n v="104.651"/>
    <n v="104.121"/>
    <n v="67.683999999999997"/>
    <n v="67.281000000000006"/>
    <n v="32.316000000000003"/>
    <n v="32.719000000000001"/>
    <n v="20.234999999999999"/>
    <n v="14.927"/>
    <n v="32.719000000000001"/>
    <n v="32.316000000000003"/>
    <n v="18.577999999999999"/>
    <n v="11"/>
    <n v="12"/>
    <n v="11"/>
    <n v="11"/>
  </r>
  <r>
    <n v="1062"/>
    <m/>
    <m/>
    <m/>
    <m/>
    <s v="NA"/>
    <s v="NA"/>
    <x v="146"/>
    <s v="M"/>
    <m/>
    <m/>
    <n v="46.484999999999999"/>
    <n v="51.530999999999999"/>
    <n v="99.438000000000002"/>
    <n v="96.611999999999995"/>
    <n v="74.328000000000003"/>
    <n v="74.100999999999999"/>
    <n v="90.346999999999994"/>
    <n v="91.150999999999996"/>
    <n v="65.442999999999998"/>
    <n v="66.411000000000001"/>
    <n v="34.557000000000002"/>
    <n v="33.588999999999999"/>
    <n v="18.521000000000001"/>
    <n v="14.619"/>
    <n v="33.588999999999999"/>
    <n v="34.557000000000002"/>
    <n v="16.146000000000001"/>
    <n v="10"/>
    <n v="10"/>
    <n v="10"/>
    <n v="10"/>
  </r>
  <r>
    <n v="1063"/>
    <m/>
    <m/>
    <m/>
    <m/>
    <s v="NA"/>
    <s v="NA"/>
    <x v="335"/>
    <s v="M"/>
    <m/>
    <m/>
    <n v="58.37"/>
    <n v="57.296999999999997"/>
    <n v="116.82899999999999"/>
    <n v="113.087"/>
    <n v="59.762999999999998"/>
    <n v="59.546999999999997"/>
    <n v="61.732999999999997"/>
    <n v="62.378999999999998"/>
    <n v="64.870999999999995"/>
    <n v="67.073999999999998"/>
    <n v="35.128999999999998"/>
    <n v="32.926000000000002"/>
    <n v="14.409000000000001"/>
    <n v="18.315999999999999"/>
    <n v="32.926000000000002"/>
    <n v="35.128999999999998"/>
    <n v="18.262"/>
    <n v="10"/>
    <n v="7"/>
    <n v="7"/>
    <n v="7"/>
  </r>
  <r>
    <n v="1064"/>
    <m/>
    <m/>
    <m/>
    <m/>
    <s v="NA"/>
    <s v="NA"/>
    <x v="315"/>
    <s v="M"/>
    <m/>
    <m/>
    <n v="41.848999999999997"/>
    <n v="39.267000000000003"/>
    <n v="81.406000000000006"/>
    <n v="80.709999999999994"/>
    <n v="62.112000000000002"/>
    <n v="61.646000000000001"/>
    <n v="90.932000000000002"/>
    <n v="90.811999999999998"/>
    <n v="66.224000000000004"/>
    <n v="68.569999999999993"/>
    <n v="33.776000000000003"/>
    <n v="31.43"/>
    <n v="17.747"/>
    <n v="17.428000000000001"/>
    <n v="31.43"/>
    <n v="33.776000000000003"/>
    <n v="17.11"/>
    <n v="12"/>
    <n v="12"/>
    <n v="12"/>
    <n v="12"/>
  </r>
  <r>
    <n v="1065"/>
    <m/>
    <m/>
    <m/>
    <m/>
    <s v="NA"/>
    <s v="NA"/>
    <x v="26"/>
    <s v="M"/>
    <m/>
    <m/>
    <n v="42.517000000000003"/>
    <n v="40.497999999999998"/>
    <n v="83.388000000000005"/>
    <n v="83.341999999999999"/>
    <n v="70.456999999999994"/>
    <n v="70.331999999999994"/>
    <n v="102.09399999999999"/>
    <n v="102.121"/>
    <n v="63.887999999999998"/>
    <n v="64.784000000000006"/>
    <n v="36.112000000000002"/>
    <n v="35.216000000000001"/>
    <n v="16.745000000000001"/>
    <n v="12.673"/>
    <n v="35.216000000000001"/>
    <n v="36.112000000000002"/>
    <n v="11.295999999999999"/>
    <n v="13"/>
    <n v="11"/>
    <n v="11"/>
    <n v="11"/>
  </r>
  <r>
    <n v="1066"/>
    <m/>
    <m/>
    <m/>
    <m/>
    <s v="NA"/>
    <s v="NA"/>
    <x v="336"/>
    <s v="M"/>
    <m/>
    <m/>
    <n v="44.491999999999997"/>
    <n v="41.402000000000001"/>
    <n v="85.656999999999996"/>
    <n v="85.596999999999994"/>
    <n v="86.813000000000002"/>
    <n v="87.155000000000001"/>
    <n v="121.32"/>
    <n v="121.367"/>
    <n v="62.712000000000003"/>
    <n v="63.262999999999998"/>
    <n v="37.287999999999997"/>
    <n v="36.737000000000002"/>
    <n v="13.553000000000001"/>
    <n v="12.635"/>
    <n v="36.737000000000002"/>
    <n v="37.287999999999997"/>
    <n v="7.6079999999999997"/>
    <n v="11"/>
    <n v="10"/>
    <n v="10"/>
    <n v="10"/>
  </r>
  <r>
    <n v="1067"/>
    <m/>
    <m/>
    <m/>
    <m/>
    <s v="NA"/>
    <s v="NA"/>
    <x v="226"/>
    <s v="M"/>
    <m/>
    <m/>
    <n v="53.945"/>
    <n v="55.378"/>
    <n v="109.13500000000001"/>
    <n v="109.768"/>
    <n v="101.569"/>
    <n v="102.59699999999999"/>
    <n v="111.494"/>
    <n v="111.59399999999999"/>
    <n v="62.761000000000003"/>
    <n v="63.753999999999998"/>
    <n v="37.238999999999997"/>
    <n v="36.246000000000002"/>
    <n v="13.22"/>
    <n v="13.936999999999999"/>
    <n v="36.246000000000002"/>
    <n v="37.238999999999997"/>
    <n v="12.156000000000001"/>
    <n v="10"/>
    <n v="10"/>
    <n v="10"/>
    <n v="10"/>
  </r>
  <r>
    <n v="1068"/>
    <m/>
    <m/>
    <m/>
    <m/>
    <s v="NA"/>
    <s v="NA"/>
    <x v="65"/>
    <s v="M"/>
    <m/>
    <m/>
    <n v="43.423999999999999"/>
    <n v="38.039000000000001"/>
    <n v="81.462999999999994"/>
    <n v="79.787999999999997"/>
    <n v="69.483999999999995"/>
    <n v="69.715999999999994"/>
    <n v="103.06"/>
    <n v="104.976"/>
    <n v="66.152000000000001"/>
    <n v="67.869"/>
    <n v="33.847999999999999"/>
    <n v="32.131"/>
    <n v="17.164000000000001"/>
    <n v="17.635999999999999"/>
    <n v="32.131"/>
    <n v="33.847999999999999"/>
    <n v="8.452"/>
    <n v="15"/>
    <n v="10"/>
    <n v="10"/>
    <n v="10"/>
  </r>
  <r>
    <n v="1069"/>
    <m/>
    <m/>
    <m/>
    <m/>
    <s v="NA"/>
    <s v="NA"/>
    <x v="323"/>
    <s v="F"/>
    <m/>
    <m/>
    <n v="56.734000000000002"/>
    <n v="57.762999999999998"/>
    <n v="115.08499999999999"/>
    <n v="113.80200000000001"/>
    <n v="97.68"/>
    <n v="97.391000000000005"/>
    <n v="101.21899999999999"/>
    <n v="101.812"/>
    <n v="66.484999999999999"/>
    <n v="64.596000000000004"/>
    <n v="33.515000000000001"/>
    <n v="35.404000000000003"/>
    <n v="15.109"/>
    <n v="15.542"/>
    <n v="35.404000000000003"/>
    <n v="33.515000000000001"/>
    <n v="12.986000000000001"/>
    <n v="10"/>
    <n v="10"/>
    <n v="10"/>
    <n v="10"/>
  </r>
  <r>
    <n v="1070"/>
    <m/>
    <m/>
    <m/>
    <m/>
    <s v="NA"/>
    <s v="NA"/>
    <x v="142"/>
    <s v="M"/>
    <m/>
    <m/>
    <n v="37.027999999999999"/>
    <n v="36.685000000000002"/>
    <n v="74.376999999999995"/>
    <n v="72.775000000000006"/>
    <n v="58.884999999999998"/>
    <n v="58.35"/>
    <n v="95.394000000000005"/>
    <n v="95.691000000000003"/>
    <n v="62.432000000000002"/>
    <n v="68.27"/>
    <n v="37.567999999999998"/>
    <n v="31.73"/>
    <n v="15.965999999999999"/>
    <n v="14.667"/>
    <n v="31.73"/>
    <n v="37.567999999999998"/>
    <n v="11.74"/>
    <n v="12"/>
    <n v="13"/>
    <n v="12"/>
    <n v="12"/>
  </r>
  <r>
    <n v="1071"/>
    <m/>
    <m/>
    <m/>
    <m/>
    <s v="NA"/>
    <s v="NA"/>
    <x v="127"/>
    <s v="M"/>
    <m/>
    <m/>
    <n v="33.74"/>
    <n v="30.175000000000001"/>
    <n v="63.856000000000002"/>
    <n v="63.914000000000001"/>
    <n v="44.826999999999998"/>
    <n v="44.738"/>
    <n v="83.825999999999993"/>
    <n v="83.817999999999998"/>
    <n v="70.308000000000007"/>
    <n v="71.147999999999996"/>
    <n v="29.692"/>
    <n v="28.852"/>
    <n v="20.76"/>
    <n v="21.164000000000001"/>
    <n v="28.852"/>
    <n v="29.692"/>
    <n v="14.311999999999999"/>
    <n v="15"/>
    <n v="15"/>
    <n v="15"/>
    <n v="15"/>
  </r>
  <r>
    <n v="1072"/>
    <m/>
    <m/>
    <m/>
    <m/>
    <s v="NA"/>
    <s v="NA"/>
    <x v="242"/>
    <s v="M"/>
    <m/>
    <m/>
    <n v="49.155999999999999"/>
    <n v="49.042000000000002"/>
    <n v="96.905000000000001"/>
    <n v="98.697000000000003"/>
    <n v="88.664000000000001"/>
    <n v="91.207999999999998"/>
    <n v="110.45099999999999"/>
    <n v="109.93300000000001"/>
    <n v="65.680000000000007"/>
    <n v="67.180999999999997"/>
    <n v="34.32"/>
    <n v="32.819000000000003"/>
    <n v="16.527999999999999"/>
    <n v="16.97"/>
    <n v="32.819000000000003"/>
    <n v="34.32"/>
    <n v="8.74"/>
    <n v="11"/>
    <n v="10"/>
    <n v="10"/>
    <n v="10"/>
  </r>
  <r>
    <n v="1073"/>
    <m/>
    <m/>
    <m/>
    <m/>
    <s v="NA"/>
    <s v="NA"/>
    <x v="40"/>
    <s v="M"/>
    <m/>
    <m/>
    <s v="NA"/>
    <s v="NA"/>
    <s v="NA"/>
    <s v="NA"/>
    <s v="NA"/>
    <s v="NA"/>
    <s v="NA"/>
    <s v="NA"/>
    <s v="NA"/>
    <s v="NA"/>
    <s v="NA"/>
    <s v="NA"/>
    <s v="NA"/>
    <s v="NA"/>
    <s v="NA"/>
    <s v="NA"/>
    <s v="NA"/>
    <s v="NA"/>
    <s v="NA"/>
    <s v="NA"/>
    <s v="NA"/>
  </r>
  <r>
    <n v="1074"/>
    <m/>
    <m/>
    <m/>
    <m/>
    <s v="NA"/>
    <s v="NA"/>
    <x v="42"/>
    <s v="M"/>
    <m/>
    <m/>
    <n v="51.871000000000002"/>
    <n v="54.218000000000004"/>
    <n v="106.254"/>
    <n v="105.676"/>
    <n v="84.117000000000004"/>
    <n v="83.507999999999996"/>
    <n v="94.5"/>
    <n v="94.453999999999994"/>
    <n v="64.465000000000003"/>
    <n v="65.388000000000005"/>
    <n v="35.534999999999997"/>
    <n v="34.612000000000002"/>
    <n v="15.872"/>
    <n v="14.215999999999999"/>
    <n v="34.612000000000002"/>
    <n v="35.534999999999997"/>
    <n v="16.788"/>
    <n v="10"/>
    <n v="10"/>
    <n v="10"/>
    <n v="10"/>
  </r>
  <r>
    <n v="1075"/>
    <m/>
    <m/>
    <m/>
    <m/>
    <s v="NA"/>
    <s v="NA"/>
    <x v="172"/>
    <s v="M"/>
    <m/>
    <m/>
    <s v="NA"/>
    <s v="NA"/>
    <s v="NA"/>
    <s v="NA"/>
    <s v="NA"/>
    <s v="NA"/>
    <s v="NA"/>
    <s v="NA"/>
    <s v="NA"/>
    <s v="NA"/>
    <s v="NA"/>
    <s v="NA"/>
    <s v="NA"/>
    <s v="NA"/>
    <s v="NA"/>
    <s v="NA"/>
    <s v="NA"/>
    <s v="NA"/>
    <s v="NA"/>
    <s v="NA"/>
    <s v="NA"/>
  </r>
  <r>
    <n v="1076"/>
    <m/>
    <m/>
    <m/>
    <m/>
    <s v="NA"/>
    <s v="NA"/>
    <x v="337"/>
    <s v="F"/>
    <m/>
    <m/>
    <s v="NA"/>
    <s v="NA"/>
    <s v="NA"/>
    <s v="NA"/>
    <s v="NA"/>
    <s v="NA"/>
    <s v="NA"/>
    <s v="NA"/>
    <s v="NA"/>
    <s v="NA"/>
    <s v="NA"/>
    <s v="NA"/>
    <s v="NA"/>
    <s v="NA"/>
    <s v="NA"/>
    <s v="NA"/>
    <s v="NA"/>
    <s v="NA"/>
    <s v="NA"/>
    <s v="NA"/>
    <s v="NA"/>
  </r>
  <r>
    <n v="1077"/>
    <m/>
    <m/>
    <m/>
    <m/>
    <s v="NA"/>
    <s v="NA"/>
    <x v="278"/>
    <s v="F"/>
    <m/>
    <m/>
    <n v="46.640999999999998"/>
    <n v="46.094999999999999"/>
    <n v="92.6"/>
    <n v="93.061999999999998"/>
    <n v="70.715999999999994"/>
    <n v="71.034000000000006"/>
    <n v="91.742999999999995"/>
    <n v="91.506"/>
    <n v="67.224999999999994"/>
    <n v="63.981999999999999"/>
    <n v="32.776000000000003"/>
    <n v="36.018000000000001"/>
    <n v="16.923999999999999"/>
    <n v="14.473000000000001"/>
    <n v="36.018000000000001"/>
    <n v="32.776000000000003"/>
    <n v="11.04"/>
    <n v="12"/>
    <n v="15"/>
    <n v="12"/>
    <n v="10"/>
  </r>
  <r>
    <n v="1078"/>
    <m/>
    <m/>
    <m/>
    <m/>
    <s v="NA"/>
    <s v="NA"/>
    <x v="115"/>
    <s v="F"/>
    <m/>
    <m/>
    <n v="39.487000000000002"/>
    <n v="40.862000000000002"/>
    <n v="80.063999999999993"/>
    <n v="80.361999999999995"/>
    <n v="56.441000000000003"/>
    <n v="56.332000000000001"/>
    <n v="84.501999999999995"/>
    <n v="84.072000000000003"/>
    <n v="67.287000000000006"/>
    <n v="67.188000000000002"/>
    <n v="32.713000000000001"/>
    <n v="32.811999999999998"/>
    <n v="17.356999999999999"/>
    <n v="17.393999999999998"/>
    <n v="32.811999999999998"/>
    <n v="32.713000000000001"/>
    <n v="12.144"/>
    <n v="15"/>
    <n v="15"/>
    <n v="13"/>
    <n v="12"/>
  </r>
  <r>
    <n v="1079"/>
    <m/>
    <m/>
    <m/>
    <m/>
    <s v="NA"/>
    <s v="NA"/>
    <x v="136"/>
    <s v="M"/>
    <m/>
    <m/>
    <n v="43.981999999999999"/>
    <n v="48.226999999999997"/>
    <n v="92.007000000000005"/>
    <n v="93.331999999999994"/>
    <n v="83.188999999999993"/>
    <n v="83.578999999999994"/>
    <n v="107.61"/>
    <n v="106.68899999999999"/>
    <n v="63.14"/>
    <n v="63.996000000000002"/>
    <n v="36.86"/>
    <n v="36.003999999999998"/>
    <n v="13.831"/>
    <n v="13.039"/>
    <n v="36.003999999999998"/>
    <n v="36.86"/>
    <n v="11.752000000000001"/>
    <n v="14"/>
    <n v="12"/>
    <n v="11"/>
    <n v="10"/>
  </r>
  <r>
    <n v="1080"/>
    <m/>
    <m/>
    <m/>
    <m/>
    <s v="NA"/>
    <s v="NA"/>
    <x v="177"/>
    <s v="M"/>
    <m/>
    <m/>
    <n v="12.15"/>
    <n v="24.202999999999999"/>
    <n v="36.517000000000003"/>
    <n v="34.338999999999999"/>
    <n v="30.231999999999999"/>
    <n v="29.690999999999999"/>
    <n v="98.414000000000001"/>
    <n v="101.226"/>
    <n v="70.977999999999994"/>
    <n v="71.661000000000001"/>
    <n v="29.021999999999998"/>
    <n v="28.338999999999999"/>
    <n v="20.276"/>
    <n v="22.265999999999998"/>
    <n v="28.338999999999999"/>
    <n v="29.021999999999998"/>
    <n v="11.342000000000001"/>
    <n v="24"/>
    <n v="24"/>
    <n v="22"/>
    <n v="21"/>
  </r>
  <r>
    <n v="1081"/>
    <m/>
    <m/>
    <m/>
    <m/>
    <s v="NA"/>
    <s v="NA"/>
    <x v="206"/>
    <s v="F"/>
    <m/>
    <m/>
    <n v="12.135"/>
    <n v="24.242000000000001"/>
    <n v="36.487000000000002"/>
    <n v="35.921999999999997"/>
    <n v="30.109000000000002"/>
    <n v="29.771999999999998"/>
    <n v="98.4"/>
    <n v="99.15"/>
    <n v="70.718999999999994"/>
    <n v="71.747"/>
    <n v="29.280999999999999"/>
    <n v="28.253"/>
    <n v="19.852"/>
    <n v="21.686"/>
    <n v="28.253"/>
    <n v="29.280999999999999"/>
    <n v="10.978"/>
    <n v="25"/>
    <n v="24"/>
    <n v="22"/>
    <n v="22"/>
  </r>
  <r>
    <n v="1082"/>
    <m/>
    <m/>
    <m/>
    <m/>
    <s v="NA"/>
    <s v="NA"/>
    <x v="304"/>
    <s v="F"/>
    <m/>
    <m/>
    <n v="27.337"/>
    <n v="28.696000000000002"/>
    <n v="55.761000000000003"/>
    <n v="56.587000000000003"/>
    <n v="30.164999999999999"/>
    <n v="30.16"/>
    <n v="64.545000000000002"/>
    <n v="63.912999999999997"/>
    <n v="75.747"/>
    <n v="76.334000000000003"/>
    <n v="24.253"/>
    <n v="23.666"/>
    <n v="24.555"/>
    <n v="28.079000000000001"/>
    <n v="23.666"/>
    <n v="24.253"/>
    <n v="20.216000000000001"/>
    <n v="16"/>
    <n v="16"/>
    <n v="14"/>
    <n v="13"/>
  </r>
  <r>
    <n v="1083"/>
    <m/>
    <m/>
    <m/>
    <m/>
    <s v="NA"/>
    <s v="NA"/>
    <x v="338"/>
    <s v="M"/>
    <m/>
    <m/>
    <n v="52.8"/>
    <n v="59.101999999999997"/>
    <n v="110.96599999999999"/>
    <n v="112.68899999999999"/>
    <n v="80.558999999999997"/>
    <n v="81.727000000000004"/>
    <n v="87.67"/>
    <n v="87.168000000000006"/>
    <n v="64.47"/>
    <n v="64.98"/>
    <n v="35.53"/>
    <n v="35.020000000000003"/>
    <n v="13.041"/>
    <n v="16.504000000000001"/>
    <n v="35.020000000000003"/>
    <n v="35.53"/>
    <n v="24.173999999999999"/>
    <n v="12"/>
    <n v="12"/>
    <n v="9"/>
    <n v="10"/>
  </r>
  <r>
    <n v="1084"/>
    <m/>
    <m/>
    <m/>
    <m/>
    <s v="NA"/>
    <s v="NA"/>
    <x v="210"/>
    <s v="M"/>
    <m/>
    <m/>
    <n v="64.325000000000003"/>
    <n v="63.014000000000003"/>
    <n v="127.321"/>
    <n v="127.514"/>
    <n v="109.824"/>
    <n v="111.821"/>
    <n v="103.352"/>
    <n v="104.944"/>
    <n v="63.204999999999998"/>
    <n v="61.121000000000002"/>
    <n v="36.795000000000002"/>
    <n v="38.878999999999998"/>
    <n v="13.955"/>
    <n v="11.475"/>
    <n v="38.878999999999998"/>
    <n v="36.795000000000002"/>
    <n v="10.89"/>
    <n v="10"/>
    <n v="14"/>
    <n v="9"/>
    <n v="10"/>
  </r>
  <r>
    <n v="1085"/>
    <m/>
    <m/>
    <m/>
    <m/>
    <s v="NA"/>
    <s v="NA"/>
    <x v="2"/>
    <s v="F"/>
    <m/>
    <m/>
    <n v="58.131"/>
    <n v="58.238"/>
    <n v="116.345"/>
    <n v="116.33799999999999"/>
    <n v="92.575000000000003"/>
    <n v="92.795000000000002"/>
    <n v="94.715000000000003"/>
    <n v="95.093000000000004"/>
    <n v="64.046000000000006"/>
    <n v="63.356999999999999"/>
    <n v="35.954000000000001"/>
    <n v="36.643000000000001"/>
    <n v="14.303000000000001"/>
    <n v="14.099"/>
    <n v="36.643000000000001"/>
    <n v="35.954000000000001"/>
    <n v="11.97"/>
    <n v="11"/>
    <n v="13"/>
    <n v="9"/>
    <n v="10"/>
  </r>
  <r>
    <n v="1086"/>
    <m/>
    <m/>
    <m/>
    <m/>
    <s v="NA"/>
    <s v="NA"/>
    <x v="339"/>
    <s v="F"/>
    <m/>
    <m/>
    <n v="51.548999999999999"/>
    <n v="49.517000000000003"/>
    <n v="101.044"/>
    <n v="101.253"/>
    <n v="103.258"/>
    <n v="103.044"/>
    <n v="122.27200000000001"/>
    <n v="121.256"/>
    <n v="62.036999999999999"/>
    <n v="63.481999999999999"/>
    <n v="37.963000000000001"/>
    <n v="36.518000000000001"/>
    <n v="12.14"/>
    <n v="13.021000000000001"/>
    <n v="36.518000000000001"/>
    <n v="37.963000000000001"/>
    <n v="8.08"/>
    <n v="12"/>
    <n v="13"/>
    <n v="10"/>
    <n v="10"/>
  </r>
  <r>
    <n v="1087"/>
    <m/>
    <m/>
    <m/>
    <m/>
    <s v="NA"/>
    <s v="NA"/>
    <x v="123"/>
    <s v="M"/>
    <m/>
    <m/>
    <n v="61.728000000000002"/>
    <n v="63.850999999999999"/>
    <n v="126.33499999999999"/>
    <n v="125.212"/>
    <n v="109.68600000000001"/>
    <n v="110.05500000000001"/>
    <n v="104.051"/>
    <n v="104.999"/>
    <n v="63.676000000000002"/>
    <n v="63.241"/>
    <n v="36.323999999999998"/>
    <n v="36.759"/>
    <n v="14.04"/>
    <n v="13.116"/>
    <n v="36.759"/>
    <n v="36.323999999999998"/>
    <n v="11.018000000000001"/>
    <n v="10"/>
    <n v="11"/>
    <n v="7"/>
    <n v="9"/>
  </r>
  <r>
    <n v="1088"/>
    <m/>
    <m/>
    <m/>
    <m/>
    <s v="NA"/>
    <s v="NA"/>
    <x v="340"/>
    <s v="F"/>
    <m/>
    <m/>
    <n v="39.271999999999998"/>
    <n v="34.674999999999997"/>
    <n v="74.156999999999996"/>
    <n v="74.251999999999995"/>
    <n v="48.075000000000003"/>
    <n v="47.987000000000002"/>
    <n v="78.328999999999994"/>
    <n v="77.63"/>
    <n v="66.522999999999996"/>
    <n v="70.510000000000005"/>
    <n v="33.476999999999997"/>
    <n v="29.49"/>
    <n v="18.097000000000001"/>
    <n v="19.402000000000001"/>
    <n v="29.49"/>
    <n v="33.476999999999997"/>
    <n v="11.922000000000001"/>
    <n v="18"/>
    <n v="17"/>
    <n v="16"/>
    <n v="14"/>
  </r>
  <r>
    <n v="1089"/>
    <m/>
    <m/>
    <m/>
    <m/>
    <s v="NA"/>
    <s v="NA"/>
    <x v="91"/>
    <s v="F"/>
    <m/>
    <m/>
    <s v="NA"/>
    <s v="NA"/>
    <s v="NA"/>
    <s v="NA"/>
    <s v="NA"/>
    <s v="NA"/>
    <s v="NA"/>
    <s v="NA"/>
    <s v="NA"/>
    <s v="NA"/>
    <s v="NA"/>
    <s v="NA"/>
    <s v="NA"/>
    <s v="NA"/>
    <s v="NA"/>
    <s v="NA"/>
    <s v="NA"/>
    <s v="NA"/>
    <s v="NA"/>
    <s v="NA"/>
    <s v="NA"/>
  </r>
  <r>
    <n v="1090"/>
    <m/>
    <m/>
    <m/>
    <m/>
    <s v="NA"/>
    <s v="NA"/>
    <x v="144"/>
    <s v="F"/>
    <m/>
    <m/>
    <s v="NA"/>
    <s v="NA"/>
    <s v="NA"/>
    <s v="NA"/>
    <s v="NA"/>
    <s v="NA"/>
    <s v="NA"/>
    <s v="NA"/>
    <s v="NA"/>
    <s v="NA"/>
    <s v="NA"/>
    <s v="NA"/>
    <s v="NA"/>
    <s v="NA"/>
    <s v="NA"/>
    <s v="NA"/>
    <s v="NA"/>
    <s v="NA"/>
    <s v="NA"/>
    <s v="NA"/>
    <s v="NA"/>
  </r>
  <r>
    <n v="1091"/>
    <m/>
    <m/>
    <m/>
    <m/>
    <s v="NA"/>
    <s v="NA"/>
    <x v="228"/>
    <s v="M"/>
    <m/>
    <m/>
    <n v="43.48"/>
    <n v="42.335000000000001"/>
    <n v="85.988"/>
    <n v="85.843000000000004"/>
    <n v="65.346000000000004"/>
    <n v="65.236999999999995"/>
    <n v="90.801000000000002"/>
    <n v="90.731999999999999"/>
    <n v="65.888000000000005"/>
    <n v="66.433999999999997"/>
    <n v="34.112000000000002"/>
    <n v="33.566000000000003"/>
    <n v="17.016999999999999"/>
    <n v="15.757"/>
    <n v="33.566000000000003"/>
    <n v="34.112000000000002"/>
    <n v="19.396000000000001"/>
    <n v="14"/>
    <n v="14"/>
    <n v="13"/>
    <n v="10"/>
  </r>
  <r>
    <n v="1092"/>
    <m/>
    <m/>
    <m/>
    <m/>
    <s v="NA"/>
    <s v="NA"/>
    <x v="107"/>
    <s v="M"/>
    <m/>
    <m/>
    <s v="NA"/>
    <s v="NA"/>
    <s v="NA"/>
    <s v="NA"/>
    <s v="NA"/>
    <s v="NA"/>
    <s v="NA"/>
    <s v="NA"/>
    <s v="NA"/>
    <s v="NA"/>
    <s v="NA"/>
    <s v="NA"/>
    <s v="NA"/>
    <s v="NA"/>
    <s v="NA"/>
    <s v="NA"/>
    <s v="NA"/>
    <s v="NA"/>
    <s v="NA"/>
    <s v="NA"/>
    <s v="NA"/>
  </r>
  <r>
    <n v="1093"/>
    <m/>
    <m/>
    <m/>
    <m/>
    <s v="NA"/>
    <s v="NA"/>
    <x v="38"/>
    <s v="M"/>
    <m/>
    <m/>
    <n v="53.762"/>
    <n v="55.305999999999997"/>
    <n v="110.51"/>
    <n v="107.93600000000001"/>
    <n v="73.747"/>
    <n v="72.364999999999995"/>
    <n v="79.938999999999993"/>
    <n v="79.834000000000003"/>
    <n v="65.942999999999998"/>
    <n v="65.33"/>
    <n v="34.057000000000002"/>
    <n v="34.67"/>
    <n v="15.177"/>
    <n v="16.341000000000001"/>
    <n v="34.67"/>
    <n v="34.057000000000002"/>
    <n v="11.36"/>
    <n v="11"/>
    <n v="11"/>
    <n v="9"/>
    <n v="8"/>
  </r>
  <r>
    <n v="1094"/>
    <m/>
    <m/>
    <m/>
    <m/>
    <s v="NA"/>
    <s v="NA"/>
    <x v="112"/>
    <s v="F"/>
    <m/>
    <m/>
    <s v="NA"/>
    <s v="NA"/>
    <s v="NA"/>
    <s v="NA"/>
    <s v="NA"/>
    <s v="NA"/>
    <s v="NA"/>
    <s v="NA"/>
    <s v="NA"/>
    <s v="NA"/>
    <s v="NA"/>
    <s v="NA"/>
    <s v="NA"/>
    <s v="NA"/>
    <s v="NA"/>
    <s v="NA"/>
    <s v="NA"/>
    <s v="NA"/>
    <s v="NA"/>
    <s v="NA"/>
    <s v="NA"/>
  </r>
  <r>
    <n v="1095"/>
    <m/>
    <m/>
    <m/>
    <m/>
    <s v="NA"/>
    <s v="NA"/>
    <x v="120"/>
    <s v="NA"/>
    <m/>
    <m/>
    <n v="34.555"/>
    <n v="36.450000000000003"/>
    <n v="71.938999999999993"/>
    <n v="71.004999999999995"/>
    <n v="54.110999999999997"/>
    <n v="54.267000000000003"/>
    <n v="91.144000000000005"/>
    <n v="91.718000000000004"/>
    <n v="65.954999999999998"/>
    <n v="69.129000000000005"/>
    <n v="34.045000000000002"/>
    <n v="30.870999999999999"/>
    <n v="17.559000000000001"/>
    <n v="17.661000000000001"/>
    <n v="30.870999999999999"/>
    <n v="34.045000000000002"/>
    <n v="18.940000000000001"/>
    <n v="15"/>
    <n v="15"/>
    <n v="10"/>
    <n v="15"/>
  </r>
  <r>
    <n v="1096"/>
    <m/>
    <m/>
    <m/>
    <m/>
    <s v="NA"/>
    <s v="NA"/>
    <x v="111"/>
    <s v="F"/>
    <m/>
    <m/>
    <s v="NA"/>
    <s v="NA"/>
    <s v="NA"/>
    <s v="NA"/>
    <s v="NA"/>
    <s v="NA"/>
    <s v="NA"/>
    <s v="NA"/>
    <s v="NA"/>
    <s v="NA"/>
    <s v="NA"/>
    <s v="NA"/>
    <s v="NA"/>
    <s v="NA"/>
    <s v="NA"/>
    <s v="NA"/>
    <s v="NA"/>
    <s v="NA"/>
    <s v="NA"/>
    <s v="NA"/>
    <s v="NA"/>
  </r>
  <r>
    <n v="1097"/>
    <m/>
    <m/>
    <m/>
    <m/>
    <s v="NA"/>
    <s v="NA"/>
    <x v="192"/>
    <s v="M"/>
    <m/>
    <m/>
    <s v="NA"/>
    <s v="NA"/>
    <s v="NA"/>
    <s v="NA"/>
    <s v="NA"/>
    <s v="NA"/>
    <s v="NA"/>
    <s v="NA"/>
    <s v="NA"/>
    <s v="NA"/>
    <s v="NA"/>
    <s v="NA"/>
    <s v="NA"/>
    <s v="NA"/>
    <s v="NA"/>
    <s v="NA"/>
    <s v="NA"/>
    <s v="NA"/>
    <s v="NA"/>
    <s v="NA"/>
    <s v="NA"/>
  </r>
  <r>
    <n v="1098"/>
    <m/>
    <m/>
    <m/>
    <m/>
    <s v="NA"/>
    <s v="NA"/>
    <x v="65"/>
    <s v="F"/>
    <m/>
    <m/>
    <s v="NA"/>
    <s v="NA"/>
    <s v="NA"/>
    <s v="NA"/>
    <s v="NA"/>
    <s v="NA"/>
    <s v="NA"/>
    <s v="NA"/>
    <s v="NA"/>
    <s v="NA"/>
    <s v="NA"/>
    <s v="NA"/>
    <s v="NA"/>
    <s v="NA"/>
    <s v="NA"/>
    <s v="NA"/>
    <s v="NA"/>
    <s v="NA"/>
    <s v="NA"/>
    <s v="NA"/>
    <s v="NA"/>
  </r>
  <r>
    <n v="1099"/>
    <m/>
    <m/>
    <m/>
    <m/>
    <s v="NA"/>
    <s v="NA"/>
    <x v="341"/>
    <s v="M"/>
    <m/>
    <m/>
    <n v="31.972999999999999"/>
    <n v="31.908000000000001"/>
    <n v="63.875"/>
    <n v="63.924999999999997"/>
    <n v="53.621000000000002"/>
    <n v="53.243000000000002"/>
    <n v="100.251"/>
    <n v="100.245"/>
    <n v="65.841999999999999"/>
    <n v="66.367999999999995"/>
    <n v="34.158000000000001"/>
    <n v="33.631999999999998"/>
    <n v="17.378"/>
    <n v="14.92"/>
    <n v="33.631999999999998"/>
    <n v="34.158000000000001"/>
    <n v="14.11"/>
    <n v="18"/>
    <n v="17"/>
    <n v="15"/>
    <n v="15"/>
  </r>
  <r>
    <n v="1100"/>
    <m/>
    <m/>
    <m/>
    <m/>
    <s v="NA"/>
    <s v="NA"/>
    <x v="342"/>
    <s v="M"/>
    <m/>
    <m/>
    <n v="50.433"/>
    <n v="53.176000000000002"/>
    <n v="103.42400000000001"/>
    <n v="104.13200000000001"/>
    <n v="88.554000000000002"/>
    <n v="88.474999999999994"/>
    <n v="101.708"/>
    <n v="101.504"/>
    <n v="63.131999999999998"/>
    <n v="62.579000000000001"/>
    <n v="36.868000000000002"/>
    <n v="37.420999999999999"/>
    <n v="12.499000000000001"/>
    <n v="12.961"/>
    <n v="37.420999999999999"/>
    <n v="36.868000000000002"/>
    <n v="12.372"/>
    <n v="11"/>
    <n v="14"/>
    <n v="10"/>
    <n v="10"/>
  </r>
  <r>
    <n v="1101"/>
    <m/>
    <m/>
    <m/>
    <m/>
    <s v="NA"/>
    <s v="NA"/>
    <x v="40"/>
    <s v="M"/>
    <m/>
    <m/>
    <n v="34.093000000000004"/>
    <n v="38.820999999999998"/>
    <n v="72.822000000000003"/>
    <n v="73.153000000000006"/>
    <n v="65.28"/>
    <n v="65.888999999999996"/>
    <n v="108.277"/>
    <n v="107.84399999999999"/>
    <n v="69.59"/>
    <n v="65.453000000000003"/>
    <n v="30.41"/>
    <n v="34.546999999999997"/>
    <n v="17.126000000000001"/>
    <n v="18.222000000000001"/>
    <n v="34.546999999999997"/>
    <n v="30.41"/>
    <n v="13.214"/>
    <n v="15"/>
    <n v="15"/>
    <n v="13"/>
    <n v="12"/>
  </r>
  <r>
    <n v="1102"/>
    <m/>
    <m/>
    <m/>
    <m/>
    <s v="NA"/>
    <s v="NA"/>
    <x v="156"/>
    <s v="M"/>
    <m/>
    <m/>
    <n v="44.399000000000001"/>
    <n v="46.951000000000001"/>
    <n v="91.147999999999996"/>
    <n v="91.603999999999999"/>
    <n v="64.251999999999995"/>
    <n v="64.498999999999995"/>
    <n v="83.786000000000001"/>
    <n v="84.067999999999998"/>
    <n v="67.424999999999997"/>
    <n v="66.963999999999999"/>
    <n v="32.575000000000003"/>
    <n v="33.036000000000001"/>
    <n v="16.866"/>
    <n v="18.155999999999999"/>
    <n v="33.036000000000001"/>
    <n v="32.575000000000003"/>
    <n v="11.295999999999999"/>
    <n v="12"/>
    <n v="15"/>
    <n v="12"/>
    <n v="10"/>
  </r>
  <r>
    <n v="1103"/>
    <m/>
    <m/>
    <m/>
    <m/>
    <s v="NA"/>
    <s v="NA"/>
    <x v="343"/>
    <s v="F"/>
    <m/>
    <m/>
    <s v="NA"/>
    <s v="NA"/>
    <s v="NA"/>
    <s v="NA"/>
    <s v="NA"/>
    <s v="NA"/>
    <s v="NA"/>
    <s v="NA"/>
    <s v="NA"/>
    <s v="NA"/>
    <s v="NA"/>
    <s v="NA"/>
    <s v="NA"/>
    <s v="NA"/>
    <s v="NA"/>
    <s v="NA"/>
    <s v="NA"/>
    <s v="NA"/>
    <s v="NA"/>
    <s v="NA"/>
    <s v="NA"/>
  </r>
  <r>
    <n v="1104"/>
    <m/>
    <m/>
    <m/>
    <m/>
    <s v="NA"/>
    <s v="NA"/>
    <x v="27"/>
    <s v="M"/>
    <m/>
    <m/>
    <n v="54.191000000000003"/>
    <n v="48.755000000000003"/>
    <n v="102.386"/>
    <n v="103.38500000000001"/>
    <n v="95.724999999999994"/>
    <n v="95.953999999999994"/>
    <n v="112.902"/>
    <n v="112.18899999999999"/>
    <n v="65.444999999999993"/>
    <n v="64.798000000000002"/>
    <n v="34.555"/>
    <n v="35.201999999999998"/>
    <n v="16.384"/>
    <n v="14.576000000000001"/>
    <n v="35.201999999999998"/>
    <n v="34.555"/>
    <n v="11.194000000000001"/>
    <n v="13"/>
    <n v="14"/>
    <n v="12"/>
    <n v="10"/>
  </r>
  <r>
    <n v="1105"/>
    <m/>
    <m/>
    <m/>
    <m/>
    <s v="NA"/>
    <s v="NA"/>
    <x v="289"/>
    <s v="F"/>
    <m/>
    <m/>
    <n v="37.168999999999997"/>
    <n v="33.466000000000001"/>
    <n v="70.263000000000005"/>
    <n v="70.777000000000001"/>
    <n v="56.539000000000001"/>
    <n v="57.241"/>
    <n v="96.501000000000005"/>
    <n v="96.674000000000007"/>
    <n v="68.694000000000003"/>
    <n v="67.453999999999994"/>
    <n v="31.306000000000001"/>
    <n v="32.545999999999999"/>
    <n v="17.300999999999998"/>
    <n v="18.274999999999999"/>
    <n v="32.545999999999999"/>
    <n v="31.306000000000001"/>
    <n v="13.587999999999999"/>
    <n v="14"/>
    <n v="15"/>
    <n v="12"/>
    <n v="12"/>
  </r>
  <r>
    <n v="1106"/>
    <m/>
    <m/>
    <m/>
    <m/>
    <s v="NA"/>
    <s v="NA"/>
    <x v="344"/>
    <s v="M"/>
    <m/>
    <m/>
    <n v="48.484999999999999"/>
    <n v="54.332999999999998"/>
    <n v="103.01600000000001"/>
    <n v="102.795"/>
    <n v="80.715000000000003"/>
    <n v="80.765000000000001"/>
    <n v="94.167000000000002"/>
    <n v="93.856999999999999"/>
    <n v="65.114000000000004"/>
    <n v="65.072000000000003"/>
    <n v="34.886000000000003"/>
    <n v="34.927999999999997"/>
    <n v="15.673"/>
    <n v="14.706"/>
    <n v="34.927999999999997"/>
    <n v="34.886000000000003"/>
    <n v="13.468"/>
    <n v="13"/>
    <n v="13"/>
    <n v="11"/>
    <n v="10"/>
  </r>
  <r>
    <n v="1107"/>
    <m/>
    <m/>
    <m/>
    <m/>
    <s v="NA"/>
    <s v="NA"/>
    <x v="286"/>
    <s v="F"/>
    <m/>
    <m/>
    <n v="48.167000000000002"/>
    <n v="47.927"/>
    <n v="96.094999999999999"/>
    <n v="96.287000000000006"/>
    <n v="89.748000000000005"/>
    <n v="89.510999999999996"/>
    <n v="111.807"/>
    <n v="112.13"/>
    <n v="63.832999999999998"/>
    <n v="65.206000000000003"/>
    <n v="36.167000000000002"/>
    <n v="34.793999999999997"/>
    <n v="15.194000000000001"/>
    <n v="14.242000000000001"/>
    <n v="34.793999999999997"/>
    <n v="36.167000000000002"/>
    <n v="9.2579999999999991"/>
    <n v="14"/>
    <n v="13"/>
    <n v="10"/>
    <n v="12"/>
  </r>
  <r>
    <n v="1108"/>
    <m/>
    <m/>
    <m/>
    <m/>
    <s v="NA"/>
    <s v="NA"/>
    <x v="342"/>
    <s v="F"/>
    <m/>
    <m/>
    <n v="52.151000000000003"/>
    <n v="51.59"/>
    <n v="103.729"/>
    <n v="103.99299999999999"/>
    <n v="106.136"/>
    <n v="106.17400000000001"/>
    <n v="122.33"/>
    <n v="122.38800000000001"/>
    <n v="61.23"/>
    <n v="60.485999999999997"/>
    <n v="38.770000000000003"/>
    <n v="39.514000000000003"/>
    <n v="11.13"/>
    <n v="11.452999999999999"/>
    <n v="39.514000000000003"/>
    <n v="38.770000000000003"/>
    <n v="7.2279999999999998"/>
    <n v="11"/>
    <n v="13"/>
    <n v="9"/>
    <n v="10"/>
  </r>
  <r>
    <n v="1109"/>
    <m/>
    <m/>
    <m/>
    <m/>
    <s v="NA"/>
    <s v="NA"/>
    <x v="125"/>
    <s v="M"/>
    <m/>
    <m/>
    <n v="26.154"/>
    <n v="23.11"/>
    <n v="49.685000000000002"/>
    <n v="49.613999999999997"/>
    <n v="53.79"/>
    <n v="54.402999999999999"/>
    <n v="130.804"/>
    <n v="131.143"/>
    <n v="67.298000000000002"/>
    <n v="66.644000000000005"/>
    <n v="32.701999999999998"/>
    <n v="33.356000000000002"/>
    <n v="15.222"/>
    <n v="19.134"/>
    <n v="33.356000000000002"/>
    <n v="32.701999999999998"/>
    <n v="20.204000000000001"/>
    <n v="20"/>
    <n v="16"/>
    <n v="15"/>
    <n v="16"/>
  </r>
  <r>
    <n v="1110"/>
    <m/>
    <m/>
    <m/>
    <m/>
    <s v="NA"/>
    <s v="NA"/>
    <x v="229"/>
    <s v="F"/>
    <m/>
    <m/>
    <n v="41.776000000000003"/>
    <n v="41.631999999999998"/>
    <n v="83.576999999999998"/>
    <n v="83.156999999999996"/>
    <n v="70.941999999999993"/>
    <n v="70.614999999999995"/>
    <n v="101.333"/>
    <n v="101.003"/>
    <n v="67.94"/>
    <n v="66.015000000000001"/>
    <n v="32.06"/>
    <n v="33.984999999999999"/>
    <n v="15.957000000000001"/>
    <n v="17.933"/>
    <n v="33.984999999999999"/>
    <n v="32.06"/>
    <n v="14.28"/>
    <n v="12"/>
    <n v="13"/>
    <n v="10"/>
    <n v="10"/>
  </r>
  <r>
    <n v="1111"/>
    <m/>
    <m/>
    <m/>
    <m/>
    <s v="NA"/>
    <s v="NA"/>
    <x v="3"/>
    <s v="M"/>
    <m/>
    <m/>
    <s v="NA"/>
    <s v="NA"/>
    <s v="NA"/>
    <s v="NA"/>
    <s v="NA"/>
    <s v="NA"/>
    <s v="NA"/>
    <s v="NA"/>
    <s v="NA"/>
    <s v="NA"/>
    <s v="NA"/>
    <s v="NA"/>
    <s v="NA"/>
    <s v="NA"/>
    <s v="NA"/>
    <s v="NA"/>
    <s v="NA"/>
    <s v="NA"/>
    <s v="NA"/>
    <s v="NA"/>
    <s v="NA"/>
  </r>
  <r>
    <n v="1112"/>
    <m/>
    <m/>
    <m/>
    <m/>
    <s v="NA"/>
    <s v="NA"/>
    <x v="256"/>
    <s v="NA"/>
    <m/>
    <m/>
    <n v="9.9160000000000004"/>
    <n v="11.509"/>
    <n v="21.800999999999998"/>
    <n v="21.109000000000002"/>
    <n v="17.925999999999998"/>
    <n v="17.125"/>
    <n v="104.322"/>
    <n v="103.776"/>
    <n v="80.927000000000007"/>
    <n v="78.385000000000005"/>
    <n v="19.073"/>
    <n v="21.614999999999998"/>
    <n v="31.803999999999998"/>
    <n v="28.088000000000001"/>
    <n v="21.614999999999998"/>
    <n v="19.073"/>
    <n v="13.464"/>
    <n v="20"/>
    <n v="20"/>
    <n v="16"/>
    <n v="19"/>
  </r>
  <r>
    <n v="1113"/>
    <m/>
    <m/>
    <m/>
    <m/>
    <s v="NA"/>
    <s v="NA"/>
    <x v="37"/>
    <s v="M"/>
    <m/>
    <m/>
    <n v="46.494"/>
    <n v="47.901000000000003"/>
    <n v="93.986999999999995"/>
    <n v="94.165000000000006"/>
    <n v="65.933999999999997"/>
    <n v="66.088999999999999"/>
    <n v="83.337999999999994"/>
    <n v="83.587999999999994"/>
    <n v="65.340999999999994"/>
    <n v="67.177999999999997"/>
    <n v="34.658999999999999"/>
    <n v="32.822000000000003"/>
    <n v="16.18"/>
    <n v="16.873999999999999"/>
    <n v="32.822000000000003"/>
    <n v="34.658999999999999"/>
    <n v="10.577999999999999"/>
    <n v="12"/>
    <n v="13"/>
    <n v="10"/>
    <n v="10"/>
  </r>
  <r>
    <n v="1114"/>
    <m/>
    <m/>
    <m/>
    <m/>
    <s v="NA"/>
    <s v="NA"/>
    <x v="207"/>
    <s v="F"/>
    <m/>
    <m/>
    <n v="28.84"/>
    <n v="30.98"/>
    <n v="59.796999999999997"/>
    <n v="59.835999999999999"/>
    <n v="41.963999999999999"/>
    <n v="42.878999999999998"/>
    <n v="84.367999999999995"/>
    <n v="85.403000000000006"/>
    <n v="73.730999999999995"/>
    <n v="75.311000000000007"/>
    <n v="26.268999999999998"/>
    <n v="24.689"/>
    <n v="26.553000000000001"/>
    <n v="23.155999999999999"/>
    <n v="24.689"/>
    <n v="26.268999999999998"/>
    <n v="17.936"/>
    <n v="15"/>
    <n v="16"/>
    <n v="14"/>
    <n v="12"/>
  </r>
  <r>
    <n v="1115"/>
    <m/>
    <m/>
    <m/>
    <m/>
    <s v="NA"/>
    <s v="NA"/>
    <x v="226"/>
    <s v="M"/>
    <m/>
    <m/>
    <n v="59.137999999999998"/>
    <n v="60.131"/>
    <n v="118.63200000000001"/>
    <n v="119.96599999999999"/>
    <n v="95.53"/>
    <n v="97.099000000000004"/>
    <n v="96.072000000000003"/>
    <n v="96.635999999999996"/>
    <n v="64.486000000000004"/>
    <n v="63.104999999999997"/>
    <n v="35.514000000000003"/>
    <n v="36.895000000000003"/>
    <n v="14.907"/>
    <n v="12.884"/>
    <n v="36.895000000000003"/>
    <n v="35.514000000000003"/>
    <n v="8.51"/>
    <n v="11"/>
    <n v="11"/>
    <n v="8"/>
    <n v="9"/>
  </r>
  <r>
    <n v="1116"/>
    <m/>
    <m/>
    <m/>
    <m/>
    <s v="NA"/>
    <s v="NA"/>
    <x v="125"/>
    <s v="NA"/>
    <m/>
    <m/>
    <s v="NA"/>
    <s v="NA"/>
    <s v="NA"/>
    <s v="NA"/>
    <s v="NA"/>
    <s v="NA"/>
    <s v="NA"/>
    <s v="NA"/>
    <s v="NA"/>
    <s v="NA"/>
    <s v="NA"/>
    <s v="NA"/>
    <s v="NA"/>
    <s v="NA"/>
    <s v="NA"/>
    <s v="NA"/>
    <s v="NA"/>
    <s v="NA"/>
    <s v="NA"/>
    <s v="NA"/>
    <s v="NA"/>
  </r>
  <r>
    <n v="1117"/>
    <m/>
    <m/>
    <m/>
    <m/>
    <s v="NA"/>
    <s v="NA"/>
    <x v="345"/>
    <s v="F"/>
    <m/>
    <m/>
    <n v="30.064"/>
    <n v="22.297000000000001"/>
    <n v="52.116999999999997"/>
    <n v="51.968000000000004"/>
    <n v="51.332000000000001"/>
    <n v="51.345999999999997"/>
    <n v="117.991"/>
    <n v="118.203"/>
    <n v="65.367999999999995"/>
    <n v="66.545000000000002"/>
    <n v="34.631"/>
    <n v="33.454999999999998"/>
    <n v="18.048999999999999"/>
    <n v="14.138"/>
    <n v="33.454999999999998"/>
    <n v="34.631"/>
    <n v="10.826000000000001"/>
    <n v="17"/>
    <n v="16"/>
    <n v="14"/>
    <n v="14"/>
  </r>
  <r>
    <n v="1118"/>
    <m/>
    <m/>
    <m/>
    <m/>
    <s v="NA"/>
    <s v="NA"/>
    <x v="103"/>
    <s v="M"/>
    <m/>
    <m/>
    <n v="47.180999999999997"/>
    <n v="52.177"/>
    <n v="99.841999999999999"/>
    <n v="98.783000000000001"/>
    <n v="83.456000000000003"/>
    <n v="82.632000000000005"/>
    <n v="100.34399999999999"/>
    <n v="100.372"/>
    <n v="66.248000000000005"/>
    <n v="66.727999999999994"/>
    <n v="33.752000000000002"/>
    <n v="33.271999999999998"/>
    <n v="18.03"/>
    <n v="15.412000000000001"/>
    <n v="33.271999999999998"/>
    <n v="33.752000000000002"/>
    <n v="14.39"/>
    <n v="12"/>
    <n v="10"/>
    <n v="9"/>
    <n v="8"/>
  </r>
  <r>
    <n v="1119"/>
    <m/>
    <m/>
    <m/>
    <m/>
    <s v="NA"/>
    <s v="NA"/>
    <x v="196"/>
    <s v="M"/>
    <m/>
    <m/>
    <n v="42.685000000000002"/>
    <n v="41.747"/>
    <n v="85.248000000000005"/>
    <n v="84.251999999999995"/>
    <n v="54.881999999999998"/>
    <n v="54.311999999999998"/>
    <n v="77.305000000000007"/>
    <n v="77.608000000000004"/>
    <n v="69.248999999999995"/>
    <n v="69.165000000000006"/>
    <n v="30.751000000000001"/>
    <n v="30.835000000000001"/>
    <n v="17.318999999999999"/>
    <n v="21.594999999999999"/>
    <n v="30.835000000000001"/>
    <n v="30.751000000000001"/>
    <n v="14.818"/>
    <n v="13"/>
    <n v="14"/>
    <n v="10"/>
    <n v="12"/>
  </r>
  <r>
    <n v="1120"/>
    <m/>
    <m/>
    <m/>
    <m/>
    <s v="NA"/>
    <s v="NA"/>
    <x v="262"/>
    <s v="M"/>
    <m/>
    <m/>
    <s v="NA"/>
    <s v="NA"/>
    <s v="NA"/>
    <s v="NA"/>
    <s v="NA"/>
    <s v="NA"/>
    <s v="NA"/>
    <s v="NA"/>
    <s v="NA"/>
    <s v="NA"/>
    <s v="NA"/>
    <s v="NA"/>
    <s v="NA"/>
    <s v="NA"/>
    <s v="NA"/>
    <s v="NA"/>
    <s v="NA"/>
    <s v="NA"/>
    <s v="NA"/>
    <s v="NA"/>
    <s v="NA"/>
  </r>
  <r>
    <n v="1121"/>
    <m/>
    <m/>
    <m/>
    <m/>
    <s v="NA"/>
    <s v="NA"/>
    <x v="259"/>
    <s v="M"/>
    <m/>
    <m/>
    <n v="57.655000000000001"/>
    <n v="58.731000000000002"/>
    <n v="115.962"/>
    <n v="116.67100000000001"/>
    <n v="97.087000000000003"/>
    <n v="98.686000000000007"/>
    <n v="100.08"/>
    <n v="101.416"/>
    <n v="62.652000000000001"/>
    <n v="65.703999999999994"/>
    <n v="37.347999999999999"/>
    <n v="34.295999999999999"/>
    <n v="12.573"/>
    <n v="14.866"/>
    <n v="34.295999999999999"/>
    <n v="37.347999999999999"/>
    <n v="17.54"/>
    <n v="10"/>
    <n v="12"/>
    <n v="9"/>
    <n v="8"/>
  </r>
  <r>
    <n v="1122"/>
    <m/>
    <m/>
    <m/>
    <m/>
    <s v="NA"/>
    <s v="NA"/>
    <x v="346"/>
    <s v="F"/>
    <m/>
    <m/>
    <n v="45.886000000000003"/>
    <n v="47.201999999999998"/>
    <n v="93.239000000000004"/>
    <n v="92.587999999999994"/>
    <n v="80.27"/>
    <n v="79.519000000000005"/>
    <n v="103.14100000000001"/>
    <n v="102.85599999999999"/>
    <n v="63.598999999999997"/>
    <n v="64.757000000000005"/>
    <n v="36.401000000000003"/>
    <n v="35.243000000000002"/>
    <n v="15.492000000000001"/>
    <n v="13.423999999999999"/>
    <n v="35.243000000000002"/>
    <n v="36.401000000000003"/>
    <n v="12.808"/>
    <n v="12"/>
    <n v="10"/>
    <n v="5"/>
    <n v="5"/>
  </r>
  <r>
    <n v="1123"/>
    <m/>
    <m/>
    <m/>
    <m/>
    <s v="NA"/>
    <s v="NA"/>
    <x v="347"/>
    <s v="F"/>
    <m/>
    <m/>
    <n v="52.454000000000001"/>
    <n v="51.514000000000003"/>
    <n v="104.50700000000001"/>
    <n v="103.783"/>
    <n v="75.677999999999997"/>
    <n v="75.114999999999995"/>
    <n v="86.576999999999998"/>
    <n v="86.474000000000004"/>
    <n v="66.251000000000005"/>
    <n v="66.489999999999995"/>
    <n v="33.749000000000002"/>
    <n v="33.51"/>
    <n v="16.539000000000001"/>
    <n v="16.259"/>
    <n v="33.51"/>
    <n v="33.749000000000002"/>
    <n v="10.507999999999999"/>
    <n v="14"/>
    <n v="13"/>
    <n v="11"/>
    <n v="11"/>
  </r>
  <r>
    <n v="1124"/>
    <m/>
    <m/>
    <m/>
    <m/>
    <s v="NA"/>
    <s v="NA"/>
    <x v="35"/>
    <s v="F"/>
    <m/>
    <m/>
    <s v="NA"/>
    <s v="NA"/>
    <s v="NA"/>
    <s v="NA"/>
    <s v="NA"/>
    <s v="NA"/>
    <s v="NA"/>
    <s v="NA"/>
    <s v="NA"/>
    <s v="NA"/>
    <s v="NA"/>
    <s v="NA"/>
    <s v="NA"/>
    <s v="NA"/>
    <s v="NA"/>
    <s v="NA"/>
    <s v="NA"/>
    <s v="NA"/>
    <s v="NA"/>
    <s v="NA"/>
    <s v="NA"/>
  </r>
  <r>
    <n v="1125"/>
    <m/>
    <m/>
    <m/>
    <m/>
    <s v="NA"/>
    <s v="NA"/>
    <x v="348"/>
    <s v="F"/>
    <m/>
    <m/>
    <n v="44.877000000000002"/>
    <n v="42.018999999999998"/>
    <n v="86.165999999999997"/>
    <n v="88.622"/>
    <n v="79.135999999999996"/>
    <n v="80.95"/>
    <n v="110.22"/>
    <n v="111.379"/>
    <n v="65.893000000000001"/>
    <n v="62.616"/>
    <n v="34.106999999999999"/>
    <n v="37.384"/>
    <n v="15.196"/>
    <n v="13.632999999999999"/>
    <n v="37.384"/>
    <n v="34.106999999999999"/>
    <n v="11.832000000000001"/>
    <n v="15"/>
    <n v="14"/>
    <n v="11"/>
    <n v="13"/>
  </r>
  <r>
    <n v="1126"/>
    <m/>
    <m/>
    <m/>
    <m/>
    <s v="NA"/>
    <s v="NA"/>
    <x v="3"/>
    <s v="M"/>
    <m/>
    <m/>
    <n v="56.353000000000002"/>
    <n v="58.097000000000001"/>
    <n v="114.858"/>
    <n v="114.45099999999999"/>
    <n v="103.36"/>
    <n v="103.252"/>
    <n v="107.66200000000001"/>
    <n v="107.577"/>
    <n v="64.265000000000001"/>
    <n v="62.164000000000001"/>
    <n v="35.734000000000002"/>
    <n v="37.835999999999999"/>
    <n v="13.968"/>
    <n v="12.86"/>
    <n v="37.835999999999999"/>
    <n v="35.734000000000002"/>
    <n v="13.272"/>
    <n v="10"/>
    <n v="14"/>
    <n v="10"/>
    <n v="9"/>
  </r>
  <r>
    <n v="1127"/>
    <m/>
    <m/>
    <m/>
    <m/>
    <s v="NA"/>
    <s v="NA"/>
    <x v="349"/>
    <s v="F"/>
    <m/>
    <m/>
    <s v="NA"/>
    <s v="NA"/>
    <s v="NA"/>
    <s v="NA"/>
    <s v="NA"/>
    <s v="NA"/>
    <s v="NA"/>
    <s v="NA"/>
    <s v="NA"/>
    <s v="NA"/>
    <s v="NA"/>
    <s v="NA"/>
    <s v="NA"/>
    <s v="NA"/>
    <s v="NA"/>
    <s v="NA"/>
    <s v="NA"/>
    <s v="NA"/>
    <s v="NA"/>
    <s v="NA"/>
    <s v="NA"/>
  </r>
  <r>
    <n v="1128"/>
    <m/>
    <m/>
    <m/>
    <m/>
    <s v="NA"/>
    <s v="NA"/>
    <x v="35"/>
    <s v="M"/>
    <m/>
    <m/>
    <s v="NA"/>
    <s v="NA"/>
    <s v="NA"/>
    <s v="NA"/>
    <s v="NA"/>
    <s v="NA"/>
    <s v="NA"/>
    <s v="NA"/>
    <s v="NA"/>
    <s v="NA"/>
    <s v="NA"/>
    <s v="NA"/>
    <s v="NA"/>
    <s v="NA"/>
    <s v="NA"/>
    <s v="NA"/>
    <s v="NA"/>
    <s v="NA"/>
    <s v="NA"/>
    <s v="NA"/>
    <s v="NA"/>
  </r>
  <r>
    <n v="1129"/>
    <m/>
    <m/>
    <m/>
    <m/>
    <s v="NA"/>
    <s v="NA"/>
    <x v="350"/>
    <s v="F"/>
    <m/>
    <m/>
    <s v="NA"/>
    <s v="NA"/>
    <s v="NA"/>
    <s v="NA"/>
    <s v="NA"/>
    <s v="NA"/>
    <s v="NA"/>
    <s v="NA"/>
    <s v="NA"/>
    <s v="NA"/>
    <s v="NA"/>
    <s v="NA"/>
    <s v="NA"/>
    <s v="NA"/>
    <s v="NA"/>
    <s v="NA"/>
    <s v="NA"/>
    <s v="NA"/>
    <s v="NA"/>
    <s v="NA"/>
    <s v="NA"/>
  </r>
  <r>
    <n v="1130"/>
    <m/>
    <m/>
    <m/>
    <m/>
    <s v="NA"/>
    <s v="NA"/>
    <x v="258"/>
    <s v="M"/>
    <m/>
    <m/>
    <s v="NA"/>
    <s v="NA"/>
    <s v="NA"/>
    <s v="NA"/>
    <s v="NA"/>
    <s v="NA"/>
    <s v="NA"/>
    <s v="NA"/>
    <s v="NA"/>
    <s v="NA"/>
    <s v="NA"/>
    <s v="NA"/>
    <s v="NA"/>
    <s v="NA"/>
    <s v="NA"/>
    <s v="NA"/>
    <s v="NA"/>
    <s v="NA"/>
    <s v="NA"/>
    <s v="NA"/>
    <s v="NA"/>
  </r>
  <r>
    <n v="1131"/>
    <m/>
    <m/>
    <m/>
    <m/>
    <s v="NA"/>
    <s v="NA"/>
    <x v="217"/>
    <s v="F"/>
    <m/>
    <m/>
    <s v="NA"/>
    <s v="NA"/>
    <s v="NA"/>
    <s v="NA"/>
    <s v="NA"/>
    <s v="NA"/>
    <s v="NA"/>
    <s v="NA"/>
    <s v="NA"/>
    <s v="NA"/>
    <s v="NA"/>
    <s v="NA"/>
    <s v="NA"/>
    <s v="NA"/>
    <s v="NA"/>
    <s v="NA"/>
    <s v="NA"/>
    <s v="NA"/>
    <s v="NA"/>
    <s v="NA"/>
    <s v="NA"/>
  </r>
  <r>
    <n v="1132"/>
    <m/>
    <m/>
    <m/>
    <m/>
    <s v="NA"/>
    <s v="NA"/>
    <x v="51"/>
    <s v="F"/>
    <m/>
    <m/>
    <s v="NA"/>
    <s v="NA"/>
    <s v="NA"/>
    <s v="NA"/>
    <s v="NA"/>
    <s v="NA"/>
    <s v="NA"/>
    <s v="NA"/>
    <s v="NA"/>
    <s v="NA"/>
    <s v="NA"/>
    <s v="NA"/>
    <s v="NA"/>
    <s v="NA"/>
    <s v="NA"/>
    <s v="NA"/>
    <s v="NA"/>
    <s v="NA"/>
    <s v="NA"/>
    <s v="NA"/>
    <s v="NA"/>
  </r>
  <r>
    <n v="1133"/>
    <m/>
    <m/>
    <m/>
    <m/>
    <s v="NA"/>
    <s v="NA"/>
    <x v="62"/>
    <s v="M"/>
    <m/>
    <m/>
    <s v="NA"/>
    <s v="NA"/>
    <s v="NA"/>
    <s v="NA"/>
    <s v="NA"/>
    <s v="NA"/>
    <s v="NA"/>
    <s v="NA"/>
    <s v="NA"/>
    <s v="NA"/>
    <s v="NA"/>
    <s v="NA"/>
    <s v="NA"/>
    <s v="NA"/>
    <s v="NA"/>
    <s v="NA"/>
    <s v="NA"/>
    <s v="NA"/>
    <s v="NA"/>
    <s v="NA"/>
    <s v="NA"/>
  </r>
  <r>
    <n v="1134"/>
    <m/>
    <m/>
    <m/>
    <m/>
    <s v="NA"/>
    <s v="NA"/>
    <x v="351"/>
    <s v="M"/>
    <m/>
    <m/>
    <s v="NA"/>
    <s v="NA"/>
    <s v="NA"/>
    <s v="NA"/>
    <s v="NA"/>
    <s v="NA"/>
    <s v="NA"/>
    <s v="NA"/>
    <s v="NA"/>
    <s v="NA"/>
    <s v="NA"/>
    <s v="NA"/>
    <s v="NA"/>
    <s v="NA"/>
    <s v="NA"/>
    <s v="NA"/>
    <s v="NA"/>
    <s v="NA"/>
    <s v="NA"/>
    <s v="NA"/>
    <s v="NA"/>
  </r>
  <r>
    <n v="1135"/>
    <m/>
    <m/>
    <m/>
    <m/>
    <s v="NA"/>
    <s v="NA"/>
    <x v="352"/>
    <s v="M"/>
    <m/>
    <m/>
    <s v="NA"/>
    <s v="NA"/>
    <s v="NA"/>
    <s v="NA"/>
    <s v="NA"/>
    <s v="NA"/>
    <s v="NA"/>
    <s v="NA"/>
    <s v="NA"/>
    <s v="NA"/>
    <s v="NA"/>
    <s v="NA"/>
    <s v="NA"/>
    <s v="NA"/>
    <s v="NA"/>
    <s v="NA"/>
    <s v="NA"/>
    <s v="NA"/>
    <s v="NA"/>
    <s v="NA"/>
    <s v="NA"/>
  </r>
  <r>
    <n v="1136"/>
    <m/>
    <m/>
    <m/>
    <m/>
    <s v="NA"/>
    <s v="NA"/>
    <x v="3"/>
    <s v="M"/>
    <m/>
    <m/>
    <s v="NA"/>
    <s v="NA"/>
    <s v="NA"/>
    <s v="NA"/>
    <s v="NA"/>
    <s v="NA"/>
    <s v="NA"/>
    <s v="NA"/>
    <s v="NA"/>
    <s v="NA"/>
    <s v="NA"/>
    <s v="NA"/>
    <s v="NA"/>
    <s v="NA"/>
    <s v="NA"/>
    <s v="NA"/>
    <s v="NA"/>
    <s v="NA"/>
    <s v="NA"/>
    <s v="NA"/>
    <s v="NA"/>
  </r>
  <r>
    <n v="1137"/>
    <m/>
    <m/>
    <m/>
    <m/>
    <s v="NA"/>
    <s v="NA"/>
    <x v="106"/>
    <s v="F"/>
    <m/>
    <m/>
    <s v="NA"/>
    <s v="NA"/>
    <s v="NA"/>
    <s v="NA"/>
    <s v="NA"/>
    <s v="NA"/>
    <s v="NA"/>
    <s v="NA"/>
    <s v="NA"/>
    <s v="NA"/>
    <s v="NA"/>
    <s v="NA"/>
    <s v="NA"/>
    <s v="NA"/>
    <s v="NA"/>
    <s v="NA"/>
    <s v="NA"/>
    <s v="NA"/>
    <s v="NA"/>
    <s v="NA"/>
    <s v="NA"/>
  </r>
  <r>
    <n v="1138"/>
    <m/>
    <m/>
    <m/>
    <m/>
    <s v="NA"/>
    <s v="NA"/>
    <x v="353"/>
    <s v="F"/>
    <m/>
    <m/>
    <s v="NA"/>
    <s v="NA"/>
    <s v="NA"/>
    <s v="NA"/>
    <s v="NA"/>
    <s v="NA"/>
    <s v="NA"/>
    <s v="NA"/>
    <s v="NA"/>
    <s v="NA"/>
    <s v="NA"/>
    <s v="NA"/>
    <s v="NA"/>
    <s v="NA"/>
    <s v="NA"/>
    <s v="NA"/>
    <s v="NA"/>
    <s v="NA"/>
    <s v="NA"/>
    <s v="NA"/>
    <s v="NA"/>
  </r>
  <r>
    <n v="1139"/>
    <m/>
    <m/>
    <m/>
    <m/>
    <s v="NA"/>
    <s v="NA"/>
    <x v="132"/>
    <s v="M"/>
    <m/>
    <m/>
    <s v="NA"/>
    <s v="NA"/>
    <s v="NA"/>
    <s v="NA"/>
    <s v="NA"/>
    <s v="NA"/>
    <s v="NA"/>
    <s v="NA"/>
    <s v="NA"/>
    <s v="NA"/>
    <s v="NA"/>
    <s v="NA"/>
    <s v="NA"/>
    <s v="NA"/>
    <s v="NA"/>
    <s v="NA"/>
    <s v="NA"/>
    <s v="NA"/>
    <s v="NA"/>
    <s v="NA"/>
    <s v="NA"/>
  </r>
  <r>
    <n v="1140"/>
    <m/>
    <m/>
    <m/>
    <m/>
    <s v="NA"/>
    <s v="NA"/>
    <x v="32"/>
    <s v="F"/>
    <m/>
    <m/>
    <s v="NA"/>
    <s v="NA"/>
    <s v="NA"/>
    <s v="NA"/>
    <s v="NA"/>
    <s v="NA"/>
    <s v="NA"/>
    <s v="NA"/>
    <s v="NA"/>
    <s v="NA"/>
    <s v="NA"/>
    <s v="NA"/>
    <s v="NA"/>
    <s v="NA"/>
    <s v="NA"/>
    <s v="NA"/>
    <s v="NA"/>
    <s v="NA"/>
    <s v="NA"/>
    <s v="NA"/>
    <s v="NA"/>
  </r>
  <r>
    <n v="1141"/>
    <m/>
    <m/>
    <m/>
    <m/>
    <s v="NA"/>
    <s v="NA"/>
    <x v="194"/>
    <s v="M"/>
    <m/>
    <m/>
    <s v="NA"/>
    <s v="NA"/>
    <s v="NA"/>
    <s v="NA"/>
    <s v="NA"/>
    <s v="NA"/>
    <s v="NA"/>
    <s v="NA"/>
    <s v="NA"/>
    <s v="NA"/>
    <s v="NA"/>
    <s v="NA"/>
    <s v="NA"/>
    <s v="NA"/>
    <s v="NA"/>
    <s v="NA"/>
    <s v="NA"/>
    <s v="NA"/>
    <s v="NA"/>
    <s v="NA"/>
    <s v="N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F0598-9CBC-B946-8840-89EEBED7A6EF}" name="ptOrtho_age" cacheId="1" applyNumberFormats="0" applyBorderFormats="0" applyFontFormats="0" applyPatternFormats="0" applyAlignmentFormats="0" applyWidthHeightFormats="1" dataCaption="Values" errorCaption="N/A" showError="1" updatedVersion="7" minRefreshableVersion="3" itemPrintTitles="1" createdVersion="6" indent="0" compact="0" outline="1" outlineData="1" compactData="0" multipleFieldFilters="0">
  <location ref="B3:C15" firstHeaderRow="1" firstDataRow="1" firstDataCol="1"/>
  <pivotFields count="32">
    <pivotField compact="0" showAll="0"/>
    <pivotField compact="0" showAll="0"/>
    <pivotField compact="0" showAll="0"/>
    <pivotField compact="0" showAll="0"/>
    <pivotField compact="0" showAll="0"/>
    <pivotField compact="0" showAll="0"/>
    <pivotField compact="0" showAll="0"/>
    <pivotField axis="axisRow" compact="0" numFmtId="2" showAll="0">
      <items count="13">
        <item x="0"/>
        <item x="1"/>
        <item x="2"/>
        <item x="3"/>
        <item x="4"/>
        <item x="5"/>
        <item x="6"/>
        <item x="7"/>
        <item x="8"/>
        <item x="9"/>
        <item x="10"/>
        <item n="No Age Given" x="11"/>
        <item t="default"/>
      </items>
    </pivotField>
    <pivotField compact="0" showAll="0"/>
    <pivotField compact="0" showAll="0"/>
    <pivotField compact="0" showAll="0"/>
    <pivotField compact="0" showAll="0"/>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7"/>
  </rowFields>
  <rowItems count="12">
    <i>
      <x v="1"/>
    </i>
    <i>
      <x v="2"/>
    </i>
    <i>
      <x v="3"/>
    </i>
    <i>
      <x v="4"/>
    </i>
    <i>
      <x v="5"/>
    </i>
    <i>
      <x v="6"/>
    </i>
    <i>
      <x v="7"/>
    </i>
    <i>
      <x v="8"/>
    </i>
    <i>
      <x v="9"/>
    </i>
    <i>
      <x v="10"/>
    </i>
    <i>
      <x v="11"/>
    </i>
    <i t="grand">
      <x/>
    </i>
  </rowItems>
  <colItems count="1">
    <i/>
  </colItems>
  <dataFields count="1">
    <dataField name="Step Length Average Left Avg" fld="12" subtotal="average" baseField="0" baseItem="0"/>
  </dataFields>
  <formats count="7">
    <format dxfId="44">
      <pivotArea type="all" dataOnly="0" outline="0" fieldPosition="0"/>
    </format>
    <format dxfId="43">
      <pivotArea type="all" dataOnly="0" outline="0" fieldPosition="0"/>
    </format>
    <format dxfId="42">
      <pivotArea outline="0" collapsedLevelsAreSubtotals="1" fieldPosition="0"/>
    </format>
    <format dxfId="41">
      <pivotArea field="7" type="button" dataOnly="0" labelOnly="1" outline="0" axis="axisRow" fieldPosition="0"/>
    </format>
    <format dxfId="40">
      <pivotArea dataOnly="0" labelOnly="1" outline="0" fieldPosition="0">
        <references count="1">
          <reference field="7" count="11">
            <x v="1"/>
            <x v="2"/>
            <x v="3"/>
            <x v="4"/>
            <x v="5"/>
            <x v="6"/>
            <x v="7"/>
            <x v="8"/>
            <x v="9"/>
            <x v="10"/>
            <x v="11"/>
          </reference>
        </references>
      </pivotArea>
    </format>
    <format dxfId="39">
      <pivotArea dataOnly="0" labelOnly="1" grandRow="1" outline="0" fieldPosition="0"/>
    </format>
    <format dxfId="38">
      <pivotArea grandRow="1"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F5E6F6-ABB0-4B16-9D4A-13EE1D1F8E21}" name="ptGroup" cacheId="0" applyNumberFormats="0" applyBorderFormats="0" applyFontFormats="0" applyPatternFormats="0" applyAlignmentFormats="0" applyWidthHeightFormats="1" dataCaption="Values" updatedVersion="7" minRefreshableVersion="3" rowGrandTotals="0" itemPrintTitles="1" createdVersion="6" indent="0" compact="0" compactData="0" multipleFieldFilters="0">
  <location ref="J5" firstHeaderRow="0" firstDataRow="0" firstDataCol="0" rowPageCount="1" colPageCount="1"/>
  <pivotFields count="2">
    <pivotField compact="0" outline="0" showAll="0"/>
    <pivotField axis="axisPage" compact="0" outline="0" multipleItemSelectionAllowed="1" showAll="0" defaultSubtotal="0">
      <items count="11">
        <item h="1" x="0"/>
        <item h="1" x="1"/>
        <item h="1" x="2"/>
        <item h="1" x="3"/>
        <item h="1" x="4"/>
        <item h="1" x="5"/>
        <item x="6"/>
        <item h="1" x="7"/>
        <item h="1" x="8"/>
        <item h="1" x="9"/>
        <item h="1" x="1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A53F18-A7E4-40BF-A19A-0DD70AC816FC}" name="ptFn" cacheId="2"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D5" firstHeaderRow="0" firstDataRow="0" firstDataCol="0" rowPageCount="1" colPageCount="1"/>
  <pivotFields count="1">
    <pivotField axis="axisPage" compact="0" showAll="0">
      <items count="4">
        <item x="0"/>
        <item x="1"/>
        <item x="2"/>
        <item t="default"/>
      </items>
    </pivotField>
  </pivotFields>
  <pageFields count="1">
    <pageField fld="0" item="0" hier="-1"/>
  </page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E7FBD534-32B3-42DB-AA55-A0CCCEEE1C9B}" sourceName="Group">
  <pivotTables>
    <pivotTable tabId="5" name="ptGroup"/>
  </pivotTables>
  <data>
    <tabular pivotCacheId="723717096">
      <items count="11">
        <i x="0"/>
        <i x="1"/>
        <i x="2"/>
        <i x="3"/>
        <i x="4"/>
        <i x="5"/>
        <i x="6" s="1"/>
        <i x="7"/>
        <i x="8"/>
        <i x="9"/>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B8F6CD87-F721-41A6-BC4B-D64C73169042}" sourceName="Function">
  <pivotTables>
    <pivotTable tabId="5" name="ptFn"/>
  </pivotTables>
  <data>
    <tabular pivotCacheId="674693535">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5B79FE3-C988-483C-9C0D-8A5FDCA6EA53}" cache="Slicer_Group" caption="Group" rowHeight="241300"/>
  <slicer name="Function" xr10:uid="{4C91EDB4-CB0F-45F8-8C6A-A007B6A21AB6}" cache="Slicer_Function" caption="Function" columnCount="5"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BD28F2-EAFD-4D37-AECD-09AB9A694633}" name="tblFields" displayName="tblFields" ref="G3:H24" totalsRowShown="0">
  <autoFilter ref="G3:H24" xr:uid="{B0E7345C-AE95-40CC-B3CF-49265BE8C0CD}"/>
  <tableColumns count="2">
    <tableColumn id="1" xr3:uid="{93248AC4-3D6E-42C0-B34A-745AEE034CD8}" name="Field" dataDxfId="1"/>
    <tableColumn id="2" xr3:uid="{7A081BF4-B39C-4C88-AE7E-A35155CA14CD}" name="Group"/>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6E3FDD-6E87-4C56-A0B9-8228CA4FFCEB}" name="tblFn" displayName="tblFn" ref="B3:B6" totalsRowShown="0" headerRowDxfId="0">
  <autoFilter ref="B3:B6" xr:uid="{CD314E98-CE6C-48AF-B290-4DDD2E7EFC10}"/>
  <sortState xmlns:xlrd2="http://schemas.microsoft.com/office/spreadsheetml/2017/richdata2" ref="B4:B8">
    <sortCondition ref="B4"/>
  </sortState>
  <tableColumns count="1">
    <tableColumn id="1" xr3:uid="{9532BC7D-4855-47F7-A026-0B87D0805BC4}" name="Functio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4C9516-087B-AE4E-99B6-D4511ACA58FE}" name="Table6" displayName="Table6" ref="A1:AH954" totalsRowShown="0" headerRowDxfId="37" dataDxfId="36">
  <autoFilter ref="A1:AH954" xr:uid="{B44C9516-087B-AE4E-99B6-D4511ACA58FE}"/>
  <tableColumns count="34">
    <tableColumn id="1" xr3:uid="{802F7233-976E-C746-80D5-96AC97568EFF}" name="Record ID" dataDxfId="35"/>
    <tableColumn id="2" xr3:uid="{F8CCF13C-7B9B-EA4F-AC80-AE21DE2DFA9B}" name="Repeat Instrument" dataDxfId="34"/>
    <tableColumn id="3" xr3:uid="{1F69B49E-3324-F64C-A5B3-5A437B890666}" name="Repeat Instance" dataDxfId="33"/>
    <tableColumn id="4" xr3:uid="{7C337E46-D99C-E044-B28A-367BCA18722C}" name="Patient Folder (Full Path)" dataDxfId="32"/>
    <tableColumn id="5" xr3:uid="{51803AA4-97D6-B94A-A98B-284A4304C4FE}" name="Patient Folder Name" dataDxfId="31"/>
    <tableColumn id="6" xr3:uid="{D6061E08-5983-4048-88CD-ED004168D0DD}" name="ICD Code" dataDxfId="30"/>
    <tableColumn id="7" xr3:uid="{007303A5-F9F3-3B44-A74B-B30C31EF783E}" name="Primary Diagnosis" dataDxfId="29"/>
    <tableColumn id="34" xr3:uid="{833F5EF5-1FEB-1843-B9B6-52A677C921B8}" name="Diagnosis Category" dataDxfId="28">
      <calculatedColumnFormula>VLOOKUP(Table6[[#This Row],[ICD Code]],ICD_summary!$I$3:$M$38,5,0)</calculatedColumnFormula>
    </tableColumn>
    <tableColumn id="8" xr3:uid="{968B60B7-39C6-F945-BE7F-2BBEDC0B98B2}" name="Age" dataDxfId="27"/>
    <tableColumn id="33" xr3:uid="{29C4D5BF-E49E-774D-AE23-CF803E34DFA2}" name="Age Bucket" dataDxfId="26">
      <calculatedColumnFormula>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calculatedColumnFormula>
    </tableColumn>
    <tableColumn id="9" xr3:uid="{93802D1D-590E-1A4E-8E79-9E47F1B2245A}" name="Sex" dataDxfId="25"/>
    <tableColumn id="10" xr3:uid="{4BD6B702-2DEE-194A-94D0-03DBD6A63B19}" name="NRM file" dataDxfId="24"/>
    <tableColumn id="11" xr3:uid="{D3D9C581-30C5-4745-8AA6-CF5F6EA73DFA}" name="Final impression, if available" dataDxfId="23"/>
    <tableColumn id="12" xr3:uid="{E0C3E3D1-AEF0-E948-9673-55DC1480F708}" name="Step Length Average - Right" dataDxfId="22"/>
    <tableColumn id="13" xr3:uid="{1F75F90F-7C27-A34D-9540-71FCF0F29DA5}" name="Step Length Average Left" dataDxfId="21"/>
    <tableColumn id="14" xr3:uid="{826E0123-C43F-DD45-9903-99D44103503C}" name="Stride Length Average Right" dataDxfId="20"/>
    <tableColumn id="15" xr3:uid="{84A0B1E8-EC9A-794D-86F7-4C517ACB9CF3}" name="Stride Length Average Left" dataDxfId="19"/>
    <tableColumn id="16" xr3:uid="{E0C8332F-8D41-E14E-A0F3-3802C522E2F6}" name="Forward Velocity Average Right" dataDxfId="18"/>
    <tableColumn id="17" xr3:uid="{C49E1C71-E256-E44E-A13C-FC0C9D9E5FD3}" name="Forward Velocity Average Left" dataDxfId="17"/>
    <tableColumn id="18" xr3:uid="{39A37773-645A-AD4E-9725-8C624DE202EE}" name="Cadence Average Right" dataDxfId="16"/>
    <tableColumn id="19" xr3:uid="{37E9173D-EF93-5046-B585-386598155BDF}" name="Cadence Average Left" dataDxfId="15"/>
    <tableColumn id="20" xr3:uid="{BEDD7EE4-4000-BE4B-9D77-9345168AB1D6}" name="Total  Support Time Right" dataDxfId="14"/>
    <tableColumn id="21" xr3:uid="{D4655B37-6DAC-6448-9C3E-05CFF3453B10}" name="Total  Support Time Left" dataDxfId="13"/>
    <tableColumn id="22" xr3:uid="{CE8886E3-B0BF-5844-A065-650A9DA0DB27}" name="Swing Phase Right" dataDxfId="12"/>
    <tableColumn id="23" xr3:uid="{33961E82-C693-5048-861F-37D3E6E418C6}" name="Swing Phase Left" dataDxfId="11"/>
    <tableColumn id="24" xr3:uid="{894DD600-49BF-6543-AE4F-4C91BBCC3DCD}" name="Initial Double Support Time Right" dataDxfId="10"/>
    <tableColumn id="25" xr3:uid="{EB646596-859C-D14B-A216-A7D11C854711}" name="Initial Double Support Time Left" dataDxfId="9"/>
    <tableColumn id="26" xr3:uid="{7C06BB42-6A9A-F54B-9D31-C550FB28F00B}" name="Single Support Time Right" dataDxfId="8"/>
    <tableColumn id="27" xr3:uid="{533950DD-0C5C-0540-B600-F9F78B7D51D2}" name="Single Support Time Left" dataDxfId="7"/>
    <tableColumn id="28" xr3:uid="{57AC0171-7BED-554E-8D80-34074EA21F16}" name="Step Width " dataDxfId="6"/>
    <tableColumn id="29" xr3:uid="{5EB64CAE-5AE7-2E45-91CB-36025AD86D65}" name="Number of steps - Right" dataDxfId="5"/>
    <tableColumn id="30" xr3:uid="{F04E0AEE-2921-4A47-9FB9-9008373D6F50}" name="Number of steps - left" dataDxfId="4"/>
    <tableColumn id="31" xr3:uid="{33CF7812-F782-384C-A9D0-E2123EE3719F}" name="Number of strides - Right" dataDxfId="3"/>
    <tableColumn id="32" xr3:uid="{6CF86E9F-693B-2446-9E48-4BFF74B002BE}" name="Number of Strides - Lef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F86B-1172-42BB-B7D7-0BC99CF5F3FD}">
  <sheetPr codeName="Sheet4">
    <tabColor theme="4"/>
  </sheetPr>
  <dimension ref="B1:N31"/>
  <sheetViews>
    <sheetView showGridLines="0" zoomScale="160" zoomScaleNormal="160" workbookViewId="0">
      <selection activeCell="C10" sqref="C10"/>
    </sheetView>
  </sheetViews>
  <sheetFormatPr baseColWidth="10" defaultColWidth="8.83203125" defaultRowHeight="16" x14ac:dyDescent="0.2"/>
  <cols>
    <col min="1" max="1" width="3.1640625" style="13" customWidth="1"/>
    <col min="2" max="2" width="22.1640625" style="13" bestFit="1" customWidth="1"/>
    <col min="3" max="3" width="33.1640625" style="13" bestFit="1" customWidth="1"/>
    <col min="4" max="4" width="34.33203125" style="13" bestFit="1" customWidth="1"/>
    <col min="5" max="5" width="14.1640625" style="13" bestFit="1" customWidth="1"/>
    <col min="6" max="6" width="11.83203125" style="13" bestFit="1" customWidth="1"/>
    <col min="7" max="8" width="8.83203125" style="13"/>
    <col min="9" max="9" width="8.83203125" style="13" customWidth="1"/>
    <col min="10" max="10" width="4.6640625" style="13" bestFit="1" customWidth="1"/>
    <col min="11" max="11" width="5.83203125" style="13" bestFit="1" customWidth="1"/>
    <col min="12" max="12" width="12.33203125" style="13" bestFit="1" customWidth="1"/>
    <col min="13" max="13" width="16.83203125" style="13" bestFit="1" customWidth="1"/>
    <col min="14" max="14" width="21.5" style="13" bestFit="1" customWidth="1"/>
    <col min="15" max="16384" width="8.83203125" style="13"/>
  </cols>
  <sheetData>
    <row r="1" spans="2:14" ht="51" customHeight="1" x14ac:dyDescent="0.2"/>
    <row r="3" spans="2:14" x14ac:dyDescent="0.2">
      <c r="B3" s="68" t="s">
        <v>46</v>
      </c>
      <c r="C3" s="69" t="s">
        <v>212</v>
      </c>
      <c r="D3"/>
      <c r="L3" s="14" t="s">
        <v>46</v>
      </c>
      <c r="M3" s="14" t="s">
        <v>125</v>
      </c>
      <c r="N3" s="14" t="s">
        <v>127</v>
      </c>
    </row>
    <row r="4" spans="2:14" x14ac:dyDescent="0.2">
      <c r="B4" s="70" t="s">
        <v>114</v>
      </c>
      <c r="C4" s="72">
        <v>39.342500000000001</v>
      </c>
      <c r="D4"/>
      <c r="J4" s="13">
        <v>0</v>
      </c>
      <c r="K4" s="13">
        <v>10</v>
      </c>
      <c r="L4" s="17" t="s">
        <v>114</v>
      </c>
      <c r="M4" s="18">
        <f>COUNTIFS('Collapsed - Orthotrack outcomes'!$I:$I,"&gt;="&amp;$J4,'Collapsed - Orthotrack outcomes'!$I:$I,"&lt;"&amp;$K4)</f>
        <v>4</v>
      </c>
      <c r="N4" s="18">
        <f>COUNTIFS('Collapsed - Orthotrack outcomes'!$I:$I,"&gt;="&amp;$J4,'Collapsed - Orthotrack outcomes'!$I:$I,"&lt;"&amp;$K4,'Collapsed - Orthotrack outcomes'!$N:$N,"&lt;&gt;NA")</f>
        <v>2</v>
      </c>
    </row>
    <row r="5" spans="2:14" x14ac:dyDescent="0.2">
      <c r="B5" s="70" t="s">
        <v>115</v>
      </c>
      <c r="C5" s="72">
        <v>65.960999999999999</v>
      </c>
      <c r="D5"/>
      <c r="J5" s="13">
        <v>10</v>
      </c>
      <c r="K5" s="13">
        <v>20</v>
      </c>
      <c r="L5" s="15" t="s">
        <v>115</v>
      </c>
      <c r="M5" s="16">
        <f>COUNTIFS('Collapsed - Orthotrack outcomes'!$I:$I,"&gt;="&amp;$J5,'Collapsed - Orthotrack outcomes'!$I:$I,"&lt;"&amp;$K5)</f>
        <v>3</v>
      </c>
      <c r="N5" s="16">
        <f>COUNTIFS('Collapsed - Orthotrack outcomes'!$I:$I,"&gt;="&amp;$J5,'Collapsed - Orthotrack outcomes'!$I:$I,"&lt;"&amp;$K5,'Collapsed - Orthotrack outcomes'!$N:$N,"&lt;&gt;NA")</f>
        <v>3</v>
      </c>
    </row>
    <row r="6" spans="2:14" x14ac:dyDescent="0.2">
      <c r="B6" s="70" t="s">
        <v>116</v>
      </c>
      <c r="C6" s="72">
        <v>51.114692307692309</v>
      </c>
      <c r="D6"/>
      <c r="J6" s="13">
        <f>K5</f>
        <v>20</v>
      </c>
      <c r="K6" s="13">
        <f>K5+10</f>
        <v>30</v>
      </c>
      <c r="L6" s="17" t="s">
        <v>116</v>
      </c>
      <c r="M6" s="18">
        <f>COUNTIFS('Collapsed - Orthotrack outcomes'!$I:$I,"&gt;="&amp;$J6,'Collapsed - Orthotrack outcomes'!$I:$I,"&lt;"&amp;$K6)</f>
        <v>15</v>
      </c>
      <c r="N6" s="18">
        <f>COUNTIFS('Collapsed - Orthotrack outcomes'!$I:$I,"&gt;="&amp;$J6,'Collapsed - Orthotrack outcomes'!$I:$I,"&lt;"&amp;$K6,'Collapsed - Orthotrack outcomes'!$N:$N,"&lt;&gt;NA")</f>
        <v>13</v>
      </c>
    </row>
    <row r="7" spans="2:14" x14ac:dyDescent="0.2">
      <c r="B7" s="70" t="s">
        <v>117</v>
      </c>
      <c r="C7" s="72">
        <v>53.571529411764701</v>
      </c>
      <c r="D7"/>
      <c r="J7" s="13">
        <f t="shared" ref="J7:J13" si="0">K6</f>
        <v>30</v>
      </c>
      <c r="K7" s="13">
        <f t="shared" ref="J7:K14" si="1">K6+10</f>
        <v>40</v>
      </c>
      <c r="L7" s="15" t="s">
        <v>117</v>
      </c>
      <c r="M7" s="16">
        <f>COUNTIFS('Collapsed - Orthotrack outcomes'!$I:$I,"&gt;="&amp;$J7,'Collapsed - Orthotrack outcomes'!$I:$I,"&lt;"&amp;$K7)</f>
        <v>20</v>
      </c>
      <c r="N7" s="16">
        <f>COUNTIFS('Collapsed - Orthotrack outcomes'!$I:$I,"&gt;="&amp;$J7,'Collapsed - Orthotrack outcomes'!$I:$I,"&lt;"&amp;$K7,'Collapsed - Orthotrack outcomes'!$N:$N,"&lt;&gt;NA")</f>
        <v>17</v>
      </c>
    </row>
    <row r="8" spans="2:14" x14ac:dyDescent="0.2">
      <c r="B8" s="70" t="s">
        <v>118</v>
      </c>
      <c r="C8" s="72">
        <v>54.134558823529431</v>
      </c>
      <c r="D8"/>
      <c r="J8" s="13">
        <f t="shared" si="0"/>
        <v>40</v>
      </c>
      <c r="K8" s="13">
        <f t="shared" si="1"/>
        <v>50</v>
      </c>
      <c r="L8" s="17" t="s">
        <v>118</v>
      </c>
      <c r="M8" s="18">
        <f>COUNTIFS('Collapsed - Orthotrack outcomes'!$I:$I,"&gt;="&amp;$J8,'Collapsed - Orthotrack outcomes'!$I:$I,"&lt;"&amp;$K8)</f>
        <v>44</v>
      </c>
      <c r="N8" s="18">
        <f>COUNTIFS('Collapsed - Orthotrack outcomes'!$I:$I,"&gt;="&amp;$J8,'Collapsed - Orthotrack outcomes'!$I:$I,"&lt;"&amp;$K8,'Collapsed - Orthotrack outcomes'!$N:$N,"&lt;&gt;NA")</f>
        <v>34</v>
      </c>
    </row>
    <row r="9" spans="2:14" x14ac:dyDescent="0.2">
      <c r="B9" s="70" t="s">
        <v>119</v>
      </c>
      <c r="C9" s="72">
        <v>48.108385416666664</v>
      </c>
      <c r="D9"/>
      <c r="H9" s="19" t="s">
        <v>132</v>
      </c>
      <c r="J9" s="13">
        <f t="shared" si="0"/>
        <v>50</v>
      </c>
      <c r="K9" s="13">
        <f t="shared" si="1"/>
        <v>60</v>
      </c>
      <c r="L9" s="15" t="s">
        <v>119</v>
      </c>
      <c r="M9" s="16">
        <f>COUNTIFS('Collapsed - Orthotrack outcomes'!$I:$I,"&gt;="&amp;$J9,'Collapsed - Orthotrack outcomes'!$I:$I,"&lt;"&amp;$K9)</f>
        <v>117</v>
      </c>
      <c r="N9" s="16">
        <f>COUNTIFS('Collapsed - Orthotrack outcomes'!$I:$I,"&gt;="&amp;$J9,'Collapsed - Orthotrack outcomes'!$I:$I,"&lt;"&amp;$K9,'Collapsed - Orthotrack outcomes'!$N:$N,"&lt;&gt;NA")</f>
        <v>96</v>
      </c>
    </row>
    <row r="10" spans="2:14" x14ac:dyDescent="0.2">
      <c r="B10" s="70" t="s">
        <v>120</v>
      </c>
      <c r="C10" s="72">
        <v>48.255755208333348</v>
      </c>
      <c r="D10"/>
      <c r="J10" s="13">
        <f t="shared" si="0"/>
        <v>60</v>
      </c>
      <c r="K10" s="13">
        <f t="shared" si="1"/>
        <v>70</v>
      </c>
      <c r="L10" s="17" t="s">
        <v>120</v>
      </c>
      <c r="M10" s="18">
        <f>COUNTIFS('Collapsed - Orthotrack outcomes'!$I:$I,"&gt;="&amp;$J10,'Collapsed - Orthotrack outcomes'!$I:$I,"&lt;"&amp;$K10)</f>
        <v>236</v>
      </c>
      <c r="N10" s="18">
        <f>COUNTIFS('Collapsed - Orthotrack outcomes'!$I:$I,"&gt;="&amp;$J10,'Collapsed - Orthotrack outcomes'!$I:$I,"&lt;"&amp;$K10,'Collapsed - Orthotrack outcomes'!$N:$N,"&lt;&gt;NA")</f>
        <v>192</v>
      </c>
    </row>
    <row r="11" spans="2:14" x14ac:dyDescent="0.2">
      <c r="B11" s="70" t="s">
        <v>121</v>
      </c>
      <c r="C11" s="72">
        <v>47.305373134328356</v>
      </c>
      <c r="D11"/>
      <c r="J11" s="13">
        <f t="shared" si="0"/>
        <v>70</v>
      </c>
      <c r="K11" s="13">
        <f t="shared" si="1"/>
        <v>80</v>
      </c>
      <c r="L11" s="15" t="s">
        <v>121</v>
      </c>
      <c r="M11" s="16">
        <f>COUNTIFS('Collapsed - Orthotrack outcomes'!$I:$I,"&gt;="&amp;$J11,'Collapsed - Orthotrack outcomes'!$I:$I,"&lt;"&amp;$K11)</f>
        <v>251</v>
      </c>
      <c r="N11" s="16">
        <f>COUNTIFS('Collapsed - Orthotrack outcomes'!$I:$I,"&gt;="&amp;$J11,'Collapsed - Orthotrack outcomes'!$I:$I,"&lt;"&amp;$K11,'Collapsed - Orthotrack outcomes'!$N:$N,"&lt;&gt;NA")</f>
        <v>201</v>
      </c>
    </row>
    <row r="12" spans="2:14" x14ac:dyDescent="0.2">
      <c r="B12" s="70" t="s">
        <v>122</v>
      </c>
      <c r="C12" s="72">
        <v>40.965594594594577</v>
      </c>
      <c r="D12"/>
      <c r="J12" s="13">
        <f t="shared" si="0"/>
        <v>80</v>
      </c>
      <c r="K12" s="13">
        <f t="shared" si="1"/>
        <v>90</v>
      </c>
      <c r="L12" s="17" t="s">
        <v>122</v>
      </c>
      <c r="M12" s="18">
        <f>COUNTIFS('Collapsed - Orthotrack outcomes'!$I:$I,"&gt;="&amp;$J12,'Collapsed - Orthotrack outcomes'!$I:$I,"&lt;"&amp;$K12)</f>
        <v>45</v>
      </c>
      <c r="N12" s="18">
        <f>COUNTIFS('Collapsed - Orthotrack outcomes'!$I:$I,"&gt;="&amp;$J12,'Collapsed - Orthotrack outcomes'!$I:$I,"&lt;"&amp;$K12,'Collapsed - Orthotrack outcomes'!$N:$N,"&lt;&gt;NA")</f>
        <v>37</v>
      </c>
    </row>
    <row r="13" spans="2:14" x14ac:dyDescent="0.2">
      <c r="B13" s="70" t="s">
        <v>123</v>
      </c>
      <c r="C13" s="72">
        <v>43.295999999999999</v>
      </c>
      <c r="D13"/>
      <c r="J13" s="13">
        <f t="shared" si="0"/>
        <v>90</v>
      </c>
      <c r="K13" s="13">
        <f t="shared" si="1"/>
        <v>100</v>
      </c>
      <c r="L13" s="15" t="s">
        <v>123</v>
      </c>
      <c r="M13" s="16">
        <f>COUNTIFS('Collapsed - Orthotrack outcomes'!$I:$I,"&gt;="&amp;$J13,'Collapsed - Orthotrack outcomes'!$I:$I,"&lt;"&amp;$K13)</f>
        <v>2</v>
      </c>
      <c r="N13" s="16">
        <f>COUNTIFS('Collapsed - Orthotrack outcomes'!$I:$I,"&gt;="&amp;$J13,'Collapsed - Orthotrack outcomes'!$I:$I,"&lt;"&amp;$K13,'Collapsed - Orthotrack outcomes'!$N:$N,"&lt;&gt;NA")</f>
        <v>1</v>
      </c>
    </row>
    <row r="14" spans="2:14" x14ac:dyDescent="0.2">
      <c r="B14" s="70" t="s">
        <v>126</v>
      </c>
      <c r="C14" s="72">
        <v>49.448088757396462</v>
      </c>
      <c r="D14"/>
      <c r="J14" s="13">
        <f t="shared" si="1"/>
        <v>100</v>
      </c>
      <c r="K14" s="13">
        <v>1000</v>
      </c>
      <c r="L14" s="17" t="s">
        <v>126</v>
      </c>
      <c r="M14" s="18">
        <f>COUNTIFS('Collapsed - Orthotrack outcomes'!$I:$I,"&gt;="&amp;$J14,'Collapsed - Orthotrack outcomes'!$I:$I,"&lt;"&amp;$K14)</f>
        <v>216</v>
      </c>
      <c r="N14" s="18">
        <f>COUNTIFS('Collapsed - Orthotrack outcomes'!$I:$I,"&gt;="&amp;$J14,'Collapsed - Orthotrack outcomes'!$I:$I,"&lt;"&amp;$K14,'Collapsed - Orthotrack outcomes'!$N:$N,"&lt;&gt;NA")</f>
        <v>169</v>
      </c>
    </row>
    <row r="15" spans="2:14" x14ac:dyDescent="0.2">
      <c r="B15" s="70" t="s">
        <v>0</v>
      </c>
      <c r="C15" s="71">
        <v>48.366</v>
      </c>
      <c r="D15"/>
    </row>
    <row r="19" spans="2:4" x14ac:dyDescent="0.2">
      <c r="B19"/>
      <c r="C19"/>
      <c r="D19"/>
    </row>
    <row r="20" spans="2:4" x14ac:dyDescent="0.2">
      <c r="B20"/>
      <c r="C20"/>
      <c r="D20"/>
    </row>
    <row r="21" spans="2:4" x14ac:dyDescent="0.2">
      <c r="B21"/>
      <c r="C21"/>
      <c r="D21"/>
    </row>
    <row r="22" spans="2:4" x14ac:dyDescent="0.2">
      <c r="B22"/>
      <c r="C22"/>
      <c r="D22"/>
    </row>
    <row r="23" spans="2:4" x14ac:dyDescent="0.2">
      <c r="B23"/>
      <c r="C23"/>
      <c r="D23"/>
    </row>
    <row r="24" spans="2:4" x14ac:dyDescent="0.2">
      <c r="B24"/>
      <c r="C24"/>
      <c r="D24"/>
    </row>
    <row r="25" spans="2:4" x14ac:dyDescent="0.2">
      <c r="B25"/>
      <c r="C25"/>
      <c r="D25"/>
    </row>
    <row r="26" spans="2:4" x14ac:dyDescent="0.2">
      <c r="B26"/>
      <c r="C26"/>
      <c r="D26"/>
    </row>
    <row r="27" spans="2:4" x14ac:dyDescent="0.2">
      <c r="B27"/>
      <c r="C27"/>
      <c r="D27"/>
    </row>
    <row r="28" spans="2:4" x14ac:dyDescent="0.2">
      <c r="B28"/>
      <c r="C28"/>
      <c r="D28"/>
    </row>
    <row r="29" spans="2:4" x14ac:dyDescent="0.2">
      <c r="B29"/>
      <c r="C29"/>
      <c r="D29"/>
    </row>
    <row r="30" spans="2:4" x14ac:dyDescent="0.2">
      <c r="B30"/>
      <c r="C30"/>
      <c r="D30"/>
    </row>
    <row r="31" spans="2:4" x14ac:dyDescent="0.2">
      <c r="B31"/>
      <c r="C31"/>
      <c r="D3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432D0-26AB-0A41-B859-C6926873C597}">
  <sheetPr>
    <tabColor theme="9"/>
  </sheetPr>
  <dimension ref="A1:AB94"/>
  <sheetViews>
    <sheetView zoomScale="107" zoomScaleNormal="100" workbookViewId="0">
      <selection activeCell="H25" sqref="H25:H26"/>
    </sheetView>
  </sheetViews>
  <sheetFormatPr baseColWidth="10" defaultRowHeight="15" x14ac:dyDescent="0.2"/>
  <cols>
    <col min="1" max="3" width="3.6640625" bestFit="1" customWidth="1"/>
    <col min="4" max="4" width="3.6640625" customWidth="1"/>
    <col min="5" max="5" width="5.1640625" bestFit="1" customWidth="1"/>
    <col min="6" max="6" width="11.5" bestFit="1" customWidth="1"/>
    <col min="7" max="7" width="37.1640625" bestFit="1" customWidth="1"/>
    <col min="8" max="8" width="19.6640625" bestFit="1" customWidth="1"/>
    <col min="9" max="9" width="22.1640625" bestFit="1" customWidth="1"/>
    <col min="10" max="10" width="20.83203125" bestFit="1" customWidth="1"/>
    <col min="11" max="11" width="25" bestFit="1" customWidth="1"/>
    <col min="12" max="12" width="23.83203125" bestFit="1" customWidth="1"/>
    <col min="13" max="13" width="18.33203125" bestFit="1" customWidth="1"/>
    <col min="14" max="14" width="17.1640625" bestFit="1" customWidth="1"/>
    <col min="15" max="15" width="20.5" bestFit="1" customWidth="1"/>
    <col min="16" max="16" width="19.33203125" bestFit="1" customWidth="1"/>
    <col min="17" max="17" width="14.83203125" bestFit="1" customWidth="1"/>
    <col min="18" max="18" width="13.6640625" bestFit="1" customWidth="1"/>
    <col min="19" max="19" width="27" bestFit="1" customWidth="1"/>
    <col min="20" max="20" width="25.6640625" bestFit="1" customWidth="1"/>
    <col min="21" max="21" width="20.83203125" bestFit="1" customWidth="1"/>
    <col min="22" max="22" width="19.6640625" bestFit="1" customWidth="1"/>
    <col min="23" max="23" width="10.6640625" bestFit="1" customWidth="1"/>
    <col min="24" max="24" width="18.83203125" bestFit="1" customWidth="1"/>
    <col min="25" max="25" width="17.33203125" bestFit="1" customWidth="1"/>
    <col min="26" max="26" width="20" bestFit="1" customWidth="1"/>
    <col min="27" max="27" width="19" bestFit="1" customWidth="1"/>
    <col min="28" max="28" width="19.83203125" bestFit="1" customWidth="1"/>
  </cols>
  <sheetData>
    <row r="1" spans="1:27" x14ac:dyDescent="0.2">
      <c r="A1" t="s">
        <v>47</v>
      </c>
      <c r="B1" t="s">
        <v>47</v>
      </c>
      <c r="C1" t="s">
        <v>47</v>
      </c>
    </row>
    <row r="2" spans="1:27" x14ac:dyDescent="0.2">
      <c r="A2" t="s">
        <v>52</v>
      </c>
      <c r="B2" t="s">
        <v>55</v>
      </c>
      <c r="C2" t="s">
        <v>51</v>
      </c>
      <c r="F2" s="24" t="s">
        <v>6</v>
      </c>
      <c r="G2" s="66" t="s">
        <v>6</v>
      </c>
      <c r="H2" s="67"/>
      <c r="I2" s="67"/>
      <c r="J2" s="67"/>
      <c r="K2" s="67"/>
      <c r="L2" s="67"/>
      <c r="M2" s="67"/>
      <c r="N2" s="67"/>
      <c r="O2" s="67"/>
      <c r="P2" s="67"/>
      <c r="Q2" s="67"/>
      <c r="R2" s="67"/>
      <c r="S2" s="67"/>
      <c r="T2" s="67"/>
      <c r="U2" s="67"/>
      <c r="V2" s="67"/>
      <c r="W2" s="67"/>
      <c r="X2" s="67"/>
      <c r="Y2" s="67"/>
      <c r="Z2" s="67"/>
      <c r="AA2" s="67"/>
    </row>
    <row r="3" spans="1:27" x14ac:dyDescent="0.2">
      <c r="F3" s="25"/>
      <c r="G3" s="23" t="s">
        <v>50</v>
      </c>
      <c r="H3" s="23" t="s">
        <v>20</v>
      </c>
      <c r="I3" s="23" t="s">
        <v>23</v>
      </c>
      <c r="J3" s="23" t="s">
        <v>22</v>
      </c>
      <c r="K3" s="23" t="s">
        <v>11</v>
      </c>
      <c r="L3" s="23" t="s">
        <v>10</v>
      </c>
      <c r="M3" s="23" t="s">
        <v>9</v>
      </c>
      <c r="N3" s="23" t="s">
        <v>8</v>
      </c>
      <c r="O3" s="23" t="s">
        <v>27</v>
      </c>
      <c r="P3" s="23" t="s">
        <v>26</v>
      </c>
      <c r="Q3" s="23" t="s">
        <v>25</v>
      </c>
      <c r="R3" s="23" t="s">
        <v>24</v>
      </c>
      <c r="S3" s="23" t="s">
        <v>13</v>
      </c>
      <c r="T3" s="23" t="s">
        <v>12</v>
      </c>
      <c r="U3" s="23" t="s">
        <v>19</v>
      </c>
      <c r="V3" s="23" t="s">
        <v>18</v>
      </c>
      <c r="W3" s="23" t="s">
        <v>21</v>
      </c>
      <c r="X3" s="23" t="s">
        <v>15</v>
      </c>
      <c r="Y3" s="23" t="s">
        <v>14</v>
      </c>
      <c r="Z3" s="23" t="s">
        <v>17</v>
      </c>
      <c r="AA3" s="23" t="s">
        <v>16</v>
      </c>
    </row>
    <row r="4" spans="1:27" ht="16" x14ac:dyDescent="0.2">
      <c r="F4" s="24" t="s">
        <v>52</v>
      </c>
      <c r="G4" s="22">
        <f>AVERAGEIFS('Collapsed - Orthotrack outcomes'!N:N,'Collapsed - Orthotrack outcomes'!$K:$K,'NonPivot Summary'!$F4)</f>
        <v>50.26295342465751</v>
      </c>
      <c r="H4" s="22">
        <f>AVERAGEIFS('Collapsed - Orthotrack outcomes'!O:O,'Collapsed - Orthotrack outcomes'!$K:$K,'NonPivot Summary'!$F4)</f>
        <v>50.56334794520545</v>
      </c>
      <c r="I4" s="22">
        <f>AVERAGEIFS('Collapsed - Orthotrack outcomes'!P:P,'Collapsed - Orthotrack outcomes'!$K:$K,'NonPivot Summary'!$F4)</f>
        <v>101.02024109589041</v>
      </c>
      <c r="J4" s="22">
        <f>AVERAGEIFS('Collapsed - Orthotrack outcomes'!Q:Q,'Collapsed - Orthotrack outcomes'!$K:$K,'NonPivot Summary'!$F4)</f>
        <v>100.81848219178082</v>
      </c>
      <c r="K4" s="22">
        <f>AVERAGEIFS('Collapsed - Orthotrack outcomes'!R:R,'Collapsed - Orthotrack outcomes'!$K:$K,'NonPivot Summary'!$F4)</f>
        <v>89.866016438356098</v>
      </c>
      <c r="L4" s="22">
        <f>AVERAGEIFS('Collapsed - Orthotrack outcomes'!S:S,'Collapsed - Orthotrack outcomes'!$K:$K,'NonPivot Summary'!$F4)</f>
        <v>89.812443835616463</v>
      </c>
      <c r="M4" s="22">
        <f>AVERAGEIFS('Collapsed - Orthotrack outcomes'!T:T,'Collapsed - Orthotrack outcomes'!$K:$K,'NonPivot Summary'!$F4)</f>
        <v>106.03630684931505</v>
      </c>
      <c r="N4" s="22">
        <f>AVERAGEIFS('Collapsed - Orthotrack outcomes'!U:U,'Collapsed - Orthotrack outcomes'!$K:$K,'NonPivot Summary'!$F4)</f>
        <v>105.72336438356164</v>
      </c>
      <c r="O4" s="22">
        <f>AVERAGEIFS('Collapsed - Orthotrack outcomes'!V:V,'Collapsed - Orthotrack outcomes'!$K:$K,'NonPivot Summary'!$F4)</f>
        <v>64.525191780821913</v>
      </c>
      <c r="P4" s="22">
        <f>AVERAGEIFS('Collapsed - Orthotrack outcomes'!W:W,'Collapsed - Orthotrack outcomes'!$K:$K,'NonPivot Summary'!$F4)</f>
        <v>64.167989041095908</v>
      </c>
      <c r="Q4" s="22">
        <f>AVERAGEIFS('Collapsed - Orthotrack outcomes'!X:X,'Collapsed - Orthotrack outcomes'!$K:$K,'NonPivot Summary'!$F4)</f>
        <v>35.474791780821917</v>
      </c>
      <c r="R4" s="22">
        <f>AVERAGEIFS('Collapsed - Orthotrack outcomes'!Y:Y,'Collapsed - Orthotrack outcomes'!$K:$K,'NonPivot Summary'!$F4)</f>
        <v>35.558027397260282</v>
      </c>
      <c r="S4" s="22">
        <f>AVERAGEIFS('Collapsed - Orthotrack outcomes'!Z:Z,'Collapsed - Orthotrack outcomes'!$K:$K,'NonPivot Summary'!$F4)</f>
        <v>14.511632876712326</v>
      </c>
      <c r="T4" s="22">
        <f>AVERAGEIFS('Collapsed - Orthotrack outcomes'!AA:AA,'Collapsed - Orthotrack outcomes'!$K:$K,'NonPivot Summary'!$F4)</f>
        <v>14.506926027397254</v>
      </c>
      <c r="U4" s="22">
        <f>AVERAGEIFS('Collapsed - Orthotrack outcomes'!AB:AB,'Collapsed - Orthotrack outcomes'!$K:$K,'NonPivot Summary'!$F4)</f>
        <v>35.665095890410967</v>
      </c>
      <c r="V4" s="22">
        <f>AVERAGEIFS('Collapsed - Orthotrack outcomes'!AC:AC,'Collapsed - Orthotrack outcomes'!$K:$K,'NonPivot Summary'!$F4)</f>
        <v>35.399964383561638</v>
      </c>
      <c r="W4" s="22">
        <f>AVERAGEIFS('Collapsed - Orthotrack outcomes'!AD:AD,'Collapsed - Orthotrack outcomes'!$K:$K,'NonPivot Summary'!$F4)</f>
        <v>12.810531506849317</v>
      </c>
      <c r="X4" s="22">
        <f>AVERAGEIFS('Collapsed - Orthotrack outcomes'!AE:AE,'Collapsed - Orthotrack outcomes'!$K:$K,'NonPivot Summary'!$F4)</f>
        <v>13.364383561643836</v>
      </c>
      <c r="Y4" s="22">
        <f>AVERAGEIFS('Collapsed - Orthotrack outcomes'!AF:AF,'Collapsed - Orthotrack outcomes'!$K:$K,'NonPivot Summary'!$F4)</f>
        <v>13.397260273972602</v>
      </c>
      <c r="Z4" s="22">
        <f>AVERAGEIFS('Collapsed - Orthotrack outcomes'!AG:AG,'Collapsed - Orthotrack outcomes'!$K:$K,'NonPivot Summary'!$F4)</f>
        <v>12.643835616438356</v>
      </c>
      <c r="AA4" s="22">
        <f>AVERAGEIFS('Collapsed - Orthotrack outcomes'!AH:AH,'Collapsed - Orthotrack outcomes'!$K:$K,'NonPivot Summary'!$F4)</f>
        <v>12.621917808219179</v>
      </c>
    </row>
    <row r="5" spans="1:27" ht="16" x14ac:dyDescent="0.2">
      <c r="F5" s="24" t="s">
        <v>55</v>
      </c>
      <c r="G5" s="20">
        <f>AVERAGEIFS('Collapsed - Orthotrack outcomes'!N:N,'Collapsed - Orthotrack outcomes'!$K:$K,'NonPivot Summary'!$F5)</f>
        <v>44.934747899159639</v>
      </c>
      <c r="H5" s="20">
        <f>AVERAGEIFS('Collapsed - Orthotrack outcomes'!O:O,'Collapsed - Orthotrack outcomes'!$K:$K,'NonPivot Summary'!$F5)</f>
        <v>44.264584033613431</v>
      </c>
      <c r="I5" s="20">
        <f>AVERAGEIFS('Collapsed - Orthotrack outcomes'!P:P,'Collapsed - Orthotrack outcomes'!$K:$K,'NonPivot Summary'!$F5)</f>
        <v>89.386021008403361</v>
      </c>
      <c r="J5" s="20">
        <f>AVERAGEIFS('Collapsed - Orthotrack outcomes'!Q:Q,'Collapsed - Orthotrack outcomes'!$K:$K,'NonPivot Summary'!$F5)</f>
        <v>89.322857142857131</v>
      </c>
      <c r="K5" s="20">
        <f>AVERAGEIFS('Collapsed - Orthotrack outcomes'!R:R,'Collapsed - Orthotrack outcomes'!$K:$K,'NonPivot Summary'!$F5)</f>
        <v>79.15435714285708</v>
      </c>
      <c r="L5" s="20">
        <f>AVERAGEIFS('Collapsed - Orthotrack outcomes'!S:S,'Collapsed - Orthotrack outcomes'!$K:$K,'NonPivot Summary'!$F5)</f>
        <v>79.139663865546225</v>
      </c>
      <c r="M5" s="20">
        <f>AVERAGEIFS('Collapsed - Orthotrack outcomes'!T:T,'Collapsed - Orthotrack outcomes'!$K:$K,'NonPivot Summary'!$F5)</f>
        <v>103.68440336134464</v>
      </c>
      <c r="N5" s="20">
        <f>AVERAGEIFS('Collapsed - Orthotrack outcomes'!U:U,'Collapsed - Orthotrack outcomes'!$K:$K,'NonPivot Summary'!$F5)</f>
        <v>103.58309243697489</v>
      </c>
      <c r="O5" s="20">
        <f>AVERAGEIFS('Collapsed - Orthotrack outcomes'!V:V,'Collapsed - Orthotrack outcomes'!$K:$K,'NonPivot Summary'!$F5)</f>
        <v>65.576163865546249</v>
      </c>
      <c r="P5" s="20">
        <f>AVERAGEIFS('Collapsed - Orthotrack outcomes'!W:W,'Collapsed - Orthotrack outcomes'!$K:$K,'NonPivot Summary'!$F5)</f>
        <v>65.591802521008375</v>
      </c>
      <c r="Q5" s="20">
        <f>AVERAGEIFS('Collapsed - Orthotrack outcomes'!X:X,'Collapsed - Orthotrack outcomes'!$K:$K,'NonPivot Summary'!$F5)</f>
        <v>34.423827731092423</v>
      </c>
      <c r="R5" s="20">
        <f>AVERAGEIFS('Collapsed - Orthotrack outcomes'!Y:Y,'Collapsed - Orthotrack outcomes'!$K:$K,'NonPivot Summary'!$F5)</f>
        <v>34.408184873949594</v>
      </c>
      <c r="S5" s="20">
        <f>AVERAGEIFS('Collapsed - Orthotrack outcomes'!Z:Z,'Collapsed - Orthotrack outcomes'!$K:$K,'NonPivot Summary'!$F5)</f>
        <v>15.598710084033611</v>
      </c>
      <c r="T5" s="20">
        <f>AVERAGEIFS('Collapsed - Orthotrack outcomes'!AA:AA,'Collapsed - Orthotrack outcomes'!$K:$K,'NonPivot Summary'!$F5)</f>
        <v>15.843487394957977</v>
      </c>
      <c r="U5" s="20">
        <f>AVERAGEIFS('Collapsed - Orthotrack outcomes'!AB:AB,'Collapsed - Orthotrack outcomes'!$K:$K,'NonPivot Summary'!$F5)</f>
        <v>34.408184873949594</v>
      </c>
      <c r="V5" s="20">
        <f>AVERAGEIFS('Collapsed - Orthotrack outcomes'!AC:AC,'Collapsed - Orthotrack outcomes'!$K:$K,'NonPivot Summary'!$F5)</f>
        <v>34.423827731092423</v>
      </c>
      <c r="W5" s="20">
        <f>AVERAGEIFS('Collapsed - Orthotrack outcomes'!AD:AD,'Collapsed - Orthotrack outcomes'!$K:$K,'NonPivot Summary'!$F5)</f>
        <v>12.145966386554614</v>
      </c>
      <c r="X5" s="20">
        <f>AVERAGEIFS('Collapsed - Orthotrack outcomes'!AE:AE,'Collapsed - Orthotrack outcomes'!$K:$K,'NonPivot Summary'!$F5)</f>
        <v>14.260504201680673</v>
      </c>
      <c r="Y5" s="20">
        <f>AVERAGEIFS('Collapsed - Orthotrack outcomes'!AF:AF,'Collapsed - Orthotrack outcomes'!$K:$K,'NonPivot Summary'!$F5)</f>
        <v>14.214285714285714</v>
      </c>
      <c r="Z5" s="20">
        <f>AVERAGEIFS('Collapsed - Orthotrack outcomes'!AG:AG,'Collapsed - Orthotrack outcomes'!$K:$K,'NonPivot Summary'!$F5)</f>
        <v>13.420168067226891</v>
      </c>
      <c r="AA5" s="20">
        <f>AVERAGEIFS('Collapsed - Orthotrack outcomes'!AH:AH,'Collapsed - Orthotrack outcomes'!$K:$K,'NonPivot Summary'!$F5)</f>
        <v>13.411764705882353</v>
      </c>
    </row>
    <row r="6" spans="1:27" ht="16" x14ac:dyDescent="0.2">
      <c r="F6" s="24" t="s">
        <v>51</v>
      </c>
      <c r="G6" s="22">
        <f>AVERAGEIFS('Collapsed - Orthotrack outcomes'!N:N,'Collapsed - Orthotrack outcomes'!$K:$K,'NonPivot Summary'!$F6)</f>
        <v>48.718932098765421</v>
      </c>
      <c r="H6" s="22">
        <f>AVERAGEIFS('Collapsed - Orthotrack outcomes'!O:O,'Collapsed - Orthotrack outcomes'!$K:$K,'NonPivot Summary'!$F6)</f>
        <v>49.440722222222242</v>
      </c>
      <c r="I6" s="22">
        <f>AVERAGEIFS('Collapsed - Orthotrack outcomes'!P:P,'Collapsed - Orthotrack outcomes'!$K:$K,'NonPivot Summary'!$F6)</f>
        <v>98.251895061728447</v>
      </c>
      <c r="J6" s="22">
        <f>AVERAGEIFS('Collapsed - Orthotrack outcomes'!Q:Q,'Collapsed - Orthotrack outcomes'!$K:$K,'NonPivot Summary'!$F6)</f>
        <v>98.288518518518515</v>
      </c>
      <c r="K6" s="22">
        <f>AVERAGEIFS('Collapsed - Orthotrack outcomes'!R:R,'Collapsed - Orthotrack outcomes'!$K:$K,'NonPivot Summary'!$F6)</f>
        <v>89.426771604938267</v>
      </c>
      <c r="L6" s="22">
        <f>AVERAGEIFS('Collapsed - Orthotrack outcomes'!S:S,'Collapsed - Orthotrack outcomes'!$K:$K,'NonPivot Summary'!$F6)</f>
        <v>89.557000000000002</v>
      </c>
      <c r="M6" s="22">
        <f>AVERAGEIFS('Collapsed - Orthotrack outcomes'!T:T,'Collapsed - Orthotrack outcomes'!$K:$K,'NonPivot Summary'!$F6)</f>
        <v>118.76357407407406</v>
      </c>
      <c r="N6" s="22">
        <f>AVERAGEIFS('Collapsed - Orthotrack outcomes'!U:U,'Collapsed - Orthotrack outcomes'!$K:$K,'NonPivot Summary'!$F6)</f>
        <v>114.58258024691358</v>
      </c>
      <c r="O6" s="22">
        <f>AVERAGEIFS('Collapsed - Orthotrack outcomes'!V:V,'Collapsed - Orthotrack outcomes'!$K:$K,'NonPivot Summary'!$F6)</f>
        <v>65.066635802469122</v>
      </c>
      <c r="P6" s="22">
        <f>AVERAGEIFS('Collapsed - Orthotrack outcomes'!W:W,'Collapsed - Orthotrack outcomes'!$K:$K,'NonPivot Summary'!$F6)</f>
        <v>60.571401234567915</v>
      </c>
      <c r="Q6" s="22">
        <f>AVERAGEIFS('Collapsed - Orthotrack outcomes'!X:X,'Collapsed - Orthotrack outcomes'!$K:$K,'NonPivot Summary'!$F6)</f>
        <v>34.933370370370362</v>
      </c>
      <c r="R6" s="22">
        <f>AVERAGEIFS('Collapsed - Orthotrack outcomes'!Y:Y,'Collapsed - Orthotrack outcomes'!$K:$K,'NonPivot Summary'!$F6)</f>
        <v>39.428604938271597</v>
      </c>
      <c r="S6" s="22">
        <f>AVERAGEIFS('Collapsed - Orthotrack outcomes'!Z:Z,'Collapsed - Orthotrack outcomes'!$K:$K,'NonPivot Summary'!$F6)</f>
        <v>9.1295246913580286</v>
      </c>
      <c r="T6" s="22">
        <f>AVERAGEIFS('Collapsed - Orthotrack outcomes'!AA:AA,'Collapsed - Orthotrack outcomes'!$K:$K,'NonPivot Summary'!$F6)</f>
        <v>9.1758641975308599</v>
      </c>
      <c r="U6" s="22">
        <f>AVERAGEIFS('Collapsed - Orthotrack outcomes'!AB:AB,'Collapsed - Orthotrack outcomes'!$K:$K,'NonPivot Summary'!$F6)</f>
        <v>39.428604938271597</v>
      </c>
      <c r="V6" s="22">
        <f>AVERAGEIFS('Collapsed - Orthotrack outcomes'!AC:AC,'Collapsed - Orthotrack outcomes'!$K:$K,'NonPivot Summary'!$F6)</f>
        <v>34.933370370370362</v>
      </c>
      <c r="W6" s="22">
        <f>AVERAGEIFS('Collapsed - Orthotrack outcomes'!AD:AD,'Collapsed - Orthotrack outcomes'!$K:$K,'NonPivot Summary'!$F6)</f>
        <v>12.624543209876544</v>
      </c>
      <c r="X6" s="22">
        <f>AVERAGEIFS('Collapsed - Orthotrack outcomes'!AE:AE,'Collapsed - Orthotrack outcomes'!$K:$K,'NonPivot Summary'!$F6)</f>
        <v>13.345679012345679</v>
      </c>
      <c r="Y6" s="22">
        <f>AVERAGEIFS('Collapsed - Orthotrack outcomes'!AF:AF,'Collapsed - Orthotrack outcomes'!$K:$K,'NonPivot Summary'!$F6)</f>
        <v>13.160493827160494</v>
      </c>
      <c r="Z6" s="22">
        <f>AVERAGEIFS('Collapsed - Orthotrack outcomes'!AG:AG,'Collapsed - Orthotrack outcomes'!$K:$K,'NonPivot Summary'!$F6)</f>
        <v>12.549382716049383</v>
      </c>
      <c r="AA6" s="22">
        <f>AVERAGEIFS('Collapsed - Orthotrack outcomes'!AH:AH,'Collapsed - Orthotrack outcomes'!$K:$K,'NonPivot Summary'!$F6)</f>
        <v>12.598765432098766</v>
      </c>
    </row>
    <row r="8" spans="1:27" x14ac:dyDescent="0.2">
      <c r="F8" s="24" t="s">
        <v>124</v>
      </c>
      <c r="G8" s="67" t="s">
        <v>124</v>
      </c>
      <c r="H8" s="67"/>
      <c r="I8" s="67"/>
      <c r="J8" s="67"/>
      <c r="K8" s="67"/>
      <c r="L8" s="67"/>
      <c r="M8" s="67"/>
      <c r="N8" s="67"/>
      <c r="O8" s="67"/>
      <c r="P8" s="67"/>
      <c r="Q8" s="67"/>
      <c r="R8" s="67"/>
      <c r="S8" s="67"/>
      <c r="T8" s="67"/>
      <c r="U8" s="67"/>
      <c r="V8" s="67"/>
      <c r="W8" s="67"/>
      <c r="X8" s="67"/>
      <c r="Y8" s="67"/>
      <c r="Z8" s="67"/>
      <c r="AA8" s="67"/>
    </row>
    <row r="9" spans="1:27" x14ac:dyDescent="0.2">
      <c r="F9" s="25"/>
      <c r="G9" s="23" t="s">
        <v>50</v>
      </c>
      <c r="H9" s="23" t="s">
        <v>20</v>
      </c>
      <c r="I9" s="23" t="s">
        <v>23</v>
      </c>
      <c r="J9" s="23" t="s">
        <v>22</v>
      </c>
      <c r="K9" s="23" t="s">
        <v>11</v>
      </c>
      <c r="L9" s="23" t="s">
        <v>10</v>
      </c>
      <c r="M9" s="23" t="s">
        <v>9</v>
      </c>
      <c r="N9" s="23" t="s">
        <v>8</v>
      </c>
      <c r="O9" s="23" t="s">
        <v>27</v>
      </c>
      <c r="P9" s="23" t="s">
        <v>26</v>
      </c>
      <c r="Q9" s="23" t="s">
        <v>25</v>
      </c>
      <c r="R9" s="23" t="s">
        <v>24</v>
      </c>
      <c r="S9" s="23" t="s">
        <v>13</v>
      </c>
      <c r="T9" s="23" t="s">
        <v>12</v>
      </c>
      <c r="U9" s="23" t="s">
        <v>19</v>
      </c>
      <c r="V9" s="23" t="s">
        <v>18</v>
      </c>
      <c r="W9" s="23" t="s">
        <v>21</v>
      </c>
      <c r="X9" s="23" t="s">
        <v>15</v>
      </c>
      <c r="Y9" s="23" t="s">
        <v>14</v>
      </c>
      <c r="Z9" s="23" t="s">
        <v>17</v>
      </c>
      <c r="AA9" s="23" t="s">
        <v>16</v>
      </c>
    </row>
    <row r="10" spans="1:27" ht="16" x14ac:dyDescent="0.2">
      <c r="F10" s="24" t="s">
        <v>52</v>
      </c>
      <c r="G10" s="22">
        <f>DSTDEV('Collapsed - Orthotrack outcomes'!$K:$AH,'NonPivot Summary'!G$9,$A$1:$A$2)</f>
        <v>14.394749290173358</v>
      </c>
      <c r="H10" s="22">
        <f>DSTDEV('Collapsed - Orthotrack outcomes'!$K:$AH,'NonPivot Summary'!H$9,$A$1:$A$2)</f>
        <v>14.280688079700605</v>
      </c>
      <c r="I10" s="22">
        <f>DSTDEV('Collapsed - Orthotrack outcomes'!$K:$AH,'NonPivot Summary'!I$9,$A$1:$A$2)</f>
        <v>28.052022112417522</v>
      </c>
      <c r="J10" s="22">
        <f>DSTDEV('Collapsed - Orthotrack outcomes'!$K:$AH,'NonPivot Summary'!J$9,$A$1:$A$2)</f>
        <v>28.506799356803505</v>
      </c>
      <c r="K10" s="22">
        <f>DSTDEV('Collapsed - Orthotrack outcomes'!$K:$AH,'NonPivot Summary'!K$9,$A$1:$A$2)</f>
        <v>28.961540414885238</v>
      </c>
      <c r="L10" s="22">
        <f>DSTDEV('Collapsed - Orthotrack outcomes'!$K:$AH,'NonPivot Summary'!L$9,$A$1:$A$2)</f>
        <v>29.332880509860818</v>
      </c>
      <c r="M10" s="22">
        <f>DSTDEV('Collapsed - Orthotrack outcomes'!$K:$AH,'NonPivot Summary'!M$9,$A$1:$A$2)</f>
        <v>17.476332456206812</v>
      </c>
      <c r="N10" s="22">
        <f>DSTDEV('Collapsed - Orthotrack outcomes'!$K:$AH,'NonPivot Summary'!N$9,$A$1:$A$2)</f>
        <v>18.342726251178114</v>
      </c>
      <c r="O10" s="22">
        <f>DSTDEV('Collapsed - Orthotrack outcomes'!$K:$AH,'NonPivot Summary'!O$9,$A$1:$A$2)</f>
        <v>3.8319299675628069</v>
      </c>
      <c r="P10" s="22">
        <f>DSTDEV('Collapsed - Orthotrack outcomes'!$K:$AH,'NonPivot Summary'!P$9,$A$1:$A$2)</f>
        <v>5.1394154481060603</v>
      </c>
      <c r="Q10" s="22">
        <f>DSTDEV('Collapsed - Orthotrack outcomes'!$K:$AH,'NonPivot Summary'!Q$9,$A$1:$A$2)</f>
        <v>3.8319372091942094</v>
      </c>
      <c r="R10" s="22">
        <f>DSTDEV('Collapsed - Orthotrack outcomes'!$K:$AH,'NonPivot Summary'!R$9,$A$1:$A$2)</f>
        <v>4.3074026197833435</v>
      </c>
      <c r="S10" s="22">
        <f>DSTDEV('Collapsed - Orthotrack outcomes'!$K:$AH,'NonPivot Summary'!S$9,$A$1:$A$2)</f>
        <v>3.8871547833737314</v>
      </c>
      <c r="T10" s="22">
        <f>DSTDEV('Collapsed - Orthotrack outcomes'!$K:$AH,'NonPivot Summary'!T$9,$A$1:$A$2)</f>
        <v>3.8511196313336042</v>
      </c>
      <c r="U10" s="22">
        <f>DSTDEV('Collapsed - Orthotrack outcomes'!$K:$AH,'NonPivot Summary'!U$9,$A$1:$A$2)</f>
        <v>3.8862252687768075</v>
      </c>
      <c r="V10" s="22">
        <f>DSTDEV('Collapsed - Orthotrack outcomes'!$K:$AH,'NonPivot Summary'!V$9,$A$1:$A$2)</f>
        <v>4.2370255630990066</v>
      </c>
      <c r="W10" s="22">
        <f>DSTDEV('Collapsed - Orthotrack outcomes'!$K:$AH,'NonPivot Summary'!W$9,$A$1:$A$2)</f>
        <v>4.0297275324710355</v>
      </c>
      <c r="X10" s="22">
        <f>DSTDEV('Collapsed - Orthotrack outcomes'!$K:$AH,'NonPivot Summary'!X$9,$A$1:$A$2)</f>
        <v>4.7470456359780986</v>
      </c>
      <c r="Y10" s="22">
        <f>DSTDEV('Collapsed - Orthotrack outcomes'!$K:$AH,'NonPivot Summary'!Y$9,$A$1:$A$2)</f>
        <v>4.655552415928315</v>
      </c>
      <c r="Z10" s="22">
        <f>DSTDEV('Collapsed - Orthotrack outcomes'!$K:$AH,'NonPivot Summary'!Z$9,$A$1:$A$2)</f>
        <v>4.6638952940179887</v>
      </c>
      <c r="AA10" s="22">
        <f>DSTDEV('Collapsed - Orthotrack outcomes'!$K:$AH,'NonPivot Summary'!AA$9,$A$1:$A$2)</f>
        <v>4.6598072926050245</v>
      </c>
    </row>
    <row r="11" spans="1:27" ht="16" x14ac:dyDescent="0.2">
      <c r="F11" s="24" t="s">
        <v>55</v>
      </c>
      <c r="G11" s="20">
        <f>DSTDEV('Collapsed - Orthotrack outcomes'!$K:$AH,'NonPivot Summary'!G$9,$B$1:$B$2)</f>
        <v>13.186354819975501</v>
      </c>
      <c r="H11" s="20">
        <f>DSTDEV('Collapsed - Orthotrack outcomes'!$K:$AH,'NonPivot Summary'!H$9,$B$1:$B$2)</f>
        <v>13.562892517226505</v>
      </c>
      <c r="I11" s="20">
        <f>DSTDEV('Collapsed - Orthotrack outcomes'!$K:$AH,'NonPivot Summary'!I$9,$B$1:$B$2)</f>
        <v>26.314672150890328</v>
      </c>
      <c r="J11" s="20">
        <f>DSTDEV('Collapsed - Orthotrack outcomes'!$K:$AH,'NonPivot Summary'!J$9,$B$1:$B$2)</f>
        <v>26.381834714586887</v>
      </c>
      <c r="K11" s="20">
        <f>DSTDEV('Collapsed - Orthotrack outcomes'!$K:$AH,'NonPivot Summary'!K$9,$B$1:$B$2)</f>
        <v>29.992396326743251</v>
      </c>
      <c r="L11" s="20">
        <f>DSTDEV('Collapsed - Orthotrack outcomes'!$K:$AH,'NonPivot Summary'!L$9,$B$1:$B$2)</f>
        <v>29.965468103658043</v>
      </c>
      <c r="M11" s="20">
        <f>DSTDEV('Collapsed - Orthotrack outcomes'!$K:$AH,'NonPivot Summary'!M$9,$B$1:$B$2)</f>
        <v>17.05722037684556</v>
      </c>
      <c r="N11" s="20">
        <f>DSTDEV('Collapsed - Orthotrack outcomes'!$K:$AH,'NonPivot Summary'!N$9,$B$1:$B$2)</f>
        <v>17.191482855407408</v>
      </c>
      <c r="O11" s="20">
        <f>DSTDEV('Collapsed - Orthotrack outcomes'!$K:$AH,'NonPivot Summary'!O$9,$B$1:$B$2)</f>
        <v>4.5342433961540296</v>
      </c>
      <c r="P11" s="20">
        <f>DSTDEV('Collapsed - Orthotrack outcomes'!$K:$AH,'NonPivot Summary'!P$9,$B$1:$B$2)</f>
        <v>4.9915825728010041</v>
      </c>
      <c r="Q11" s="20">
        <f>DSTDEV('Collapsed - Orthotrack outcomes'!$K:$AH,'NonPivot Summary'!Q$9,$B$1:$B$2)</f>
        <v>4.5342492593290062</v>
      </c>
      <c r="R11" s="20">
        <f>DSTDEV('Collapsed - Orthotrack outcomes'!$K:$AH,'NonPivot Summary'!R$9,$B$1:$B$2)</f>
        <v>4.9915824519843861</v>
      </c>
      <c r="S11" s="20">
        <f>DSTDEV('Collapsed - Orthotrack outcomes'!$K:$AH,'NonPivot Summary'!S$9,$B$1:$B$2)</f>
        <v>4.4909286697116473</v>
      </c>
      <c r="T11" s="20">
        <f>DSTDEV('Collapsed - Orthotrack outcomes'!$K:$AH,'NonPivot Summary'!T$9,$B$1:$B$2)</f>
        <v>5.3172576334372543</v>
      </c>
      <c r="U11" s="20">
        <f>DSTDEV('Collapsed - Orthotrack outcomes'!$K:$AH,'NonPivot Summary'!U$9,$B$1:$B$2)</f>
        <v>4.9915824519843861</v>
      </c>
      <c r="V11" s="20">
        <f>DSTDEV('Collapsed - Orthotrack outcomes'!$K:$AH,'NonPivot Summary'!V$9,$B$1:$B$2)</f>
        <v>4.5342492593290062</v>
      </c>
      <c r="W11" s="20">
        <f>DSTDEV('Collapsed - Orthotrack outcomes'!$K:$AH,'NonPivot Summary'!W$9,$B$1:$B$2)</f>
        <v>4.2549446538473612</v>
      </c>
      <c r="X11" s="20">
        <f>DSTDEV('Collapsed - Orthotrack outcomes'!$K:$AH,'NonPivot Summary'!X$9,$B$1:$B$2)</f>
        <v>4.164268713942846</v>
      </c>
      <c r="Y11" s="20">
        <f>DSTDEV('Collapsed - Orthotrack outcomes'!$K:$AH,'NonPivot Summary'!Y$9,$B$1:$B$2)</f>
        <v>4.2842422627722829</v>
      </c>
      <c r="Z11" s="20">
        <f>DSTDEV('Collapsed - Orthotrack outcomes'!$K:$AH,'NonPivot Summary'!Z$9,$B$1:$B$2)</f>
        <v>4.085573669378773</v>
      </c>
      <c r="AA11" s="20">
        <f>DSTDEV('Collapsed - Orthotrack outcomes'!$K:$AH,'NonPivot Summary'!AA$9,$B$1:$B$2)</f>
        <v>4.0729876130798406</v>
      </c>
    </row>
    <row r="12" spans="1:27" ht="16" x14ac:dyDescent="0.2">
      <c r="F12" s="24" t="s">
        <v>51</v>
      </c>
      <c r="G12" s="22">
        <f>DSTDEV('Collapsed - Orthotrack outcomes'!$K:$AH,'NonPivot Summary'!G$9,$C$1:$C$2)</f>
        <v>13.409598746724527</v>
      </c>
      <c r="H12" s="22">
        <f>DSTDEV('Collapsed - Orthotrack outcomes'!$K:$AH,'NonPivot Summary'!H$9,$C$1:$C$2)</f>
        <v>13.215348406538904</v>
      </c>
      <c r="I12" s="22">
        <f>DSTDEV('Collapsed - Orthotrack outcomes'!$K:$AH,'NonPivot Summary'!I$9,$C$1:$C$2)</f>
        <v>26.42106585288662</v>
      </c>
      <c r="J12" s="22">
        <f>DSTDEV('Collapsed - Orthotrack outcomes'!$K:$AH,'NonPivot Summary'!J$9,$C$1:$C$2)</f>
        <v>26.227014529075706</v>
      </c>
      <c r="K12" s="22">
        <f>DSTDEV('Collapsed - Orthotrack outcomes'!$K:$AH,'NonPivot Summary'!K$9,$C$1:$C$2)</f>
        <v>27.667483530720066</v>
      </c>
      <c r="L12" s="22">
        <f>DSTDEV('Collapsed - Orthotrack outcomes'!$K:$AH,'NonPivot Summary'!L$9,$C$1:$C$2)</f>
        <v>27.713421230482059</v>
      </c>
      <c r="M12" s="22">
        <f>DSTDEV('Collapsed - Orthotrack outcomes'!$K:$AH,'NonPivot Summary'!M$9,$C$1:$C$2)</f>
        <v>130.58932633862244</v>
      </c>
      <c r="N12" s="22">
        <f>DSTDEV('Collapsed - Orthotrack outcomes'!$K:$AH,'NonPivot Summary'!N$9,$C$1:$C$2)</f>
        <v>78.11076935768078</v>
      </c>
      <c r="O12" s="22">
        <f>DSTDEV('Collapsed - Orthotrack outcomes'!$K:$AH,'NonPivot Summary'!O$9,$C$1:$C$2)</f>
        <v>11.492029789388967</v>
      </c>
      <c r="P12" s="22">
        <f>DSTDEV('Collapsed - Orthotrack outcomes'!$K:$AH,'NonPivot Summary'!P$9,$C$1:$C$2)</f>
        <v>45.000735260033224</v>
      </c>
      <c r="Q12" s="22">
        <f>DSTDEV('Collapsed - Orthotrack outcomes'!$K:$AH,'NonPivot Summary'!Q$9,$C$1:$C$2)</f>
        <v>11.491877266862558</v>
      </c>
      <c r="R12" s="22">
        <f>DSTDEV('Collapsed - Orthotrack outcomes'!$K:$AH,'NonPivot Summary'!R$9,$C$1:$C$2)</f>
        <v>45.000894506824942</v>
      </c>
      <c r="S12" s="22">
        <f>DSTDEV('Collapsed - Orthotrack outcomes'!$K:$AH,'NonPivot Summary'!S$9,$C$1:$C$2)</f>
        <v>64.452285855237321</v>
      </c>
      <c r="T12" s="22">
        <f>DSTDEV('Collapsed - Orthotrack outcomes'!$K:$AH,'NonPivot Summary'!T$9,$C$1:$C$2)</f>
        <v>66.727141146027051</v>
      </c>
      <c r="U12" s="22">
        <f>DSTDEV('Collapsed - Orthotrack outcomes'!$K:$AH,'NonPivot Summary'!U$9,$C$1:$C$2)</f>
        <v>45.000894506824942</v>
      </c>
      <c r="V12" s="22">
        <f>DSTDEV('Collapsed - Orthotrack outcomes'!$K:$AH,'NonPivot Summary'!V$9,$C$1:$C$2)</f>
        <v>11.491877266862558</v>
      </c>
      <c r="W12" s="22">
        <f>DSTDEV('Collapsed - Orthotrack outcomes'!$K:$AH,'NonPivot Summary'!W$9,$C$1:$C$2)</f>
        <v>3.7177364115912739</v>
      </c>
      <c r="X12" s="22">
        <f>DSTDEV('Collapsed - Orthotrack outcomes'!$K:$AH,'NonPivot Summary'!X$9,$C$1:$C$2)</f>
        <v>4.1588355209259937</v>
      </c>
      <c r="Y12" s="22">
        <f>DSTDEV('Collapsed - Orthotrack outcomes'!$K:$AH,'NonPivot Summary'!Y$9,$C$1:$C$2)</f>
        <v>4.1612133625938945</v>
      </c>
      <c r="Z12" s="22">
        <f>DSTDEV('Collapsed - Orthotrack outcomes'!$K:$AH,'NonPivot Summary'!Z$9,$C$1:$C$2)</f>
        <v>4.0093872289911765</v>
      </c>
      <c r="AA12" s="22">
        <f>DSTDEV('Collapsed - Orthotrack outcomes'!$K:$AH,'NonPivot Summary'!AA$9,$C$1:$C$2)</f>
        <v>4.031644820300829</v>
      </c>
    </row>
    <row r="14" spans="1:27" x14ac:dyDescent="0.2">
      <c r="F14" s="25" t="s">
        <v>5</v>
      </c>
      <c r="G14" s="23" t="s">
        <v>128</v>
      </c>
      <c r="H14" s="23" t="s">
        <v>158</v>
      </c>
      <c r="I14" s="23" t="s">
        <v>130</v>
      </c>
    </row>
    <row r="15" spans="1:27" ht="16" x14ac:dyDescent="0.2">
      <c r="F15" s="24" t="s">
        <v>52</v>
      </c>
      <c r="G15" s="22">
        <f>COUNTIFS('Collapsed - Orthotrack outcomes'!$K:$K,'NonPivot Summary'!$F15,'Collapsed - Orthotrack outcomes'!N:N,"&lt;&gt;NA")</f>
        <v>365</v>
      </c>
      <c r="H15" s="22">
        <f>COUNTIFS('Collapsed - Orthotrack outcomes'!$K:$K,'NonPivot Summary'!$F15)</f>
        <v>448</v>
      </c>
      <c r="I15" s="22">
        <f>H15-G15</f>
        <v>83</v>
      </c>
    </row>
    <row r="16" spans="1:27" ht="16" x14ac:dyDescent="0.2">
      <c r="F16" s="24" t="s">
        <v>55</v>
      </c>
      <c r="G16" s="20">
        <f>COUNTIFS('Collapsed - Orthotrack outcomes'!$K:$K,'NonPivot Summary'!$F16,'Collapsed - Orthotrack outcomes'!N:N,"&lt;&gt;NA")</f>
        <v>238</v>
      </c>
      <c r="H16" s="20">
        <f>COUNTIFS('Collapsed - Orthotrack outcomes'!$K:$K,'NonPivot Summary'!$F16)</f>
        <v>297</v>
      </c>
      <c r="I16" s="20">
        <f t="shared" ref="I16:I17" si="0">H16-G16</f>
        <v>59</v>
      </c>
    </row>
    <row r="17" spans="4:27" ht="16" x14ac:dyDescent="0.2">
      <c r="F17" s="24" t="s">
        <v>51</v>
      </c>
      <c r="G17" s="22">
        <f>COUNTIFS('Collapsed - Orthotrack outcomes'!$K:$K,'NonPivot Summary'!$F17,'Collapsed - Orthotrack outcomes'!N:N,"&lt;&gt;NA")</f>
        <v>162</v>
      </c>
      <c r="H17" s="22">
        <f>COUNTIFS('Collapsed - Orthotrack outcomes'!$K:$K,'NonPivot Summary'!$F17)</f>
        <v>208</v>
      </c>
      <c r="I17" s="22">
        <f t="shared" si="0"/>
        <v>46</v>
      </c>
    </row>
    <row r="18" spans="4:27" s="28" customFormat="1" x14ac:dyDescent="0.2"/>
    <row r="19" spans="4:27" x14ac:dyDescent="0.2">
      <c r="F19" s="24" t="s">
        <v>6</v>
      </c>
      <c r="G19" s="67" t="s">
        <v>6</v>
      </c>
      <c r="H19" s="67"/>
      <c r="I19" s="67"/>
      <c r="J19" s="67"/>
      <c r="K19" s="67"/>
      <c r="L19" s="67"/>
      <c r="M19" s="67"/>
      <c r="N19" s="67"/>
      <c r="O19" s="67"/>
      <c r="P19" s="67"/>
      <c r="Q19" s="67"/>
      <c r="R19" s="67"/>
      <c r="S19" s="67"/>
      <c r="T19" s="67"/>
      <c r="U19" s="67"/>
      <c r="V19" s="67"/>
      <c r="W19" s="67"/>
      <c r="X19" s="67"/>
      <c r="Y19" s="67"/>
      <c r="Z19" s="67"/>
      <c r="AA19" s="67"/>
    </row>
    <row r="20" spans="4:27" ht="16" x14ac:dyDescent="0.2">
      <c r="D20" s="13"/>
      <c r="E20" s="13"/>
      <c r="F20" s="25"/>
      <c r="G20" s="23" t="s">
        <v>50</v>
      </c>
      <c r="H20" s="23" t="s">
        <v>20</v>
      </c>
      <c r="I20" s="23" t="s">
        <v>23</v>
      </c>
      <c r="J20" s="23" t="s">
        <v>22</v>
      </c>
      <c r="K20" s="23" t="s">
        <v>11</v>
      </c>
      <c r="L20" s="23" t="s">
        <v>10</v>
      </c>
      <c r="M20" s="23" t="s">
        <v>9</v>
      </c>
      <c r="N20" s="23" t="s">
        <v>8</v>
      </c>
      <c r="O20" s="23" t="s">
        <v>27</v>
      </c>
      <c r="P20" s="23" t="s">
        <v>26</v>
      </c>
      <c r="Q20" s="23" t="s">
        <v>25</v>
      </c>
      <c r="R20" s="23" t="s">
        <v>24</v>
      </c>
      <c r="S20" s="23" t="s">
        <v>13</v>
      </c>
      <c r="T20" s="23" t="s">
        <v>12</v>
      </c>
      <c r="U20" s="23" t="s">
        <v>19</v>
      </c>
      <c r="V20" s="23" t="s">
        <v>18</v>
      </c>
      <c r="W20" s="23" t="s">
        <v>21</v>
      </c>
      <c r="X20" s="23" t="s">
        <v>15</v>
      </c>
      <c r="Y20" s="23" t="s">
        <v>14</v>
      </c>
      <c r="Z20" s="23" t="s">
        <v>17</v>
      </c>
      <c r="AA20" s="23" t="s">
        <v>16</v>
      </c>
    </row>
    <row r="21" spans="4:27" ht="16" x14ac:dyDescent="0.2">
      <c r="D21" s="13">
        <v>0</v>
      </c>
      <c r="E21" s="13">
        <v>10</v>
      </c>
      <c r="F21" s="24" t="s">
        <v>114</v>
      </c>
      <c r="G21" s="22">
        <f>AVERAGEIFS('Collapsed - Orthotrack outcomes'!N:N,'Collapsed - Orthotrack outcomes'!$I:$I,"&gt;="&amp;$D21,'Collapsed - Orthotrack outcomes'!$I:$I,"&lt;"&amp;$E21)</f>
        <v>45.584000000000003</v>
      </c>
      <c r="H21" s="22">
        <f>AVERAGEIFS('Collapsed - Orthotrack outcomes'!O:O,'Collapsed - Orthotrack outcomes'!$I:$I,"&gt;="&amp;$D21,'Collapsed - Orthotrack outcomes'!$I:$I,"&lt;"&amp;$E21)</f>
        <v>39.342500000000001</v>
      </c>
      <c r="I21" s="22">
        <f>AVERAGEIFS('Collapsed - Orthotrack outcomes'!P:P,'Collapsed - Orthotrack outcomes'!$I:$I,"&gt;="&amp;$D21,'Collapsed - Orthotrack outcomes'!$I:$I,"&lt;"&amp;$E21)</f>
        <v>84.891500000000008</v>
      </c>
      <c r="J21" s="22">
        <f>AVERAGEIFS('Collapsed - Orthotrack outcomes'!Q:Q,'Collapsed - Orthotrack outcomes'!$I:$I,"&gt;="&amp;$D21,'Collapsed - Orthotrack outcomes'!$I:$I,"&lt;"&amp;$E21)</f>
        <v>85.138000000000005</v>
      </c>
      <c r="K21" s="22">
        <f>AVERAGEIFS('Collapsed - Orthotrack outcomes'!R:R,'Collapsed - Orthotrack outcomes'!$I:$I,"&gt;="&amp;$D21,'Collapsed - Orthotrack outcomes'!$I:$I,"&lt;"&amp;$E21)</f>
        <v>72.485500000000002</v>
      </c>
      <c r="L21" s="22">
        <f>AVERAGEIFS('Collapsed - Orthotrack outcomes'!S:S,'Collapsed - Orthotrack outcomes'!$I:$I,"&gt;="&amp;$D21,'Collapsed - Orthotrack outcomes'!$I:$I,"&lt;"&amp;$E21)</f>
        <v>72.384500000000003</v>
      </c>
      <c r="M21" s="22">
        <f>AVERAGEIFS('Collapsed - Orthotrack outcomes'!T:T,'Collapsed - Orthotrack outcomes'!$I:$I,"&gt;="&amp;$D21,'Collapsed - Orthotrack outcomes'!$I:$I,"&lt;"&amp;$E21)</f>
        <v>103.2535</v>
      </c>
      <c r="N21" s="22">
        <f>AVERAGEIFS('Collapsed - Orthotrack outcomes'!U:U,'Collapsed - Orthotrack outcomes'!$I:$I,"&gt;="&amp;$D21,'Collapsed - Orthotrack outcomes'!$I:$I,"&lt;"&amp;$E21)</f>
        <v>103.72450000000001</v>
      </c>
      <c r="O21" s="22">
        <f>AVERAGEIFS('Collapsed - Orthotrack outcomes'!V:V,'Collapsed - Orthotrack outcomes'!$I:$I,"&gt;="&amp;$D21,'Collapsed - Orthotrack outcomes'!$I:$I,"&lt;"&amp;$E21)</f>
        <v>68.352499999999992</v>
      </c>
      <c r="P21" s="22">
        <f>AVERAGEIFS('Collapsed - Orthotrack outcomes'!W:W,'Collapsed - Orthotrack outcomes'!$I:$I,"&gt;="&amp;$D21,'Collapsed - Orthotrack outcomes'!$I:$I,"&lt;"&amp;$E21)</f>
        <v>65.627499999999998</v>
      </c>
      <c r="Q21" s="22">
        <f>AVERAGEIFS('Collapsed - Orthotrack outcomes'!X:X,'Collapsed - Orthotrack outcomes'!$I:$I,"&gt;="&amp;$D21,'Collapsed - Orthotrack outcomes'!$I:$I,"&lt;"&amp;$E21)</f>
        <v>31.647500000000001</v>
      </c>
      <c r="R21" s="22">
        <f>AVERAGEIFS('Collapsed - Orthotrack outcomes'!Y:Y,'Collapsed - Orthotrack outcomes'!$I:$I,"&gt;="&amp;$D21,'Collapsed - Orthotrack outcomes'!$I:$I,"&lt;"&amp;$E21)</f>
        <v>34.372500000000002</v>
      </c>
      <c r="S21" s="22">
        <f>AVERAGEIFS('Collapsed - Orthotrack outcomes'!Z:Z,'Collapsed - Orthotrack outcomes'!$I:$I,"&gt;="&amp;$D21,'Collapsed - Orthotrack outcomes'!$I:$I,"&lt;"&amp;$E21)</f>
        <v>16.91</v>
      </c>
      <c r="T21" s="22">
        <f>AVERAGEIFS('Collapsed - Orthotrack outcomes'!AA:AA,'Collapsed - Orthotrack outcomes'!$I:$I,"&gt;="&amp;$D21,'Collapsed - Orthotrack outcomes'!$I:$I,"&lt;"&amp;$E21)</f>
        <v>16.3445</v>
      </c>
      <c r="U21" s="22">
        <f>AVERAGEIFS('Collapsed - Orthotrack outcomes'!AB:AB,'Collapsed - Orthotrack outcomes'!$I:$I,"&gt;="&amp;$D21,'Collapsed - Orthotrack outcomes'!$I:$I,"&lt;"&amp;$E21)</f>
        <v>34.372500000000002</v>
      </c>
      <c r="V21" s="22">
        <f>AVERAGEIFS('Collapsed - Orthotrack outcomes'!AC:AC,'Collapsed - Orthotrack outcomes'!$I:$I,"&gt;="&amp;$D21,'Collapsed - Orthotrack outcomes'!$I:$I,"&lt;"&amp;$E21)</f>
        <v>31.647500000000001</v>
      </c>
      <c r="W21" s="22">
        <f>AVERAGEIFS('Collapsed - Orthotrack outcomes'!AD:AD,'Collapsed - Orthotrack outcomes'!$I:$I,"&gt;="&amp;$D21,'Collapsed - Orthotrack outcomes'!$I:$I,"&lt;"&amp;$E21)</f>
        <v>14.536999999999999</v>
      </c>
      <c r="X21" s="22">
        <f>AVERAGEIFS('Collapsed - Orthotrack outcomes'!AE:AE,'Collapsed - Orthotrack outcomes'!$I:$I,"&gt;="&amp;$D21,'Collapsed - Orthotrack outcomes'!$I:$I,"&lt;"&amp;$E21)</f>
        <v>12</v>
      </c>
      <c r="Y21" s="22">
        <f>AVERAGEIFS('Collapsed - Orthotrack outcomes'!AF:AF,'Collapsed - Orthotrack outcomes'!$I:$I,"&gt;="&amp;$D21,'Collapsed - Orthotrack outcomes'!$I:$I,"&lt;"&amp;$E21)</f>
        <v>12</v>
      </c>
      <c r="Z21" s="22">
        <f>AVERAGEIFS('Collapsed - Orthotrack outcomes'!AG:AG,'Collapsed - Orthotrack outcomes'!$I:$I,"&gt;="&amp;$D21,'Collapsed - Orthotrack outcomes'!$I:$I,"&lt;"&amp;$E21)</f>
        <v>11.5</v>
      </c>
      <c r="AA21" s="22">
        <f>AVERAGEIFS('Collapsed - Orthotrack outcomes'!AH:AH,'Collapsed - Orthotrack outcomes'!$I:$I,"&gt;="&amp;$D21,'Collapsed - Orthotrack outcomes'!$I:$I,"&lt;"&amp;$E21)</f>
        <v>11.5</v>
      </c>
    </row>
    <row r="22" spans="4:27" ht="16" x14ac:dyDescent="0.2">
      <c r="D22" s="13">
        <v>10</v>
      </c>
      <c r="E22" s="13">
        <v>20</v>
      </c>
      <c r="F22" s="24" t="s">
        <v>115</v>
      </c>
      <c r="G22" s="20">
        <f>AVERAGEIFS('Collapsed - Orthotrack outcomes'!N:N,'Collapsed - Orthotrack outcomes'!$I:$I,"&gt;="&amp;$D22,'Collapsed - Orthotrack outcomes'!$I:$I,"&lt;"&amp;$E22)</f>
        <v>63.201999999999998</v>
      </c>
      <c r="H22" s="20">
        <f>AVERAGEIFS('Collapsed - Orthotrack outcomes'!O:O,'Collapsed - Orthotrack outcomes'!$I:$I,"&gt;="&amp;$D22,'Collapsed - Orthotrack outcomes'!$I:$I,"&lt;"&amp;$E22)</f>
        <v>65.960999999999999</v>
      </c>
      <c r="I22" s="20">
        <f>AVERAGEIFS('Collapsed - Orthotrack outcomes'!P:P,'Collapsed - Orthotrack outcomes'!$I:$I,"&gt;="&amp;$D22,'Collapsed - Orthotrack outcomes'!$I:$I,"&lt;"&amp;$E22)</f>
        <v>129.27233333333334</v>
      </c>
      <c r="J22" s="20">
        <f>AVERAGEIFS('Collapsed - Orthotrack outcomes'!Q:Q,'Collapsed - Orthotrack outcomes'!$I:$I,"&gt;="&amp;$D22,'Collapsed - Orthotrack outcomes'!$I:$I,"&lt;"&amp;$E22)</f>
        <v>127.75999999999999</v>
      </c>
      <c r="K22" s="20">
        <f>AVERAGEIFS('Collapsed - Orthotrack outcomes'!R:R,'Collapsed - Orthotrack outcomes'!$I:$I,"&gt;="&amp;$D22,'Collapsed - Orthotrack outcomes'!$I:$I,"&lt;"&amp;$E22)</f>
        <v>117.76966666666668</v>
      </c>
      <c r="L22" s="20">
        <f>AVERAGEIFS('Collapsed - Orthotrack outcomes'!S:S,'Collapsed - Orthotrack outcomes'!$I:$I,"&gt;="&amp;$D22,'Collapsed - Orthotrack outcomes'!$I:$I,"&lt;"&amp;$E22)</f>
        <v>116.12533333333333</v>
      </c>
      <c r="M22" s="20">
        <f>AVERAGEIFS('Collapsed - Orthotrack outcomes'!T:T,'Collapsed - Orthotrack outcomes'!$I:$I,"&gt;="&amp;$D22,'Collapsed - Orthotrack outcomes'!$I:$I,"&lt;"&amp;$E22)</f>
        <v>109.19666666666666</v>
      </c>
      <c r="N22" s="20">
        <f>AVERAGEIFS('Collapsed - Orthotrack outcomes'!U:U,'Collapsed - Orthotrack outcomes'!$I:$I,"&gt;="&amp;$D22,'Collapsed - Orthotrack outcomes'!$I:$I,"&lt;"&amp;$E22)</f>
        <v>109.16966666666667</v>
      </c>
      <c r="O22" s="20">
        <f>AVERAGEIFS('Collapsed - Orthotrack outcomes'!V:V,'Collapsed - Orthotrack outcomes'!$I:$I,"&gt;="&amp;$D22,'Collapsed - Orthotrack outcomes'!$I:$I,"&lt;"&amp;$E22)</f>
        <v>63.123333333333335</v>
      </c>
      <c r="P22" s="20">
        <f>AVERAGEIFS('Collapsed - Orthotrack outcomes'!W:W,'Collapsed - Orthotrack outcomes'!$I:$I,"&gt;="&amp;$D22,'Collapsed - Orthotrack outcomes'!$I:$I,"&lt;"&amp;$E22)</f>
        <v>63.078333333333326</v>
      </c>
      <c r="Q22" s="20">
        <f>AVERAGEIFS('Collapsed - Orthotrack outcomes'!X:X,'Collapsed - Orthotrack outcomes'!$I:$I,"&gt;="&amp;$D22,'Collapsed - Orthotrack outcomes'!$I:$I,"&lt;"&amp;$E22)</f>
        <v>36.876666666666665</v>
      </c>
      <c r="R22" s="20">
        <f>AVERAGEIFS('Collapsed - Orthotrack outcomes'!Y:Y,'Collapsed - Orthotrack outcomes'!$I:$I,"&gt;="&amp;$D22,'Collapsed - Orthotrack outcomes'!$I:$I,"&lt;"&amp;$E22)</f>
        <v>36.921666666666674</v>
      </c>
      <c r="S22" s="20">
        <f>AVERAGEIFS('Collapsed - Orthotrack outcomes'!Z:Z,'Collapsed - Orthotrack outcomes'!$I:$I,"&gt;="&amp;$D22,'Collapsed - Orthotrack outcomes'!$I:$I,"&lt;"&amp;$E22)</f>
        <v>13.430999999999999</v>
      </c>
      <c r="T22" s="20">
        <f>AVERAGEIFS('Collapsed - Orthotrack outcomes'!AA:AA,'Collapsed - Orthotrack outcomes'!$I:$I,"&gt;="&amp;$D22,'Collapsed - Orthotrack outcomes'!$I:$I,"&lt;"&amp;$E22)</f>
        <v>13.076666666666666</v>
      </c>
      <c r="U22" s="20">
        <f>AVERAGEIFS('Collapsed - Orthotrack outcomes'!AB:AB,'Collapsed - Orthotrack outcomes'!$I:$I,"&gt;="&amp;$D22,'Collapsed - Orthotrack outcomes'!$I:$I,"&lt;"&amp;$E22)</f>
        <v>36.921666666666674</v>
      </c>
      <c r="V22" s="20">
        <f>AVERAGEIFS('Collapsed - Orthotrack outcomes'!AC:AC,'Collapsed - Orthotrack outcomes'!$I:$I,"&gt;="&amp;$D22,'Collapsed - Orthotrack outcomes'!$I:$I,"&lt;"&amp;$E22)</f>
        <v>36.876666666666665</v>
      </c>
      <c r="W22" s="20">
        <f>AVERAGEIFS('Collapsed - Orthotrack outcomes'!AD:AD,'Collapsed - Orthotrack outcomes'!$I:$I,"&gt;="&amp;$D22,'Collapsed - Orthotrack outcomes'!$I:$I,"&lt;"&amp;$E22)</f>
        <v>12.348999999999998</v>
      </c>
      <c r="X22" s="20">
        <f>AVERAGEIFS('Collapsed - Orthotrack outcomes'!AE:AE,'Collapsed - Orthotrack outcomes'!$I:$I,"&gt;="&amp;$D22,'Collapsed - Orthotrack outcomes'!$I:$I,"&lt;"&amp;$E22)</f>
        <v>15</v>
      </c>
      <c r="Y22" s="20">
        <f>AVERAGEIFS('Collapsed - Orthotrack outcomes'!AF:AF,'Collapsed - Orthotrack outcomes'!$I:$I,"&gt;="&amp;$D22,'Collapsed - Orthotrack outcomes'!$I:$I,"&lt;"&amp;$E22)</f>
        <v>13.666666666666666</v>
      </c>
      <c r="Z22" s="20">
        <f>AVERAGEIFS('Collapsed - Orthotrack outcomes'!AG:AG,'Collapsed - Orthotrack outcomes'!$I:$I,"&gt;="&amp;$D22,'Collapsed - Orthotrack outcomes'!$I:$I,"&lt;"&amp;$E22)</f>
        <v>13.666666666666666</v>
      </c>
      <c r="AA22" s="20">
        <f>AVERAGEIFS('Collapsed - Orthotrack outcomes'!AH:AH,'Collapsed - Orthotrack outcomes'!$I:$I,"&gt;="&amp;$D22,'Collapsed - Orthotrack outcomes'!$I:$I,"&lt;"&amp;$E22)</f>
        <v>13.666666666666666</v>
      </c>
    </row>
    <row r="23" spans="4:27" ht="16" x14ac:dyDescent="0.2">
      <c r="D23" s="13">
        <f>E22</f>
        <v>20</v>
      </c>
      <c r="E23" s="13">
        <f>E22+10</f>
        <v>30</v>
      </c>
      <c r="F23" s="24" t="s">
        <v>116</v>
      </c>
      <c r="G23" s="22">
        <f>AVERAGEIFS('Collapsed - Orthotrack outcomes'!N:N,'Collapsed - Orthotrack outcomes'!$I:$I,"&gt;="&amp;$D23,'Collapsed - Orthotrack outcomes'!$I:$I,"&lt;"&amp;$E23)</f>
        <v>53.389230769230757</v>
      </c>
      <c r="H23" s="22">
        <f>AVERAGEIFS('Collapsed - Orthotrack outcomes'!O:O,'Collapsed - Orthotrack outcomes'!$I:$I,"&gt;="&amp;$D23,'Collapsed - Orthotrack outcomes'!$I:$I,"&lt;"&amp;$E23)</f>
        <v>51.114692307692309</v>
      </c>
      <c r="I23" s="22">
        <f>AVERAGEIFS('Collapsed - Orthotrack outcomes'!P:P,'Collapsed - Orthotrack outcomes'!$I:$I,"&gt;="&amp;$D23,'Collapsed - Orthotrack outcomes'!$I:$I,"&lt;"&amp;$E23)</f>
        <v>104.95792307692308</v>
      </c>
      <c r="J23" s="22">
        <f>AVERAGEIFS('Collapsed - Orthotrack outcomes'!Q:Q,'Collapsed - Orthotrack outcomes'!$I:$I,"&gt;="&amp;$D23,'Collapsed - Orthotrack outcomes'!$I:$I,"&lt;"&amp;$E23)</f>
        <v>104.76184615384612</v>
      </c>
      <c r="K23" s="22">
        <f>AVERAGEIFS('Collapsed - Orthotrack outcomes'!R:R,'Collapsed - Orthotrack outcomes'!$I:$I,"&gt;="&amp;$D23,'Collapsed - Orthotrack outcomes'!$I:$I,"&lt;"&amp;$E23)</f>
        <v>90.66707692307692</v>
      </c>
      <c r="L23" s="22">
        <f>AVERAGEIFS('Collapsed - Orthotrack outcomes'!S:S,'Collapsed - Orthotrack outcomes'!$I:$I,"&gt;="&amp;$D23,'Collapsed - Orthotrack outcomes'!$I:$I,"&lt;"&amp;$E23)</f>
        <v>90.629230769230773</v>
      </c>
      <c r="M23" s="22">
        <f>AVERAGEIFS('Collapsed - Orthotrack outcomes'!T:T,'Collapsed - Orthotrack outcomes'!$I:$I,"&gt;="&amp;$D23,'Collapsed - Orthotrack outcomes'!$I:$I,"&lt;"&amp;$E23)</f>
        <v>102.01769230769231</v>
      </c>
      <c r="N23" s="22">
        <f>AVERAGEIFS('Collapsed - Orthotrack outcomes'!U:U,'Collapsed - Orthotrack outcomes'!$I:$I,"&gt;="&amp;$D23,'Collapsed - Orthotrack outcomes'!$I:$I,"&lt;"&amp;$E23)</f>
        <v>101.83246153846153</v>
      </c>
      <c r="O23" s="22">
        <f>AVERAGEIFS('Collapsed - Orthotrack outcomes'!V:V,'Collapsed - Orthotrack outcomes'!$I:$I,"&gt;="&amp;$D23,'Collapsed - Orthotrack outcomes'!$I:$I,"&lt;"&amp;$E23)</f>
        <v>63.310615384615389</v>
      </c>
      <c r="P23" s="22">
        <f>AVERAGEIFS('Collapsed - Orthotrack outcomes'!W:W,'Collapsed - Orthotrack outcomes'!$I:$I,"&gt;="&amp;$D23,'Collapsed - Orthotrack outcomes'!$I:$I,"&lt;"&amp;$E23)</f>
        <v>63.932615384615389</v>
      </c>
      <c r="Q23" s="22">
        <f>AVERAGEIFS('Collapsed - Orthotrack outcomes'!X:X,'Collapsed - Orthotrack outcomes'!$I:$I,"&gt;="&amp;$D23,'Collapsed - Orthotrack outcomes'!$I:$I,"&lt;"&amp;$E23)</f>
        <v>36.689461538461543</v>
      </c>
      <c r="R23" s="22">
        <f>AVERAGEIFS('Collapsed - Orthotrack outcomes'!Y:Y,'Collapsed - Orthotrack outcomes'!$I:$I,"&gt;="&amp;$D23,'Collapsed - Orthotrack outcomes'!$I:$I,"&lt;"&amp;$E23)</f>
        <v>36.067307692307686</v>
      </c>
      <c r="S23" s="22">
        <f>AVERAGEIFS('Collapsed - Orthotrack outcomes'!Z:Z,'Collapsed - Orthotrack outcomes'!$I:$I,"&gt;="&amp;$D23,'Collapsed - Orthotrack outcomes'!$I:$I,"&lt;"&amp;$E23)</f>
        <v>14.014692307692306</v>
      </c>
      <c r="T23" s="22">
        <f>AVERAGEIFS('Collapsed - Orthotrack outcomes'!AA:AA,'Collapsed - Orthotrack outcomes'!$I:$I,"&gt;="&amp;$D23,'Collapsed - Orthotrack outcomes'!$I:$I,"&lt;"&amp;$E23)</f>
        <v>13.569769230769234</v>
      </c>
      <c r="U23" s="22">
        <f>AVERAGEIFS('Collapsed - Orthotrack outcomes'!AB:AB,'Collapsed - Orthotrack outcomes'!$I:$I,"&gt;="&amp;$D23,'Collapsed - Orthotrack outcomes'!$I:$I,"&lt;"&amp;$E23)</f>
        <v>36.067307692307686</v>
      </c>
      <c r="V23" s="22">
        <f>AVERAGEIFS('Collapsed - Orthotrack outcomes'!AC:AC,'Collapsed - Orthotrack outcomes'!$I:$I,"&gt;="&amp;$D23,'Collapsed - Orthotrack outcomes'!$I:$I,"&lt;"&amp;$E23)</f>
        <v>36.689461538461543</v>
      </c>
      <c r="W23" s="22">
        <f>AVERAGEIFS('Collapsed - Orthotrack outcomes'!AD:AD,'Collapsed - Orthotrack outcomes'!$I:$I,"&gt;="&amp;$D23,'Collapsed - Orthotrack outcomes'!$I:$I,"&lt;"&amp;$E23)</f>
        <v>13.608615384615385</v>
      </c>
      <c r="X23" s="22">
        <f>AVERAGEIFS('Collapsed - Orthotrack outcomes'!AE:AE,'Collapsed - Orthotrack outcomes'!$I:$I,"&gt;="&amp;$D23,'Collapsed - Orthotrack outcomes'!$I:$I,"&lt;"&amp;$E23)</f>
        <v>13.153846153846153</v>
      </c>
      <c r="Y23" s="22">
        <f>AVERAGEIFS('Collapsed - Orthotrack outcomes'!AF:AF,'Collapsed - Orthotrack outcomes'!$I:$I,"&gt;="&amp;$D23,'Collapsed - Orthotrack outcomes'!$I:$I,"&lt;"&amp;$E23)</f>
        <v>12.923076923076923</v>
      </c>
      <c r="Z23" s="22">
        <f>AVERAGEIFS('Collapsed - Orthotrack outcomes'!AG:AG,'Collapsed - Orthotrack outcomes'!$I:$I,"&gt;="&amp;$D23,'Collapsed - Orthotrack outcomes'!$I:$I,"&lt;"&amp;$E23)</f>
        <v>11.76923076923077</v>
      </c>
      <c r="AA23" s="22">
        <f>AVERAGEIFS('Collapsed - Orthotrack outcomes'!AH:AH,'Collapsed - Orthotrack outcomes'!$I:$I,"&gt;="&amp;$D23,'Collapsed - Orthotrack outcomes'!$I:$I,"&lt;"&amp;$E23)</f>
        <v>11.615384615384615</v>
      </c>
    </row>
    <row r="24" spans="4:27" ht="16" x14ac:dyDescent="0.2">
      <c r="D24" s="13">
        <f t="shared" ref="D24:D30" si="1">E23</f>
        <v>30</v>
      </c>
      <c r="E24" s="13">
        <f t="shared" ref="D24:E31" si="2">E23+10</f>
        <v>40</v>
      </c>
      <c r="F24" s="24" t="s">
        <v>117</v>
      </c>
      <c r="G24" s="20">
        <f>AVERAGEIFS('Collapsed - Orthotrack outcomes'!N:N,'Collapsed - Orthotrack outcomes'!$I:$I,"&gt;="&amp;$D24,'Collapsed - Orthotrack outcomes'!$I:$I,"&lt;"&amp;$E24)</f>
        <v>53.107411764705887</v>
      </c>
      <c r="H24" s="20">
        <f>AVERAGEIFS('Collapsed - Orthotrack outcomes'!O:O,'Collapsed - Orthotrack outcomes'!$I:$I,"&gt;="&amp;$D24,'Collapsed - Orthotrack outcomes'!$I:$I,"&lt;"&amp;$E24)</f>
        <v>53.571529411764701</v>
      </c>
      <c r="I24" s="20">
        <f>AVERAGEIFS('Collapsed - Orthotrack outcomes'!P:P,'Collapsed - Orthotrack outcomes'!$I:$I,"&gt;="&amp;$D24,'Collapsed - Orthotrack outcomes'!$I:$I,"&lt;"&amp;$E24)</f>
        <v>106.72923529411766</v>
      </c>
      <c r="J24" s="20">
        <f>AVERAGEIFS('Collapsed - Orthotrack outcomes'!Q:Q,'Collapsed - Orthotrack outcomes'!$I:$I,"&gt;="&amp;$D24,'Collapsed - Orthotrack outcomes'!$I:$I,"&lt;"&amp;$E24)</f>
        <v>106.70682352941176</v>
      </c>
      <c r="K24" s="20">
        <f>AVERAGEIFS('Collapsed - Orthotrack outcomes'!R:R,'Collapsed - Orthotrack outcomes'!$I:$I,"&gt;="&amp;$D24,'Collapsed - Orthotrack outcomes'!$I:$I,"&lt;"&amp;$E24)</f>
        <v>94.445647058823525</v>
      </c>
      <c r="L24" s="20">
        <f>AVERAGEIFS('Collapsed - Orthotrack outcomes'!S:S,'Collapsed - Orthotrack outcomes'!$I:$I,"&gt;="&amp;$D24,'Collapsed - Orthotrack outcomes'!$I:$I,"&lt;"&amp;$E24)</f>
        <v>94.352352941176491</v>
      </c>
      <c r="M24" s="20">
        <f>AVERAGEIFS('Collapsed - Orthotrack outcomes'!T:T,'Collapsed - Orthotrack outcomes'!$I:$I,"&gt;="&amp;$D24,'Collapsed - Orthotrack outcomes'!$I:$I,"&lt;"&amp;$E24)</f>
        <v>104.05929411764706</v>
      </c>
      <c r="N24" s="20">
        <f>AVERAGEIFS('Collapsed - Orthotrack outcomes'!U:U,'Collapsed - Orthotrack outcomes'!$I:$I,"&gt;="&amp;$D24,'Collapsed - Orthotrack outcomes'!$I:$I,"&lt;"&amp;$E24)</f>
        <v>103.62023529411763</v>
      </c>
      <c r="O24" s="20">
        <f>AVERAGEIFS('Collapsed - Orthotrack outcomes'!V:V,'Collapsed - Orthotrack outcomes'!$I:$I,"&gt;="&amp;$D24,'Collapsed - Orthotrack outcomes'!$I:$I,"&lt;"&amp;$E24)</f>
        <v>65.176882352941163</v>
      </c>
      <c r="P24" s="20">
        <f>AVERAGEIFS('Collapsed - Orthotrack outcomes'!W:W,'Collapsed - Orthotrack outcomes'!$I:$I,"&gt;="&amp;$D24,'Collapsed - Orthotrack outcomes'!$I:$I,"&lt;"&amp;$E24)</f>
        <v>63.544882352941187</v>
      </c>
      <c r="Q24" s="20">
        <f>AVERAGEIFS('Collapsed - Orthotrack outcomes'!X:X,'Collapsed - Orthotrack outcomes'!$I:$I,"&gt;="&amp;$D24,'Collapsed - Orthotrack outcomes'!$I:$I,"&lt;"&amp;$E24)</f>
        <v>34.82311764705883</v>
      </c>
      <c r="R24" s="20">
        <f>AVERAGEIFS('Collapsed - Orthotrack outcomes'!Y:Y,'Collapsed - Orthotrack outcomes'!$I:$I,"&gt;="&amp;$D24,'Collapsed - Orthotrack outcomes'!$I:$I,"&lt;"&amp;$E24)</f>
        <v>36.455117647058827</v>
      </c>
      <c r="S24" s="20">
        <f>AVERAGEIFS('Collapsed - Orthotrack outcomes'!Z:Z,'Collapsed - Orthotrack outcomes'!$I:$I,"&gt;="&amp;$D24,'Collapsed - Orthotrack outcomes'!$I:$I,"&lt;"&amp;$E24)</f>
        <v>14.178941176470587</v>
      </c>
      <c r="T24" s="20">
        <f>AVERAGEIFS('Collapsed - Orthotrack outcomes'!AA:AA,'Collapsed - Orthotrack outcomes'!$I:$I,"&gt;="&amp;$D24,'Collapsed - Orthotrack outcomes'!$I:$I,"&lt;"&amp;$E24)</f>
        <v>14.559352941176471</v>
      </c>
      <c r="U24" s="20">
        <f>AVERAGEIFS('Collapsed - Orthotrack outcomes'!AB:AB,'Collapsed - Orthotrack outcomes'!$I:$I,"&gt;="&amp;$D24,'Collapsed - Orthotrack outcomes'!$I:$I,"&lt;"&amp;$E24)</f>
        <v>36.455117647058827</v>
      </c>
      <c r="V24" s="20">
        <f>AVERAGEIFS('Collapsed - Orthotrack outcomes'!AC:AC,'Collapsed - Orthotrack outcomes'!$I:$I,"&gt;="&amp;$D24,'Collapsed - Orthotrack outcomes'!$I:$I,"&lt;"&amp;$E24)</f>
        <v>34.82311764705883</v>
      </c>
      <c r="W24" s="20">
        <f>AVERAGEIFS('Collapsed - Orthotrack outcomes'!AD:AD,'Collapsed - Orthotrack outcomes'!$I:$I,"&gt;="&amp;$D24,'Collapsed - Orthotrack outcomes'!$I:$I,"&lt;"&amp;$E24)</f>
        <v>14.652117647058825</v>
      </c>
      <c r="X24" s="20">
        <f>AVERAGEIFS('Collapsed - Orthotrack outcomes'!AE:AE,'Collapsed - Orthotrack outcomes'!$I:$I,"&gt;="&amp;$D24,'Collapsed - Orthotrack outcomes'!$I:$I,"&lt;"&amp;$E24)</f>
        <v>12.411764705882353</v>
      </c>
      <c r="Y24" s="20">
        <f>AVERAGEIFS('Collapsed - Orthotrack outcomes'!AF:AF,'Collapsed - Orthotrack outcomes'!$I:$I,"&gt;="&amp;$D24,'Collapsed - Orthotrack outcomes'!$I:$I,"&lt;"&amp;$E24)</f>
        <v>11.470588235294118</v>
      </c>
      <c r="Z24" s="20">
        <f>AVERAGEIFS('Collapsed - Orthotrack outcomes'!AG:AG,'Collapsed - Orthotrack outcomes'!$I:$I,"&gt;="&amp;$D24,'Collapsed - Orthotrack outcomes'!$I:$I,"&lt;"&amp;$E24)</f>
        <v>11.117647058823529</v>
      </c>
      <c r="AA24" s="20">
        <f>AVERAGEIFS('Collapsed - Orthotrack outcomes'!AH:AH,'Collapsed - Orthotrack outcomes'!$I:$I,"&gt;="&amp;$D24,'Collapsed - Orthotrack outcomes'!$I:$I,"&lt;"&amp;$E24)</f>
        <v>11.117647058823529</v>
      </c>
    </row>
    <row r="25" spans="4:27" ht="16" x14ac:dyDescent="0.2">
      <c r="D25" s="13">
        <f t="shared" si="1"/>
        <v>40</v>
      </c>
      <c r="E25" s="13">
        <f t="shared" si="2"/>
        <v>50</v>
      </c>
      <c r="F25" s="24" t="s">
        <v>118</v>
      </c>
      <c r="G25" s="22">
        <f>AVERAGEIFS('Collapsed - Orthotrack outcomes'!N:N,'Collapsed - Orthotrack outcomes'!$I:$I,"&gt;="&amp;$D25,'Collapsed - Orthotrack outcomes'!$I:$I,"&lt;"&amp;$E25)</f>
        <v>53.522147058823535</v>
      </c>
      <c r="H25" s="22">
        <f>AVERAGEIFS('Collapsed - Orthotrack outcomes'!O:O,'Collapsed - Orthotrack outcomes'!$I:$I,"&gt;="&amp;$D25,'Collapsed - Orthotrack outcomes'!$I:$I,"&lt;"&amp;$E25)</f>
        <v>54.134558823529431</v>
      </c>
      <c r="I25" s="22">
        <f>AVERAGEIFS('Collapsed - Orthotrack outcomes'!P:P,'Collapsed - Orthotrack outcomes'!$I:$I,"&gt;="&amp;$D25,'Collapsed - Orthotrack outcomes'!$I:$I,"&lt;"&amp;$E25)</f>
        <v>108.00552941176474</v>
      </c>
      <c r="J25" s="22">
        <f>AVERAGEIFS('Collapsed - Orthotrack outcomes'!Q:Q,'Collapsed - Orthotrack outcomes'!$I:$I,"&gt;="&amp;$D25,'Collapsed - Orthotrack outcomes'!$I:$I,"&lt;"&amp;$E25)</f>
        <v>107.67411764705884</v>
      </c>
      <c r="K25" s="22">
        <f>AVERAGEIFS('Collapsed - Orthotrack outcomes'!R:R,'Collapsed - Orthotrack outcomes'!$I:$I,"&gt;="&amp;$D25,'Collapsed - Orthotrack outcomes'!$I:$I,"&lt;"&amp;$E25)</f>
        <v>93.170617647058805</v>
      </c>
      <c r="L25" s="22">
        <f>AVERAGEIFS('Collapsed - Orthotrack outcomes'!S:S,'Collapsed - Orthotrack outcomes'!$I:$I,"&gt;="&amp;$D25,'Collapsed - Orthotrack outcomes'!$I:$I,"&lt;"&amp;$E25)</f>
        <v>93.123352941176464</v>
      </c>
      <c r="M25" s="22">
        <f>AVERAGEIFS('Collapsed - Orthotrack outcomes'!T:T,'Collapsed - Orthotrack outcomes'!$I:$I,"&gt;="&amp;$D25,'Collapsed - Orthotrack outcomes'!$I:$I,"&lt;"&amp;$E25)</f>
        <v>100.18123529411763</v>
      </c>
      <c r="N25" s="22">
        <f>AVERAGEIFS('Collapsed - Orthotrack outcomes'!U:U,'Collapsed - Orthotrack outcomes'!$I:$I,"&gt;="&amp;$D25,'Collapsed - Orthotrack outcomes'!$I:$I,"&lt;"&amp;$E25)</f>
        <v>100.23817647058823</v>
      </c>
      <c r="O25" s="22">
        <f>AVERAGEIFS('Collapsed - Orthotrack outcomes'!V:V,'Collapsed - Orthotrack outcomes'!$I:$I,"&gt;="&amp;$D25,'Collapsed - Orthotrack outcomes'!$I:$I,"&lt;"&amp;$E25)</f>
        <v>64.66632352941177</v>
      </c>
      <c r="P25" s="22">
        <f>AVERAGEIFS('Collapsed - Orthotrack outcomes'!W:W,'Collapsed - Orthotrack outcomes'!$I:$I,"&gt;="&amp;$D25,'Collapsed - Orthotrack outcomes'!$I:$I,"&lt;"&amp;$E25)</f>
        <v>64.481911764705899</v>
      </c>
      <c r="Q25" s="22">
        <f>AVERAGEIFS('Collapsed - Orthotrack outcomes'!X:X,'Collapsed - Orthotrack outcomes'!$I:$I,"&gt;="&amp;$D25,'Collapsed - Orthotrack outcomes'!$I:$I,"&lt;"&amp;$E25)</f>
        <v>35.333705882352945</v>
      </c>
      <c r="R25" s="22">
        <f>AVERAGEIFS('Collapsed - Orthotrack outcomes'!Y:Y,'Collapsed - Orthotrack outcomes'!$I:$I,"&gt;="&amp;$D25,'Collapsed - Orthotrack outcomes'!$I:$I,"&lt;"&amp;$E25)</f>
        <v>35.51808823529413</v>
      </c>
      <c r="S25" s="22">
        <f>AVERAGEIFS('Collapsed - Orthotrack outcomes'!Z:Z,'Collapsed - Orthotrack outcomes'!$I:$I,"&gt;="&amp;$D25,'Collapsed - Orthotrack outcomes'!$I:$I,"&lt;"&amp;$E25)</f>
        <v>14.734147058823529</v>
      </c>
      <c r="T25" s="22">
        <f>AVERAGEIFS('Collapsed - Orthotrack outcomes'!AA:AA,'Collapsed - Orthotrack outcomes'!$I:$I,"&gt;="&amp;$D25,'Collapsed - Orthotrack outcomes'!$I:$I,"&lt;"&amp;$E25)</f>
        <v>14.59255882352941</v>
      </c>
      <c r="U25" s="22">
        <f>AVERAGEIFS('Collapsed - Orthotrack outcomes'!AB:AB,'Collapsed - Orthotrack outcomes'!$I:$I,"&gt;="&amp;$D25,'Collapsed - Orthotrack outcomes'!$I:$I,"&lt;"&amp;$E25)</f>
        <v>35.51808823529413</v>
      </c>
      <c r="V25" s="22">
        <f>AVERAGEIFS('Collapsed - Orthotrack outcomes'!AC:AC,'Collapsed - Orthotrack outcomes'!$I:$I,"&gt;="&amp;$D25,'Collapsed - Orthotrack outcomes'!$I:$I,"&lt;"&amp;$E25)</f>
        <v>35.333705882352945</v>
      </c>
      <c r="W25" s="22">
        <f>AVERAGEIFS('Collapsed - Orthotrack outcomes'!AD:AD,'Collapsed - Orthotrack outcomes'!$I:$I,"&gt;="&amp;$D25,'Collapsed - Orthotrack outcomes'!$I:$I,"&lt;"&amp;$E25)</f>
        <v>14.505647058823527</v>
      </c>
      <c r="X25" s="22">
        <f>AVERAGEIFS('Collapsed - Orthotrack outcomes'!AE:AE,'Collapsed - Orthotrack outcomes'!$I:$I,"&gt;="&amp;$D25,'Collapsed - Orthotrack outcomes'!$I:$I,"&lt;"&amp;$E25)</f>
        <v>13.647058823529411</v>
      </c>
      <c r="Y25" s="22">
        <f>AVERAGEIFS('Collapsed - Orthotrack outcomes'!AF:AF,'Collapsed - Orthotrack outcomes'!$I:$I,"&gt;="&amp;$D25,'Collapsed - Orthotrack outcomes'!$I:$I,"&lt;"&amp;$E25)</f>
        <v>13.941176470588236</v>
      </c>
      <c r="Z25" s="22">
        <f>AVERAGEIFS('Collapsed - Orthotrack outcomes'!AG:AG,'Collapsed - Orthotrack outcomes'!$I:$I,"&gt;="&amp;$D25,'Collapsed - Orthotrack outcomes'!$I:$I,"&lt;"&amp;$E25)</f>
        <v>12.941176470588236</v>
      </c>
      <c r="AA25" s="22">
        <f>AVERAGEIFS('Collapsed - Orthotrack outcomes'!AH:AH,'Collapsed - Orthotrack outcomes'!$I:$I,"&gt;="&amp;$D25,'Collapsed - Orthotrack outcomes'!$I:$I,"&lt;"&amp;$E25)</f>
        <v>12.941176470588236</v>
      </c>
    </row>
    <row r="26" spans="4:27" ht="16" x14ac:dyDescent="0.2">
      <c r="D26" s="13">
        <f t="shared" si="1"/>
        <v>50</v>
      </c>
      <c r="E26" s="13">
        <f t="shared" si="2"/>
        <v>60</v>
      </c>
      <c r="F26" s="24" t="s">
        <v>119</v>
      </c>
      <c r="G26" s="20">
        <f>AVERAGEIFS('Collapsed - Orthotrack outcomes'!N:N,'Collapsed - Orthotrack outcomes'!$I:$I,"&gt;="&amp;$D26,'Collapsed - Orthotrack outcomes'!$I:$I,"&lt;"&amp;$E26)</f>
        <v>48.054187499999983</v>
      </c>
      <c r="H26" s="20">
        <f>AVERAGEIFS('Collapsed - Orthotrack outcomes'!O:O,'Collapsed - Orthotrack outcomes'!$I:$I,"&gt;="&amp;$D26,'Collapsed - Orthotrack outcomes'!$I:$I,"&lt;"&amp;$E26)</f>
        <v>48.108385416666664</v>
      </c>
      <c r="I26" s="20">
        <f>AVERAGEIFS('Collapsed - Orthotrack outcomes'!P:P,'Collapsed - Orthotrack outcomes'!$I:$I,"&gt;="&amp;$D26,'Collapsed - Orthotrack outcomes'!$I:$I,"&lt;"&amp;$E26)</f>
        <v>96.596583333333342</v>
      </c>
      <c r="J26" s="20">
        <f>AVERAGEIFS('Collapsed - Orthotrack outcomes'!Q:Q,'Collapsed - Orthotrack outcomes'!$I:$I,"&gt;="&amp;$D26,'Collapsed - Orthotrack outcomes'!$I:$I,"&lt;"&amp;$E26)</f>
        <v>95.918635416666675</v>
      </c>
      <c r="K26" s="20">
        <f>AVERAGEIFS('Collapsed - Orthotrack outcomes'!R:R,'Collapsed - Orthotrack outcomes'!$I:$I,"&gt;="&amp;$D26,'Collapsed - Orthotrack outcomes'!$I:$I,"&lt;"&amp;$E26)</f>
        <v>87.004260416666639</v>
      </c>
      <c r="L26" s="20">
        <f>AVERAGEIFS('Collapsed - Orthotrack outcomes'!S:S,'Collapsed - Orthotrack outcomes'!$I:$I,"&gt;="&amp;$D26,'Collapsed - Orthotrack outcomes'!$I:$I,"&lt;"&amp;$E26)</f>
        <v>86.506875000000022</v>
      </c>
      <c r="M26" s="20">
        <f>AVERAGEIFS('Collapsed - Orthotrack outcomes'!T:T,'Collapsed - Orthotrack outcomes'!$I:$I,"&gt;="&amp;$D26,'Collapsed - Orthotrack outcomes'!$I:$I,"&lt;"&amp;$E26)</f>
        <v>104.80303125000006</v>
      </c>
      <c r="N26" s="20">
        <f>AVERAGEIFS('Collapsed - Orthotrack outcomes'!U:U,'Collapsed - Orthotrack outcomes'!$I:$I,"&gt;="&amp;$D26,'Collapsed - Orthotrack outcomes'!$I:$I,"&lt;"&amp;$E26)</f>
        <v>103.76701041666665</v>
      </c>
      <c r="O26" s="20">
        <f>AVERAGEIFS('Collapsed - Orthotrack outcomes'!V:V,'Collapsed - Orthotrack outcomes'!$I:$I,"&gt;="&amp;$D26,'Collapsed - Orthotrack outcomes'!$I:$I,"&lt;"&amp;$E26)</f>
        <v>65.373635416666687</v>
      </c>
      <c r="P26" s="20">
        <f>AVERAGEIFS('Collapsed - Orthotrack outcomes'!W:W,'Collapsed - Orthotrack outcomes'!$I:$I,"&gt;="&amp;$D26,'Collapsed - Orthotrack outcomes'!$I:$I,"&lt;"&amp;$E26)</f>
        <v>64.838562500000009</v>
      </c>
      <c r="Q26" s="20">
        <f>AVERAGEIFS('Collapsed - Orthotrack outcomes'!X:X,'Collapsed - Orthotrack outcomes'!$I:$I,"&gt;="&amp;$D26,'Collapsed - Orthotrack outcomes'!$I:$I,"&lt;"&amp;$E26)</f>
        <v>34.626364583333334</v>
      </c>
      <c r="R26" s="20">
        <f>AVERAGEIFS('Collapsed - Orthotrack outcomes'!Y:Y,'Collapsed - Orthotrack outcomes'!$I:$I,"&gt;="&amp;$D26,'Collapsed - Orthotrack outcomes'!$I:$I,"&lt;"&amp;$E26)</f>
        <v>34.119750000000003</v>
      </c>
      <c r="S26" s="20">
        <f>AVERAGEIFS('Collapsed - Orthotrack outcomes'!Z:Z,'Collapsed - Orthotrack outcomes'!$I:$I,"&gt;="&amp;$D26,'Collapsed - Orthotrack outcomes'!$I:$I,"&lt;"&amp;$E26)</f>
        <v>15.334739583333331</v>
      </c>
      <c r="T26" s="20">
        <f>AVERAGEIFS('Collapsed - Orthotrack outcomes'!AA:AA,'Collapsed - Orthotrack outcomes'!$I:$I,"&gt;="&amp;$D26,'Collapsed - Orthotrack outcomes'!$I:$I,"&lt;"&amp;$E26)</f>
        <v>15.513604166666669</v>
      </c>
      <c r="U26" s="20">
        <f>AVERAGEIFS('Collapsed - Orthotrack outcomes'!AB:AB,'Collapsed - Orthotrack outcomes'!$I:$I,"&gt;="&amp;$D26,'Collapsed - Orthotrack outcomes'!$I:$I,"&lt;"&amp;$E26)</f>
        <v>34.526833333333336</v>
      </c>
      <c r="V26" s="20">
        <f>AVERAGEIFS('Collapsed - Orthotrack outcomes'!AC:AC,'Collapsed - Orthotrack outcomes'!$I:$I,"&gt;="&amp;$D26,'Collapsed - Orthotrack outcomes'!$I:$I,"&lt;"&amp;$E26)</f>
        <v>34.34186458333334</v>
      </c>
      <c r="W26" s="20">
        <f>AVERAGEIFS('Collapsed - Orthotrack outcomes'!AD:AD,'Collapsed - Orthotrack outcomes'!$I:$I,"&gt;="&amp;$D26,'Collapsed - Orthotrack outcomes'!$I:$I,"&lt;"&amp;$E26)</f>
        <v>13.072874999999998</v>
      </c>
      <c r="X26" s="20">
        <f>AVERAGEIFS('Collapsed - Orthotrack outcomes'!AE:AE,'Collapsed - Orthotrack outcomes'!$I:$I,"&gt;="&amp;$D26,'Collapsed - Orthotrack outcomes'!$I:$I,"&lt;"&amp;$E26)</f>
        <v>14.03125</v>
      </c>
      <c r="Y26" s="20">
        <f>AVERAGEIFS('Collapsed - Orthotrack outcomes'!AF:AF,'Collapsed - Orthotrack outcomes'!$I:$I,"&gt;="&amp;$D26,'Collapsed - Orthotrack outcomes'!$I:$I,"&lt;"&amp;$E26)</f>
        <v>14.125</v>
      </c>
      <c r="Z26" s="20">
        <f>AVERAGEIFS('Collapsed - Orthotrack outcomes'!AG:AG,'Collapsed - Orthotrack outcomes'!$I:$I,"&gt;="&amp;$D26,'Collapsed - Orthotrack outcomes'!$I:$I,"&lt;"&amp;$E26)</f>
        <v>13.229166666666666</v>
      </c>
      <c r="AA26" s="20">
        <f>AVERAGEIFS('Collapsed - Orthotrack outcomes'!AH:AH,'Collapsed - Orthotrack outcomes'!$I:$I,"&gt;="&amp;$D26,'Collapsed - Orthotrack outcomes'!$I:$I,"&lt;"&amp;$E26)</f>
        <v>13.166666666666666</v>
      </c>
    </row>
    <row r="27" spans="4:27" ht="16" x14ac:dyDescent="0.2">
      <c r="D27" s="13">
        <f t="shared" si="1"/>
        <v>60</v>
      </c>
      <c r="E27" s="13">
        <f t="shared" si="2"/>
        <v>70</v>
      </c>
      <c r="F27" s="24" t="s">
        <v>120</v>
      </c>
      <c r="G27" s="22">
        <f>AVERAGEIFS('Collapsed - Orthotrack outcomes'!N:N,'Collapsed - Orthotrack outcomes'!$I:$I,"&gt;="&amp;$D27,'Collapsed - Orthotrack outcomes'!$I:$I,"&lt;"&amp;$E27)</f>
        <v>48.232859374999975</v>
      </c>
      <c r="H27" s="22">
        <f>AVERAGEIFS('Collapsed - Orthotrack outcomes'!O:O,'Collapsed - Orthotrack outcomes'!$I:$I,"&gt;="&amp;$D27,'Collapsed - Orthotrack outcomes'!$I:$I,"&lt;"&amp;$E27)</f>
        <v>48.255755208333348</v>
      </c>
      <c r="I27" s="22">
        <f>AVERAGEIFS('Collapsed - Orthotrack outcomes'!P:P,'Collapsed - Orthotrack outcomes'!$I:$I,"&gt;="&amp;$D27,'Collapsed - Orthotrack outcomes'!$I:$I,"&lt;"&amp;$E27)</f>
        <v>96.625942708333312</v>
      </c>
      <c r="J27" s="22">
        <f>AVERAGEIFS('Collapsed - Orthotrack outcomes'!Q:Q,'Collapsed - Orthotrack outcomes'!$I:$I,"&gt;="&amp;$D27,'Collapsed - Orthotrack outcomes'!$I:$I,"&lt;"&amp;$E27)</f>
        <v>96.640239583333312</v>
      </c>
      <c r="K27" s="22">
        <f>AVERAGEIFS('Collapsed - Orthotrack outcomes'!R:R,'Collapsed - Orthotrack outcomes'!$I:$I,"&gt;="&amp;$D27,'Collapsed - Orthotrack outcomes'!$I:$I,"&lt;"&amp;$E27)</f>
        <v>85.16301041666668</v>
      </c>
      <c r="L27" s="22">
        <f>AVERAGEIFS('Collapsed - Orthotrack outcomes'!S:S,'Collapsed - Orthotrack outcomes'!$I:$I,"&gt;="&amp;$D27,'Collapsed - Orthotrack outcomes'!$I:$I,"&lt;"&amp;$E27)</f>
        <v>85.323114583333364</v>
      </c>
      <c r="M27" s="22">
        <f>AVERAGEIFS('Collapsed - Orthotrack outcomes'!T:T,'Collapsed - Orthotrack outcomes'!$I:$I,"&gt;="&amp;$D27,'Collapsed - Orthotrack outcomes'!$I:$I,"&lt;"&amp;$E27)</f>
        <v>104.93596875000003</v>
      </c>
      <c r="N27" s="22">
        <f>AVERAGEIFS('Collapsed - Orthotrack outcomes'!U:U,'Collapsed - Orthotrack outcomes'!$I:$I,"&gt;="&amp;$D27,'Collapsed - Orthotrack outcomes'!$I:$I,"&lt;"&amp;$E27)</f>
        <v>104.8820208333333</v>
      </c>
      <c r="O27" s="22">
        <f>AVERAGEIFS('Collapsed - Orthotrack outcomes'!V:V,'Collapsed - Orthotrack outcomes'!$I:$I,"&gt;="&amp;$D27,'Collapsed - Orthotrack outcomes'!$I:$I,"&lt;"&amp;$E27)</f>
        <v>64.723031250000005</v>
      </c>
      <c r="P27" s="22">
        <f>AVERAGEIFS('Collapsed - Orthotrack outcomes'!W:W,'Collapsed - Orthotrack outcomes'!$I:$I,"&gt;="&amp;$D27,'Collapsed - Orthotrack outcomes'!$I:$I,"&lt;"&amp;$E27)</f>
        <v>64.677187499999988</v>
      </c>
      <c r="Q27" s="22">
        <f>AVERAGEIFS('Collapsed - Orthotrack outcomes'!X:X,'Collapsed - Orthotrack outcomes'!$I:$I,"&gt;="&amp;$D27,'Collapsed - Orthotrack outcomes'!$I:$I,"&lt;"&amp;$E27)</f>
        <v>35.276942708333316</v>
      </c>
      <c r="R27" s="22">
        <f>AVERAGEIFS('Collapsed - Orthotrack outcomes'!Y:Y,'Collapsed - Orthotrack outcomes'!$I:$I,"&gt;="&amp;$D27,'Collapsed - Orthotrack outcomes'!$I:$I,"&lt;"&amp;$E27)</f>
        <v>35.322807291666678</v>
      </c>
      <c r="S27" s="22">
        <f>AVERAGEIFS('Collapsed - Orthotrack outcomes'!Z:Z,'Collapsed - Orthotrack outcomes'!$I:$I,"&gt;="&amp;$D27,'Collapsed - Orthotrack outcomes'!$I:$I,"&lt;"&amp;$E27)</f>
        <v>14.763979166666665</v>
      </c>
      <c r="T27" s="22">
        <f>AVERAGEIFS('Collapsed - Orthotrack outcomes'!AA:AA,'Collapsed - Orthotrack outcomes'!$I:$I,"&gt;="&amp;$D27,'Collapsed - Orthotrack outcomes'!$I:$I,"&lt;"&amp;$E27)</f>
        <v>14.99111458333334</v>
      </c>
      <c r="U27" s="22">
        <f>AVERAGEIFS('Collapsed - Orthotrack outcomes'!AB:AB,'Collapsed - Orthotrack outcomes'!$I:$I,"&gt;="&amp;$D27,'Collapsed - Orthotrack outcomes'!$I:$I,"&lt;"&amp;$E27)</f>
        <v>35.322807291666678</v>
      </c>
      <c r="V27" s="22">
        <f>AVERAGEIFS('Collapsed - Orthotrack outcomes'!AC:AC,'Collapsed - Orthotrack outcomes'!$I:$I,"&gt;="&amp;$D27,'Collapsed - Orthotrack outcomes'!$I:$I,"&lt;"&amp;$E27)</f>
        <v>35.276942708333316</v>
      </c>
      <c r="W27" s="22">
        <f>AVERAGEIFS('Collapsed - Orthotrack outcomes'!AD:AD,'Collapsed - Orthotrack outcomes'!$I:$I,"&gt;="&amp;$D27,'Collapsed - Orthotrack outcomes'!$I:$I,"&lt;"&amp;$E27)</f>
        <v>12.179692708333336</v>
      </c>
      <c r="X27" s="22">
        <f>AVERAGEIFS('Collapsed - Orthotrack outcomes'!AE:AE,'Collapsed - Orthotrack outcomes'!$I:$I,"&gt;="&amp;$D27,'Collapsed - Orthotrack outcomes'!$I:$I,"&lt;"&amp;$E27)</f>
        <v>13.640625</v>
      </c>
      <c r="Y27" s="22">
        <f>AVERAGEIFS('Collapsed - Orthotrack outcomes'!AF:AF,'Collapsed - Orthotrack outcomes'!$I:$I,"&gt;="&amp;$D27,'Collapsed - Orthotrack outcomes'!$I:$I,"&lt;"&amp;$E27)</f>
        <v>13.557291666666666</v>
      </c>
      <c r="Z27" s="22">
        <f>AVERAGEIFS('Collapsed - Orthotrack outcomes'!AG:AG,'Collapsed - Orthotrack outcomes'!$I:$I,"&gt;="&amp;$D27,'Collapsed - Orthotrack outcomes'!$I:$I,"&lt;"&amp;$E27)</f>
        <v>12.84375</v>
      </c>
      <c r="AA27" s="22">
        <f>AVERAGEIFS('Collapsed - Orthotrack outcomes'!AH:AH,'Collapsed - Orthotrack outcomes'!$I:$I,"&gt;="&amp;$D27,'Collapsed - Orthotrack outcomes'!$I:$I,"&lt;"&amp;$E27)</f>
        <v>12.869791666666666</v>
      </c>
    </row>
    <row r="28" spans="4:27" ht="16" x14ac:dyDescent="0.2">
      <c r="D28" s="13">
        <f t="shared" si="1"/>
        <v>70</v>
      </c>
      <c r="E28" s="13">
        <f t="shared" si="2"/>
        <v>80</v>
      </c>
      <c r="F28" s="24" t="s">
        <v>121</v>
      </c>
      <c r="G28" s="20">
        <f>AVERAGEIFS('Collapsed - Orthotrack outcomes'!N:N,'Collapsed - Orthotrack outcomes'!$I:$I,"&gt;="&amp;$D28,'Collapsed - Orthotrack outcomes'!$I:$I,"&lt;"&amp;$E28)</f>
        <v>47.408661691542292</v>
      </c>
      <c r="H28" s="20">
        <f>AVERAGEIFS('Collapsed - Orthotrack outcomes'!O:O,'Collapsed - Orthotrack outcomes'!$I:$I,"&gt;="&amp;$D28,'Collapsed - Orthotrack outcomes'!$I:$I,"&lt;"&amp;$E28)</f>
        <v>47.305373134328356</v>
      </c>
      <c r="I28" s="20">
        <f>AVERAGEIFS('Collapsed - Orthotrack outcomes'!P:P,'Collapsed - Orthotrack outcomes'!$I:$I,"&gt;="&amp;$D28,'Collapsed - Orthotrack outcomes'!$I:$I,"&lt;"&amp;$E28)</f>
        <v>94.807402985074617</v>
      </c>
      <c r="J28" s="20">
        <f>AVERAGEIFS('Collapsed - Orthotrack outcomes'!Q:Q,'Collapsed - Orthotrack outcomes'!$I:$I,"&gt;="&amp;$D28,'Collapsed - Orthotrack outcomes'!$I:$I,"&lt;"&amp;$E28)</f>
        <v>94.804985074626842</v>
      </c>
      <c r="K28" s="20">
        <f>AVERAGEIFS('Collapsed - Orthotrack outcomes'!R:R,'Collapsed - Orthotrack outcomes'!$I:$I,"&gt;="&amp;$D28,'Collapsed - Orthotrack outcomes'!$I:$I,"&lt;"&amp;$E28)</f>
        <v>84.541189054726303</v>
      </c>
      <c r="L28" s="20">
        <f>AVERAGEIFS('Collapsed - Orthotrack outcomes'!S:S,'Collapsed - Orthotrack outcomes'!$I:$I,"&gt;="&amp;$D28,'Collapsed - Orthotrack outcomes'!$I:$I,"&lt;"&amp;$E28)</f>
        <v>84.57040796019902</v>
      </c>
      <c r="M28" s="20">
        <f>AVERAGEIFS('Collapsed - Orthotrack outcomes'!T:T,'Collapsed - Orthotrack outcomes'!$I:$I,"&gt;="&amp;$D28,'Collapsed - Orthotrack outcomes'!$I:$I,"&lt;"&amp;$E28)</f>
        <v>106.047736318408</v>
      </c>
      <c r="N28" s="20">
        <f>AVERAGEIFS('Collapsed - Orthotrack outcomes'!U:U,'Collapsed - Orthotrack outcomes'!$I:$I,"&gt;="&amp;$D28,'Collapsed - Orthotrack outcomes'!$I:$I,"&lt;"&amp;$E28)</f>
        <v>105.96190049751245</v>
      </c>
      <c r="O28" s="20">
        <f>AVERAGEIFS('Collapsed - Orthotrack outcomes'!V:V,'Collapsed - Orthotrack outcomes'!$I:$I,"&gt;="&amp;$D28,'Collapsed - Orthotrack outcomes'!$I:$I,"&lt;"&amp;$E28)</f>
        <v>64.991527363184076</v>
      </c>
      <c r="P28" s="20">
        <f>AVERAGEIFS('Collapsed - Orthotrack outcomes'!W:W,'Collapsed - Orthotrack outcomes'!$I:$I,"&gt;="&amp;$D28,'Collapsed - Orthotrack outcomes'!$I:$I,"&lt;"&amp;$E28)</f>
        <v>64.86082587064675</v>
      </c>
      <c r="Q28" s="20">
        <f>AVERAGEIFS('Collapsed - Orthotrack outcomes'!X:X,'Collapsed - Orthotrack outcomes'!$I:$I,"&gt;="&amp;$D28,'Collapsed - Orthotrack outcomes'!$I:$I,"&lt;"&amp;$E28)</f>
        <v>35.008457711442766</v>
      </c>
      <c r="R28" s="20">
        <f>AVERAGEIFS('Collapsed - Orthotrack outcomes'!Y:Y,'Collapsed - Orthotrack outcomes'!$I:$I,"&gt;="&amp;$D28,'Collapsed - Orthotrack outcomes'!$I:$I,"&lt;"&amp;$E28)</f>
        <v>35.139159203980121</v>
      </c>
      <c r="S28" s="20">
        <f>AVERAGEIFS('Collapsed - Orthotrack outcomes'!Z:Z,'Collapsed - Orthotrack outcomes'!$I:$I,"&gt;="&amp;$D28,'Collapsed - Orthotrack outcomes'!$I:$I,"&lt;"&amp;$E28)</f>
        <v>15.037303482587063</v>
      </c>
      <c r="T28" s="20">
        <f>AVERAGEIFS('Collapsed - Orthotrack outcomes'!AA:AA,'Collapsed - Orthotrack outcomes'!$I:$I,"&gt;="&amp;$D28,'Collapsed - Orthotrack outcomes'!$I:$I,"&lt;"&amp;$E28)</f>
        <v>15.003726368159212</v>
      </c>
      <c r="U28" s="20">
        <f>AVERAGEIFS('Collapsed - Orthotrack outcomes'!AB:AB,'Collapsed - Orthotrack outcomes'!$I:$I,"&gt;="&amp;$D28,'Collapsed - Orthotrack outcomes'!$I:$I,"&lt;"&amp;$E28)</f>
        <v>35.139159203980121</v>
      </c>
      <c r="V28" s="20">
        <f>AVERAGEIFS('Collapsed - Orthotrack outcomes'!AC:AC,'Collapsed - Orthotrack outcomes'!$I:$I,"&gt;="&amp;$D28,'Collapsed - Orthotrack outcomes'!$I:$I,"&lt;"&amp;$E28)</f>
        <v>35.008457711442766</v>
      </c>
      <c r="W28" s="20">
        <f>AVERAGEIFS('Collapsed - Orthotrack outcomes'!AD:AD,'Collapsed - Orthotrack outcomes'!$I:$I,"&gt;="&amp;$D28,'Collapsed - Orthotrack outcomes'!$I:$I,"&lt;"&amp;$E28)</f>
        <v>12.037517412935317</v>
      </c>
      <c r="X28" s="20">
        <f>AVERAGEIFS('Collapsed - Orthotrack outcomes'!AE:AE,'Collapsed - Orthotrack outcomes'!$I:$I,"&gt;="&amp;$D28,'Collapsed - Orthotrack outcomes'!$I:$I,"&lt;"&amp;$E28)</f>
        <v>13.796019900497512</v>
      </c>
      <c r="Y28" s="20">
        <f>AVERAGEIFS('Collapsed - Orthotrack outcomes'!AF:AF,'Collapsed - Orthotrack outcomes'!$I:$I,"&gt;="&amp;$D28,'Collapsed - Orthotrack outcomes'!$I:$I,"&lt;"&amp;$E28)</f>
        <v>13.800995024875622</v>
      </c>
      <c r="Z28" s="20">
        <f>AVERAGEIFS('Collapsed - Orthotrack outcomes'!AG:AG,'Collapsed - Orthotrack outcomes'!$I:$I,"&gt;="&amp;$D28,'Collapsed - Orthotrack outcomes'!$I:$I,"&lt;"&amp;$E28)</f>
        <v>13.044776119402986</v>
      </c>
      <c r="AA28" s="20">
        <f>AVERAGEIFS('Collapsed - Orthotrack outcomes'!AH:AH,'Collapsed - Orthotrack outcomes'!$I:$I,"&gt;="&amp;$D28,'Collapsed - Orthotrack outcomes'!$I:$I,"&lt;"&amp;$E28)</f>
        <v>13.049751243781095</v>
      </c>
    </row>
    <row r="29" spans="4:27" ht="16" x14ac:dyDescent="0.2">
      <c r="D29" s="13">
        <f t="shared" si="1"/>
        <v>80</v>
      </c>
      <c r="E29" s="13">
        <f t="shared" si="2"/>
        <v>90</v>
      </c>
      <c r="F29" s="24" t="s">
        <v>122</v>
      </c>
      <c r="G29" s="22">
        <f>AVERAGEIFS('Collapsed - Orthotrack outcomes'!N:N,'Collapsed - Orthotrack outcomes'!$I:$I,"&gt;="&amp;$D29,'Collapsed - Orthotrack outcomes'!$I:$I,"&lt;"&amp;$E29)</f>
        <v>41.870513513513515</v>
      </c>
      <c r="H29" s="22">
        <f>AVERAGEIFS('Collapsed - Orthotrack outcomes'!O:O,'Collapsed - Orthotrack outcomes'!$I:$I,"&gt;="&amp;$D29,'Collapsed - Orthotrack outcomes'!$I:$I,"&lt;"&amp;$E29)</f>
        <v>40.965594594594577</v>
      </c>
      <c r="I29" s="22">
        <f>AVERAGEIFS('Collapsed - Orthotrack outcomes'!P:P,'Collapsed - Orthotrack outcomes'!$I:$I,"&gt;="&amp;$D29,'Collapsed - Orthotrack outcomes'!$I:$I,"&lt;"&amp;$E29)</f>
        <v>83.076729729729749</v>
      </c>
      <c r="J29" s="22">
        <f>AVERAGEIFS('Collapsed - Orthotrack outcomes'!Q:Q,'Collapsed - Orthotrack outcomes'!$I:$I,"&gt;="&amp;$D29,'Collapsed - Orthotrack outcomes'!$I:$I,"&lt;"&amp;$E29)</f>
        <v>82.851459459459434</v>
      </c>
      <c r="K29" s="22">
        <f>AVERAGEIFS('Collapsed - Orthotrack outcomes'!R:R,'Collapsed - Orthotrack outcomes'!$I:$I,"&gt;="&amp;$D29,'Collapsed - Orthotrack outcomes'!$I:$I,"&lt;"&amp;$E29)</f>
        <v>73.456486486486497</v>
      </c>
      <c r="L29" s="22">
        <f>AVERAGEIFS('Collapsed - Orthotrack outcomes'!S:S,'Collapsed - Orthotrack outcomes'!$I:$I,"&gt;="&amp;$D29,'Collapsed - Orthotrack outcomes'!$I:$I,"&lt;"&amp;$E29)</f>
        <v>73.355972972972964</v>
      </c>
      <c r="M29" s="22">
        <f>AVERAGEIFS('Collapsed - Orthotrack outcomes'!T:T,'Collapsed - Orthotrack outcomes'!$I:$I,"&gt;="&amp;$D29,'Collapsed - Orthotrack outcomes'!$I:$I,"&lt;"&amp;$E29)</f>
        <v>104.49837837837838</v>
      </c>
      <c r="N29" s="22">
        <f>AVERAGEIFS('Collapsed - Orthotrack outcomes'!U:U,'Collapsed - Orthotrack outcomes'!$I:$I,"&gt;="&amp;$D29,'Collapsed - Orthotrack outcomes'!$I:$I,"&lt;"&amp;$E29)</f>
        <v>104.35735135135134</v>
      </c>
      <c r="O29" s="22">
        <f>AVERAGEIFS('Collapsed - Orthotrack outcomes'!V:V,'Collapsed - Orthotrack outcomes'!$I:$I,"&gt;="&amp;$D29,'Collapsed - Orthotrack outcomes'!$I:$I,"&lt;"&amp;$E29)</f>
        <v>65.95256756756757</v>
      </c>
      <c r="P29" s="22">
        <f>AVERAGEIFS('Collapsed - Orthotrack outcomes'!W:W,'Collapsed - Orthotrack outcomes'!$I:$I,"&gt;="&amp;$D29,'Collapsed - Orthotrack outcomes'!$I:$I,"&lt;"&amp;$E29)</f>
        <v>65.794702702702722</v>
      </c>
      <c r="Q29" s="22">
        <f>AVERAGEIFS('Collapsed - Orthotrack outcomes'!X:X,'Collapsed - Orthotrack outcomes'!$I:$I,"&gt;="&amp;$D29,'Collapsed - Orthotrack outcomes'!$I:$I,"&lt;"&amp;$E29)</f>
        <v>34.047405405405406</v>
      </c>
      <c r="R29" s="22">
        <f>AVERAGEIFS('Collapsed - Orthotrack outcomes'!Y:Y,'Collapsed - Orthotrack outcomes'!$I:$I,"&gt;="&amp;$D29,'Collapsed - Orthotrack outcomes'!$I:$I,"&lt;"&amp;$E29)</f>
        <v>34.205297297297292</v>
      </c>
      <c r="S29" s="22">
        <f>AVERAGEIFS('Collapsed - Orthotrack outcomes'!Z:Z,'Collapsed - Orthotrack outcomes'!$I:$I,"&gt;="&amp;$D29,'Collapsed - Orthotrack outcomes'!$I:$I,"&lt;"&amp;$E29)</f>
        <v>15.82483783783784</v>
      </c>
      <c r="T29" s="22">
        <f>AVERAGEIFS('Collapsed - Orthotrack outcomes'!AA:AA,'Collapsed - Orthotrack outcomes'!$I:$I,"&gt;="&amp;$D29,'Collapsed - Orthotrack outcomes'!$I:$I,"&lt;"&amp;$E29)</f>
        <v>16.053945945945944</v>
      </c>
      <c r="U29" s="22">
        <f>AVERAGEIFS('Collapsed - Orthotrack outcomes'!AB:AB,'Collapsed - Orthotrack outcomes'!$I:$I,"&gt;="&amp;$D29,'Collapsed - Orthotrack outcomes'!$I:$I,"&lt;"&amp;$E29)</f>
        <v>34.205297297297292</v>
      </c>
      <c r="V29" s="22">
        <f>AVERAGEIFS('Collapsed - Orthotrack outcomes'!AC:AC,'Collapsed - Orthotrack outcomes'!$I:$I,"&gt;="&amp;$D29,'Collapsed - Orthotrack outcomes'!$I:$I,"&lt;"&amp;$E29)</f>
        <v>34.047405405405406</v>
      </c>
      <c r="W29" s="22">
        <f>AVERAGEIFS('Collapsed - Orthotrack outcomes'!AD:AD,'Collapsed - Orthotrack outcomes'!$I:$I,"&gt;="&amp;$D29,'Collapsed - Orthotrack outcomes'!$I:$I,"&lt;"&amp;$E29)</f>
        <v>12.32283783783784</v>
      </c>
      <c r="X29" s="22">
        <f>AVERAGEIFS('Collapsed - Orthotrack outcomes'!AE:AE,'Collapsed - Orthotrack outcomes'!$I:$I,"&gt;="&amp;$D29,'Collapsed - Orthotrack outcomes'!$I:$I,"&lt;"&amp;$E29)</f>
        <v>13.648648648648649</v>
      </c>
      <c r="Y29" s="22">
        <f>AVERAGEIFS('Collapsed - Orthotrack outcomes'!AF:AF,'Collapsed - Orthotrack outcomes'!$I:$I,"&gt;="&amp;$D29,'Collapsed - Orthotrack outcomes'!$I:$I,"&lt;"&amp;$E29)</f>
        <v>13.945945945945946</v>
      </c>
      <c r="Z29" s="22">
        <f>AVERAGEIFS('Collapsed - Orthotrack outcomes'!AG:AG,'Collapsed - Orthotrack outcomes'!$I:$I,"&gt;="&amp;$D29,'Collapsed - Orthotrack outcomes'!$I:$I,"&lt;"&amp;$E29)</f>
        <v>13.135135135135135</v>
      </c>
      <c r="AA29" s="22">
        <f>AVERAGEIFS('Collapsed - Orthotrack outcomes'!AH:AH,'Collapsed - Orthotrack outcomes'!$I:$I,"&gt;="&amp;$D29,'Collapsed - Orthotrack outcomes'!$I:$I,"&lt;"&amp;$E29)</f>
        <v>13.135135135135135</v>
      </c>
    </row>
    <row r="30" spans="4:27" ht="16" x14ac:dyDescent="0.2">
      <c r="D30" s="13">
        <f t="shared" si="1"/>
        <v>90</v>
      </c>
      <c r="E30" s="13">
        <f t="shared" si="2"/>
        <v>100</v>
      </c>
      <c r="F30" s="24" t="s">
        <v>123</v>
      </c>
      <c r="G30" s="20">
        <f>AVERAGEIFS('Collapsed - Orthotrack outcomes'!N:N,'Collapsed - Orthotrack outcomes'!$I:$I,"&gt;="&amp;$D30,'Collapsed - Orthotrack outcomes'!$I:$I,"&lt;"&amp;$E30)</f>
        <v>44.825000000000003</v>
      </c>
      <c r="H30" s="20">
        <f>AVERAGEIFS('Collapsed - Orthotrack outcomes'!O:O,'Collapsed - Orthotrack outcomes'!$I:$I,"&gt;="&amp;$D30,'Collapsed - Orthotrack outcomes'!$I:$I,"&lt;"&amp;$E30)</f>
        <v>43.295999999999999</v>
      </c>
      <c r="I30" s="20">
        <f>AVERAGEIFS('Collapsed - Orthotrack outcomes'!P:P,'Collapsed - Orthotrack outcomes'!$I:$I,"&gt;="&amp;$D30,'Collapsed - Orthotrack outcomes'!$I:$I,"&lt;"&amp;$E30)</f>
        <v>88.593000000000004</v>
      </c>
      <c r="J30" s="20">
        <f>AVERAGEIFS('Collapsed - Orthotrack outcomes'!Q:Q,'Collapsed - Orthotrack outcomes'!$I:$I,"&gt;="&amp;$D30,'Collapsed - Orthotrack outcomes'!$I:$I,"&lt;"&amp;$E30)</f>
        <v>87.879000000000005</v>
      </c>
      <c r="K30" s="20">
        <f>AVERAGEIFS('Collapsed - Orthotrack outcomes'!R:R,'Collapsed - Orthotrack outcomes'!$I:$I,"&gt;="&amp;$D30,'Collapsed - Orthotrack outcomes'!$I:$I,"&lt;"&amp;$E30)</f>
        <v>74.494</v>
      </c>
      <c r="L30" s="20">
        <f>AVERAGEIFS('Collapsed - Orthotrack outcomes'!S:S,'Collapsed - Orthotrack outcomes'!$I:$I,"&gt;="&amp;$D30,'Collapsed - Orthotrack outcomes'!$I:$I,"&lt;"&amp;$E30)</f>
        <v>73.801000000000002</v>
      </c>
      <c r="M30" s="20">
        <f>AVERAGEIFS('Collapsed - Orthotrack outcomes'!T:T,'Collapsed - Orthotrack outcomes'!$I:$I,"&gt;="&amp;$D30,'Collapsed - Orthotrack outcomes'!$I:$I,"&lt;"&amp;$E30)</f>
        <v>100.63200000000001</v>
      </c>
      <c r="N30" s="20">
        <f>AVERAGEIFS('Collapsed - Orthotrack outcomes'!U:U,'Collapsed - Orthotrack outcomes'!$I:$I,"&gt;="&amp;$D30,'Collapsed - Orthotrack outcomes'!$I:$I,"&lt;"&amp;$E30)</f>
        <v>100.443</v>
      </c>
      <c r="O30" s="20">
        <f>AVERAGEIFS('Collapsed - Orthotrack outcomes'!V:V,'Collapsed - Orthotrack outcomes'!$I:$I,"&gt;="&amp;$D30,'Collapsed - Orthotrack outcomes'!$I:$I,"&lt;"&amp;$E30)</f>
        <v>62.183</v>
      </c>
      <c r="P30" s="20">
        <f>AVERAGEIFS('Collapsed - Orthotrack outcomes'!W:W,'Collapsed - Orthotrack outcomes'!$I:$I,"&gt;="&amp;$D30,'Collapsed - Orthotrack outcomes'!$I:$I,"&lt;"&amp;$E30)</f>
        <v>61.743000000000002</v>
      </c>
      <c r="Q30" s="20">
        <f>AVERAGEIFS('Collapsed - Orthotrack outcomes'!X:X,'Collapsed - Orthotrack outcomes'!$I:$I,"&gt;="&amp;$D30,'Collapsed - Orthotrack outcomes'!$I:$I,"&lt;"&amp;$E30)</f>
        <v>37.817</v>
      </c>
      <c r="R30" s="20">
        <f>AVERAGEIFS('Collapsed - Orthotrack outcomes'!Y:Y,'Collapsed - Orthotrack outcomes'!$I:$I,"&gt;="&amp;$D30,'Collapsed - Orthotrack outcomes'!$I:$I,"&lt;"&amp;$E30)</f>
        <v>38.256999999999998</v>
      </c>
      <c r="S30" s="20">
        <f>AVERAGEIFS('Collapsed - Orthotrack outcomes'!Z:Z,'Collapsed - Orthotrack outcomes'!$I:$I,"&gt;="&amp;$D30,'Collapsed - Orthotrack outcomes'!$I:$I,"&lt;"&amp;$E30)</f>
        <v>11.435</v>
      </c>
      <c r="T30" s="20">
        <f>AVERAGEIFS('Collapsed - Orthotrack outcomes'!AA:AA,'Collapsed - Orthotrack outcomes'!$I:$I,"&gt;="&amp;$D30,'Collapsed - Orthotrack outcomes'!$I:$I,"&lt;"&amp;$E30)</f>
        <v>12.394</v>
      </c>
      <c r="U30" s="20">
        <f>AVERAGEIFS('Collapsed - Orthotrack outcomes'!AB:AB,'Collapsed - Orthotrack outcomes'!$I:$I,"&gt;="&amp;$D30,'Collapsed - Orthotrack outcomes'!$I:$I,"&lt;"&amp;$E30)</f>
        <v>38.256999999999998</v>
      </c>
      <c r="V30" s="20">
        <f>AVERAGEIFS('Collapsed - Orthotrack outcomes'!AC:AC,'Collapsed - Orthotrack outcomes'!$I:$I,"&gt;="&amp;$D30,'Collapsed - Orthotrack outcomes'!$I:$I,"&lt;"&amp;$E30)</f>
        <v>37.817</v>
      </c>
      <c r="W30" s="20">
        <f>AVERAGEIFS('Collapsed - Orthotrack outcomes'!AD:AD,'Collapsed - Orthotrack outcomes'!$I:$I,"&gt;="&amp;$D30,'Collapsed - Orthotrack outcomes'!$I:$I,"&lt;"&amp;$E30)</f>
        <v>11.954000000000001</v>
      </c>
      <c r="X30" s="20">
        <f>AVERAGEIFS('Collapsed - Orthotrack outcomes'!AE:AE,'Collapsed - Orthotrack outcomes'!$I:$I,"&gt;="&amp;$D30,'Collapsed - Orthotrack outcomes'!$I:$I,"&lt;"&amp;$E30)</f>
        <v>15</v>
      </c>
      <c r="Y30" s="20">
        <f>AVERAGEIFS('Collapsed - Orthotrack outcomes'!AF:AF,'Collapsed - Orthotrack outcomes'!$I:$I,"&gt;="&amp;$D30,'Collapsed - Orthotrack outcomes'!$I:$I,"&lt;"&amp;$E30)</f>
        <v>17</v>
      </c>
      <c r="Z30" s="20">
        <f>AVERAGEIFS('Collapsed - Orthotrack outcomes'!AG:AG,'Collapsed - Orthotrack outcomes'!$I:$I,"&gt;="&amp;$D30,'Collapsed - Orthotrack outcomes'!$I:$I,"&lt;"&amp;$E30)</f>
        <v>15</v>
      </c>
      <c r="AA30" s="20">
        <f>AVERAGEIFS('Collapsed - Orthotrack outcomes'!AH:AH,'Collapsed - Orthotrack outcomes'!$I:$I,"&gt;="&amp;$D30,'Collapsed - Orthotrack outcomes'!$I:$I,"&lt;"&amp;$E30)</f>
        <v>15</v>
      </c>
    </row>
    <row r="31" spans="4:27" ht="16" x14ac:dyDescent="0.2">
      <c r="D31" s="13">
        <f t="shared" si="2"/>
        <v>100</v>
      </c>
      <c r="E31" s="13">
        <v>1000</v>
      </c>
      <c r="F31" s="24" t="s">
        <v>126</v>
      </c>
      <c r="G31" s="22">
        <f>AVERAGEIFS('Collapsed - Orthotrack outcomes'!N:N,'Collapsed - Orthotrack outcomes'!$I:$I,"&gt;="&amp;$D31,'Collapsed - Orthotrack outcomes'!$I:$I,"&lt;"&amp;$E31)</f>
        <v>48.748023668639036</v>
      </c>
      <c r="H31" s="22">
        <f>AVERAGEIFS('Collapsed - Orthotrack outcomes'!O:O,'Collapsed - Orthotrack outcomes'!$I:$I,"&gt;="&amp;$D31,'Collapsed - Orthotrack outcomes'!$I:$I,"&lt;"&amp;$E31)</f>
        <v>49.448088757396462</v>
      </c>
      <c r="I31" s="22">
        <f>AVERAGEIFS('Collapsed - Orthotrack outcomes'!P:P,'Collapsed - Orthotrack outcomes'!$I:$I,"&gt;="&amp;$D31,'Collapsed - Orthotrack outcomes'!$I:$I,"&lt;"&amp;$E31)</f>
        <v>98.285544378698305</v>
      </c>
      <c r="J31" s="22">
        <f>AVERAGEIFS('Collapsed - Orthotrack outcomes'!Q:Q,'Collapsed - Orthotrack outcomes'!$I:$I,"&gt;="&amp;$D31,'Collapsed - Orthotrack outcomes'!$I:$I,"&lt;"&amp;$E31)</f>
        <v>98.329171597633149</v>
      </c>
      <c r="K31" s="22">
        <f>AVERAGEIFS('Collapsed - Orthotrack outcomes'!R:R,'Collapsed - Orthotrack outcomes'!$I:$I,"&gt;="&amp;$D31,'Collapsed - Orthotrack outcomes'!$I:$I,"&lt;"&amp;$E31)</f>
        <v>89.8684674556213</v>
      </c>
      <c r="L31" s="22">
        <f>AVERAGEIFS('Collapsed - Orthotrack outcomes'!S:S,'Collapsed - Orthotrack outcomes'!$I:$I,"&gt;="&amp;$D31,'Collapsed - Orthotrack outcomes'!$I:$I,"&lt;"&amp;$E31)</f>
        <v>90.001094674556214</v>
      </c>
      <c r="M31" s="22">
        <f>AVERAGEIFS('Collapsed - Orthotrack outcomes'!T:T,'Collapsed - Orthotrack outcomes'!$I:$I,"&gt;="&amp;$D31,'Collapsed - Orthotrack outcomes'!$I:$I,"&lt;"&amp;$E31)</f>
        <v>118.89276923076926</v>
      </c>
      <c r="N31" s="22">
        <f>AVERAGEIFS('Collapsed - Orthotrack outcomes'!U:U,'Collapsed - Orthotrack outcomes'!$I:$I,"&gt;="&amp;$D31,'Collapsed - Orthotrack outcomes'!$I:$I,"&lt;"&amp;$E31)</f>
        <v>114.89214201183435</v>
      </c>
      <c r="O31" s="22">
        <f>AVERAGEIFS('Collapsed - Orthotrack outcomes'!V:V,'Collapsed - Orthotrack outcomes'!$I:$I,"&gt;="&amp;$D31,'Collapsed - Orthotrack outcomes'!$I:$I,"&lt;"&amp;$E31)</f>
        <v>64.943349112426048</v>
      </c>
      <c r="P31" s="22">
        <f>AVERAGEIFS('Collapsed - Orthotrack outcomes'!W:W,'Collapsed - Orthotrack outcomes'!$I:$I,"&gt;="&amp;$D31,'Collapsed - Orthotrack outcomes'!$I:$I,"&lt;"&amp;$E31)</f>
        <v>60.619970414201191</v>
      </c>
      <c r="Q31" s="22">
        <f>AVERAGEIFS('Collapsed - Orthotrack outcomes'!X:X,'Collapsed - Orthotrack outcomes'!$I:$I,"&gt;="&amp;$D31,'Collapsed - Orthotrack outcomes'!$I:$I,"&lt;"&amp;$E31)</f>
        <v>35.056650887573944</v>
      </c>
      <c r="R31" s="22">
        <f>AVERAGEIFS('Collapsed - Orthotrack outcomes'!Y:Y,'Collapsed - Orthotrack outcomes'!$I:$I,"&gt;="&amp;$D31,'Collapsed - Orthotrack outcomes'!$I:$I,"&lt;"&amp;$E31)</f>
        <v>39.380035502958584</v>
      </c>
      <c r="S31" s="22">
        <f>AVERAGEIFS('Collapsed - Orthotrack outcomes'!Z:Z,'Collapsed - Orthotrack outcomes'!$I:$I,"&gt;="&amp;$D31,'Collapsed - Orthotrack outcomes'!$I:$I,"&lt;"&amp;$E31)</f>
        <v>9.2523313609467479</v>
      </c>
      <c r="T31" s="22">
        <f>AVERAGEIFS('Collapsed - Orthotrack outcomes'!AA:AA,'Collapsed - Orthotrack outcomes'!$I:$I,"&gt;="&amp;$D31,'Collapsed - Orthotrack outcomes'!$I:$I,"&lt;"&amp;$E31)</f>
        <v>9.2931775147928981</v>
      </c>
      <c r="U31" s="22">
        <f>AVERAGEIFS('Collapsed - Orthotrack outcomes'!AB:AB,'Collapsed - Orthotrack outcomes'!$I:$I,"&gt;="&amp;$D31,'Collapsed - Orthotrack outcomes'!$I:$I,"&lt;"&amp;$E31)</f>
        <v>39.380035502958584</v>
      </c>
      <c r="V31" s="22">
        <f>AVERAGEIFS('Collapsed - Orthotrack outcomes'!AC:AC,'Collapsed - Orthotrack outcomes'!$I:$I,"&gt;="&amp;$D31,'Collapsed - Orthotrack outcomes'!$I:$I,"&lt;"&amp;$E31)</f>
        <v>35.056650887573944</v>
      </c>
      <c r="W31" s="22">
        <f>AVERAGEIFS('Collapsed - Orthotrack outcomes'!AD:AD,'Collapsed - Orthotrack outcomes'!$I:$I,"&gt;="&amp;$D31,'Collapsed - Orthotrack outcomes'!$I:$I,"&lt;"&amp;$E31)</f>
        <v>12.695337278106512</v>
      </c>
      <c r="X31" s="22">
        <f>AVERAGEIFS('Collapsed - Orthotrack outcomes'!AE:AE,'Collapsed - Orthotrack outcomes'!$I:$I,"&gt;="&amp;$D31,'Collapsed - Orthotrack outcomes'!$I:$I,"&lt;"&amp;$E31)</f>
        <v>13.372781065088757</v>
      </c>
      <c r="Y31" s="22">
        <f>AVERAGEIFS('Collapsed - Orthotrack outcomes'!AF:AF,'Collapsed - Orthotrack outcomes'!$I:$I,"&gt;="&amp;$D31,'Collapsed - Orthotrack outcomes'!$I:$I,"&lt;"&amp;$E31)</f>
        <v>13.236686390532544</v>
      </c>
      <c r="Z31" s="22">
        <f>AVERAGEIFS('Collapsed - Orthotrack outcomes'!AG:AG,'Collapsed - Orthotrack outcomes'!$I:$I,"&gt;="&amp;$D31,'Collapsed - Orthotrack outcomes'!$I:$I,"&lt;"&amp;$E31)</f>
        <v>12.644970414201184</v>
      </c>
      <c r="AA31" s="22">
        <f>AVERAGEIFS('Collapsed - Orthotrack outcomes'!AH:AH,'Collapsed - Orthotrack outcomes'!$I:$I,"&gt;="&amp;$D31,'Collapsed - Orthotrack outcomes'!$I:$I,"&lt;"&amp;$E31)</f>
        <v>12.644970414201184</v>
      </c>
    </row>
    <row r="34" spans="1:27" x14ac:dyDescent="0.2">
      <c r="A34" t="s">
        <v>148</v>
      </c>
      <c r="B34" t="s">
        <v>148</v>
      </c>
      <c r="C34" t="s">
        <v>148</v>
      </c>
      <c r="D34" t="s">
        <v>148</v>
      </c>
      <c r="E34" t="s">
        <v>148</v>
      </c>
      <c r="F34" s="24" t="s">
        <v>124</v>
      </c>
      <c r="G34" s="67" t="s">
        <v>124</v>
      </c>
      <c r="H34" s="67"/>
      <c r="I34" s="67"/>
      <c r="J34" s="67"/>
      <c r="K34" s="67"/>
      <c r="L34" s="67"/>
      <c r="M34" s="67"/>
      <c r="N34" s="67"/>
      <c r="O34" s="67"/>
      <c r="P34" s="67"/>
      <c r="Q34" s="67"/>
      <c r="R34" s="67"/>
      <c r="S34" s="67"/>
      <c r="T34" s="67"/>
      <c r="U34" s="67"/>
      <c r="V34" s="67"/>
      <c r="W34" s="67"/>
      <c r="X34" s="67"/>
      <c r="Y34" s="67"/>
      <c r="Z34" s="67"/>
      <c r="AA34" s="67"/>
    </row>
    <row r="35" spans="1:27" x14ac:dyDescent="0.2">
      <c r="A35" t="s">
        <v>114</v>
      </c>
      <c r="B35" t="s">
        <v>115</v>
      </c>
      <c r="C35" t="s">
        <v>116</v>
      </c>
      <c r="D35" t="s">
        <v>117</v>
      </c>
      <c r="E35" t="s">
        <v>118</v>
      </c>
      <c r="F35" s="25"/>
      <c r="G35" s="23" t="s">
        <v>50</v>
      </c>
      <c r="H35" s="23" t="s">
        <v>20</v>
      </c>
      <c r="I35" s="23" t="s">
        <v>23</v>
      </c>
      <c r="J35" s="23" t="s">
        <v>22</v>
      </c>
      <c r="K35" s="23" t="s">
        <v>11</v>
      </c>
      <c r="L35" s="23" t="s">
        <v>10</v>
      </c>
      <c r="M35" s="23" t="s">
        <v>9</v>
      </c>
      <c r="N35" s="23" t="s">
        <v>8</v>
      </c>
      <c r="O35" s="23" t="s">
        <v>27</v>
      </c>
      <c r="P35" s="23" t="s">
        <v>26</v>
      </c>
      <c r="Q35" s="23" t="s">
        <v>25</v>
      </c>
      <c r="R35" s="23" t="s">
        <v>24</v>
      </c>
      <c r="S35" s="23" t="s">
        <v>13</v>
      </c>
      <c r="T35" s="23" t="s">
        <v>12</v>
      </c>
      <c r="U35" s="23" t="s">
        <v>19</v>
      </c>
      <c r="V35" s="23" t="s">
        <v>18</v>
      </c>
      <c r="W35" s="23" t="s">
        <v>21</v>
      </c>
      <c r="X35" s="23" t="s">
        <v>15</v>
      </c>
      <c r="Y35" s="23" t="s">
        <v>14</v>
      </c>
      <c r="Z35" s="23" t="s">
        <v>17</v>
      </c>
      <c r="AA35" s="23" t="s">
        <v>16</v>
      </c>
    </row>
    <row r="36" spans="1:27" ht="16" x14ac:dyDescent="0.2">
      <c r="A36" t="s">
        <v>148</v>
      </c>
      <c r="B36" t="s">
        <v>148</v>
      </c>
      <c r="C36" t="s">
        <v>148</v>
      </c>
      <c r="D36" t="s">
        <v>148</v>
      </c>
      <c r="E36" t="s">
        <v>148</v>
      </c>
      <c r="F36" s="24" t="s">
        <v>114</v>
      </c>
      <c r="G36" s="22">
        <f>DSTDEV('Collapsed - Orthotrack outcomes'!$J:$AH,'NonPivot Summary'!G$35,$A$34:$A$35)</f>
        <v>8.9760134803820204</v>
      </c>
      <c r="H36" s="22">
        <f>DSTDEV('Collapsed - Orthotrack outcomes'!$J:$AH,'NonPivot Summary'!H$35,$A$34:$A$35)</f>
        <v>1.9212091244838487</v>
      </c>
      <c r="I36" s="22">
        <f>DSTDEV('Collapsed - Orthotrack outcomes'!$J:$AH,'NonPivot Summary'!I$35,$A$34:$A$35)</f>
        <v>7.3065343700006045</v>
      </c>
      <c r="J36" s="22">
        <f>DSTDEV('Collapsed - Orthotrack outcomes'!$J:$AH,'NonPivot Summary'!J$35,$A$34:$A$35)</f>
        <v>7.4359349109577373</v>
      </c>
      <c r="K36" s="22">
        <f>DSTDEV('Collapsed - Orthotrack outcomes'!$J:$AH,'NonPivot Summary'!K$35,$A$34:$A$35)</f>
        <v>2.8814601333351835</v>
      </c>
      <c r="L36" s="22">
        <f>DSTDEV('Collapsed - Orthotrack outcomes'!$J:$AH,'NonPivot Summary'!L$35,$A$34:$A$35)</f>
        <v>3.5206846635278195</v>
      </c>
      <c r="M36" s="22">
        <f>DSTDEV('Collapsed - Orthotrack outcomes'!$J:$AH,'NonPivot Summary'!M$35,$A$34:$A$35)</f>
        <v>13.571500451313405</v>
      </c>
      <c r="N36" s="22">
        <f>DSTDEV('Collapsed - Orthotrack outcomes'!$J:$AH,'NonPivot Summary'!N$35,$A$34:$A$35)</f>
        <v>12.097889919320638</v>
      </c>
      <c r="O36" s="22">
        <f>DSTDEV('Collapsed - Orthotrack outcomes'!$J:$AH,'NonPivot Summary'!O$35,$A$34:$A$35)</f>
        <v>0.53386561979585023</v>
      </c>
      <c r="P36" s="22">
        <f>DSTDEV('Collapsed - Orthotrack outcomes'!$J:$AH,'NonPivot Summary'!P$35,$A$34:$A$35)</f>
        <v>3.6012948365830888</v>
      </c>
      <c r="Q36" s="22">
        <f>DSTDEV('Collapsed - Orthotrack outcomes'!$J:$AH,'NonPivot Summary'!Q$35,$A$34:$A$35)</f>
        <v>0.53386561979584268</v>
      </c>
      <c r="R36" s="22">
        <f>DSTDEV('Collapsed - Orthotrack outcomes'!$J:$AH,'NonPivot Summary'!R$35,$A$34:$A$35)</f>
        <v>3.6012948365830839</v>
      </c>
      <c r="S36" s="22">
        <f>DSTDEV('Collapsed - Orthotrack outcomes'!$J:$AH,'NonPivot Summary'!S$35,$A$34:$A$35)</f>
        <v>2.4098199102837539</v>
      </c>
      <c r="T36" s="22">
        <f>DSTDEV('Collapsed - Orthotrack outcomes'!$J:$AH,'NonPivot Summary'!T$35,$A$34:$A$35)</f>
        <v>2.5844752852368287</v>
      </c>
      <c r="U36" s="22">
        <f>DSTDEV('Collapsed - Orthotrack outcomes'!$J:$AH,'NonPivot Summary'!U$35,$A$34:$A$35)</f>
        <v>3.6012948365830839</v>
      </c>
      <c r="V36" s="22">
        <f>DSTDEV('Collapsed - Orthotrack outcomes'!$J:$AH,'NonPivot Summary'!V$35,$A$34:$A$35)</f>
        <v>0.53386561979584268</v>
      </c>
      <c r="W36" s="22">
        <f>DSTDEV('Collapsed - Orthotrack outcomes'!$J:$AH,'NonPivot Summary'!W$35,$A$34:$A$35)</f>
        <v>0.37759502115361687</v>
      </c>
      <c r="X36" s="22">
        <f>DSTDEV('Collapsed - Orthotrack outcomes'!$J:$AH,'NonPivot Summary'!X$35,$A$34:$A$35)</f>
        <v>0</v>
      </c>
      <c r="Y36" s="22">
        <f>DSTDEV('Collapsed - Orthotrack outcomes'!$J:$AH,'NonPivot Summary'!Y$35,$A$34:$A$35)</f>
        <v>1.4142135623730951</v>
      </c>
      <c r="Z36" s="22">
        <f>DSTDEV('Collapsed - Orthotrack outcomes'!$J:$AH,'NonPivot Summary'!Z$35,$A$34:$A$35)</f>
        <v>0.70710678118654757</v>
      </c>
      <c r="AA36" s="22">
        <f>DSTDEV('Collapsed - Orthotrack outcomes'!$J:$AH,'NonPivot Summary'!AA$35,$A$34:$A$35)</f>
        <v>0.70710678118654757</v>
      </c>
    </row>
    <row r="37" spans="1:27" ht="16" x14ac:dyDescent="0.2">
      <c r="A37" t="s">
        <v>119</v>
      </c>
      <c r="B37" t="s">
        <v>120</v>
      </c>
      <c r="C37" t="s">
        <v>121</v>
      </c>
      <c r="D37" t="s">
        <v>122</v>
      </c>
      <c r="E37" t="s">
        <v>123</v>
      </c>
      <c r="F37" s="24" t="s">
        <v>115</v>
      </c>
      <c r="G37" s="20">
        <f>DSTDEV('Collapsed - Orthotrack outcomes'!$J:$AH,'NonPivot Summary'!G$35,$B$34:$B$35)</f>
        <v>4.6549619762141994</v>
      </c>
      <c r="H37" s="20">
        <f>DSTDEV('Collapsed - Orthotrack outcomes'!$J:$AH,'NonPivot Summary'!H$35,$B$34:$B$35)</f>
        <v>6.3128103884086393</v>
      </c>
      <c r="I37" s="20">
        <f>DSTDEV('Collapsed - Orthotrack outcomes'!$J:$AH,'NonPivot Summary'!I$35,$B$34:$B$35)</f>
        <v>11.759867360363103</v>
      </c>
      <c r="J37" s="20">
        <f>DSTDEV('Collapsed - Orthotrack outcomes'!$J:$AH,'NonPivot Summary'!J$35,$B$34:$B$35)</f>
        <v>11.243721225644119</v>
      </c>
      <c r="K37" s="20">
        <f>DSTDEV('Collapsed - Orthotrack outcomes'!$J:$AH,'NonPivot Summary'!K$35,$B$34:$B$35)</f>
        <v>22.952187833261782</v>
      </c>
      <c r="L37" s="20">
        <f>DSTDEV('Collapsed - Orthotrack outcomes'!$J:$AH,'NonPivot Summary'!L$35,$B$34:$B$35)</f>
        <v>22.918714979975075</v>
      </c>
      <c r="M37" s="20">
        <f>DSTDEV('Collapsed - Orthotrack outcomes'!$J:$AH,'NonPivot Summary'!M$35,$B$34:$B$35)</f>
        <v>12.262661877966519</v>
      </c>
      <c r="N37" s="20">
        <f>DSTDEV('Collapsed - Orthotrack outcomes'!$J:$AH,'NonPivot Summary'!N$35,$B$34:$B$35)</f>
        <v>12.339213926880971</v>
      </c>
      <c r="O37" s="20">
        <f>DSTDEV('Collapsed - Orthotrack outcomes'!$J:$AH,'NonPivot Summary'!O$35,$B$34:$B$35)</f>
        <v>0.59829452056101573</v>
      </c>
      <c r="P37" s="20">
        <f>DSTDEV('Collapsed - Orthotrack outcomes'!$J:$AH,'NonPivot Summary'!P$35,$B$34:$B$35)</f>
        <v>0.41226366967431755</v>
      </c>
      <c r="Q37" s="20">
        <f>DSTDEV('Collapsed - Orthotrack outcomes'!$J:$AH,'NonPivot Summary'!Q$35,$B$34:$B$35)</f>
        <v>0.59829452056101573</v>
      </c>
      <c r="R37" s="20">
        <f>DSTDEV('Collapsed - Orthotrack outcomes'!$J:$AH,'NonPivot Summary'!R$35,$B$34:$B$35)</f>
        <v>0.41226366967431755</v>
      </c>
      <c r="S37" s="20">
        <f>DSTDEV('Collapsed - Orthotrack outcomes'!$J:$AH,'NonPivot Summary'!S$35,$B$34:$B$35)</f>
        <v>0.99308760942829133</v>
      </c>
      <c r="T37" s="20">
        <f>DSTDEV('Collapsed - Orthotrack outcomes'!$J:$AH,'NonPivot Summary'!T$35,$B$34:$B$35)</f>
        <v>0.82115609559530967</v>
      </c>
      <c r="U37" s="20">
        <f>DSTDEV('Collapsed - Orthotrack outcomes'!$J:$AH,'NonPivot Summary'!U$35,$B$34:$B$35)</f>
        <v>0.41226366967431755</v>
      </c>
      <c r="V37" s="20">
        <f>DSTDEV('Collapsed - Orthotrack outcomes'!$J:$AH,'NonPivot Summary'!V$35,$B$34:$B$35)</f>
        <v>0.59829452056101573</v>
      </c>
      <c r="W37" s="20">
        <f>DSTDEV('Collapsed - Orthotrack outcomes'!$J:$AH,'NonPivot Summary'!W$35,$B$34:$B$35)</f>
        <v>3.4379966550303709</v>
      </c>
      <c r="X37" s="20">
        <f>DSTDEV('Collapsed - Orthotrack outcomes'!$J:$AH,'NonPivot Summary'!X$35,$B$34:$B$35)</f>
        <v>4.358898943540674</v>
      </c>
      <c r="Y37" s="20">
        <f>DSTDEV('Collapsed - Orthotrack outcomes'!$J:$AH,'NonPivot Summary'!Y$35,$B$34:$B$35)</f>
        <v>4.9328828623162453</v>
      </c>
      <c r="Z37" s="20">
        <f>DSTDEV('Collapsed - Orthotrack outcomes'!$J:$AH,'NonPivot Summary'!Z$35,$B$34:$B$35)</f>
        <v>4.9328828623162453</v>
      </c>
      <c r="AA37" s="20">
        <f>DSTDEV('Collapsed - Orthotrack outcomes'!$J:$AH,'NonPivot Summary'!AA$35,$B$34:$B$35)</f>
        <v>4.9328828623162453</v>
      </c>
    </row>
    <row r="38" spans="1:27" ht="16" x14ac:dyDescent="0.2">
      <c r="A38" t="s">
        <v>148</v>
      </c>
      <c r="B38" t="s">
        <v>148</v>
      </c>
      <c r="C38" t="s">
        <v>148</v>
      </c>
      <c r="D38" t="s">
        <v>148</v>
      </c>
      <c r="E38" t="s">
        <v>148</v>
      </c>
      <c r="F38" s="24" t="s">
        <v>116</v>
      </c>
      <c r="G38" s="22">
        <f>DSTDEV('Collapsed - Orthotrack outcomes'!$J:$AH,'NonPivot Summary'!G$35,$C$34:$C$35)</f>
        <v>7.5230507680711209</v>
      </c>
      <c r="H38" s="22">
        <f>DSTDEV('Collapsed - Orthotrack outcomes'!$J:$AH,'NonPivot Summary'!H$35,$C$34:$C$35)</f>
        <v>8.452847315003984</v>
      </c>
      <c r="I38" s="22">
        <f>DSTDEV('Collapsed - Orthotrack outcomes'!$J:$AH,'NonPivot Summary'!I$35,$C$34:$C$35)</f>
        <v>14.542013641294327</v>
      </c>
      <c r="J38" s="22">
        <f>DSTDEV('Collapsed - Orthotrack outcomes'!$J:$AH,'NonPivot Summary'!J$35,$C$34:$C$35)</f>
        <v>15.173266610754364</v>
      </c>
      <c r="K38" s="22">
        <f>DSTDEV('Collapsed - Orthotrack outcomes'!$J:$AH,'NonPivot Summary'!K$35,$C$34:$C$35)</f>
        <v>23.556946061482353</v>
      </c>
      <c r="L38" s="22">
        <f>DSTDEV('Collapsed - Orthotrack outcomes'!$J:$AH,'NonPivot Summary'!L$35,$C$34:$C$35)</f>
        <v>23.706781410789912</v>
      </c>
      <c r="M38" s="22">
        <f>DSTDEV('Collapsed - Orthotrack outcomes'!$J:$AH,'NonPivot Summary'!M$35,$C$34:$C$35)</f>
        <v>17.807222801364588</v>
      </c>
      <c r="N38" s="22">
        <f>DSTDEV('Collapsed - Orthotrack outcomes'!$J:$AH,'NonPivot Summary'!N$35,$C$34:$C$35)</f>
        <v>17.71130130554786</v>
      </c>
      <c r="O38" s="22">
        <f>DSTDEV('Collapsed - Orthotrack outcomes'!$J:$AH,'NonPivot Summary'!O$35,$C$34:$C$35)</f>
        <v>3.7595753203977167</v>
      </c>
      <c r="P38" s="22">
        <f>DSTDEV('Collapsed - Orthotrack outcomes'!$J:$AH,'NonPivot Summary'!P$35,$C$34:$C$35)</f>
        <v>4.4984462046811524</v>
      </c>
      <c r="Q38" s="22">
        <f>DSTDEV('Collapsed - Orthotrack outcomes'!$J:$AH,'NonPivot Summary'!Q$35,$C$34:$C$35)</f>
        <v>3.759488564849049</v>
      </c>
      <c r="R38" s="22">
        <f>DSTDEV('Collapsed - Orthotrack outcomes'!$J:$AH,'NonPivot Summary'!R$35,$C$34:$C$35)</f>
        <v>4.498424453528493</v>
      </c>
      <c r="S38" s="22">
        <f>DSTDEV('Collapsed - Orthotrack outcomes'!$J:$AH,'NonPivot Summary'!S$35,$C$34:$C$35)</f>
        <v>3.0730759125186857</v>
      </c>
      <c r="T38" s="22">
        <f>DSTDEV('Collapsed - Orthotrack outcomes'!$J:$AH,'NonPivot Summary'!T$35,$C$34:$C$35)</f>
        <v>5.395961130849714</v>
      </c>
      <c r="U38" s="22">
        <f>DSTDEV('Collapsed - Orthotrack outcomes'!$J:$AH,'NonPivot Summary'!U$35,$C$34:$C$35)</f>
        <v>4.498424453528493</v>
      </c>
      <c r="V38" s="22">
        <f>DSTDEV('Collapsed - Orthotrack outcomes'!$J:$AH,'NonPivot Summary'!V$35,$C$34:$C$35)</f>
        <v>3.759488564849049</v>
      </c>
      <c r="W38" s="22">
        <f>DSTDEV('Collapsed - Orthotrack outcomes'!$J:$AH,'NonPivot Summary'!W$35,$C$34:$C$35)</f>
        <v>5.5401105214375956</v>
      </c>
      <c r="X38" s="22">
        <f>DSTDEV('Collapsed - Orthotrack outcomes'!$J:$AH,'NonPivot Summary'!X$35,$C$34:$C$35)</f>
        <v>3.7604555097787866</v>
      </c>
      <c r="Y38" s="22">
        <f>DSTDEV('Collapsed - Orthotrack outcomes'!$J:$AH,'NonPivot Summary'!Y$35,$C$34:$C$35)</f>
        <v>4.3485924631145219</v>
      </c>
      <c r="Z38" s="22">
        <f>DSTDEV('Collapsed - Orthotrack outcomes'!$J:$AH,'NonPivot Summary'!Z$35,$C$34:$C$35)</f>
        <v>4.3809026115981737</v>
      </c>
      <c r="AA38" s="22">
        <f>DSTDEV('Collapsed - Orthotrack outcomes'!$J:$AH,'NonPivot Summary'!AA$35,$C$34:$C$35)</f>
        <v>4.4071620032711438</v>
      </c>
    </row>
    <row r="39" spans="1:27" ht="16" x14ac:dyDescent="0.2">
      <c r="A39" t="s">
        <v>126</v>
      </c>
      <c r="E39" s="13"/>
      <c r="F39" s="24" t="s">
        <v>117</v>
      </c>
      <c r="G39" s="20">
        <f>DSTDEV('Collapsed - Orthotrack outcomes'!$J:$AH,'NonPivot Summary'!G$35,$D$34:$D$35)</f>
        <v>13.449272006593961</v>
      </c>
      <c r="H39" s="20">
        <f>DSTDEV('Collapsed - Orthotrack outcomes'!$J:$AH,'NonPivot Summary'!H$35,$D$34:$D$35)</f>
        <v>11.147524821219578</v>
      </c>
      <c r="I39" s="20">
        <f>DSTDEV('Collapsed - Orthotrack outcomes'!$J:$AH,'NonPivot Summary'!I$35,$D$34:$D$35)</f>
        <v>24.642908677065222</v>
      </c>
      <c r="J39" s="20">
        <f>DSTDEV('Collapsed - Orthotrack outcomes'!$J:$AH,'NonPivot Summary'!J$35,$D$34:$D$35)</f>
        <v>24.153134033793851</v>
      </c>
      <c r="K39" s="20">
        <f>DSTDEV('Collapsed - Orthotrack outcomes'!$J:$AH,'NonPivot Summary'!K$35,$D$34:$D$35)</f>
        <v>33.580619758539967</v>
      </c>
      <c r="L39" s="20">
        <f>DSTDEV('Collapsed - Orthotrack outcomes'!$J:$AH,'NonPivot Summary'!L$35,$D$34:$D$35)</f>
        <v>33.562186167883127</v>
      </c>
      <c r="M39" s="20">
        <f>DSTDEV('Collapsed - Orthotrack outcomes'!$J:$AH,'NonPivot Summary'!M$35,$D$34:$D$35)</f>
        <v>21.521402399021074</v>
      </c>
      <c r="N39" s="20">
        <f>DSTDEV('Collapsed - Orthotrack outcomes'!$J:$AH,'NonPivot Summary'!N$35,$D$34:$D$35)</f>
        <v>21.531660414170936</v>
      </c>
      <c r="O39" s="20">
        <f>DSTDEV('Collapsed - Orthotrack outcomes'!$J:$AH,'NonPivot Summary'!O$35,$D$34:$D$35)</f>
        <v>5.7742020539892884</v>
      </c>
      <c r="P39" s="20">
        <f>DSTDEV('Collapsed - Orthotrack outcomes'!$J:$AH,'NonPivot Summary'!P$35,$D$34:$D$35)</f>
        <v>3.2628059221005037</v>
      </c>
      <c r="Q39" s="20">
        <f>DSTDEV('Collapsed - Orthotrack outcomes'!$J:$AH,'NonPivot Summary'!Q$35,$D$34:$D$35)</f>
        <v>5.7742020539892724</v>
      </c>
      <c r="R39" s="20">
        <f>DSTDEV('Collapsed - Orthotrack outcomes'!$J:$AH,'NonPivot Summary'!R$35,$D$34:$D$35)</f>
        <v>3.2628059221005028</v>
      </c>
      <c r="S39" s="20">
        <f>DSTDEV('Collapsed - Orthotrack outcomes'!$J:$AH,'NonPivot Summary'!S$35,$D$34:$D$35)</f>
        <v>4.1069974505499207</v>
      </c>
      <c r="T39" s="20">
        <f>DSTDEV('Collapsed - Orthotrack outcomes'!$J:$AH,'NonPivot Summary'!T$35,$D$34:$D$35)</f>
        <v>4.141271422238229</v>
      </c>
      <c r="U39" s="20">
        <f>DSTDEV('Collapsed - Orthotrack outcomes'!$J:$AH,'NonPivot Summary'!U$35,$D$34:$D$35)</f>
        <v>3.2628059221005028</v>
      </c>
      <c r="V39" s="20">
        <f>DSTDEV('Collapsed - Orthotrack outcomes'!$J:$AH,'NonPivot Summary'!V$35,$D$34:$D$35)</f>
        <v>5.7742020539892724</v>
      </c>
      <c r="W39" s="20">
        <f>DSTDEV('Collapsed - Orthotrack outcomes'!$J:$AH,'NonPivot Summary'!W$35,$D$34:$D$35)</f>
        <v>4.7658988643585491</v>
      </c>
      <c r="X39" s="20">
        <f>DSTDEV('Collapsed - Orthotrack outcomes'!$J:$AH,'NonPivot Summary'!X$35,$D$34:$D$35)</f>
        <v>4.3165209302372745</v>
      </c>
      <c r="Y39" s="20">
        <f>DSTDEV('Collapsed - Orthotrack outcomes'!$J:$AH,'NonPivot Summary'!Y$35,$D$34:$D$35)</f>
        <v>4.4597876499170814</v>
      </c>
      <c r="Z39" s="20">
        <f>DSTDEV('Collapsed - Orthotrack outcomes'!$J:$AH,'NonPivot Summary'!Z$35,$D$34:$D$35)</f>
        <v>4.4000334223329567</v>
      </c>
      <c r="AA39" s="20">
        <f>DSTDEV('Collapsed - Orthotrack outcomes'!$J:$AH,'NonPivot Summary'!AA$35,$D$34:$D$35)</f>
        <v>4.4000334223329567</v>
      </c>
    </row>
    <row r="40" spans="1:27" ht="16" x14ac:dyDescent="0.2">
      <c r="E40" s="13"/>
      <c r="F40" s="24" t="s">
        <v>118</v>
      </c>
      <c r="G40" s="22">
        <f>DSTDEV('Collapsed - Orthotrack outcomes'!$J:$AH,'NonPivot Summary'!G$35,$E$34:$E$35)</f>
        <v>14.79572097259644</v>
      </c>
      <c r="H40" s="22">
        <f>DSTDEV('Collapsed - Orthotrack outcomes'!$J:$AH,'NonPivot Summary'!H$35,$E$34:$E$35)</f>
        <v>13.441294668863625</v>
      </c>
      <c r="I40" s="22">
        <f>DSTDEV('Collapsed - Orthotrack outcomes'!$J:$AH,'NonPivot Summary'!I$35,$E$34:$E$35)</f>
        <v>27.525462692541588</v>
      </c>
      <c r="J40" s="22">
        <f>DSTDEV('Collapsed - Orthotrack outcomes'!$J:$AH,'NonPivot Summary'!J$35,$E$34:$E$35)</f>
        <v>27.614981368556762</v>
      </c>
      <c r="K40" s="22">
        <f>DSTDEV('Collapsed - Orthotrack outcomes'!$J:$AH,'NonPivot Summary'!K$35,$E$34:$E$35)</f>
        <v>33.001458859410718</v>
      </c>
      <c r="L40" s="22">
        <f>DSTDEV('Collapsed - Orthotrack outcomes'!$J:$AH,'NonPivot Summary'!L$35,$E$34:$E$35)</f>
        <v>33.095914587098349</v>
      </c>
      <c r="M40" s="22">
        <f>DSTDEV('Collapsed - Orthotrack outcomes'!$J:$AH,'NonPivot Summary'!M$35,$E$34:$E$35)</f>
        <v>19.992645523638707</v>
      </c>
      <c r="N40" s="22">
        <f>DSTDEV('Collapsed - Orthotrack outcomes'!$J:$AH,'NonPivot Summary'!N$35,$E$34:$E$35)</f>
        <v>19.987680861228935</v>
      </c>
      <c r="O40" s="22">
        <f>DSTDEV('Collapsed - Orthotrack outcomes'!$J:$AH,'NonPivot Summary'!O$35,$E$34:$E$35)</f>
        <v>4.9297575926671984</v>
      </c>
      <c r="P40" s="22">
        <f>DSTDEV('Collapsed - Orthotrack outcomes'!$J:$AH,'NonPivot Summary'!P$35,$E$34:$E$35)</f>
        <v>5.2568154051763925</v>
      </c>
      <c r="Q40" s="22">
        <f>DSTDEV('Collapsed - Orthotrack outcomes'!$J:$AH,'NonPivot Summary'!Q$35,$E$34:$E$35)</f>
        <v>4.9297629946682999</v>
      </c>
      <c r="R40" s="22">
        <f>DSTDEV('Collapsed - Orthotrack outcomes'!$J:$AH,'NonPivot Summary'!R$35,$E$34:$E$35)</f>
        <v>5.2568154051762832</v>
      </c>
      <c r="S40" s="22">
        <f>DSTDEV('Collapsed - Orthotrack outcomes'!$J:$AH,'NonPivot Summary'!S$35,$E$34:$E$35)</f>
        <v>5.7162420699232772</v>
      </c>
      <c r="T40" s="22">
        <f>DSTDEV('Collapsed - Orthotrack outcomes'!$J:$AH,'NonPivot Summary'!T$35,$E$34:$E$35)</f>
        <v>3.9782433628437981</v>
      </c>
      <c r="U40" s="22">
        <f>DSTDEV('Collapsed - Orthotrack outcomes'!$J:$AH,'NonPivot Summary'!U$35,$E$34:$E$35)</f>
        <v>5.2568154051762832</v>
      </c>
      <c r="V40" s="22">
        <f>DSTDEV('Collapsed - Orthotrack outcomes'!$J:$AH,'NonPivot Summary'!V$35,$E$34:$E$35)</f>
        <v>4.9297629946682999</v>
      </c>
      <c r="W40" s="22">
        <f>DSTDEV('Collapsed - Orthotrack outcomes'!$J:$AH,'NonPivot Summary'!W$35,$E$34:$E$35)</f>
        <v>5.6122081749459891</v>
      </c>
      <c r="X40" s="22">
        <f>DSTDEV('Collapsed - Orthotrack outcomes'!$J:$AH,'NonPivot Summary'!X$35,$E$34:$E$35)</f>
        <v>4.3546029491699692</v>
      </c>
      <c r="Y40" s="22">
        <f>DSTDEV('Collapsed - Orthotrack outcomes'!$J:$AH,'NonPivot Summary'!Y$35,$E$34:$E$35)</f>
        <v>4.8800222085348368</v>
      </c>
      <c r="Z40" s="22">
        <f>DSTDEV('Collapsed - Orthotrack outcomes'!$J:$AH,'NonPivot Summary'!Z$35,$E$34:$E$35)</f>
        <v>4.5189243589436012</v>
      </c>
      <c r="AA40" s="22">
        <f>DSTDEV('Collapsed - Orthotrack outcomes'!$J:$AH,'NonPivot Summary'!AA$35,$E$34:$E$35)</f>
        <v>4.5189243589436012</v>
      </c>
    </row>
    <row r="41" spans="1:27" ht="16" x14ac:dyDescent="0.2">
      <c r="E41" s="13"/>
      <c r="F41" s="24" t="s">
        <v>119</v>
      </c>
      <c r="G41" s="20">
        <f>DSTDEV('Collapsed - Orthotrack outcomes'!$J:$AH,'NonPivot Summary'!G$35,$A$36:$A$37)</f>
        <v>17.15436858848901</v>
      </c>
      <c r="H41" s="20">
        <f>DSTDEV('Collapsed - Orthotrack outcomes'!$J:$AH,'NonPivot Summary'!H$35,$A$36:$A$37)</f>
        <v>17.566190106876967</v>
      </c>
      <c r="I41" s="20">
        <f>DSTDEV('Collapsed - Orthotrack outcomes'!$J:$AH,'NonPivot Summary'!I$35,$A$36:$A$37)</f>
        <v>33.80832293998084</v>
      </c>
      <c r="J41" s="20">
        <f>DSTDEV('Collapsed - Orthotrack outcomes'!$J:$AH,'NonPivot Summary'!J$35,$A$36:$A$37)</f>
        <v>34.927749946400887</v>
      </c>
      <c r="K41" s="20">
        <f>DSTDEV('Collapsed - Orthotrack outcomes'!$J:$AH,'NonPivot Summary'!K$35,$A$36:$A$37)</f>
        <v>35.328749594046577</v>
      </c>
      <c r="L41" s="20">
        <f>DSTDEV('Collapsed - Orthotrack outcomes'!$J:$AH,'NonPivot Summary'!L$35,$A$36:$A$37)</f>
        <v>36.267396837568597</v>
      </c>
      <c r="M41" s="20">
        <f>DSTDEV('Collapsed - Orthotrack outcomes'!$J:$AH,'NonPivot Summary'!M$35,$A$36:$A$37)</f>
        <v>19.035679196516284</v>
      </c>
      <c r="N41" s="20">
        <f>DSTDEV('Collapsed - Orthotrack outcomes'!$J:$AH,'NonPivot Summary'!N$35,$A$36:$A$37)</f>
        <v>21.901368230508311</v>
      </c>
      <c r="O41" s="20">
        <f>DSTDEV('Collapsed - Orthotrack outcomes'!$J:$AH,'NonPivot Summary'!O$35,$A$36:$A$37)</f>
        <v>5.7683871724202938</v>
      </c>
      <c r="P41" s="20">
        <f>DSTDEV('Collapsed - Orthotrack outcomes'!$J:$AH,'NonPivot Summary'!P$35,$A$36:$A$37)</f>
        <v>9.0512205234693344</v>
      </c>
      <c r="Q41" s="20">
        <f>DSTDEV('Collapsed - Orthotrack outcomes'!$J:$AH,'NonPivot Summary'!Q$35,$A$36:$A$37)</f>
        <v>5.7683871724202538</v>
      </c>
      <c r="R41" s="20">
        <f>DSTDEV('Collapsed - Orthotrack outcomes'!$J:$AH,'NonPivot Summary'!R$35,$A$36:$A$37)</f>
        <v>7.0419569797935928</v>
      </c>
      <c r="S41" s="20">
        <f>DSTDEV('Collapsed - Orthotrack outcomes'!$J:$AH,'NonPivot Summary'!S$35,$A$36:$A$37)</f>
        <v>5.8396904013912385</v>
      </c>
      <c r="T41" s="20">
        <f>DSTDEV('Collapsed - Orthotrack outcomes'!$J:$AH,'NonPivot Summary'!T$35,$A$36:$A$37)</f>
        <v>6.7059167377993987</v>
      </c>
      <c r="U41" s="20">
        <f>DSTDEV('Collapsed - Orthotrack outcomes'!$J:$AH,'NonPivot Summary'!U$35,$A$36:$A$37)</f>
        <v>6.1177119418545161</v>
      </c>
      <c r="V41" s="20">
        <f>DSTDEV('Collapsed - Orthotrack outcomes'!$J:$AH,'NonPivot Summary'!V$35,$A$36:$A$37)</f>
        <v>6.7268296554207385</v>
      </c>
      <c r="W41" s="20">
        <f>DSTDEV('Collapsed - Orthotrack outcomes'!$J:$AH,'NonPivot Summary'!W$35,$A$36:$A$37)</f>
        <v>4.8101983310681105</v>
      </c>
      <c r="X41" s="20">
        <f>DSTDEV('Collapsed - Orthotrack outcomes'!$J:$AH,'NonPivot Summary'!X$35,$A$36:$A$37)</f>
        <v>5.002006176472964</v>
      </c>
      <c r="Y41" s="20">
        <f>DSTDEV('Collapsed - Orthotrack outcomes'!$J:$AH,'NonPivot Summary'!Y$35,$A$36:$A$37)</f>
        <v>4.7864941570829771</v>
      </c>
      <c r="Z41" s="20">
        <f>DSTDEV('Collapsed - Orthotrack outcomes'!$J:$AH,'NonPivot Summary'!Z$35,$A$36:$A$37)</f>
        <v>4.8481774473923185</v>
      </c>
      <c r="AA41" s="20">
        <f>DSTDEV('Collapsed - Orthotrack outcomes'!$J:$AH,'NonPivot Summary'!AA$35,$A$36:$A$37)</f>
        <v>4.8550931839215394</v>
      </c>
    </row>
    <row r="42" spans="1:27" ht="16" x14ac:dyDescent="0.2">
      <c r="E42" s="13"/>
      <c r="F42" s="24" t="s">
        <v>120</v>
      </c>
      <c r="G42" s="22">
        <f>DSTDEV('Collapsed - Orthotrack outcomes'!$J:$AH,'NonPivot Summary'!G$35,$B$36:$B$37)</f>
        <v>13.10262002199781</v>
      </c>
      <c r="H42" s="22">
        <f>DSTDEV('Collapsed - Orthotrack outcomes'!$J:$AH,'NonPivot Summary'!H$35,$B$36:$B$37)</f>
        <v>13.270072985255291</v>
      </c>
      <c r="I42" s="22">
        <f>DSTDEV('Collapsed - Orthotrack outcomes'!$J:$AH,'NonPivot Summary'!I$35,$B$36:$B$37)</f>
        <v>25.854306389893068</v>
      </c>
      <c r="J42" s="22">
        <f>DSTDEV('Collapsed - Orthotrack outcomes'!$J:$AH,'NonPivot Summary'!J$35,$B$36:$B$37)</f>
        <v>25.986582839420304</v>
      </c>
      <c r="K42" s="22">
        <f>DSTDEV('Collapsed - Orthotrack outcomes'!$J:$AH,'NonPivot Summary'!K$35,$B$36:$B$37)</f>
        <v>27.594584732991997</v>
      </c>
      <c r="L42" s="22">
        <f>DSTDEV('Collapsed - Orthotrack outcomes'!$J:$AH,'NonPivot Summary'!L$35,$B$36:$B$37)</f>
        <v>27.691962143904927</v>
      </c>
      <c r="M42" s="22">
        <f>DSTDEV('Collapsed - Orthotrack outcomes'!$J:$AH,'NonPivot Summary'!M$35,$B$36:$B$37)</f>
        <v>17.608533925167524</v>
      </c>
      <c r="N42" s="22">
        <f>DSTDEV('Collapsed - Orthotrack outcomes'!$J:$AH,'NonPivot Summary'!N$35,$B$36:$B$37)</f>
        <v>17.721763219025227</v>
      </c>
      <c r="O42" s="22">
        <f>DSTDEV('Collapsed - Orthotrack outcomes'!$J:$AH,'NonPivot Summary'!O$35,$B$36:$B$37)</f>
        <v>3.699842335548754</v>
      </c>
      <c r="P42" s="22">
        <f>DSTDEV('Collapsed - Orthotrack outcomes'!$J:$AH,'NonPivot Summary'!P$35,$B$36:$B$37)</f>
        <v>3.9682909025388726</v>
      </c>
      <c r="Q42" s="22">
        <f>DSTDEV('Collapsed - Orthotrack outcomes'!$J:$AH,'NonPivot Summary'!Q$35,$B$36:$B$37)</f>
        <v>3.699844578856756</v>
      </c>
      <c r="R42" s="22">
        <f>DSTDEV('Collapsed - Orthotrack outcomes'!$J:$AH,'NonPivot Summary'!R$35,$B$36:$B$37)</f>
        <v>3.9682864764942503</v>
      </c>
      <c r="S42" s="22">
        <f>DSTDEV('Collapsed - Orthotrack outcomes'!$J:$AH,'NonPivot Summary'!S$35,$B$36:$B$37)</f>
        <v>3.5908066412217488</v>
      </c>
      <c r="T42" s="22">
        <f>DSTDEV('Collapsed - Orthotrack outcomes'!$J:$AH,'NonPivot Summary'!T$35,$B$36:$B$37)</f>
        <v>4.1142111847431329</v>
      </c>
      <c r="U42" s="22">
        <f>DSTDEV('Collapsed - Orthotrack outcomes'!$J:$AH,'NonPivot Summary'!U$35,$B$36:$B$37)</f>
        <v>3.9682864764942503</v>
      </c>
      <c r="V42" s="22">
        <f>DSTDEV('Collapsed - Orthotrack outcomes'!$J:$AH,'NonPivot Summary'!V$35,$B$36:$B$37)</f>
        <v>3.699844578856756</v>
      </c>
      <c r="W42" s="22">
        <f>DSTDEV('Collapsed - Orthotrack outcomes'!$J:$AH,'NonPivot Summary'!W$35,$B$36:$B$37)</f>
        <v>3.8446748450603252</v>
      </c>
      <c r="X42" s="22">
        <f>DSTDEV('Collapsed - Orthotrack outcomes'!$J:$AH,'NonPivot Summary'!X$35,$B$36:$B$37)</f>
        <v>4.9522342120601968</v>
      </c>
      <c r="Y42" s="22">
        <f>DSTDEV('Collapsed - Orthotrack outcomes'!$J:$AH,'NonPivot Summary'!Y$35,$B$36:$B$37)</f>
        <v>4.8134681207046679</v>
      </c>
      <c r="Z42" s="22">
        <f>DSTDEV('Collapsed - Orthotrack outcomes'!$J:$AH,'NonPivot Summary'!Z$35,$B$36:$B$37)</f>
        <v>4.7872608548257114</v>
      </c>
      <c r="AA42" s="22">
        <f>DSTDEV('Collapsed - Orthotrack outcomes'!$J:$AH,'NonPivot Summary'!AA$35,$B$36:$B$37)</f>
        <v>4.7732592790305937</v>
      </c>
    </row>
    <row r="43" spans="1:27" ht="16" x14ac:dyDescent="0.2">
      <c r="E43" s="13"/>
      <c r="F43" s="24" t="s">
        <v>121</v>
      </c>
      <c r="G43" s="20">
        <f>DSTDEV('Collapsed - Orthotrack outcomes'!$J:$AH,'NonPivot Summary'!G$35,$C$36:$C$37)</f>
        <v>14.023915645602516</v>
      </c>
      <c r="H43" s="20">
        <f>DSTDEV('Collapsed - Orthotrack outcomes'!$J:$AH,'NonPivot Summary'!H$35,$C$36:$C$37)</f>
        <v>14.298484010029703</v>
      </c>
      <c r="I43" s="20">
        <f>DSTDEV('Collapsed - Orthotrack outcomes'!$J:$AH,'NonPivot Summary'!I$35,$C$36:$C$37)</f>
        <v>27.939490048706947</v>
      </c>
      <c r="J43" s="20">
        <f>DSTDEV('Collapsed - Orthotrack outcomes'!$J:$AH,'NonPivot Summary'!J$35,$C$36:$C$37)</f>
        <v>28.043526428122153</v>
      </c>
      <c r="K43" s="20">
        <f>DSTDEV('Collapsed - Orthotrack outcomes'!$J:$AH,'NonPivot Summary'!K$35,$C$36:$C$37)</f>
        <v>29.001743426630174</v>
      </c>
      <c r="L43" s="20">
        <f>DSTDEV('Collapsed - Orthotrack outcomes'!$J:$AH,'NonPivot Summary'!L$35,$C$36:$C$37)</f>
        <v>29.01816065316234</v>
      </c>
      <c r="M43" s="20">
        <f>DSTDEV('Collapsed - Orthotrack outcomes'!$J:$AH,'NonPivot Summary'!M$35,$C$36:$C$37)</f>
        <v>15.440475659613522</v>
      </c>
      <c r="N43" s="20">
        <f>DSTDEV('Collapsed - Orthotrack outcomes'!$J:$AH,'NonPivot Summary'!N$35,$C$36:$C$37)</f>
        <v>15.495884068359587</v>
      </c>
      <c r="O43" s="20">
        <f>DSTDEV('Collapsed - Orthotrack outcomes'!$J:$AH,'NonPivot Summary'!O$35,$C$36:$C$37)</f>
        <v>3.6547075752373832</v>
      </c>
      <c r="P43" s="20">
        <f>DSTDEV('Collapsed - Orthotrack outcomes'!$J:$AH,'NonPivot Summary'!P$35,$C$36:$C$37)</f>
        <v>3.9948032172470485</v>
      </c>
      <c r="Q43" s="20">
        <f>DSTDEV('Collapsed - Orthotrack outcomes'!$J:$AH,'NonPivot Summary'!Q$35,$C$36:$C$37)</f>
        <v>3.654714429261817</v>
      </c>
      <c r="R43" s="20">
        <f>DSTDEV('Collapsed - Orthotrack outcomes'!$J:$AH,'NonPivot Summary'!R$35,$C$36:$C$37)</f>
        <v>3.9948007740719613</v>
      </c>
      <c r="S43" s="20">
        <f>DSTDEV('Collapsed - Orthotrack outcomes'!$J:$AH,'NonPivot Summary'!S$35,$C$36:$C$37)</f>
        <v>3.8696412201181944</v>
      </c>
      <c r="T43" s="20">
        <f>DSTDEV('Collapsed - Orthotrack outcomes'!$J:$AH,'NonPivot Summary'!T$35,$C$36:$C$37)</f>
        <v>3.8944348216077351</v>
      </c>
      <c r="U43" s="20">
        <f>DSTDEV('Collapsed - Orthotrack outcomes'!$J:$AH,'NonPivot Summary'!U$35,$C$36:$C$37)</f>
        <v>3.9948007740719613</v>
      </c>
      <c r="V43" s="20">
        <f>DSTDEV('Collapsed - Orthotrack outcomes'!$J:$AH,'NonPivot Summary'!V$35,$C$36:$C$37)</f>
        <v>3.654714429261817</v>
      </c>
      <c r="W43" s="20">
        <f>DSTDEV('Collapsed - Orthotrack outcomes'!$J:$AH,'NonPivot Summary'!W$35,$C$36:$C$37)</f>
        <v>3.4336750619336946</v>
      </c>
      <c r="X43" s="20">
        <f>DSTDEV('Collapsed - Orthotrack outcomes'!$J:$AH,'NonPivot Summary'!X$35,$C$36:$C$37)</f>
        <v>4.2075151906561192</v>
      </c>
      <c r="Y43" s="20">
        <f>DSTDEV('Collapsed - Orthotrack outcomes'!$J:$AH,'NonPivot Summary'!Y$35,$C$36:$C$37)</f>
        <v>4.1279775925960536</v>
      </c>
      <c r="Z43" s="20">
        <f>DSTDEV('Collapsed - Orthotrack outcomes'!$J:$AH,'NonPivot Summary'!Z$35,$C$36:$C$37)</f>
        <v>4.0918192866531689</v>
      </c>
      <c r="AA43" s="20">
        <f>DSTDEV('Collapsed - Orthotrack outcomes'!$J:$AH,'NonPivot Summary'!AA$35,$C$36:$C$37)</f>
        <v>4.0935940734043168</v>
      </c>
    </row>
    <row r="44" spans="1:27" ht="16" x14ac:dyDescent="0.2">
      <c r="E44" s="13"/>
      <c r="F44" s="24" t="s">
        <v>122</v>
      </c>
      <c r="G44" s="22">
        <f>DSTDEV('Collapsed - Orthotrack outcomes'!$J:$AH,'NonPivot Summary'!G$35,$D$36:$D$37)</f>
        <v>13.727938280143274</v>
      </c>
      <c r="H44" s="22">
        <f>DSTDEV('Collapsed - Orthotrack outcomes'!$J:$AH,'NonPivot Summary'!H$35,$D$36:$D$37)</f>
        <v>13.743987011415978</v>
      </c>
      <c r="I44" s="22">
        <f>DSTDEV('Collapsed - Orthotrack outcomes'!$J:$AH,'NonPivot Summary'!I$35,$D$36:$D$37)</f>
        <v>26.990591403557843</v>
      </c>
      <c r="J44" s="22">
        <f>DSTDEV('Collapsed - Orthotrack outcomes'!$J:$AH,'NonPivot Summary'!J$35,$D$36:$D$37)</f>
        <v>27.252375908242346</v>
      </c>
      <c r="K44" s="22">
        <f>DSTDEV('Collapsed - Orthotrack outcomes'!$J:$AH,'NonPivot Summary'!K$35,$D$36:$D$37)</f>
        <v>28.864243679701715</v>
      </c>
      <c r="L44" s="22">
        <f>DSTDEV('Collapsed - Orthotrack outcomes'!$J:$AH,'NonPivot Summary'!L$35,$D$36:$D$37)</f>
        <v>28.957009726572352</v>
      </c>
      <c r="M44" s="22">
        <f>DSTDEV('Collapsed - Orthotrack outcomes'!$J:$AH,'NonPivot Summary'!M$35,$D$36:$D$37)</f>
        <v>16.416536076217188</v>
      </c>
      <c r="N44" s="22">
        <f>DSTDEV('Collapsed - Orthotrack outcomes'!$J:$AH,'NonPivot Summary'!N$35,$D$36:$D$37)</f>
        <v>16.481496445030924</v>
      </c>
      <c r="O44" s="22">
        <f>DSTDEV('Collapsed - Orthotrack outcomes'!$J:$AH,'NonPivot Summary'!O$35,$D$36:$D$37)</f>
        <v>3.663639178471322</v>
      </c>
      <c r="P44" s="22">
        <f>DSTDEV('Collapsed - Orthotrack outcomes'!$J:$AH,'NonPivot Summary'!P$35,$D$36:$D$37)</f>
        <v>3.6927563092030811</v>
      </c>
      <c r="Q44" s="22">
        <f>DSTDEV('Collapsed - Orthotrack outcomes'!$J:$AH,'NonPivot Summary'!Q$35,$D$36:$D$37)</f>
        <v>3.6637117901222473</v>
      </c>
      <c r="R44" s="22">
        <f>DSTDEV('Collapsed - Orthotrack outcomes'!$J:$AH,'NonPivot Summary'!R$35,$D$36:$D$37)</f>
        <v>3.6927563092031384</v>
      </c>
      <c r="S44" s="22">
        <f>DSTDEV('Collapsed - Orthotrack outcomes'!$J:$AH,'NonPivot Summary'!S$35,$D$36:$D$37)</f>
        <v>3.0679621494977054</v>
      </c>
      <c r="T44" s="22">
        <f>DSTDEV('Collapsed - Orthotrack outcomes'!$J:$AH,'NonPivot Summary'!T$35,$D$36:$D$37)</f>
        <v>4.2819619396431579</v>
      </c>
      <c r="U44" s="22">
        <f>DSTDEV('Collapsed - Orthotrack outcomes'!$J:$AH,'NonPivot Summary'!U$35,$D$36:$D$37)</f>
        <v>3.6927563092031384</v>
      </c>
      <c r="V44" s="22">
        <f>DSTDEV('Collapsed - Orthotrack outcomes'!$J:$AH,'NonPivot Summary'!V$35,$D$36:$D$37)</f>
        <v>3.6637117901222473</v>
      </c>
      <c r="W44" s="22">
        <f>DSTDEV('Collapsed - Orthotrack outcomes'!$J:$AH,'NonPivot Summary'!W$35,$D$36:$D$37)</f>
        <v>3.3351029845294722</v>
      </c>
      <c r="X44" s="22">
        <f>DSTDEV('Collapsed - Orthotrack outcomes'!$J:$AH,'NonPivot Summary'!X$35,$D$36:$D$37)</f>
        <v>4.2440560802152483</v>
      </c>
      <c r="Y44" s="22">
        <f>DSTDEV('Collapsed - Orthotrack outcomes'!$J:$AH,'NonPivot Summary'!Y$35,$D$36:$D$37)</f>
        <v>4.7664682123370143</v>
      </c>
      <c r="Z44" s="22">
        <f>DSTDEV('Collapsed - Orthotrack outcomes'!$J:$AH,'NonPivot Summary'!Z$35,$D$36:$D$37)</f>
        <v>4.1976326804664694</v>
      </c>
      <c r="AA44" s="22">
        <f>DSTDEV('Collapsed - Orthotrack outcomes'!$J:$AH,'NonPivot Summary'!AA$35,$D$36:$D$37)</f>
        <v>4.1976326804664694</v>
      </c>
    </row>
    <row r="45" spans="1:27" ht="16" x14ac:dyDescent="0.2">
      <c r="E45" s="13"/>
      <c r="F45" s="24" t="s">
        <v>123</v>
      </c>
      <c r="G45" s="20" t="str">
        <f>IFERROR(DSTDEV('Collapsed - Orthotrack outcomes'!$J:$AH,'NonPivot Summary'!G$35,$E$37:$E$38),"NA")</f>
        <v>NA</v>
      </c>
      <c r="H45" s="20" t="str">
        <f>IFERROR(DSTDEV('Collapsed - Orthotrack outcomes'!$J:$AH,'NonPivot Summary'!H$35,$E$37:$E$38),"NA")</f>
        <v>NA</v>
      </c>
      <c r="I45" s="20" t="str">
        <f>IFERROR(DSTDEV('Collapsed - Orthotrack outcomes'!$J:$AH,'NonPivot Summary'!I$35,$E$37:$E$38),"NA")</f>
        <v>NA</v>
      </c>
      <c r="J45" s="20" t="str">
        <f>IFERROR(DSTDEV('Collapsed - Orthotrack outcomes'!$J:$AH,'NonPivot Summary'!J$35,$E$37:$E$38),"NA")</f>
        <v>NA</v>
      </c>
      <c r="K45" s="20" t="str">
        <f>IFERROR(DSTDEV('Collapsed - Orthotrack outcomes'!$J:$AH,'NonPivot Summary'!K$35,$E$37:$E$38),"NA")</f>
        <v>NA</v>
      </c>
      <c r="L45" s="20" t="str">
        <f>IFERROR(DSTDEV('Collapsed - Orthotrack outcomes'!$J:$AH,'NonPivot Summary'!L$35,$E$37:$E$38),"NA")</f>
        <v>NA</v>
      </c>
      <c r="M45" s="20" t="str">
        <f>IFERROR(DSTDEV('Collapsed - Orthotrack outcomes'!$J:$AH,'NonPivot Summary'!M$35,$E$37:$E$38),"NA")</f>
        <v>NA</v>
      </c>
      <c r="N45" s="20" t="str">
        <f>IFERROR(DSTDEV('Collapsed - Orthotrack outcomes'!$J:$AH,'NonPivot Summary'!N$35,$E$37:$E$38),"NA")</f>
        <v>NA</v>
      </c>
      <c r="O45" s="20" t="str">
        <f>IFERROR(DSTDEV('Collapsed - Orthotrack outcomes'!$J:$AH,'NonPivot Summary'!O$35,$E$37:$E$38),"NA")</f>
        <v>NA</v>
      </c>
      <c r="P45" s="20" t="str">
        <f>IFERROR(DSTDEV('Collapsed - Orthotrack outcomes'!$J:$AH,'NonPivot Summary'!P$35,$E$37:$E$38),"NA")</f>
        <v>NA</v>
      </c>
      <c r="Q45" s="20" t="str">
        <f>IFERROR(DSTDEV('Collapsed - Orthotrack outcomes'!$J:$AH,'NonPivot Summary'!Q$35,$E$37:$E$38),"NA")</f>
        <v>NA</v>
      </c>
      <c r="R45" s="20" t="str">
        <f>IFERROR(DSTDEV('Collapsed - Orthotrack outcomes'!$J:$AH,'NonPivot Summary'!R$35,$E$37:$E$38),"NA")</f>
        <v>NA</v>
      </c>
      <c r="S45" s="20" t="str">
        <f>IFERROR(DSTDEV('Collapsed - Orthotrack outcomes'!$J:$AH,'NonPivot Summary'!S$35,$E$37:$E$38),"NA")</f>
        <v>NA</v>
      </c>
      <c r="T45" s="20" t="str">
        <f>IFERROR(DSTDEV('Collapsed - Orthotrack outcomes'!$J:$AH,'NonPivot Summary'!T$35,$E$37:$E$38),"NA")</f>
        <v>NA</v>
      </c>
      <c r="U45" s="20" t="str">
        <f>IFERROR(DSTDEV('Collapsed - Orthotrack outcomes'!$J:$AH,'NonPivot Summary'!U$35,$E$37:$E$38),"NA")</f>
        <v>NA</v>
      </c>
      <c r="V45" s="20" t="str">
        <f>IFERROR(DSTDEV('Collapsed - Orthotrack outcomes'!$J:$AH,'NonPivot Summary'!V$35,$E$37:$E$38),"NA")</f>
        <v>NA</v>
      </c>
      <c r="W45" s="20" t="str">
        <f>IFERROR(DSTDEV('Collapsed - Orthotrack outcomes'!$J:$AH,'NonPivot Summary'!W$35,$E$37:$E$38),"NA")</f>
        <v>NA</v>
      </c>
      <c r="X45" s="20" t="str">
        <f>IFERROR(DSTDEV('Collapsed - Orthotrack outcomes'!$J:$AH,'NonPivot Summary'!X$35,$E$37:$E$38),"NA")</f>
        <v>NA</v>
      </c>
      <c r="Y45" s="20" t="str">
        <f>IFERROR(DSTDEV('Collapsed - Orthotrack outcomes'!$J:$AH,'NonPivot Summary'!Y$35,$E$37:$E$38),"NA")</f>
        <v>NA</v>
      </c>
      <c r="Z45" s="20" t="str">
        <f>IFERROR(DSTDEV('Collapsed - Orthotrack outcomes'!$J:$AH,'NonPivot Summary'!Z$35,$E$37:$E$38),"NA")</f>
        <v>NA</v>
      </c>
      <c r="AA45" s="20" t="str">
        <f>IFERROR(DSTDEV('Collapsed - Orthotrack outcomes'!$J:$AH,'NonPivot Summary'!AA$35,$E$37:$E$38),"NA")</f>
        <v>NA</v>
      </c>
    </row>
    <row r="46" spans="1:27" ht="16" x14ac:dyDescent="0.2">
      <c r="E46" s="13"/>
      <c r="F46" s="24" t="s">
        <v>126</v>
      </c>
      <c r="G46" s="22">
        <f>DSTDEV('Collapsed - Orthotrack outcomes'!$J:$AH,'NonPivot Summary'!G$35,$A$38:$A$39)</f>
        <v>12.874945943923811</v>
      </c>
      <c r="H46" s="22">
        <f>DSTDEV('Collapsed - Orthotrack outcomes'!$J:$AH,'NonPivot Summary'!H$35,$A$38:$A$39)</f>
        <v>12.702001598845522</v>
      </c>
      <c r="I46" s="22">
        <f>DSTDEV('Collapsed - Orthotrack outcomes'!$J:$AH,'NonPivot Summary'!I$35,$A$38:$A$39)</f>
        <v>25.377850762679405</v>
      </c>
      <c r="J46" s="22">
        <f>DSTDEV('Collapsed - Orthotrack outcomes'!$J:$AH,'NonPivot Summary'!J$35,$A$38:$A$39)</f>
        <v>25.162560368250485</v>
      </c>
      <c r="K46" s="22">
        <f>DSTDEV('Collapsed - Orthotrack outcomes'!$J:$AH,'NonPivot Summary'!K$35,$A$38:$A$39)</f>
        <v>26.787554251447343</v>
      </c>
      <c r="L46" s="22">
        <f>DSTDEV('Collapsed - Orthotrack outcomes'!$J:$AH,'NonPivot Summary'!L$35,$A$38:$A$39)</f>
        <v>26.797146297569846</v>
      </c>
      <c r="M46" s="22">
        <f>DSTDEV('Collapsed - Orthotrack outcomes'!$J:$AH,'NonPivot Summary'!M$35,$A$38:$A$39)</f>
        <v>127.88282091714346</v>
      </c>
      <c r="N46" s="22">
        <f>DSTDEV('Collapsed - Orthotrack outcomes'!$J:$AH,'NonPivot Summary'!N$35,$A$38:$A$39)</f>
        <v>76.543461818487671</v>
      </c>
      <c r="O46" s="22">
        <f>DSTDEV('Collapsed - Orthotrack outcomes'!$J:$AH,'NonPivot Summary'!O$35,$A$38:$A$39)</f>
        <v>11.196637700667752</v>
      </c>
      <c r="P46" s="22">
        <f>DSTDEV('Collapsed - Orthotrack outcomes'!$J:$AH,'NonPivot Summary'!P$35,$A$38:$A$39)</f>
        <v>44.042900444640317</v>
      </c>
      <c r="Q46" s="22">
        <f>DSTDEV('Collapsed - Orthotrack outcomes'!$J:$AH,'NonPivot Summary'!Q$35,$A$38:$A$39)</f>
        <v>11.196487642922227</v>
      </c>
      <c r="R46" s="22">
        <f>DSTDEV('Collapsed - Orthotrack outcomes'!$J:$AH,'NonPivot Summary'!R$35,$A$38:$A$39)</f>
        <v>44.043056381672798</v>
      </c>
      <c r="S46" s="22">
        <f>DSTDEV('Collapsed - Orthotrack outcomes'!$J:$AH,'NonPivot Summary'!S$35,$A$38:$A$39)</f>
        <v>63.087981867608043</v>
      </c>
      <c r="T46" s="22">
        <f>DSTDEV('Collapsed - Orthotrack outcomes'!$J:$AH,'NonPivot Summary'!T$35,$A$38:$A$39)</f>
        <v>65.316390533323528</v>
      </c>
      <c r="U46" s="22">
        <f>DSTDEV('Collapsed - Orthotrack outcomes'!$J:$AH,'NonPivot Summary'!U$35,$A$38:$A$39)</f>
        <v>44.043056381672798</v>
      </c>
      <c r="V46" s="22">
        <f>DSTDEV('Collapsed - Orthotrack outcomes'!$J:$AH,'NonPivot Summary'!V$35,$A$38:$A$39)</f>
        <v>11.196487642922227</v>
      </c>
      <c r="W46" s="22">
        <f>DSTDEV('Collapsed - Orthotrack outcomes'!$J:$AH,'NonPivot Summary'!W$35,$A$38:$A$39)</f>
        <v>3.917132076027356</v>
      </c>
      <c r="X46" s="22">
        <f>DSTDEV('Collapsed - Orthotrack outcomes'!$J:$AH,'NonPivot Summary'!X$35,$A$38:$A$39)</f>
        <v>4.0645936311402648</v>
      </c>
      <c r="Y46" s="22">
        <f>DSTDEV('Collapsed - Orthotrack outcomes'!$J:$AH,'NonPivot Summary'!Y$35,$A$38:$A$39)</f>
        <v>4.0741143825688244</v>
      </c>
      <c r="Z46" s="22">
        <f>DSTDEV('Collapsed - Orthotrack outcomes'!$J:$AH,'NonPivot Summary'!Z$35,$A$38:$A$39)</f>
        <v>3.9375317268956649</v>
      </c>
      <c r="AA46" s="22">
        <f>DSTDEV('Collapsed - Orthotrack outcomes'!$J:$AH,'NonPivot Summary'!AA$35,$A$38:$A$39)</f>
        <v>3.9375317268956649</v>
      </c>
    </row>
    <row r="48" spans="1:27" x14ac:dyDescent="0.2">
      <c r="F48" s="25" t="s">
        <v>5</v>
      </c>
      <c r="G48" s="23" t="s">
        <v>128</v>
      </c>
      <c r="H48" s="23" t="s">
        <v>129</v>
      </c>
      <c r="I48" s="23" t="s">
        <v>130</v>
      </c>
    </row>
    <row r="49" spans="1:10" ht="16" x14ac:dyDescent="0.2">
      <c r="F49" s="24" t="s">
        <v>114</v>
      </c>
      <c r="G49" s="22">
        <f>COUNTIFS('Collapsed - Orthotrack outcomes'!$I:$I,"&gt;="&amp;$D21,'Collapsed - Orthotrack outcomes'!$I:$I,"&lt;"&amp;$E21)</f>
        <v>4</v>
      </c>
      <c r="H49" s="22">
        <f>COUNTIFS('Collapsed - Orthotrack outcomes'!$I:$I,"&gt;="&amp;$D21,'Collapsed - Orthotrack outcomes'!$I:$I,"&lt;"&amp;$E21,'Collapsed - Orthotrack outcomes'!$N:$N,"&lt;&gt;NA")</f>
        <v>2</v>
      </c>
      <c r="I49" s="22">
        <f>G49-H49</f>
        <v>2</v>
      </c>
    </row>
    <row r="50" spans="1:10" ht="16" x14ac:dyDescent="0.2">
      <c r="F50" s="24" t="s">
        <v>115</v>
      </c>
      <c r="G50" s="20">
        <f>COUNTIFS('Collapsed - Orthotrack outcomes'!$I:$I,"&gt;="&amp;$D22,'Collapsed - Orthotrack outcomes'!$I:$I,"&lt;"&amp;$E22)</f>
        <v>3</v>
      </c>
      <c r="H50" s="20">
        <f>COUNTIFS('Collapsed - Orthotrack outcomes'!$I:$I,"&gt;="&amp;$D22,'Collapsed - Orthotrack outcomes'!$I:$I,"&lt;"&amp;$E22,'Collapsed - Orthotrack outcomes'!$N:$N,"&lt;&gt;NA")</f>
        <v>3</v>
      </c>
      <c r="I50" s="20">
        <f t="shared" ref="I50:I59" si="3">G50-H50</f>
        <v>0</v>
      </c>
    </row>
    <row r="51" spans="1:10" ht="16" x14ac:dyDescent="0.2">
      <c r="F51" s="24" t="s">
        <v>116</v>
      </c>
      <c r="G51" s="22">
        <f>COUNTIFS('Collapsed - Orthotrack outcomes'!$I:$I,"&gt;="&amp;$D23,'Collapsed - Orthotrack outcomes'!$I:$I,"&lt;"&amp;$E23)</f>
        <v>15</v>
      </c>
      <c r="H51" s="22">
        <f>COUNTIFS('Collapsed - Orthotrack outcomes'!$I:$I,"&gt;="&amp;$D23,'Collapsed - Orthotrack outcomes'!$I:$I,"&lt;"&amp;$E23,'Collapsed - Orthotrack outcomes'!$N:$N,"&lt;&gt;NA")</f>
        <v>13</v>
      </c>
      <c r="I51" s="22">
        <f t="shared" si="3"/>
        <v>2</v>
      </c>
    </row>
    <row r="52" spans="1:10" ht="16" x14ac:dyDescent="0.2">
      <c r="F52" s="24" t="s">
        <v>117</v>
      </c>
      <c r="G52" s="20">
        <f>COUNTIFS('Collapsed - Orthotrack outcomes'!$I:$I,"&gt;="&amp;$D24,'Collapsed - Orthotrack outcomes'!$I:$I,"&lt;"&amp;$E24)</f>
        <v>20</v>
      </c>
      <c r="H52" s="20">
        <f>COUNTIFS('Collapsed - Orthotrack outcomes'!$I:$I,"&gt;="&amp;$D24,'Collapsed - Orthotrack outcomes'!$I:$I,"&lt;"&amp;$E24,'Collapsed - Orthotrack outcomes'!$N:$N,"&lt;&gt;NA")</f>
        <v>17</v>
      </c>
      <c r="I52" s="20">
        <f t="shared" si="3"/>
        <v>3</v>
      </c>
    </row>
    <row r="53" spans="1:10" ht="16" x14ac:dyDescent="0.2">
      <c r="F53" s="24" t="s">
        <v>118</v>
      </c>
      <c r="G53" s="22">
        <f>COUNTIFS('Collapsed - Orthotrack outcomes'!$I:$I,"&gt;="&amp;$D25,'Collapsed - Orthotrack outcomes'!$I:$I,"&lt;"&amp;$E25)</f>
        <v>44</v>
      </c>
      <c r="H53" s="22">
        <f>COUNTIFS('Collapsed - Orthotrack outcomes'!$I:$I,"&gt;="&amp;$D25,'Collapsed - Orthotrack outcomes'!$I:$I,"&lt;"&amp;$E25,'Collapsed - Orthotrack outcomes'!$N:$N,"&lt;&gt;NA")</f>
        <v>34</v>
      </c>
      <c r="I53" s="22">
        <f>G53-H53</f>
        <v>10</v>
      </c>
    </row>
    <row r="54" spans="1:10" ht="16" x14ac:dyDescent="0.2">
      <c r="F54" s="24" t="s">
        <v>119</v>
      </c>
      <c r="G54" s="20">
        <f>COUNTIFS('Collapsed - Orthotrack outcomes'!$I:$I,"&gt;="&amp;$D26,'Collapsed - Orthotrack outcomes'!$I:$I,"&lt;"&amp;$E26)</f>
        <v>117</v>
      </c>
      <c r="H54" s="20">
        <f>COUNTIFS('Collapsed - Orthotrack outcomes'!$I:$I,"&gt;="&amp;$D26,'Collapsed - Orthotrack outcomes'!$I:$I,"&lt;"&amp;$E26,'Collapsed - Orthotrack outcomes'!$N:$N,"&lt;&gt;NA")</f>
        <v>96</v>
      </c>
      <c r="I54" s="20">
        <f t="shared" si="3"/>
        <v>21</v>
      </c>
    </row>
    <row r="55" spans="1:10" ht="16" x14ac:dyDescent="0.2">
      <c r="F55" s="24" t="s">
        <v>120</v>
      </c>
      <c r="G55" s="22">
        <f>COUNTIFS('Collapsed - Orthotrack outcomes'!$I:$I,"&gt;="&amp;$D27,'Collapsed - Orthotrack outcomes'!$I:$I,"&lt;"&amp;$E27)</f>
        <v>236</v>
      </c>
      <c r="H55" s="22">
        <f>COUNTIFS('Collapsed - Orthotrack outcomes'!$I:$I,"&gt;="&amp;$D27,'Collapsed - Orthotrack outcomes'!$I:$I,"&lt;"&amp;$E27,'Collapsed - Orthotrack outcomes'!$N:$N,"&lt;&gt;NA")</f>
        <v>192</v>
      </c>
      <c r="I55" s="22">
        <f t="shared" si="3"/>
        <v>44</v>
      </c>
    </row>
    <row r="56" spans="1:10" ht="16" x14ac:dyDescent="0.2">
      <c r="F56" s="24" t="s">
        <v>121</v>
      </c>
      <c r="G56" s="20">
        <f>COUNTIFS('Collapsed - Orthotrack outcomes'!$I:$I,"&gt;="&amp;$D28,'Collapsed - Orthotrack outcomes'!$I:$I,"&lt;"&amp;$E28)</f>
        <v>251</v>
      </c>
      <c r="H56" s="20">
        <f>COUNTIFS('Collapsed - Orthotrack outcomes'!$I:$I,"&gt;="&amp;$D28,'Collapsed - Orthotrack outcomes'!$I:$I,"&lt;"&amp;$E28,'Collapsed - Orthotrack outcomes'!$N:$N,"&lt;&gt;NA")</f>
        <v>201</v>
      </c>
      <c r="I56" s="20">
        <f t="shared" si="3"/>
        <v>50</v>
      </c>
    </row>
    <row r="57" spans="1:10" ht="16" x14ac:dyDescent="0.2">
      <c r="F57" s="24" t="s">
        <v>122</v>
      </c>
      <c r="G57" s="22">
        <f>COUNTIFS('Collapsed - Orthotrack outcomes'!$I:$I,"&gt;="&amp;$D29,'Collapsed - Orthotrack outcomes'!$I:$I,"&lt;"&amp;$E29)</f>
        <v>45</v>
      </c>
      <c r="H57" s="22">
        <f>COUNTIFS('Collapsed - Orthotrack outcomes'!$I:$I,"&gt;="&amp;$D29,'Collapsed - Orthotrack outcomes'!$I:$I,"&lt;"&amp;$E29,'Collapsed - Orthotrack outcomes'!$N:$N,"&lt;&gt;NA")</f>
        <v>37</v>
      </c>
      <c r="I57" s="22">
        <f t="shared" si="3"/>
        <v>8</v>
      </c>
    </row>
    <row r="58" spans="1:10" ht="16" x14ac:dyDescent="0.2">
      <c r="F58" s="24" t="s">
        <v>123</v>
      </c>
      <c r="G58" s="20">
        <f>COUNTIFS('Collapsed - Orthotrack outcomes'!$I:$I,"&gt;="&amp;$D30,'Collapsed - Orthotrack outcomes'!$I:$I,"&lt;"&amp;$E30)</f>
        <v>2</v>
      </c>
      <c r="H58" s="20">
        <f>COUNTIFS('Collapsed - Orthotrack outcomes'!$I:$I,"&gt;="&amp;$D30,'Collapsed - Orthotrack outcomes'!$I:$I,"&lt;"&amp;$E30,'Collapsed - Orthotrack outcomes'!$N:$N,"&lt;&gt;NA")</f>
        <v>1</v>
      </c>
      <c r="I58" s="20">
        <f t="shared" si="3"/>
        <v>1</v>
      </c>
    </row>
    <row r="59" spans="1:10" ht="16" x14ac:dyDescent="0.2">
      <c r="F59" s="24" t="s">
        <v>126</v>
      </c>
      <c r="G59" s="22">
        <f>COUNTIFS('Collapsed - Orthotrack outcomes'!$I:$I,"&gt;="&amp;$D31,'Collapsed - Orthotrack outcomes'!$I:$I,"&lt;"&amp;$E31)</f>
        <v>216</v>
      </c>
      <c r="H59" s="22">
        <f>COUNTIFS('Collapsed - Orthotrack outcomes'!$I:$I,"&gt;="&amp;$D31,'Collapsed - Orthotrack outcomes'!$I:$I,"&lt;"&amp;$E31,'Collapsed - Orthotrack outcomes'!$N:$N,"&lt;&gt;NA")</f>
        <v>169</v>
      </c>
      <c r="I59" s="22">
        <f t="shared" si="3"/>
        <v>47</v>
      </c>
    </row>
    <row r="60" spans="1:10" s="28" customFormat="1" x14ac:dyDescent="0.2"/>
    <row r="61" spans="1:10" x14ac:dyDescent="0.2">
      <c r="F61" s="23" t="s">
        <v>44</v>
      </c>
      <c r="G61" s="25" t="s">
        <v>134</v>
      </c>
      <c r="H61" s="23" t="s">
        <v>128</v>
      </c>
      <c r="I61" s="23" t="s">
        <v>129</v>
      </c>
      <c r="J61" s="25" t="s">
        <v>130</v>
      </c>
    </row>
    <row r="62" spans="1:10" ht="16" x14ac:dyDescent="0.2">
      <c r="A62" t="s">
        <v>44</v>
      </c>
      <c r="B62" t="s">
        <v>44</v>
      </c>
      <c r="C62" t="s">
        <v>44</v>
      </c>
      <c r="D62" t="s">
        <v>44</v>
      </c>
      <c r="E62" t="s">
        <v>44</v>
      </c>
      <c r="F62" s="27" t="s">
        <v>62</v>
      </c>
      <c r="G62" s="24" t="s">
        <v>63</v>
      </c>
      <c r="H62" s="22">
        <f>COUNTIFS('Collapsed - Orthotrack outcomes'!$F:$F,'NonPivot Summary'!$F62)</f>
        <v>255</v>
      </c>
      <c r="I62" s="22">
        <f>COUNTIFS('Collapsed - Orthotrack outcomes'!$F:$F,'NonPivot Summary'!$F62,'Collapsed - Orthotrack outcomes'!N:N,"&lt;&gt;NA")</f>
        <v>219</v>
      </c>
      <c r="J62" s="22">
        <f>H62-I62</f>
        <v>36</v>
      </c>
    </row>
    <row r="63" spans="1:10" ht="16" x14ac:dyDescent="0.2">
      <c r="A63" t="s">
        <v>62</v>
      </c>
      <c r="B63" t="s">
        <v>68</v>
      </c>
      <c r="C63" t="s">
        <v>72</v>
      </c>
      <c r="D63">
        <v>332</v>
      </c>
      <c r="E63">
        <v>333.1</v>
      </c>
      <c r="F63" s="27" t="s">
        <v>68</v>
      </c>
      <c r="G63" s="24" t="s">
        <v>69</v>
      </c>
      <c r="H63" s="20">
        <f>COUNTIFS('Collapsed - Orthotrack outcomes'!$F:$F,'NonPivot Summary'!$F63)</f>
        <v>105</v>
      </c>
      <c r="I63" s="20">
        <f>COUNTIFS('Collapsed - Orthotrack outcomes'!$F:$F,'NonPivot Summary'!$F63,'Collapsed - Orthotrack outcomes'!N:N,"&lt;&gt;NA")</f>
        <v>96</v>
      </c>
      <c r="J63" s="20">
        <f t="shared" ref="J63:J69" si="4">H63-I63</f>
        <v>9</v>
      </c>
    </row>
    <row r="64" spans="1:10" ht="16" x14ac:dyDescent="0.2">
      <c r="F64" s="27" t="s">
        <v>72</v>
      </c>
      <c r="G64" s="24" t="s">
        <v>73</v>
      </c>
      <c r="H64" s="22">
        <f>COUNTIFS('Collapsed - Orthotrack outcomes'!$F:$F,'NonPivot Summary'!$F64)</f>
        <v>74</v>
      </c>
      <c r="I64" s="22">
        <f>COUNTIFS('Collapsed - Orthotrack outcomes'!$F:$F,'NonPivot Summary'!$F64,'Collapsed - Orthotrack outcomes'!N:N,"&lt;&gt;NA")</f>
        <v>66</v>
      </c>
      <c r="J64" s="22">
        <f t="shared" si="4"/>
        <v>8</v>
      </c>
    </row>
    <row r="65" spans="1:28" ht="16" x14ac:dyDescent="0.2">
      <c r="A65" t="s">
        <v>44</v>
      </c>
      <c r="B65" t="s">
        <v>44</v>
      </c>
      <c r="C65" t="s">
        <v>44</v>
      </c>
      <c r="D65" t="s">
        <v>44</v>
      </c>
      <c r="F65" s="27">
        <v>332</v>
      </c>
      <c r="G65" s="24" t="s">
        <v>53</v>
      </c>
      <c r="H65" s="20">
        <f>COUNTIFS('Collapsed - Orthotrack outcomes'!$F:$F,'NonPivot Summary'!$F65)</f>
        <v>36</v>
      </c>
      <c r="I65" s="20">
        <f>COUNTIFS('Collapsed - Orthotrack outcomes'!$F:$F,'NonPivot Summary'!$F65,'Collapsed - Orthotrack outcomes'!N:N,"&lt;&gt;NA")</f>
        <v>26</v>
      </c>
      <c r="J65" s="20">
        <f t="shared" si="4"/>
        <v>10</v>
      </c>
    </row>
    <row r="66" spans="1:28" ht="16" x14ac:dyDescent="0.2">
      <c r="A66" s="29" t="s">
        <v>80</v>
      </c>
      <c r="B66" s="29" t="s">
        <v>76</v>
      </c>
      <c r="C66" s="29" t="s">
        <v>102</v>
      </c>
      <c r="D66" s="29" t="s">
        <v>135</v>
      </c>
      <c r="F66" s="27">
        <v>333.1</v>
      </c>
      <c r="G66" s="24" t="s">
        <v>54</v>
      </c>
      <c r="H66" s="22">
        <f>COUNTIFS('Collapsed - Orthotrack outcomes'!$F:$F,'NonPivot Summary'!$F66)</f>
        <v>30</v>
      </c>
      <c r="I66" s="22">
        <f>COUNTIFS('Collapsed - Orthotrack outcomes'!$F:$F,'NonPivot Summary'!$F66,'Collapsed - Orthotrack outcomes'!N:N,"&lt;&gt;NA")</f>
        <v>21</v>
      </c>
      <c r="J66" s="22">
        <f t="shared" si="4"/>
        <v>9</v>
      </c>
    </row>
    <row r="67" spans="1:28" ht="16" x14ac:dyDescent="0.2">
      <c r="F67" s="27" t="s">
        <v>80</v>
      </c>
      <c r="G67" s="24" t="s">
        <v>81</v>
      </c>
      <c r="H67" s="20">
        <f>COUNTIFS('Collapsed - Orthotrack outcomes'!$F:$F,'NonPivot Summary'!$F67)</f>
        <v>15</v>
      </c>
      <c r="I67" s="20">
        <f>COUNTIFS('Collapsed - Orthotrack outcomes'!$F:$F,'NonPivot Summary'!$F67,'Collapsed - Orthotrack outcomes'!N:N,"&lt;&gt;NA")</f>
        <v>15</v>
      </c>
      <c r="J67" s="20">
        <f t="shared" si="4"/>
        <v>0</v>
      </c>
    </row>
    <row r="68" spans="1:28" ht="16" x14ac:dyDescent="0.2">
      <c r="F68" s="27" t="s">
        <v>76</v>
      </c>
      <c r="G68" s="24" t="s">
        <v>77</v>
      </c>
      <c r="H68" s="22">
        <f>COUNTIFS('Collapsed - Orthotrack outcomes'!$F:$F,'NonPivot Summary'!$F68)</f>
        <v>11</v>
      </c>
      <c r="I68" s="22">
        <f>COUNTIFS('Collapsed - Orthotrack outcomes'!$F:$F,'NonPivot Summary'!$F68,'Collapsed - Orthotrack outcomes'!N:N,"&lt;&gt;NA")</f>
        <v>9</v>
      </c>
      <c r="J68" s="22">
        <f t="shared" si="4"/>
        <v>2</v>
      </c>
    </row>
    <row r="69" spans="1:28" ht="16" x14ac:dyDescent="0.2">
      <c r="F69" s="27" t="s">
        <v>102</v>
      </c>
      <c r="G69" s="24" t="s">
        <v>103</v>
      </c>
      <c r="H69" s="20">
        <f>COUNTIFS('Collapsed - Orthotrack outcomes'!$F:$F,'NonPivot Summary'!$F69)</f>
        <v>10</v>
      </c>
      <c r="I69" s="20">
        <f>COUNTIFS('Collapsed - Orthotrack outcomes'!$F:$F,'NonPivot Summary'!$F69,'Collapsed - Orthotrack outcomes'!N:N,"&lt;&gt;NA")</f>
        <v>10</v>
      </c>
      <c r="J69" s="20">
        <f t="shared" si="4"/>
        <v>0</v>
      </c>
    </row>
    <row r="70" spans="1:28" ht="16" x14ac:dyDescent="0.2">
      <c r="F70" s="27" t="s">
        <v>135</v>
      </c>
      <c r="G70" s="24"/>
      <c r="H70" s="22"/>
      <c r="I70" s="22"/>
      <c r="J70" s="22"/>
    </row>
    <row r="72" spans="1:28" x14ac:dyDescent="0.2">
      <c r="F72" s="26" t="s">
        <v>6</v>
      </c>
      <c r="G72" s="24"/>
      <c r="H72" s="66" t="s">
        <v>6</v>
      </c>
      <c r="I72" s="67"/>
      <c r="J72" s="67"/>
      <c r="K72" s="67"/>
      <c r="L72" s="67"/>
      <c r="M72" s="67"/>
      <c r="N72" s="67"/>
      <c r="O72" s="67"/>
      <c r="P72" s="67"/>
      <c r="Q72" s="67"/>
      <c r="R72" s="67"/>
      <c r="S72" s="67"/>
      <c r="T72" s="67"/>
      <c r="U72" s="67"/>
      <c r="V72" s="67"/>
      <c r="W72" s="67"/>
      <c r="X72" s="67"/>
      <c r="Y72" s="67"/>
      <c r="Z72" s="67"/>
      <c r="AA72" s="67"/>
      <c r="AB72" s="67"/>
    </row>
    <row r="73" spans="1:28" x14ac:dyDescent="0.2">
      <c r="F73" s="23" t="s">
        <v>44</v>
      </c>
      <c r="G73" s="25" t="s">
        <v>134</v>
      </c>
      <c r="H73" s="23" t="s">
        <v>50</v>
      </c>
      <c r="I73" s="23" t="s">
        <v>20</v>
      </c>
      <c r="J73" s="23" t="s">
        <v>23</v>
      </c>
      <c r="K73" s="23" t="s">
        <v>22</v>
      </c>
      <c r="L73" s="23" t="s">
        <v>11</v>
      </c>
      <c r="M73" s="23" t="s">
        <v>10</v>
      </c>
      <c r="N73" s="23" t="s">
        <v>9</v>
      </c>
      <c r="O73" s="23" t="s">
        <v>8</v>
      </c>
      <c r="P73" s="23" t="s">
        <v>27</v>
      </c>
      <c r="Q73" s="23" t="s">
        <v>26</v>
      </c>
      <c r="R73" s="23" t="s">
        <v>25</v>
      </c>
      <c r="S73" s="23" t="s">
        <v>24</v>
      </c>
      <c r="T73" s="23" t="s">
        <v>13</v>
      </c>
      <c r="U73" s="23" t="s">
        <v>12</v>
      </c>
      <c r="V73" s="23" t="s">
        <v>19</v>
      </c>
      <c r="W73" s="23" t="s">
        <v>18</v>
      </c>
      <c r="X73" s="23" t="s">
        <v>21</v>
      </c>
      <c r="Y73" s="23" t="s">
        <v>15</v>
      </c>
      <c r="Z73" s="23" t="s">
        <v>14</v>
      </c>
      <c r="AA73" s="23" t="s">
        <v>17</v>
      </c>
      <c r="AB73" s="23" t="s">
        <v>16</v>
      </c>
    </row>
    <row r="74" spans="1:28" ht="16" x14ac:dyDescent="0.2">
      <c r="F74" s="27" t="s">
        <v>62</v>
      </c>
      <c r="G74" s="24" t="s">
        <v>63</v>
      </c>
      <c r="H74" s="22">
        <f>AVERAGEIFS('Collapsed - Orthotrack outcomes'!N:N,'Collapsed - Orthotrack outcomes'!$F:$F,'NonPivot Summary'!$F74)</f>
        <v>48.276894977168958</v>
      </c>
      <c r="I74" s="22">
        <f>AVERAGEIFS('Collapsed - Orthotrack outcomes'!O:O,'Collapsed - Orthotrack outcomes'!$F:$F,'NonPivot Summary'!$F74)</f>
        <v>48.709876712328722</v>
      </c>
      <c r="J74" s="22">
        <f>AVERAGEIFS('Collapsed - Orthotrack outcomes'!P:P,'Collapsed - Orthotrack outcomes'!$F:$F,'NonPivot Summary'!$F74)</f>
        <v>97.12220091324204</v>
      </c>
      <c r="K74" s="22">
        <f>AVERAGEIFS('Collapsed - Orthotrack outcomes'!Q:Q,'Collapsed - Orthotrack outcomes'!$F:$F,'NonPivot Summary'!$F74)</f>
        <v>97.111223744292204</v>
      </c>
      <c r="L74" s="22">
        <f>AVERAGEIFS('Collapsed - Orthotrack outcomes'!R:R,'Collapsed - Orthotrack outcomes'!$F:$F,'NonPivot Summary'!$F74)</f>
        <v>89.17778082191775</v>
      </c>
      <c r="M74" s="22">
        <f>AVERAGEIFS('Collapsed - Orthotrack outcomes'!S:S,'Collapsed - Orthotrack outcomes'!$F:$F,'NonPivot Summary'!$F74)</f>
        <v>89.23088584474894</v>
      </c>
      <c r="N74" s="22">
        <f>AVERAGEIFS('Collapsed - Orthotrack outcomes'!T:T,'Collapsed - Orthotrack outcomes'!$F:$F,'NonPivot Summary'!$F74)</f>
        <v>110.0406118721462</v>
      </c>
      <c r="O74" s="22">
        <f>AVERAGEIFS('Collapsed - Orthotrack outcomes'!U:U,'Collapsed - Orthotrack outcomes'!$F:$F,'NonPivot Summary'!$F74)</f>
        <v>109.93621461187206</v>
      </c>
      <c r="P74" s="22">
        <f>AVERAGEIFS('Collapsed - Orthotrack outcomes'!V:V,'Collapsed - Orthotrack outcomes'!$F:$F,'NonPivot Summary'!$F74)</f>
        <v>64.488821917808238</v>
      </c>
      <c r="Q74" s="22">
        <f>AVERAGEIFS('Collapsed - Orthotrack outcomes'!W:W,'Collapsed - Orthotrack outcomes'!$F:$F,'NonPivot Summary'!$F74)</f>
        <v>64.398114155251108</v>
      </c>
      <c r="R74" s="22">
        <f>AVERAGEIFS('Collapsed - Orthotrack outcomes'!X:X,'Collapsed - Orthotrack outcomes'!$F:$F,'NonPivot Summary'!$F74)</f>
        <v>35.511173515981717</v>
      </c>
      <c r="S74" s="22">
        <f>AVERAGEIFS('Collapsed - Orthotrack outcomes'!Y:Y,'Collapsed - Orthotrack outcomes'!$F:$F,'NonPivot Summary'!$F74)</f>
        <v>35.601863013698619</v>
      </c>
      <c r="T74" s="22">
        <f>AVERAGEIFS('Collapsed - Orthotrack outcomes'!Z:Z,'Collapsed - Orthotrack outcomes'!$F:$F,'NonPivot Summary'!$F74)</f>
        <v>14.302735159817335</v>
      </c>
      <c r="U74" s="22">
        <f>AVERAGEIFS('Collapsed - Orthotrack outcomes'!AA:AA,'Collapsed - Orthotrack outcomes'!$F:$F,'NonPivot Summary'!$F74)</f>
        <v>14.837315068493158</v>
      </c>
      <c r="V74" s="22">
        <f>AVERAGEIFS('Collapsed - Orthotrack outcomes'!AB:AB,'Collapsed - Orthotrack outcomes'!$F:$F,'NonPivot Summary'!$F74)</f>
        <v>35.601863013698619</v>
      </c>
      <c r="W74" s="22">
        <f>AVERAGEIFS('Collapsed - Orthotrack outcomes'!AC:AC,'Collapsed - Orthotrack outcomes'!$F:$F,'NonPivot Summary'!$F74)</f>
        <v>35.511173515981717</v>
      </c>
      <c r="X74" s="22">
        <f>AVERAGEIFS('Collapsed - Orthotrack outcomes'!AD:AD,'Collapsed - Orthotrack outcomes'!$F:$F,'NonPivot Summary'!$F74)</f>
        <v>11.41213242009133</v>
      </c>
      <c r="Y74" s="22">
        <f>AVERAGEIFS('Collapsed - Orthotrack outcomes'!AE:AE,'Collapsed - Orthotrack outcomes'!$F:$F,'NonPivot Summary'!$F74)</f>
        <v>14.337899543378995</v>
      </c>
      <c r="Z74" s="22">
        <f>AVERAGEIFS('Collapsed - Orthotrack outcomes'!AF:AF,'Collapsed - Orthotrack outcomes'!$F:$F,'NonPivot Summary'!$F74)</f>
        <v>14.406392694063927</v>
      </c>
      <c r="AA74" s="22">
        <f>AVERAGEIFS('Collapsed - Orthotrack outcomes'!AG:AG,'Collapsed - Orthotrack outcomes'!$F:$F,'NonPivot Summary'!$F74)</f>
        <v>13.730593607305936</v>
      </c>
      <c r="AB74" s="22">
        <f>AVERAGEIFS('Collapsed - Orthotrack outcomes'!AH:AH,'Collapsed - Orthotrack outcomes'!$F:$F,'NonPivot Summary'!$F74)</f>
        <v>13.730593607305936</v>
      </c>
    </row>
    <row r="75" spans="1:28" ht="16" x14ac:dyDescent="0.2">
      <c r="F75" s="27" t="s">
        <v>68</v>
      </c>
      <c r="G75" s="24" t="s">
        <v>69</v>
      </c>
      <c r="H75" s="20">
        <f>AVERAGEIFS('Collapsed - Orthotrack outcomes'!N:N,'Collapsed - Orthotrack outcomes'!$F:$F,'NonPivot Summary'!$F75)</f>
        <v>52.246364583333353</v>
      </c>
      <c r="I75" s="20">
        <f>AVERAGEIFS('Collapsed - Orthotrack outcomes'!O:O,'Collapsed - Orthotrack outcomes'!$F:$F,'NonPivot Summary'!$F75)</f>
        <v>51.861468750000022</v>
      </c>
      <c r="J75" s="20">
        <f>AVERAGEIFS('Collapsed - Orthotrack outcomes'!P:P,'Collapsed - Orthotrack outcomes'!$F:$F,'NonPivot Summary'!$F75)</f>
        <v>104.27524999999996</v>
      </c>
      <c r="K75" s="20">
        <f>AVERAGEIFS('Collapsed - Orthotrack outcomes'!Q:Q,'Collapsed - Orthotrack outcomes'!$F:$F,'NonPivot Summary'!$F75)</f>
        <v>104.21585416666665</v>
      </c>
      <c r="L75" s="20">
        <f>AVERAGEIFS('Collapsed - Orthotrack outcomes'!R:R,'Collapsed - Orthotrack outcomes'!$F:$F,'NonPivot Summary'!$F75)</f>
        <v>92.00613541666668</v>
      </c>
      <c r="M75" s="20">
        <f>AVERAGEIFS('Collapsed - Orthotrack outcomes'!S:S,'Collapsed - Orthotrack outcomes'!$F:$F,'NonPivot Summary'!$F75)</f>
        <v>92.021593749999965</v>
      </c>
      <c r="N75" s="20">
        <f>AVERAGEIFS('Collapsed - Orthotrack outcomes'!T:T,'Collapsed - Orthotrack outcomes'!$F:$F,'NonPivot Summary'!$F75)</f>
        <v>104.45463541666668</v>
      </c>
      <c r="O75" s="20">
        <f>AVERAGEIFS('Collapsed - Orthotrack outcomes'!U:U,'Collapsed - Orthotrack outcomes'!$F:$F,'NonPivot Summary'!$F75)</f>
        <v>104.42360416666664</v>
      </c>
      <c r="P75" s="20">
        <f>AVERAGEIFS('Collapsed - Orthotrack outcomes'!V:V,'Collapsed - Orthotrack outcomes'!$F:$F,'NonPivot Summary'!$F75)</f>
        <v>64.478218750000025</v>
      </c>
      <c r="Q75" s="20">
        <f>AVERAGEIFS('Collapsed - Orthotrack outcomes'!W:W,'Collapsed - Orthotrack outcomes'!$F:$F,'NonPivot Summary'!$F75)</f>
        <v>64.381385416666674</v>
      </c>
      <c r="R75" s="20">
        <f>AVERAGEIFS('Collapsed - Orthotrack outcomes'!X:X,'Collapsed - Orthotrack outcomes'!$F:$F,'NonPivot Summary'!$F75)</f>
        <v>35.521791666666665</v>
      </c>
      <c r="S75" s="20">
        <f>AVERAGEIFS('Collapsed - Orthotrack outcomes'!Y:Y,'Collapsed - Orthotrack outcomes'!$F:$F,'NonPivot Summary'!$F75)</f>
        <v>35.618614583333319</v>
      </c>
      <c r="T75" s="20">
        <f>AVERAGEIFS('Collapsed - Orthotrack outcomes'!Z:Z,'Collapsed - Orthotrack outcomes'!$F:$F,'NonPivot Summary'!$F75)</f>
        <v>14.71034375</v>
      </c>
      <c r="U75" s="20">
        <f>AVERAGEIFS('Collapsed - Orthotrack outcomes'!AA:AA,'Collapsed - Orthotrack outcomes'!$F:$F,'NonPivot Summary'!$F75)</f>
        <v>14.390218749999997</v>
      </c>
      <c r="V75" s="20">
        <f>AVERAGEIFS('Collapsed - Orthotrack outcomes'!AB:AB,'Collapsed - Orthotrack outcomes'!$F:$F,'NonPivot Summary'!$F75)</f>
        <v>35.618614583333319</v>
      </c>
      <c r="W75" s="20">
        <f>AVERAGEIFS('Collapsed - Orthotrack outcomes'!AC:AC,'Collapsed - Orthotrack outcomes'!$F:$F,'NonPivot Summary'!$F75)</f>
        <v>35.521791666666665</v>
      </c>
      <c r="X75" s="20">
        <f>AVERAGEIFS('Collapsed - Orthotrack outcomes'!AD:AD,'Collapsed - Orthotrack outcomes'!$F:$F,'NonPivot Summary'!$F75)</f>
        <v>12.425260416666665</v>
      </c>
      <c r="Y75" s="20">
        <f>AVERAGEIFS('Collapsed - Orthotrack outcomes'!AE:AE,'Collapsed - Orthotrack outcomes'!$F:$F,'NonPivot Summary'!$F75)</f>
        <v>14.135416666666666</v>
      </c>
      <c r="Z75" s="20">
        <f>AVERAGEIFS('Collapsed - Orthotrack outcomes'!AF:AF,'Collapsed - Orthotrack outcomes'!$F:$F,'NonPivot Summary'!$F75)</f>
        <v>14.125</v>
      </c>
      <c r="AA75" s="20">
        <f>AVERAGEIFS('Collapsed - Orthotrack outcomes'!AG:AG,'Collapsed - Orthotrack outcomes'!$F:$F,'NonPivot Summary'!$F75)</f>
        <v>13.40625</v>
      </c>
      <c r="AB75" s="20">
        <f>AVERAGEIFS('Collapsed - Orthotrack outcomes'!AH:AH,'Collapsed - Orthotrack outcomes'!$F:$F,'NonPivot Summary'!$F75)</f>
        <v>13.40625</v>
      </c>
    </row>
    <row r="76" spans="1:28" ht="16" x14ac:dyDescent="0.2">
      <c r="F76" s="27" t="s">
        <v>72</v>
      </c>
      <c r="G76" s="24" t="s">
        <v>73</v>
      </c>
      <c r="H76" s="22">
        <f>AVERAGEIFS('Collapsed - Orthotrack outcomes'!N:N,'Collapsed - Orthotrack outcomes'!$F:$F,'NonPivot Summary'!$F76)</f>
        <v>51.087030303030318</v>
      </c>
      <c r="I76" s="22">
        <f>AVERAGEIFS('Collapsed - Orthotrack outcomes'!O:O,'Collapsed - Orthotrack outcomes'!$F:$F,'NonPivot Summary'!$F76)</f>
        <v>50.568303030303028</v>
      </c>
      <c r="J76" s="22">
        <f>AVERAGEIFS('Collapsed - Orthotrack outcomes'!P:P,'Collapsed - Orthotrack outcomes'!$F:$F,'NonPivot Summary'!$F76)</f>
        <v>101.7077727272727</v>
      </c>
      <c r="K76" s="22">
        <f>AVERAGEIFS('Collapsed - Orthotrack outcomes'!Q:Q,'Collapsed - Orthotrack outcomes'!$F:$F,'NonPivot Summary'!$F76)</f>
        <v>101.63831818181819</v>
      </c>
      <c r="L76" s="22">
        <f>AVERAGEIFS('Collapsed - Orthotrack outcomes'!R:R,'Collapsed - Orthotrack outcomes'!$F:$F,'NonPivot Summary'!$F76)</f>
        <v>92.040681818181824</v>
      </c>
      <c r="M76" s="22">
        <f>AVERAGEIFS('Collapsed - Orthotrack outcomes'!S:S,'Collapsed - Orthotrack outcomes'!$F:$F,'NonPivot Summary'!$F76)</f>
        <v>91.964636363636373</v>
      </c>
      <c r="N76" s="22">
        <f>AVERAGEIFS('Collapsed - Orthotrack outcomes'!T:T,'Collapsed - Orthotrack outcomes'!$F:$F,'NonPivot Summary'!$F76)</f>
        <v>105.33443939393938</v>
      </c>
      <c r="O76" s="22">
        <f>AVERAGEIFS('Collapsed - Orthotrack outcomes'!U:U,'Collapsed - Orthotrack outcomes'!$F:$F,'NonPivot Summary'!$F76)</f>
        <v>105.25321212121213</v>
      </c>
      <c r="P76" s="22">
        <f>AVERAGEIFS('Collapsed - Orthotrack outcomes'!V:V,'Collapsed - Orthotrack outcomes'!$F:$F,'NonPivot Summary'!$F76)</f>
        <v>64.722878787878798</v>
      </c>
      <c r="Q76" s="22">
        <f>AVERAGEIFS('Collapsed - Orthotrack outcomes'!W:W,'Collapsed - Orthotrack outcomes'!$F:$F,'NonPivot Summary'!$F76)</f>
        <v>64.728590909090883</v>
      </c>
      <c r="R76" s="22">
        <f>AVERAGEIFS('Collapsed - Orthotrack outcomes'!X:X,'Collapsed - Orthotrack outcomes'!$F:$F,'NonPivot Summary'!$F76)</f>
        <v>35.277106060606066</v>
      </c>
      <c r="S76" s="22">
        <f>AVERAGEIFS('Collapsed - Orthotrack outcomes'!Y:Y,'Collapsed - Orthotrack outcomes'!$F:$F,'NonPivot Summary'!$F76)</f>
        <v>35.271393939393938</v>
      </c>
      <c r="T76" s="22">
        <f>AVERAGEIFS('Collapsed - Orthotrack outcomes'!Z:Z,'Collapsed - Orthotrack outcomes'!$F:$F,'NonPivot Summary'!$F76)</f>
        <v>15.110833333333336</v>
      </c>
      <c r="U76" s="22">
        <f>AVERAGEIFS('Collapsed - Orthotrack outcomes'!AA:AA,'Collapsed - Orthotrack outcomes'!$F:$F,'NonPivot Summary'!$F76)</f>
        <v>14.668272727272726</v>
      </c>
      <c r="V76" s="22">
        <f>AVERAGEIFS('Collapsed - Orthotrack outcomes'!AB:AB,'Collapsed - Orthotrack outcomes'!$F:$F,'NonPivot Summary'!$F76)</f>
        <v>35.271393939393938</v>
      </c>
      <c r="W76" s="22">
        <f>AVERAGEIFS('Collapsed - Orthotrack outcomes'!AC:AC,'Collapsed - Orthotrack outcomes'!$F:$F,'NonPivot Summary'!$F76)</f>
        <v>35.277106060606066</v>
      </c>
      <c r="X76" s="22">
        <f>AVERAGEIFS('Collapsed - Orthotrack outcomes'!AD:AD,'Collapsed - Orthotrack outcomes'!$F:$F,'NonPivot Summary'!$F76)</f>
        <v>12.820469696969701</v>
      </c>
      <c r="Y76" s="22">
        <f>AVERAGEIFS('Collapsed - Orthotrack outcomes'!AE:AE,'Collapsed - Orthotrack outcomes'!$F:$F,'NonPivot Summary'!$F76)</f>
        <v>11.969696969696969</v>
      </c>
      <c r="Z76" s="22">
        <f>AVERAGEIFS('Collapsed - Orthotrack outcomes'!AF:AF,'Collapsed - Orthotrack outcomes'!$F:$F,'NonPivot Summary'!$F76)</f>
        <v>11.666666666666666</v>
      </c>
      <c r="AA76" s="22">
        <f>AVERAGEIFS('Collapsed - Orthotrack outcomes'!AG:AG,'Collapsed - Orthotrack outcomes'!$F:$F,'NonPivot Summary'!$F76)</f>
        <v>11.333333333333334</v>
      </c>
      <c r="AB76" s="22">
        <f>AVERAGEIFS('Collapsed - Orthotrack outcomes'!AH:AH,'Collapsed - Orthotrack outcomes'!$F:$F,'NonPivot Summary'!$F76)</f>
        <v>11.333333333333334</v>
      </c>
    </row>
    <row r="77" spans="1:28" ht="16" x14ac:dyDescent="0.2">
      <c r="F77" s="27">
        <v>332</v>
      </c>
      <c r="G77" s="24" t="s">
        <v>53</v>
      </c>
      <c r="H77" s="20">
        <f>AVERAGEIFS('Collapsed - Orthotrack outcomes'!N:N,'Collapsed - Orthotrack outcomes'!$F:$F,'NonPivot Summary'!$F77)</f>
        <v>49.595769230769221</v>
      </c>
      <c r="I77" s="20">
        <f>AVERAGEIFS('Collapsed - Orthotrack outcomes'!O:O,'Collapsed - Orthotrack outcomes'!$F:$F,'NonPivot Summary'!$F77)</f>
        <v>50.605807692307685</v>
      </c>
      <c r="J77" s="20">
        <f>AVERAGEIFS('Collapsed - Orthotrack outcomes'!P:P,'Collapsed - Orthotrack outcomes'!$F:$F,'NonPivot Summary'!$F77)</f>
        <v>100.36588461538463</v>
      </c>
      <c r="K77" s="20">
        <f>AVERAGEIFS('Collapsed - Orthotrack outcomes'!Q:Q,'Collapsed - Orthotrack outcomes'!$F:$F,'NonPivot Summary'!$F77)</f>
        <v>100.34142307692309</v>
      </c>
      <c r="L77" s="20">
        <f>AVERAGEIFS('Collapsed - Orthotrack outcomes'!R:R,'Collapsed - Orthotrack outcomes'!$F:$F,'NonPivot Summary'!$F77)</f>
        <v>91.033461538461538</v>
      </c>
      <c r="M77" s="20">
        <f>AVERAGEIFS('Collapsed - Orthotrack outcomes'!S:S,'Collapsed - Orthotrack outcomes'!$F:$F,'NonPivot Summary'!$F77)</f>
        <v>91.074230769230766</v>
      </c>
      <c r="N77" s="20">
        <f>AVERAGEIFS('Collapsed - Orthotrack outcomes'!T:T,'Collapsed - Orthotrack outcomes'!$F:$F,'NonPivot Summary'!$F77)</f>
        <v>104.12884615384618</v>
      </c>
      <c r="O77" s="20">
        <f>AVERAGEIFS('Collapsed - Orthotrack outcomes'!U:U,'Collapsed - Orthotrack outcomes'!$F:$F,'NonPivot Summary'!$F77)</f>
        <v>103.41976923076922</v>
      </c>
      <c r="P77" s="20">
        <f>AVERAGEIFS('Collapsed - Orthotrack outcomes'!V:V,'Collapsed - Orthotrack outcomes'!$F:$F,'NonPivot Summary'!$F77)</f>
        <v>64.398807692307699</v>
      </c>
      <c r="Q77" s="20">
        <f>AVERAGEIFS('Collapsed - Orthotrack outcomes'!W:W,'Collapsed - Orthotrack outcomes'!$F:$F,'NonPivot Summary'!$F77)</f>
        <v>64.083499999999987</v>
      </c>
      <c r="R77" s="20">
        <f>AVERAGEIFS('Collapsed - Orthotrack outcomes'!X:X,'Collapsed - Orthotrack outcomes'!$F:$F,'NonPivot Summary'!$F77)</f>
        <v>35.601153846153849</v>
      </c>
      <c r="S77" s="20">
        <f>AVERAGEIFS('Collapsed - Orthotrack outcomes'!Y:Y,'Collapsed - Orthotrack outcomes'!$F:$F,'NonPivot Summary'!$F77)</f>
        <v>35.916499999999999</v>
      </c>
      <c r="T77" s="20">
        <f>AVERAGEIFS('Collapsed - Orthotrack outcomes'!Z:Z,'Collapsed - Orthotrack outcomes'!$F:$F,'NonPivot Summary'!$F77)</f>
        <v>14.094884615384617</v>
      </c>
      <c r="U77" s="20">
        <f>AVERAGEIFS('Collapsed - Orthotrack outcomes'!AA:AA,'Collapsed - Orthotrack outcomes'!$F:$F,'NonPivot Summary'!$F77)</f>
        <v>14.650346153846154</v>
      </c>
      <c r="V77" s="20">
        <f>AVERAGEIFS('Collapsed - Orthotrack outcomes'!AB:AB,'Collapsed - Orthotrack outcomes'!$F:$F,'NonPivot Summary'!$F77)</f>
        <v>35.916499999999999</v>
      </c>
      <c r="W77" s="20">
        <f>AVERAGEIFS('Collapsed - Orthotrack outcomes'!AC:AC,'Collapsed - Orthotrack outcomes'!$F:$F,'NonPivot Summary'!$F77)</f>
        <v>35.601153846153849</v>
      </c>
      <c r="X77" s="20">
        <f>AVERAGEIFS('Collapsed - Orthotrack outcomes'!AD:AD,'Collapsed - Orthotrack outcomes'!$F:$F,'NonPivot Summary'!$F77)</f>
        <v>12.202653846153844</v>
      </c>
      <c r="Y77" s="20">
        <f>AVERAGEIFS('Collapsed - Orthotrack outcomes'!AE:AE,'Collapsed - Orthotrack outcomes'!$F:$F,'NonPivot Summary'!$F77)</f>
        <v>12.961538461538462</v>
      </c>
      <c r="Z77" s="20">
        <f>AVERAGEIFS('Collapsed - Orthotrack outcomes'!AF:AF,'Collapsed - Orthotrack outcomes'!$F:$F,'NonPivot Summary'!$F77)</f>
        <v>13.115384615384615</v>
      </c>
      <c r="AA77" s="20">
        <f>AVERAGEIFS('Collapsed - Orthotrack outcomes'!AG:AG,'Collapsed - Orthotrack outcomes'!$F:$F,'NonPivot Summary'!$F77)</f>
        <v>12.26923076923077</v>
      </c>
      <c r="AB77" s="20">
        <f>AVERAGEIFS('Collapsed - Orthotrack outcomes'!AH:AH,'Collapsed - Orthotrack outcomes'!$F:$F,'NonPivot Summary'!$F77)</f>
        <v>12.26923076923077</v>
      </c>
    </row>
    <row r="78" spans="1:28" ht="16" x14ac:dyDescent="0.2">
      <c r="F78" s="27">
        <v>333.1</v>
      </c>
      <c r="G78" s="24" t="s">
        <v>54</v>
      </c>
      <c r="H78" s="22">
        <f>AVERAGEIFS('Collapsed - Orthotrack outcomes'!N:N,'Collapsed - Orthotrack outcomes'!$F:$F,'NonPivot Summary'!$F78)</f>
        <v>49.208238095238094</v>
      </c>
      <c r="I78" s="22">
        <f>AVERAGEIFS('Collapsed - Orthotrack outcomes'!O:O,'Collapsed - Orthotrack outcomes'!$F:$F,'NonPivot Summary'!$F78)</f>
        <v>47.183571428571426</v>
      </c>
      <c r="J78" s="22">
        <f>AVERAGEIFS('Collapsed - Orthotrack outcomes'!P:P,'Collapsed - Orthotrack outcomes'!$F:$F,'NonPivot Summary'!$F78)</f>
        <v>96.34176190476191</v>
      </c>
      <c r="K78" s="22">
        <f>AVERAGEIFS('Collapsed - Orthotrack outcomes'!Q:Q,'Collapsed - Orthotrack outcomes'!$F:$F,'NonPivot Summary'!$F78)</f>
        <v>96.576761904761923</v>
      </c>
      <c r="L78" s="22">
        <f>AVERAGEIFS('Collapsed - Orthotrack outcomes'!R:R,'Collapsed - Orthotrack outcomes'!$F:$F,'NonPivot Summary'!$F78)</f>
        <v>85.171714285714287</v>
      </c>
      <c r="M78" s="22">
        <f>AVERAGEIFS('Collapsed - Orthotrack outcomes'!S:S,'Collapsed - Orthotrack outcomes'!$F:$F,'NonPivot Summary'!$F78)</f>
        <v>85.209619047619043</v>
      </c>
      <c r="N78" s="22">
        <f>AVERAGEIFS('Collapsed - Orthotrack outcomes'!T:T,'Collapsed - Orthotrack outcomes'!$F:$F,'NonPivot Summary'!$F78)</f>
        <v>104.0024761904762</v>
      </c>
      <c r="O78" s="22">
        <f>AVERAGEIFS('Collapsed - Orthotrack outcomes'!U:U,'Collapsed - Orthotrack outcomes'!$F:$F,'NonPivot Summary'!$F78)</f>
        <v>103.99085714285714</v>
      </c>
      <c r="P78" s="22">
        <f>AVERAGEIFS('Collapsed - Orthotrack outcomes'!V:V,'Collapsed - Orthotrack outcomes'!$F:$F,'NonPivot Summary'!$F78)</f>
        <v>64.112619047619035</v>
      </c>
      <c r="Q78" s="22">
        <f>AVERAGEIFS('Collapsed - Orthotrack outcomes'!W:W,'Collapsed - Orthotrack outcomes'!$F:$F,'NonPivot Summary'!$F78)</f>
        <v>64.332190476190476</v>
      </c>
      <c r="R78" s="22">
        <f>AVERAGEIFS('Collapsed - Orthotrack outcomes'!X:X,'Collapsed - Orthotrack outcomes'!$F:$F,'NonPivot Summary'!$F78)</f>
        <v>35.887380952380965</v>
      </c>
      <c r="S78" s="22">
        <f>AVERAGEIFS('Collapsed - Orthotrack outcomes'!Y:Y,'Collapsed - Orthotrack outcomes'!$F:$F,'NonPivot Summary'!$F78)</f>
        <v>35.667809523809538</v>
      </c>
      <c r="T78" s="22">
        <f>AVERAGEIFS('Collapsed - Orthotrack outcomes'!Z:Z,'Collapsed - Orthotrack outcomes'!$F:$F,'NonPivot Summary'!$F78)</f>
        <v>13.99495238095238</v>
      </c>
      <c r="U78" s="22">
        <f>AVERAGEIFS('Collapsed - Orthotrack outcomes'!AA:AA,'Collapsed - Orthotrack outcomes'!$F:$F,'NonPivot Summary'!$F78)</f>
        <v>14.512</v>
      </c>
      <c r="V78" s="22">
        <f>AVERAGEIFS('Collapsed - Orthotrack outcomes'!AB:AB,'Collapsed - Orthotrack outcomes'!$F:$F,'NonPivot Summary'!$F78)</f>
        <v>35.667809523809538</v>
      </c>
      <c r="W78" s="22">
        <f>AVERAGEIFS('Collapsed - Orthotrack outcomes'!AC:AC,'Collapsed - Orthotrack outcomes'!$F:$F,'NonPivot Summary'!$F78)</f>
        <v>35.887380952380965</v>
      </c>
      <c r="X78" s="22">
        <f>AVERAGEIFS('Collapsed - Orthotrack outcomes'!AD:AD,'Collapsed - Orthotrack outcomes'!$F:$F,'NonPivot Summary'!$F78)</f>
        <v>13.549095238095239</v>
      </c>
      <c r="Y78" s="22">
        <f>AVERAGEIFS('Collapsed - Orthotrack outcomes'!AE:AE,'Collapsed - Orthotrack outcomes'!$F:$F,'NonPivot Summary'!$F78)</f>
        <v>13.19047619047619</v>
      </c>
      <c r="Z78" s="22">
        <f>AVERAGEIFS('Collapsed - Orthotrack outcomes'!AF:AF,'Collapsed - Orthotrack outcomes'!$F:$F,'NonPivot Summary'!$F78)</f>
        <v>13.142857142857142</v>
      </c>
      <c r="AA78" s="22">
        <f>AVERAGEIFS('Collapsed - Orthotrack outcomes'!AG:AG,'Collapsed - Orthotrack outcomes'!$F:$F,'NonPivot Summary'!$F78)</f>
        <v>12.571428571428571</v>
      </c>
      <c r="AB78" s="22">
        <f>AVERAGEIFS('Collapsed - Orthotrack outcomes'!AH:AH,'Collapsed - Orthotrack outcomes'!$F:$F,'NonPivot Summary'!$F78)</f>
        <v>12.571428571428571</v>
      </c>
    </row>
    <row r="79" spans="1:28" ht="16" x14ac:dyDescent="0.2">
      <c r="F79" s="27" t="s">
        <v>80</v>
      </c>
      <c r="G79" s="24" t="s">
        <v>81</v>
      </c>
      <c r="H79" s="20">
        <f>AVERAGEIFS('Collapsed - Orthotrack outcomes'!N:N,'Collapsed - Orthotrack outcomes'!$F:$F,'NonPivot Summary'!$F79)</f>
        <v>50.364133333333335</v>
      </c>
      <c r="I79" s="20">
        <f>AVERAGEIFS('Collapsed - Orthotrack outcomes'!O:O,'Collapsed - Orthotrack outcomes'!$F:$F,'NonPivot Summary'!$F79)</f>
        <v>48.530533333333338</v>
      </c>
      <c r="J79" s="20">
        <f>AVERAGEIFS('Collapsed - Orthotrack outcomes'!P:P,'Collapsed - Orthotrack outcomes'!$F:$F,'NonPivot Summary'!$F79)</f>
        <v>99.056000000000012</v>
      </c>
      <c r="K79" s="20">
        <f>AVERAGEIFS('Collapsed - Orthotrack outcomes'!Q:Q,'Collapsed - Orthotrack outcomes'!$F:$F,'NonPivot Summary'!$F79)</f>
        <v>99.290466666666646</v>
      </c>
      <c r="L79" s="20">
        <f>AVERAGEIFS('Collapsed - Orthotrack outcomes'!R:R,'Collapsed - Orthotrack outcomes'!$F:$F,'NonPivot Summary'!$F79)</f>
        <v>89.214199999999977</v>
      </c>
      <c r="M79" s="20">
        <f>AVERAGEIFS('Collapsed - Orthotrack outcomes'!S:S,'Collapsed - Orthotrack outcomes'!$F:$F,'NonPivot Summary'!$F79)</f>
        <v>89.244799999999998</v>
      </c>
      <c r="N79" s="20">
        <f>AVERAGEIFS('Collapsed - Orthotrack outcomes'!T:T,'Collapsed - Orthotrack outcomes'!$F:$F,'NonPivot Summary'!$F79)</f>
        <v>104.64473333333333</v>
      </c>
      <c r="O79" s="20">
        <f>AVERAGEIFS('Collapsed - Orthotrack outcomes'!U:U,'Collapsed - Orthotrack outcomes'!$F:$F,'NonPivot Summary'!$F79)</f>
        <v>104.40720000000002</v>
      </c>
      <c r="P79" s="20">
        <f>AVERAGEIFS('Collapsed - Orthotrack outcomes'!V:V,'Collapsed - Orthotrack outcomes'!$F:$F,'NonPivot Summary'!$F79)</f>
        <v>65.411466666666669</v>
      </c>
      <c r="Q79" s="20">
        <f>AVERAGEIFS('Collapsed - Orthotrack outcomes'!W:W,'Collapsed - Orthotrack outcomes'!$F:$F,'NonPivot Summary'!$F79)</f>
        <v>64.56753333333333</v>
      </c>
      <c r="R79" s="20">
        <f>AVERAGEIFS('Collapsed - Orthotrack outcomes'!X:X,'Collapsed - Orthotrack outcomes'!$F:$F,'NonPivot Summary'!$F79)</f>
        <v>34.588533333333331</v>
      </c>
      <c r="S79" s="20">
        <f>AVERAGEIFS('Collapsed - Orthotrack outcomes'!Y:Y,'Collapsed - Orthotrack outcomes'!$F:$F,'NonPivot Summary'!$F79)</f>
        <v>35.432466666666663</v>
      </c>
      <c r="T79" s="20">
        <f>AVERAGEIFS('Collapsed - Orthotrack outcomes'!Z:Z,'Collapsed - Orthotrack outcomes'!$F:$F,'NonPivot Summary'!$F79)</f>
        <v>14.607466666666669</v>
      </c>
      <c r="U79" s="20">
        <f>AVERAGEIFS('Collapsed - Orthotrack outcomes'!AA:AA,'Collapsed - Orthotrack outcomes'!$F:$F,'NonPivot Summary'!$F79)</f>
        <v>15.435199999999996</v>
      </c>
      <c r="V79" s="20">
        <f>AVERAGEIFS('Collapsed - Orthotrack outcomes'!AB:AB,'Collapsed - Orthotrack outcomes'!$F:$F,'NonPivot Summary'!$F79)</f>
        <v>35.432466666666663</v>
      </c>
      <c r="W79" s="20">
        <f>AVERAGEIFS('Collapsed - Orthotrack outcomes'!AC:AC,'Collapsed - Orthotrack outcomes'!$F:$F,'NonPivot Summary'!$F79)</f>
        <v>34.588533333333331</v>
      </c>
      <c r="X79" s="20">
        <f>AVERAGEIFS('Collapsed - Orthotrack outcomes'!AD:AD,'Collapsed - Orthotrack outcomes'!$F:$F,'NonPivot Summary'!$F79)</f>
        <v>12.112733333333333</v>
      </c>
      <c r="Y79" s="20">
        <f>AVERAGEIFS('Collapsed - Orthotrack outcomes'!AE:AE,'Collapsed - Orthotrack outcomes'!$F:$F,'NonPivot Summary'!$F79)</f>
        <v>15.733333333333333</v>
      </c>
      <c r="Z79" s="20">
        <f>AVERAGEIFS('Collapsed - Orthotrack outcomes'!AF:AF,'Collapsed - Orthotrack outcomes'!$F:$F,'NonPivot Summary'!$F79)</f>
        <v>16.399999999999999</v>
      </c>
      <c r="AA79" s="20">
        <f>AVERAGEIFS('Collapsed - Orthotrack outcomes'!AG:AG,'Collapsed - Orthotrack outcomes'!$F:$F,'NonPivot Summary'!$F79)</f>
        <v>14.933333333333334</v>
      </c>
      <c r="AB79" s="20">
        <f>AVERAGEIFS('Collapsed - Orthotrack outcomes'!AH:AH,'Collapsed - Orthotrack outcomes'!$F:$F,'NonPivot Summary'!$F79)</f>
        <v>14.933333333333334</v>
      </c>
    </row>
    <row r="80" spans="1:28" ht="16" x14ac:dyDescent="0.2">
      <c r="F80" s="27" t="s">
        <v>76</v>
      </c>
      <c r="G80" s="24" t="s">
        <v>77</v>
      </c>
      <c r="H80" s="22">
        <f>AVERAGEIFS('Collapsed - Orthotrack outcomes'!N:N,'Collapsed - Orthotrack outcomes'!$F:$F,'NonPivot Summary'!$F80)</f>
        <v>48.910555555555554</v>
      </c>
      <c r="I80" s="22">
        <f>AVERAGEIFS('Collapsed - Orthotrack outcomes'!O:O,'Collapsed - Orthotrack outcomes'!$F:$F,'NonPivot Summary'!$F80)</f>
        <v>48.585666666666661</v>
      </c>
      <c r="J80" s="22">
        <f>AVERAGEIFS('Collapsed - Orthotrack outcomes'!P:P,'Collapsed - Orthotrack outcomes'!$F:$F,'NonPivot Summary'!$F80)</f>
        <v>97.490888888888904</v>
      </c>
      <c r="K80" s="22">
        <f>AVERAGEIFS('Collapsed - Orthotrack outcomes'!Q:Q,'Collapsed - Orthotrack outcomes'!$F:$F,'NonPivot Summary'!$F80)</f>
        <v>97.611555555555555</v>
      </c>
      <c r="L80" s="22">
        <f>AVERAGEIFS('Collapsed - Orthotrack outcomes'!R:R,'Collapsed - Orthotrack outcomes'!$F:$F,'NonPivot Summary'!$F80)</f>
        <v>78.587222222222223</v>
      </c>
      <c r="M80" s="22">
        <f>AVERAGEIFS('Collapsed - Orthotrack outcomes'!S:S,'Collapsed - Orthotrack outcomes'!$F:$F,'NonPivot Summary'!$F80)</f>
        <v>79.030333333333346</v>
      </c>
      <c r="N80" s="22">
        <f>AVERAGEIFS('Collapsed - Orthotrack outcomes'!T:T,'Collapsed - Orthotrack outcomes'!$F:$F,'NonPivot Summary'!$F80)</f>
        <v>95.13277777777779</v>
      </c>
      <c r="O80" s="22">
        <f>AVERAGEIFS('Collapsed - Orthotrack outcomes'!U:U,'Collapsed - Orthotrack outcomes'!$F:$F,'NonPivot Summary'!$F80)</f>
        <v>95.428777777777782</v>
      </c>
      <c r="P80" s="22">
        <f>AVERAGEIFS('Collapsed - Orthotrack outcomes'!V:V,'Collapsed - Orthotrack outcomes'!$F:$F,'NonPivot Summary'!$F80)</f>
        <v>63.44755555555556</v>
      </c>
      <c r="Q80" s="22">
        <f>AVERAGEIFS('Collapsed - Orthotrack outcomes'!W:W,'Collapsed - Orthotrack outcomes'!$F:$F,'NonPivot Summary'!$F80)</f>
        <v>65.135666666666665</v>
      </c>
      <c r="R80" s="22">
        <f>AVERAGEIFS('Collapsed - Orthotrack outcomes'!X:X,'Collapsed - Orthotrack outcomes'!$F:$F,'NonPivot Summary'!$F80)</f>
        <v>36.55244444444444</v>
      </c>
      <c r="S80" s="22">
        <f>AVERAGEIFS('Collapsed - Orthotrack outcomes'!Y:Y,'Collapsed - Orthotrack outcomes'!$F:$F,'NonPivot Summary'!$F80)</f>
        <v>34.864222222222217</v>
      </c>
      <c r="T80" s="22">
        <f>AVERAGEIFS('Collapsed - Orthotrack outcomes'!Z:Z,'Collapsed - Orthotrack outcomes'!$F:$F,'NonPivot Summary'!$F80)</f>
        <v>14.481444444444444</v>
      </c>
      <c r="U80" s="22">
        <f>AVERAGEIFS('Collapsed - Orthotrack outcomes'!AA:AA,'Collapsed - Orthotrack outcomes'!$F:$F,'NonPivot Summary'!$F80)</f>
        <v>14.029777777777777</v>
      </c>
      <c r="V80" s="22">
        <f>AVERAGEIFS('Collapsed - Orthotrack outcomes'!AB:AB,'Collapsed - Orthotrack outcomes'!$F:$F,'NonPivot Summary'!$F80)</f>
        <v>34.864222222222217</v>
      </c>
      <c r="W80" s="22">
        <f>AVERAGEIFS('Collapsed - Orthotrack outcomes'!AC:AC,'Collapsed - Orthotrack outcomes'!$F:$F,'NonPivot Summary'!$F80)</f>
        <v>36.55244444444444</v>
      </c>
      <c r="X80" s="22">
        <f>AVERAGEIFS('Collapsed - Orthotrack outcomes'!AD:AD,'Collapsed - Orthotrack outcomes'!$F:$F,'NonPivot Summary'!$F80)</f>
        <v>16.602777777777778</v>
      </c>
      <c r="Y80" s="22">
        <f>AVERAGEIFS('Collapsed - Orthotrack outcomes'!AE:AE,'Collapsed - Orthotrack outcomes'!$F:$F,'NonPivot Summary'!$F80)</f>
        <v>16.111111111111111</v>
      </c>
      <c r="Z80" s="22">
        <f>AVERAGEIFS('Collapsed - Orthotrack outcomes'!AF:AF,'Collapsed - Orthotrack outcomes'!$F:$F,'NonPivot Summary'!$F80)</f>
        <v>14.888888888888889</v>
      </c>
      <c r="AA80" s="22">
        <f>AVERAGEIFS('Collapsed - Orthotrack outcomes'!AG:AG,'Collapsed - Orthotrack outcomes'!$F:$F,'NonPivot Summary'!$F80)</f>
        <v>14.555555555555555</v>
      </c>
      <c r="AB80" s="22">
        <f>AVERAGEIFS('Collapsed - Orthotrack outcomes'!AH:AH,'Collapsed - Orthotrack outcomes'!$F:$F,'NonPivot Summary'!$F80)</f>
        <v>14.555555555555555</v>
      </c>
    </row>
    <row r="81" spans="6:28" ht="16" x14ac:dyDescent="0.2">
      <c r="F81" s="27" t="s">
        <v>102</v>
      </c>
      <c r="G81" s="24" t="s">
        <v>103</v>
      </c>
      <c r="H81" s="20">
        <f>AVERAGEIFS('Collapsed - Orthotrack outcomes'!N:N,'Collapsed - Orthotrack outcomes'!$F:$F,'NonPivot Summary'!$F81)</f>
        <v>37.781599999999997</v>
      </c>
      <c r="I81" s="20">
        <f>AVERAGEIFS('Collapsed - Orthotrack outcomes'!O:O,'Collapsed - Orthotrack outcomes'!$F:$F,'NonPivot Summary'!$F81)</f>
        <v>36.002899999999997</v>
      </c>
      <c r="J81" s="20">
        <f>AVERAGEIFS('Collapsed - Orthotrack outcomes'!P:P,'Collapsed - Orthotrack outcomes'!$F:$F,'NonPivot Summary'!$F81)</f>
        <v>74.031100000000009</v>
      </c>
      <c r="K81" s="20">
        <f>AVERAGEIFS('Collapsed - Orthotrack outcomes'!Q:Q,'Collapsed - Orthotrack outcomes'!$F:$F,'NonPivot Summary'!$F81)</f>
        <v>73.775400000000005</v>
      </c>
      <c r="L81" s="20">
        <f>AVERAGEIFS('Collapsed - Orthotrack outcomes'!R:R,'Collapsed - Orthotrack outcomes'!$F:$F,'NonPivot Summary'!$F81)</f>
        <v>65.543599999999998</v>
      </c>
      <c r="M81" s="20">
        <f>AVERAGEIFS('Collapsed - Orthotrack outcomes'!S:S,'Collapsed - Orthotrack outcomes'!$F:$F,'NonPivot Summary'!$F81)</f>
        <v>65.495100000000008</v>
      </c>
      <c r="N81" s="20">
        <f>AVERAGEIFS('Collapsed - Orthotrack outcomes'!T:T,'Collapsed - Orthotrack outcomes'!$F:$F,'NonPivot Summary'!$F81)</f>
        <v>108.205</v>
      </c>
      <c r="O81" s="20">
        <f>AVERAGEIFS('Collapsed - Orthotrack outcomes'!U:U,'Collapsed - Orthotrack outcomes'!$F:$F,'NonPivot Summary'!$F81)</f>
        <v>108.18980000000002</v>
      </c>
      <c r="P81" s="20">
        <f>AVERAGEIFS('Collapsed - Orthotrack outcomes'!V:V,'Collapsed - Orthotrack outcomes'!$F:$F,'NonPivot Summary'!$F81)</f>
        <v>66.64009999999999</v>
      </c>
      <c r="Q81" s="20">
        <f>AVERAGEIFS('Collapsed - Orthotrack outcomes'!W:W,'Collapsed - Orthotrack outcomes'!$F:$F,'NonPivot Summary'!$F81)</f>
        <v>67.281899999999993</v>
      </c>
      <c r="R81" s="20">
        <f>AVERAGEIFS('Collapsed - Orthotrack outcomes'!X:X,'Collapsed - Orthotrack outcomes'!$F:$F,'NonPivot Summary'!$F81)</f>
        <v>33.359699999999997</v>
      </c>
      <c r="S81" s="20">
        <f>AVERAGEIFS('Collapsed - Orthotrack outcomes'!Y:Y,'Collapsed - Orthotrack outcomes'!$F:$F,'NonPivot Summary'!$F81)</f>
        <v>32.718100000000007</v>
      </c>
      <c r="T81" s="20">
        <f>AVERAGEIFS('Collapsed - Orthotrack outcomes'!Z:Z,'Collapsed - Orthotrack outcomes'!$F:$F,'NonPivot Summary'!$F81)</f>
        <v>16.601300000000002</v>
      </c>
      <c r="U81" s="20">
        <f>AVERAGEIFS('Collapsed - Orthotrack outcomes'!AA:AA,'Collapsed - Orthotrack outcomes'!$F:$F,'NonPivot Summary'!$F81)</f>
        <v>17.302300000000002</v>
      </c>
      <c r="V81" s="20">
        <f>AVERAGEIFS('Collapsed - Orthotrack outcomes'!AB:AB,'Collapsed - Orthotrack outcomes'!$F:$F,'NonPivot Summary'!$F81)</f>
        <v>32.718100000000007</v>
      </c>
      <c r="W81" s="20">
        <f>AVERAGEIFS('Collapsed - Orthotrack outcomes'!AC:AC,'Collapsed - Orthotrack outcomes'!$F:$F,'NonPivot Summary'!$F81)</f>
        <v>33.359699999999997</v>
      </c>
      <c r="X81" s="20">
        <f>AVERAGEIFS('Collapsed - Orthotrack outcomes'!AD:AD,'Collapsed - Orthotrack outcomes'!$F:$F,'NonPivot Summary'!$F81)</f>
        <v>14.325199999999999</v>
      </c>
      <c r="Y81" s="20">
        <f>AVERAGEIFS('Collapsed - Orthotrack outcomes'!AE:AE,'Collapsed - Orthotrack outcomes'!$F:$F,'NonPivot Summary'!$F81)</f>
        <v>12.8</v>
      </c>
      <c r="Z81" s="20">
        <f>AVERAGEIFS('Collapsed - Orthotrack outcomes'!AF:AF,'Collapsed - Orthotrack outcomes'!$F:$F,'NonPivot Summary'!$F81)</f>
        <v>13.1</v>
      </c>
      <c r="AA81" s="20">
        <f>AVERAGEIFS('Collapsed - Orthotrack outcomes'!AG:AG,'Collapsed - Orthotrack outcomes'!$F:$F,'NonPivot Summary'!$F81)</f>
        <v>12.3</v>
      </c>
      <c r="AB81" s="20">
        <f>AVERAGEIFS('Collapsed - Orthotrack outcomes'!AH:AH,'Collapsed - Orthotrack outcomes'!$F:$F,'NonPivot Summary'!$F81)</f>
        <v>12.3</v>
      </c>
    </row>
    <row r="82" spans="6:28" ht="16" x14ac:dyDescent="0.2">
      <c r="F82" s="27" t="s">
        <v>135</v>
      </c>
      <c r="G82" s="24"/>
      <c r="H82" s="22"/>
      <c r="I82" s="22"/>
      <c r="J82" s="22"/>
      <c r="K82" s="22"/>
      <c r="L82" s="22"/>
      <c r="M82" s="22"/>
      <c r="N82" s="22"/>
      <c r="O82" s="22"/>
      <c r="P82" s="22"/>
      <c r="Q82" s="22"/>
      <c r="R82" s="22"/>
      <c r="S82" s="22"/>
      <c r="T82" s="22"/>
      <c r="U82" s="22"/>
      <c r="V82" s="22"/>
      <c r="W82" s="22"/>
      <c r="X82" s="22"/>
      <c r="Y82" s="22"/>
      <c r="Z82" s="22"/>
      <c r="AA82" s="22"/>
      <c r="AB82" s="22"/>
    </row>
    <row r="84" spans="6:28" x14ac:dyDescent="0.2">
      <c r="F84" s="26" t="s">
        <v>124</v>
      </c>
      <c r="G84" s="24"/>
      <c r="H84" s="66" t="s">
        <v>124</v>
      </c>
      <c r="I84" s="67"/>
      <c r="J84" s="67"/>
      <c r="K84" s="67"/>
      <c r="L84" s="67"/>
      <c r="M84" s="67"/>
      <c r="N84" s="67"/>
      <c r="O84" s="67"/>
      <c r="P84" s="67"/>
      <c r="Q84" s="67"/>
      <c r="R84" s="67"/>
      <c r="S84" s="67"/>
      <c r="T84" s="67"/>
      <c r="U84" s="67"/>
      <c r="V84" s="67"/>
      <c r="W84" s="67"/>
      <c r="X84" s="67"/>
      <c r="Y84" s="67"/>
      <c r="Z84" s="67"/>
      <c r="AA84" s="67"/>
      <c r="AB84" s="67"/>
    </row>
    <row r="85" spans="6:28" x14ac:dyDescent="0.2">
      <c r="F85" s="23" t="s">
        <v>44</v>
      </c>
      <c r="G85" s="25" t="s">
        <v>134</v>
      </c>
      <c r="H85" s="23" t="s">
        <v>50</v>
      </c>
      <c r="I85" s="23" t="s">
        <v>20</v>
      </c>
      <c r="J85" s="23" t="s">
        <v>23</v>
      </c>
      <c r="K85" s="23" t="s">
        <v>22</v>
      </c>
      <c r="L85" s="23" t="s">
        <v>11</v>
      </c>
      <c r="M85" s="23" t="s">
        <v>10</v>
      </c>
      <c r="N85" s="23" t="s">
        <v>9</v>
      </c>
      <c r="O85" s="23" t="s">
        <v>8</v>
      </c>
      <c r="P85" s="23" t="s">
        <v>27</v>
      </c>
      <c r="Q85" s="23" t="s">
        <v>26</v>
      </c>
      <c r="R85" s="23" t="s">
        <v>25</v>
      </c>
      <c r="S85" s="23" t="s">
        <v>24</v>
      </c>
      <c r="T85" s="23" t="s">
        <v>13</v>
      </c>
      <c r="U85" s="23" t="s">
        <v>12</v>
      </c>
      <c r="V85" s="23" t="s">
        <v>19</v>
      </c>
      <c r="W85" s="23" t="s">
        <v>18</v>
      </c>
      <c r="X85" s="23" t="s">
        <v>21</v>
      </c>
      <c r="Y85" s="23" t="s">
        <v>15</v>
      </c>
      <c r="Z85" s="23" t="s">
        <v>14</v>
      </c>
      <c r="AA85" s="23" t="s">
        <v>17</v>
      </c>
      <c r="AB85" s="23" t="s">
        <v>16</v>
      </c>
    </row>
    <row r="86" spans="6:28" ht="16" x14ac:dyDescent="0.2">
      <c r="F86" s="27" t="s">
        <v>62</v>
      </c>
      <c r="G86" s="24" t="s">
        <v>63</v>
      </c>
      <c r="H86" s="22">
        <f>DSTDEV('Collapsed - Orthotrack outcomes'!$F:$AH,'NonPivot Summary'!H$85,$A$62:$A$63)</f>
        <v>14.875856052860708</v>
      </c>
      <c r="I86" s="22">
        <f>DSTDEV('Collapsed - Orthotrack outcomes'!$F:$AH,'NonPivot Summary'!I$85,$A$62:$A$63)</f>
        <v>14.927481004686729</v>
      </c>
      <c r="J86" s="22">
        <f>DSTDEV('Collapsed - Orthotrack outcomes'!$F:$AH,'NonPivot Summary'!J$85,$A$62:$A$63)</f>
        <v>29.334137424293399</v>
      </c>
      <c r="K86" s="22">
        <f>DSTDEV('Collapsed - Orthotrack outcomes'!$F:$AH,'NonPivot Summary'!K$85,$A$62:$A$63)</f>
        <v>29.402168329360659</v>
      </c>
      <c r="L86" s="22">
        <f>DSTDEV('Collapsed - Orthotrack outcomes'!$F:$AH,'NonPivot Summary'!L$85,$A$62:$A$63)</f>
        <v>29.07013850712292</v>
      </c>
      <c r="M86" s="22">
        <f>DSTDEV('Collapsed - Orthotrack outcomes'!$F:$AH,'NonPivot Summary'!M$85,$A$62:$A$63)</f>
        <v>29.244083863561158</v>
      </c>
      <c r="N86" s="22">
        <f>DSTDEV('Collapsed - Orthotrack outcomes'!$F:$AH,'NonPivot Summary'!N$85,$A$62:$A$63)</f>
        <v>15.668918462937707</v>
      </c>
      <c r="O86" s="22">
        <f>DSTDEV('Collapsed - Orthotrack outcomes'!$F:$AH,'NonPivot Summary'!O$85,$A$62:$A$63)</f>
        <v>15.895146068705852</v>
      </c>
      <c r="P86" s="22">
        <f>DSTDEV('Collapsed - Orthotrack outcomes'!$F:$AH,'NonPivot Summary'!P$85,$A$62:$A$63)</f>
        <v>4.0359150287781596</v>
      </c>
      <c r="Q86" s="22">
        <f>DSTDEV('Collapsed - Orthotrack outcomes'!$F:$AH,'NonPivot Summary'!Q$85,$A$62:$A$63)</f>
        <v>4.1027013187364743</v>
      </c>
      <c r="R86" s="22">
        <f>DSTDEV('Collapsed - Orthotrack outcomes'!$F:$AH,'NonPivot Summary'!R$85,$A$62:$A$63)</f>
        <v>4.0359279752159702</v>
      </c>
      <c r="S86" s="22">
        <f>DSTDEV('Collapsed - Orthotrack outcomes'!$F:$AH,'NonPivot Summary'!S$85,$A$62:$A$63)</f>
        <v>4.1027127990420711</v>
      </c>
      <c r="T86" s="22">
        <f>DSTDEV('Collapsed - Orthotrack outcomes'!$F:$AH,'NonPivot Summary'!T$85,$A$62:$A$63)</f>
        <v>3.6215777218766676</v>
      </c>
      <c r="U86" s="22">
        <f>DSTDEV('Collapsed - Orthotrack outcomes'!$F:$AH,'NonPivot Summary'!U$85,$A$62:$A$63)</f>
        <v>4.7545868849089183</v>
      </c>
      <c r="V86" s="22">
        <f>DSTDEV('Collapsed - Orthotrack outcomes'!$F:$AH,'NonPivot Summary'!V$85,$A$62:$A$63)</f>
        <v>4.1027127990420711</v>
      </c>
      <c r="W86" s="22">
        <f>DSTDEV('Collapsed - Orthotrack outcomes'!$F:$AH,'NonPivot Summary'!W$85,$A$62:$A$63)</f>
        <v>4.0359279752159702</v>
      </c>
      <c r="X86" s="22">
        <f>DSTDEV('Collapsed - Orthotrack outcomes'!$F:$AH,'NonPivot Summary'!X$85,$A$62:$A$63)</f>
        <v>3.2249880030782925</v>
      </c>
      <c r="Y86" s="22">
        <f>DSTDEV('Collapsed - Orthotrack outcomes'!$F:$AH,'NonPivot Summary'!Y$85,$A$62:$A$63)</f>
        <v>5.3333791523313554</v>
      </c>
      <c r="Z86" s="22">
        <f>DSTDEV('Collapsed - Orthotrack outcomes'!$F:$AH,'NonPivot Summary'!Z$85,$A$62:$A$63)</f>
        <v>5.2788443316801388</v>
      </c>
      <c r="AA86" s="22">
        <f>DSTDEV('Collapsed - Orthotrack outcomes'!$F:$AH,'NonPivot Summary'!AA$85,$A$62:$A$63)</f>
        <v>5.2423404250632668</v>
      </c>
      <c r="AB86" s="22">
        <f>DSTDEV('Collapsed - Orthotrack outcomes'!$F:$AH,'NonPivot Summary'!AB$85,$A$62:$A$63)</f>
        <v>5.2423404250632668</v>
      </c>
    </row>
    <row r="87" spans="6:28" ht="16" x14ac:dyDescent="0.2">
      <c r="F87" s="27" t="s">
        <v>68</v>
      </c>
      <c r="G87" s="24" t="s">
        <v>69</v>
      </c>
      <c r="H87" s="20">
        <f>DSTDEV('Collapsed - Orthotrack outcomes'!$F:$AH,'NonPivot Summary'!H$85,$B$62:$B$63)</f>
        <v>12.236128023727325</v>
      </c>
      <c r="I87" s="20">
        <f>DSTDEV('Collapsed - Orthotrack outcomes'!$F:$AH,'NonPivot Summary'!I$85,$B$62:$B$63)</f>
        <v>11.878061153105165</v>
      </c>
      <c r="J87" s="20">
        <f>DSTDEV('Collapsed - Orthotrack outcomes'!$F:$AH,'NonPivot Summary'!J$85,$B$62:$B$63)</f>
        <v>23.958718175447835</v>
      </c>
      <c r="K87" s="20">
        <f>DSTDEV('Collapsed - Orthotrack outcomes'!$F:$AH,'NonPivot Summary'!K$85,$B$62:$B$63)</f>
        <v>24.017131028970205</v>
      </c>
      <c r="L87" s="20">
        <f>DSTDEV('Collapsed - Orthotrack outcomes'!$F:$AH,'NonPivot Summary'!L$85,$B$62:$B$63)</f>
        <v>25.677593497923912</v>
      </c>
      <c r="M87" s="20">
        <f>DSTDEV('Collapsed - Orthotrack outcomes'!$F:$AH,'NonPivot Summary'!M$85,$B$62:$B$63)</f>
        <v>25.678453168111893</v>
      </c>
      <c r="N87" s="20">
        <f>DSTDEV('Collapsed - Orthotrack outcomes'!$F:$AH,'NonPivot Summary'!N$85,$B$62:$B$63)</f>
        <v>13.580335519550832</v>
      </c>
      <c r="O87" s="20">
        <f>DSTDEV('Collapsed - Orthotrack outcomes'!$F:$AH,'NonPivot Summary'!O$85,$B$62:$B$63)</f>
        <v>13.539890150747262</v>
      </c>
      <c r="P87" s="20">
        <f>DSTDEV('Collapsed - Orthotrack outcomes'!$F:$AH,'NonPivot Summary'!P$85,$B$62:$B$63)</f>
        <v>4.0662540454540057</v>
      </c>
      <c r="Q87" s="20">
        <f>DSTDEV('Collapsed - Orthotrack outcomes'!$F:$AH,'NonPivot Summary'!Q$85,$B$62:$B$63)</f>
        <v>4.0397795129249623</v>
      </c>
      <c r="R87" s="20">
        <f>DSTDEV('Collapsed - Orthotrack outcomes'!$F:$AH,'NonPivot Summary'!R$85,$B$62:$B$63)</f>
        <v>4.0662558335043819</v>
      </c>
      <c r="S87" s="20">
        <f>DSTDEV('Collapsed - Orthotrack outcomes'!$F:$AH,'NonPivot Summary'!S$85,$B$62:$B$63)</f>
        <v>4.0397737153142161</v>
      </c>
      <c r="T87" s="20">
        <f>DSTDEV('Collapsed - Orthotrack outcomes'!$F:$AH,'NonPivot Summary'!T$85,$B$62:$B$63)</f>
        <v>4.5444520851557382</v>
      </c>
      <c r="U87" s="20">
        <f>DSTDEV('Collapsed - Orthotrack outcomes'!$F:$AH,'NonPivot Summary'!U$85,$B$62:$B$63)</f>
        <v>3.7694487750113188</v>
      </c>
      <c r="V87" s="20">
        <f>DSTDEV('Collapsed - Orthotrack outcomes'!$F:$AH,'NonPivot Summary'!V$85,$B$62:$B$63)</f>
        <v>4.0397737153142161</v>
      </c>
      <c r="W87" s="20">
        <f>DSTDEV('Collapsed - Orthotrack outcomes'!$F:$AH,'NonPivot Summary'!W$85,$B$62:$B$63)</f>
        <v>4.0662558335043819</v>
      </c>
      <c r="X87" s="20">
        <f>DSTDEV('Collapsed - Orthotrack outcomes'!$F:$AH,'NonPivot Summary'!X$85,$B$62:$B$63)</f>
        <v>4.4400448201739469</v>
      </c>
      <c r="Y87" s="20">
        <f>DSTDEV('Collapsed - Orthotrack outcomes'!$F:$AH,'NonPivot Summary'!Y$85,$B$62:$B$63)</f>
        <v>4.0642725552685022</v>
      </c>
      <c r="Z87" s="20">
        <f>DSTDEV('Collapsed - Orthotrack outcomes'!$F:$AH,'NonPivot Summary'!Z$85,$B$62:$B$63)</f>
        <v>3.9236127283544771</v>
      </c>
      <c r="AA87" s="20">
        <f>DSTDEV('Collapsed - Orthotrack outcomes'!$F:$AH,'NonPivot Summary'!AA$85,$B$62:$B$63)</f>
        <v>3.8294650581483243</v>
      </c>
      <c r="AB87" s="20">
        <f>DSTDEV('Collapsed - Orthotrack outcomes'!$F:$AH,'NonPivot Summary'!AB$85,$B$62:$B$63)</f>
        <v>3.8294650581483243</v>
      </c>
    </row>
    <row r="88" spans="6:28" ht="16" x14ac:dyDescent="0.2">
      <c r="F88" s="27" t="s">
        <v>72</v>
      </c>
      <c r="G88" s="24" t="s">
        <v>73</v>
      </c>
      <c r="H88" s="22">
        <f>DSTDEV('Collapsed - Orthotrack outcomes'!$F:$AH,'NonPivot Summary'!H$85,$C$62:$C$63)</f>
        <v>12.660626107946642</v>
      </c>
      <c r="I88" s="22">
        <f>DSTDEV('Collapsed - Orthotrack outcomes'!$F:$AH,'NonPivot Summary'!I$85,$C$62:$C$63)</f>
        <v>13.311404320494601</v>
      </c>
      <c r="J88" s="22">
        <f>DSTDEV('Collapsed - Orthotrack outcomes'!$F:$AH,'NonPivot Summary'!J$85,$C$62:$C$63)</f>
        <v>25.772230619436229</v>
      </c>
      <c r="K88" s="22">
        <f>DSTDEV('Collapsed - Orthotrack outcomes'!$F:$AH,'NonPivot Summary'!K$85,$C$62:$C$63)</f>
        <v>25.669622515674</v>
      </c>
      <c r="L88" s="22">
        <f>DSTDEV('Collapsed - Orthotrack outcomes'!$F:$AH,'NonPivot Summary'!L$85,$C$62:$C$63)</f>
        <v>31.246496227040122</v>
      </c>
      <c r="M88" s="22">
        <f>DSTDEV('Collapsed - Orthotrack outcomes'!$F:$AH,'NonPivot Summary'!M$85,$C$62:$C$63)</f>
        <v>31.061724064606143</v>
      </c>
      <c r="N88" s="22">
        <f>DSTDEV('Collapsed - Orthotrack outcomes'!$F:$AH,'NonPivot Summary'!N$85,$C$62:$C$63)</f>
        <v>18.874691053715239</v>
      </c>
      <c r="O88" s="22">
        <f>DSTDEV('Collapsed - Orthotrack outcomes'!$F:$AH,'NonPivot Summary'!O$85,$C$62:$C$63)</f>
        <v>18.93324019367083</v>
      </c>
      <c r="P88" s="22">
        <f>DSTDEV('Collapsed - Orthotrack outcomes'!$F:$AH,'NonPivot Summary'!P$85,$C$62:$C$63)</f>
        <v>4.7684853247938062</v>
      </c>
      <c r="Q88" s="22">
        <f>DSTDEV('Collapsed - Orthotrack outcomes'!$F:$AH,'NonPivot Summary'!Q$85,$C$62:$C$63)</f>
        <v>5.4265974889421269</v>
      </c>
      <c r="R88" s="22">
        <f>DSTDEV('Collapsed - Orthotrack outcomes'!$F:$AH,'NonPivot Summary'!R$85,$C$62:$C$63)</f>
        <v>4.7684893725655275</v>
      </c>
      <c r="S88" s="22">
        <f>DSTDEV('Collapsed - Orthotrack outcomes'!$F:$AH,'NonPivot Summary'!S$85,$C$62:$C$63)</f>
        <v>5.4265900580207589</v>
      </c>
      <c r="T88" s="22">
        <f>DSTDEV('Collapsed - Orthotrack outcomes'!$F:$AH,'NonPivot Summary'!T$85,$C$62:$C$63)</f>
        <v>5.2373557790559024</v>
      </c>
      <c r="U88" s="22">
        <f>DSTDEV('Collapsed - Orthotrack outcomes'!$F:$AH,'NonPivot Summary'!U$85,$C$62:$C$63)</f>
        <v>4.6047357379966165</v>
      </c>
      <c r="V88" s="22">
        <f>DSTDEV('Collapsed - Orthotrack outcomes'!$F:$AH,'NonPivot Summary'!V$85,$C$62:$C$63)</f>
        <v>5.4265900580207589</v>
      </c>
      <c r="W88" s="22">
        <f>DSTDEV('Collapsed - Orthotrack outcomes'!$F:$AH,'NonPivot Summary'!W$85,$C$62:$C$63)</f>
        <v>4.7684893725655275</v>
      </c>
      <c r="X88" s="22">
        <f>DSTDEV('Collapsed - Orthotrack outcomes'!$F:$AH,'NonPivot Summary'!X$85,$C$62:$C$63)</f>
        <v>4.7354075422686961</v>
      </c>
      <c r="Y88" s="22">
        <f>DSTDEV('Collapsed - Orthotrack outcomes'!$F:$AH,'NonPivot Summary'!Y$85,$C$62:$C$63)</f>
        <v>2.7454560891642648</v>
      </c>
      <c r="Z88" s="22">
        <f>DSTDEV('Collapsed - Orthotrack outcomes'!$F:$AH,'NonPivot Summary'!Z$85,$C$62:$C$63)</f>
        <v>2.8733969890027806</v>
      </c>
      <c r="AA88" s="22">
        <f>DSTDEV('Collapsed - Orthotrack outcomes'!$F:$AH,'NonPivot Summary'!AA$85,$C$62:$C$63)</f>
        <v>2.7586693187579407</v>
      </c>
      <c r="AB88" s="22">
        <f>DSTDEV('Collapsed - Orthotrack outcomes'!$F:$AH,'NonPivot Summary'!AB$85,$C$62:$C$63)</f>
        <v>2.7586693187579407</v>
      </c>
    </row>
    <row r="89" spans="6:28" ht="16" x14ac:dyDescent="0.2">
      <c r="F89" s="27">
        <v>332</v>
      </c>
      <c r="G89" s="24" t="s">
        <v>53</v>
      </c>
      <c r="H89" s="20">
        <f>DSTDEV('Collapsed - Orthotrack outcomes'!$F:$AH,'NonPivot Summary'!H$85,$D$62:$D$63)</f>
        <v>18.369694319302543</v>
      </c>
      <c r="I89" s="20">
        <f>DSTDEV('Collapsed - Orthotrack outcomes'!$F:$AH,'NonPivot Summary'!I$85,$D$62:$D$63)</f>
        <v>18.66256101615047</v>
      </c>
      <c r="J89" s="20">
        <f>DSTDEV('Collapsed - Orthotrack outcomes'!$F:$AH,'NonPivot Summary'!J$85,$D$62:$D$63)</f>
        <v>36.436224699413508</v>
      </c>
      <c r="K89" s="20">
        <f>DSTDEV('Collapsed - Orthotrack outcomes'!$F:$AH,'NonPivot Summary'!K$85,$D$62:$D$63)</f>
        <v>36.69633906991055</v>
      </c>
      <c r="L89" s="20">
        <f>DSTDEV('Collapsed - Orthotrack outcomes'!$F:$AH,'NonPivot Summary'!L$85,$D$62:$D$63)</f>
        <v>40.418295611003487</v>
      </c>
      <c r="M89" s="20">
        <f>DSTDEV('Collapsed - Orthotrack outcomes'!$F:$AH,'NonPivot Summary'!M$85,$D$62:$D$63)</f>
        <v>40.35433493572426</v>
      </c>
      <c r="N89" s="20">
        <f>DSTDEV('Collapsed - Orthotrack outcomes'!$F:$AH,'NonPivot Summary'!N$85,$D$62:$D$63)</f>
        <v>23.189731913400344</v>
      </c>
      <c r="O89" s="20">
        <f>DSTDEV('Collapsed - Orthotrack outcomes'!$F:$AH,'NonPivot Summary'!O$85,$D$62:$D$63)</f>
        <v>23.615526808111074</v>
      </c>
      <c r="P89" s="20">
        <f>DSTDEV('Collapsed - Orthotrack outcomes'!$F:$AH,'NonPivot Summary'!P$85,$D$62:$D$63)</f>
        <v>5.1655320966516589</v>
      </c>
      <c r="Q89" s="20">
        <f>DSTDEV('Collapsed - Orthotrack outcomes'!$F:$AH,'NonPivot Summary'!Q$85,$D$62:$D$63)</f>
        <v>5.4119917978503986</v>
      </c>
      <c r="R89" s="20">
        <f>DSTDEV('Collapsed - Orthotrack outcomes'!$F:$AH,'NonPivot Summary'!R$85,$D$62:$D$63)</f>
        <v>5.1655357491149507</v>
      </c>
      <c r="S89" s="20">
        <f>DSTDEV('Collapsed - Orthotrack outcomes'!$F:$AH,'NonPivot Summary'!S$85,$D$62:$D$63)</f>
        <v>5.4119917978503844</v>
      </c>
      <c r="T89" s="20">
        <f>DSTDEV('Collapsed - Orthotrack outcomes'!$F:$AH,'NonPivot Summary'!T$85,$D$62:$D$63)</f>
        <v>5.2752665701511035</v>
      </c>
      <c r="U89" s="20">
        <f>DSTDEV('Collapsed - Orthotrack outcomes'!$F:$AH,'NonPivot Summary'!U$85,$D$62:$D$63)</f>
        <v>6.6729405748429036</v>
      </c>
      <c r="V89" s="20">
        <f>DSTDEV('Collapsed - Orthotrack outcomes'!$F:$AH,'NonPivot Summary'!V$85,$D$62:$D$63)</f>
        <v>5.4119917978503844</v>
      </c>
      <c r="W89" s="20">
        <f>DSTDEV('Collapsed - Orthotrack outcomes'!$F:$AH,'NonPivot Summary'!W$85,$D$62:$D$63)</f>
        <v>5.1655357491149507</v>
      </c>
      <c r="X89" s="20">
        <f>DSTDEV('Collapsed - Orthotrack outcomes'!$F:$AH,'NonPivot Summary'!X$85,$D$62:$D$63)</f>
        <v>4.0549224993068194</v>
      </c>
      <c r="Y89" s="20">
        <f>DSTDEV('Collapsed - Orthotrack outcomes'!$F:$AH,'NonPivot Summary'!Y$85,$D$62:$D$63)</f>
        <v>4.3403296578095913</v>
      </c>
      <c r="Z89" s="20">
        <f>DSTDEV('Collapsed - Orthotrack outcomes'!$F:$AH,'NonPivot Summary'!Z$85,$D$62:$D$63)</f>
        <v>4.6417834768711295</v>
      </c>
      <c r="AA89" s="20">
        <f>DSTDEV('Collapsed - Orthotrack outcomes'!$F:$AH,'NonPivot Summary'!AA$85,$D$62:$D$63)</f>
        <v>4.4502376773174026</v>
      </c>
      <c r="AB89" s="20">
        <f>DSTDEV('Collapsed - Orthotrack outcomes'!$F:$AH,'NonPivot Summary'!AB$85,$D$62:$D$63)</f>
        <v>4.4502376773174026</v>
      </c>
    </row>
    <row r="90" spans="6:28" ht="16" x14ac:dyDescent="0.2">
      <c r="F90" s="27">
        <v>333.1</v>
      </c>
      <c r="G90" s="24" t="s">
        <v>54</v>
      </c>
      <c r="H90" s="22">
        <f>DSTDEV('Collapsed - Orthotrack outcomes'!$F:$AH,'NonPivot Summary'!H$85,$E$62:$E$63)</f>
        <v>13.899519160405358</v>
      </c>
      <c r="I90" s="22">
        <f>DSTDEV('Collapsed - Orthotrack outcomes'!$F:$AH,'NonPivot Summary'!I$85,$E$62:$E$63)</f>
        <v>15.525597281816346</v>
      </c>
      <c r="J90" s="22">
        <f>DSTDEV('Collapsed - Orthotrack outcomes'!$F:$AH,'NonPivot Summary'!J$85,$E$62:$E$63)</f>
        <v>28.841087881535842</v>
      </c>
      <c r="K90" s="22">
        <f>DSTDEV('Collapsed - Orthotrack outcomes'!$F:$AH,'NonPivot Summary'!K$85,$E$62:$E$63)</f>
        <v>29.267337138702462</v>
      </c>
      <c r="L90" s="22">
        <f>DSTDEV('Collapsed - Orthotrack outcomes'!$F:$AH,'NonPivot Summary'!L$85,$E$62:$E$63)</f>
        <v>32.054933155667086</v>
      </c>
      <c r="M90" s="22">
        <f>DSTDEV('Collapsed - Orthotrack outcomes'!$F:$AH,'NonPivot Summary'!M$85,$E$62:$E$63)</f>
        <v>32.082329468846559</v>
      </c>
      <c r="N90" s="22">
        <f>DSTDEV('Collapsed - Orthotrack outcomes'!$F:$AH,'NonPivot Summary'!N$85,$E$62:$E$63)</f>
        <v>17.144728535672503</v>
      </c>
      <c r="O90" s="22">
        <f>DSTDEV('Collapsed - Orthotrack outcomes'!$F:$AH,'NonPivot Summary'!O$85,$E$62:$E$63)</f>
        <v>17.058353045607035</v>
      </c>
      <c r="P90" s="22">
        <f>DSTDEV('Collapsed - Orthotrack outcomes'!$F:$AH,'NonPivot Summary'!P$85,$E$62:$E$63)</f>
        <v>2.9287105435018748</v>
      </c>
      <c r="Q90" s="22">
        <f>DSTDEV('Collapsed - Orthotrack outcomes'!$F:$AH,'NonPivot Summary'!Q$85,$E$62:$E$63)</f>
        <v>3.326547498819874</v>
      </c>
      <c r="R90" s="22">
        <f>DSTDEV('Collapsed - Orthotrack outcomes'!$F:$AH,'NonPivot Summary'!R$85,$E$62:$E$63)</f>
        <v>2.9287105435018752</v>
      </c>
      <c r="S90" s="22">
        <f>DSTDEV('Collapsed - Orthotrack outcomes'!$F:$AH,'NonPivot Summary'!S$85,$E$62:$E$63)</f>
        <v>3.326547498819874</v>
      </c>
      <c r="T90" s="22">
        <f>DSTDEV('Collapsed - Orthotrack outcomes'!$F:$AH,'NonPivot Summary'!T$85,$E$62:$E$63)</f>
        <v>3.3278307119832666</v>
      </c>
      <c r="U90" s="22">
        <f>DSTDEV('Collapsed - Orthotrack outcomes'!$F:$AH,'NonPivot Summary'!U$85,$E$62:$E$63)</f>
        <v>2.9691686378513333</v>
      </c>
      <c r="V90" s="22">
        <f>DSTDEV('Collapsed - Orthotrack outcomes'!$F:$AH,'NonPivot Summary'!V$85,$E$62:$E$63)</f>
        <v>3.326547498819874</v>
      </c>
      <c r="W90" s="22">
        <f>DSTDEV('Collapsed - Orthotrack outcomes'!$F:$AH,'NonPivot Summary'!W$85,$E$62:$E$63)</f>
        <v>2.9287105435018752</v>
      </c>
      <c r="X90" s="22">
        <f>DSTDEV('Collapsed - Orthotrack outcomes'!$F:$AH,'NonPivot Summary'!X$85,$E$62:$E$63)</f>
        <v>3.9764328097524966</v>
      </c>
      <c r="Y90" s="22">
        <f>DSTDEV('Collapsed - Orthotrack outcomes'!$F:$AH,'NonPivot Summary'!Y$85,$E$62:$E$63)</f>
        <v>4.9559968484558956</v>
      </c>
      <c r="Z90" s="22">
        <f>DSTDEV('Collapsed - Orthotrack outcomes'!$F:$AH,'NonPivot Summary'!Z$85,$E$62:$E$63)</f>
        <v>4.6398891612377362</v>
      </c>
      <c r="AA90" s="22">
        <f>DSTDEV('Collapsed - Orthotrack outcomes'!$F:$AH,'NonPivot Summary'!AA$85,$E$62:$E$63)</f>
        <v>4.6321855378582217</v>
      </c>
      <c r="AB90" s="22">
        <f>DSTDEV('Collapsed - Orthotrack outcomes'!$F:$AH,'NonPivot Summary'!AB$85,$E$62:$E$63)</f>
        <v>4.6321855378582217</v>
      </c>
    </row>
    <row r="91" spans="6:28" ht="16" x14ac:dyDescent="0.2">
      <c r="F91" s="27" t="s">
        <v>80</v>
      </c>
      <c r="G91" s="24" t="s">
        <v>81</v>
      </c>
      <c r="H91" s="20">
        <f>DSTDEV('Collapsed - Orthotrack outcomes'!$F:$AH,'NonPivot Summary'!H$85,$A$65:$A$66)</f>
        <v>13.621035034443022</v>
      </c>
      <c r="I91" s="20">
        <f>DSTDEV('Collapsed - Orthotrack outcomes'!$F:$AH,'NonPivot Summary'!I$85,$A$65:$A$66)</f>
        <v>16.58377545704003</v>
      </c>
      <c r="J91" s="20">
        <f>DSTDEV('Collapsed - Orthotrack outcomes'!$F:$AH,'NonPivot Summary'!J$85,$A$65:$A$66)</f>
        <v>30.327720054667584</v>
      </c>
      <c r="K91" s="20">
        <f>DSTDEV('Collapsed - Orthotrack outcomes'!$F:$AH,'NonPivot Summary'!K$85,$A$65:$A$66)</f>
        <v>29.953689970320845</v>
      </c>
      <c r="L91" s="20">
        <f>DSTDEV('Collapsed - Orthotrack outcomes'!$F:$AH,'NonPivot Summary'!L$85,$A$65:$A$66)</f>
        <v>36.297626845291205</v>
      </c>
      <c r="M91" s="20">
        <f>DSTDEV('Collapsed - Orthotrack outcomes'!$F:$AH,'NonPivot Summary'!M$85,$A$65:$A$66)</f>
        <v>36.056083073456549</v>
      </c>
      <c r="N91" s="20">
        <f>DSTDEV('Collapsed - Orthotrack outcomes'!$F:$AH,'NonPivot Summary'!N$85,$A$65:$A$66)</f>
        <v>16.35628327701906</v>
      </c>
      <c r="O91" s="20">
        <f>DSTDEV('Collapsed - Orthotrack outcomes'!$F:$AH,'NonPivot Summary'!O$85,$A$65:$A$66)</f>
        <v>16.469336543146724</v>
      </c>
      <c r="P91" s="20">
        <f>DSTDEV('Collapsed - Orthotrack outcomes'!$F:$AH,'NonPivot Summary'!P$85,$A$65:$A$66)</f>
        <v>4.8526150956640555</v>
      </c>
      <c r="Q91" s="20">
        <f>DSTDEV('Collapsed - Orthotrack outcomes'!$F:$AH,'NonPivot Summary'!Q$85,$A$65:$A$66)</f>
        <v>4.3844789210947068</v>
      </c>
      <c r="R91" s="20">
        <f>DSTDEV('Collapsed - Orthotrack outcomes'!$F:$AH,'NonPivot Summary'!R$85,$A$65:$A$66)</f>
        <v>4.852615095664091</v>
      </c>
      <c r="S91" s="20">
        <f>DSTDEV('Collapsed - Orthotrack outcomes'!$F:$AH,'NonPivot Summary'!S$85,$A$65:$A$66)</f>
        <v>4.3844789210947219</v>
      </c>
      <c r="T91" s="20">
        <f>DSTDEV('Collapsed - Orthotrack outcomes'!$F:$AH,'NonPivot Summary'!T$85,$A$65:$A$66)</f>
        <v>4.3241181903145893</v>
      </c>
      <c r="U91" s="20">
        <f>DSTDEV('Collapsed - Orthotrack outcomes'!$F:$AH,'NonPivot Summary'!U$85,$A$65:$A$66)</f>
        <v>5.1494993959191389</v>
      </c>
      <c r="V91" s="20">
        <f>DSTDEV('Collapsed - Orthotrack outcomes'!$F:$AH,'NonPivot Summary'!V$85,$A$65:$A$66)</f>
        <v>4.3844789210947219</v>
      </c>
      <c r="W91" s="20">
        <f>DSTDEV('Collapsed - Orthotrack outcomes'!$F:$AH,'NonPivot Summary'!W$85,$A$65:$A$66)</f>
        <v>4.852615095664091</v>
      </c>
      <c r="X91" s="20">
        <f>DSTDEV('Collapsed - Orthotrack outcomes'!$F:$AH,'NonPivot Summary'!X$85,$A$65:$A$66)</f>
        <v>3.4254533061159873</v>
      </c>
      <c r="Y91" s="20">
        <f>DSTDEV('Collapsed - Orthotrack outcomes'!$F:$AH,'NonPivot Summary'!Y$85,$A$65:$A$66)</f>
        <v>4.6975170746540851</v>
      </c>
      <c r="Z91" s="20">
        <f>DSTDEV('Collapsed - Orthotrack outcomes'!$F:$AH,'NonPivot Summary'!Z$85,$A$65:$A$66)</f>
        <v>5.395765535518172</v>
      </c>
      <c r="AA91" s="20">
        <f>DSTDEV('Collapsed - Orthotrack outcomes'!$F:$AH,'NonPivot Summary'!AA$85,$A$65:$A$66)</f>
        <v>4.5429170406353716</v>
      </c>
      <c r="AB91" s="20">
        <f>DSTDEV('Collapsed - Orthotrack outcomes'!$F:$AH,'NonPivot Summary'!AB$85,$A$65:$A$66)</f>
        <v>4.5429170406353716</v>
      </c>
    </row>
    <row r="92" spans="6:28" ht="16" x14ac:dyDescent="0.2">
      <c r="F92" s="27" t="s">
        <v>76</v>
      </c>
      <c r="G92" s="24" t="s">
        <v>77</v>
      </c>
      <c r="H92" s="22">
        <f>DSTDEV('Collapsed - Orthotrack outcomes'!$F:$AH,'NonPivot Summary'!H$85,$B$65:$B$66)</f>
        <v>12.811608126140047</v>
      </c>
      <c r="I92" s="22">
        <f>DSTDEV('Collapsed - Orthotrack outcomes'!$F:$AH,'NonPivot Summary'!I$85,$B$65:$B$66)</f>
        <v>10.21498841164299</v>
      </c>
      <c r="J92" s="22">
        <f>DSTDEV('Collapsed - Orthotrack outcomes'!$F:$AH,'NonPivot Summary'!J$85,$B$65:$B$66)</f>
        <v>22.510141072661213</v>
      </c>
      <c r="K92" s="22">
        <f>DSTDEV('Collapsed - Orthotrack outcomes'!$F:$AH,'NonPivot Summary'!K$85,$B$65:$B$66)</f>
        <v>22.281026149568973</v>
      </c>
      <c r="L92" s="22">
        <f>DSTDEV('Collapsed - Orthotrack outcomes'!$F:$AH,'NonPivot Summary'!L$85,$B$65:$B$66)</f>
        <v>25.225849796279306</v>
      </c>
      <c r="M92" s="22">
        <f>DSTDEV('Collapsed - Orthotrack outcomes'!$F:$AH,'NonPivot Summary'!M$85,$B$65:$B$66)</f>
        <v>25.101965206931432</v>
      </c>
      <c r="N92" s="22">
        <f>DSTDEV('Collapsed - Orthotrack outcomes'!$F:$AH,'NonPivot Summary'!N$85,$B$65:$B$66)</f>
        <v>14.188600827581405</v>
      </c>
      <c r="O92" s="22">
        <f>DSTDEV('Collapsed - Orthotrack outcomes'!$F:$AH,'NonPivot Summary'!O$85,$B$65:$B$66)</f>
        <v>14.173373970034287</v>
      </c>
      <c r="P92" s="22">
        <f>DSTDEV('Collapsed - Orthotrack outcomes'!$F:$AH,'NonPivot Summary'!P$85,$B$65:$B$66)</f>
        <v>4.5049907633398956</v>
      </c>
      <c r="Q92" s="22">
        <f>DSTDEV('Collapsed - Orthotrack outcomes'!$F:$AH,'NonPivot Summary'!Q$85,$B$65:$B$66)</f>
        <v>4.3461943410298645</v>
      </c>
      <c r="R92" s="22">
        <f>DSTDEV('Collapsed - Orthotrack outcomes'!$F:$AH,'NonPivot Summary'!R$85,$B$65:$B$66)</f>
        <v>4.5049907633399373</v>
      </c>
      <c r="S92" s="22">
        <f>DSTDEV('Collapsed - Orthotrack outcomes'!$F:$AH,'NonPivot Summary'!S$85,$B$65:$B$66)</f>
        <v>4.3461259696935484</v>
      </c>
      <c r="T92" s="22">
        <f>DSTDEV('Collapsed - Orthotrack outcomes'!$F:$AH,'NonPivot Summary'!T$85,$B$65:$B$66)</f>
        <v>3.6650231960763633</v>
      </c>
      <c r="U92" s="22">
        <f>DSTDEV('Collapsed - Orthotrack outcomes'!$F:$AH,'NonPivot Summary'!U$85,$B$65:$B$66)</f>
        <v>2.9386665248789967</v>
      </c>
      <c r="V92" s="22">
        <f>DSTDEV('Collapsed - Orthotrack outcomes'!$F:$AH,'NonPivot Summary'!V$85,$B$65:$B$66)</f>
        <v>4.3461259696935484</v>
      </c>
      <c r="W92" s="22">
        <f>DSTDEV('Collapsed - Orthotrack outcomes'!$F:$AH,'NonPivot Summary'!W$85,$B$65:$B$66)</f>
        <v>4.5049907633399373</v>
      </c>
      <c r="X92" s="22">
        <f>DSTDEV('Collapsed - Orthotrack outcomes'!$F:$AH,'NonPivot Summary'!X$85,$B$65:$B$66)</f>
        <v>5.0450207328061962</v>
      </c>
      <c r="Y92" s="22">
        <f>DSTDEV('Collapsed - Orthotrack outcomes'!$F:$AH,'NonPivot Summary'!Y$85,$B$65:$B$66)</f>
        <v>5.30199124019562</v>
      </c>
      <c r="Z92" s="22">
        <f>DSTDEV('Collapsed - Orthotrack outcomes'!$F:$AH,'NonPivot Summary'!Z$85,$B$65:$B$66)</f>
        <v>4.8847836299176155</v>
      </c>
      <c r="AA92" s="22">
        <f>DSTDEV('Collapsed - Orthotrack outcomes'!$F:$AH,'NonPivot Summary'!AA$85,$B$65:$B$66)</f>
        <v>5.1261854997432321</v>
      </c>
      <c r="AB92" s="22">
        <f>DSTDEV('Collapsed - Orthotrack outcomes'!$F:$AH,'NonPivot Summary'!AB$85,$B$65:$B$66)</f>
        <v>5.1261854997432321</v>
      </c>
    </row>
    <row r="93" spans="6:28" ht="16" x14ac:dyDescent="0.2">
      <c r="F93" s="27" t="s">
        <v>102</v>
      </c>
      <c r="G93" s="24" t="s">
        <v>103</v>
      </c>
      <c r="H93" s="20">
        <f>DSTDEV('Collapsed - Orthotrack outcomes'!$F:$AH,'NonPivot Summary'!H$85,$C$65:$C$66)</f>
        <v>17.054719152708966</v>
      </c>
      <c r="I93" s="20">
        <f>DSTDEV('Collapsed - Orthotrack outcomes'!$F:$AH,'NonPivot Summary'!I$85,$C$65:$C$66)</f>
        <v>17.108022864206781</v>
      </c>
      <c r="J93" s="20">
        <f>DSTDEV('Collapsed - Orthotrack outcomes'!$F:$AH,'NonPivot Summary'!J$85,$C$65:$C$66)</f>
        <v>33.716774774748401</v>
      </c>
      <c r="K93" s="20">
        <f>DSTDEV('Collapsed - Orthotrack outcomes'!$F:$AH,'NonPivot Summary'!K$85,$C$65:$C$66)</f>
        <v>33.602642790246257</v>
      </c>
      <c r="L93" s="20">
        <f>DSTDEV('Collapsed - Orthotrack outcomes'!$F:$AH,'NonPivot Summary'!L$85,$C$65:$C$66)</f>
        <v>30.698670275943751</v>
      </c>
      <c r="M93" s="20">
        <f>DSTDEV('Collapsed - Orthotrack outcomes'!$F:$AH,'NonPivot Summary'!M$85,$C$65:$C$66)</f>
        <v>30.619004648347971</v>
      </c>
      <c r="N93" s="20">
        <f>DSTDEV('Collapsed - Orthotrack outcomes'!$F:$AH,'NonPivot Summary'!N$85,$C$65:$C$66)</f>
        <v>17.16763170103037</v>
      </c>
      <c r="O93" s="20">
        <f>DSTDEV('Collapsed - Orthotrack outcomes'!$F:$AH,'NonPivot Summary'!O$85,$C$65:$C$66)</f>
        <v>16.332649263225868</v>
      </c>
      <c r="P93" s="20">
        <f>DSTDEV('Collapsed - Orthotrack outcomes'!$F:$AH,'NonPivot Summary'!P$85,$C$65:$C$66)</f>
        <v>3.1076058827049211</v>
      </c>
      <c r="Q93" s="20">
        <f>DSTDEV('Collapsed - Orthotrack outcomes'!$F:$AH,'NonPivot Summary'!Q$85,$C$65:$C$66)</f>
        <v>5.4204938981609434</v>
      </c>
      <c r="R93" s="20">
        <f>DSTDEV('Collapsed - Orthotrack outcomes'!$F:$AH,'NonPivot Summary'!R$85,$C$65:$C$66)</f>
        <v>3.1076805588019423</v>
      </c>
      <c r="S93" s="20">
        <f>DSTDEV('Collapsed - Orthotrack outcomes'!$F:$AH,'NonPivot Summary'!S$85,$C$65:$C$66)</f>
        <v>5.4204938981609372</v>
      </c>
      <c r="T93" s="20">
        <f>DSTDEV('Collapsed - Orthotrack outcomes'!$F:$AH,'NonPivot Summary'!T$85,$C$65:$C$66)</f>
        <v>3.6482496883970064</v>
      </c>
      <c r="U93" s="20">
        <f>DSTDEV('Collapsed - Orthotrack outcomes'!$F:$AH,'NonPivot Summary'!U$85,$C$65:$C$66)</f>
        <v>4.5456686355743425</v>
      </c>
      <c r="V93" s="20">
        <f>DSTDEV('Collapsed - Orthotrack outcomes'!$F:$AH,'NonPivot Summary'!V$85,$C$65:$C$66)</f>
        <v>5.4204938981609372</v>
      </c>
      <c r="W93" s="20">
        <f>DSTDEV('Collapsed - Orthotrack outcomes'!$F:$AH,'NonPivot Summary'!W$85,$C$65:$C$66)</f>
        <v>3.1076805588019423</v>
      </c>
      <c r="X93" s="20">
        <f>DSTDEV('Collapsed - Orthotrack outcomes'!$F:$AH,'NonPivot Summary'!X$85,$C$65:$C$66)</f>
        <v>4.2270125725965118</v>
      </c>
      <c r="Y93" s="20">
        <f>DSTDEV('Collapsed - Orthotrack outcomes'!$F:$AH,'NonPivot Summary'!Y$85,$C$65:$C$66)</f>
        <v>4.3153472887152677</v>
      </c>
      <c r="Z93" s="20">
        <f>DSTDEV('Collapsed - Orthotrack outcomes'!$F:$AH,'NonPivot Summary'!Z$85,$C$65:$C$66)</f>
        <v>3.8427420765212275</v>
      </c>
      <c r="AA93" s="20">
        <f>DSTDEV('Collapsed - Orthotrack outcomes'!$F:$AH,'NonPivot Summary'!AA$85,$C$65:$C$66)</f>
        <v>3.9454615277134124</v>
      </c>
      <c r="AB93" s="20">
        <f>DSTDEV('Collapsed - Orthotrack outcomes'!$F:$AH,'NonPivot Summary'!AB$85,$C$65:$C$66)</f>
        <v>3.9454615277134124</v>
      </c>
    </row>
    <row r="94" spans="6:28" ht="16" x14ac:dyDescent="0.2">
      <c r="F94" s="27" t="s">
        <v>135</v>
      </c>
      <c r="G94" s="24"/>
      <c r="H94" s="22"/>
      <c r="I94" s="22"/>
      <c r="J94" s="22"/>
      <c r="K94" s="22"/>
      <c r="L94" s="22"/>
      <c r="M94" s="22"/>
      <c r="N94" s="22"/>
      <c r="O94" s="22"/>
      <c r="P94" s="22"/>
      <c r="Q94" s="22"/>
      <c r="R94" s="22"/>
      <c r="S94" s="22"/>
      <c r="T94" s="22"/>
      <c r="U94" s="22"/>
      <c r="V94" s="22"/>
      <c r="W94" s="22"/>
      <c r="X94" s="22"/>
      <c r="Y94" s="22"/>
      <c r="Z94" s="22"/>
      <c r="AA94" s="22"/>
      <c r="AB94" s="22"/>
    </row>
  </sheetData>
  <mergeCells count="6">
    <mergeCell ref="G2:AA2"/>
    <mergeCell ref="H72:AB72"/>
    <mergeCell ref="H84:AB84"/>
    <mergeCell ref="G8:AA8"/>
    <mergeCell ref="G19:AA19"/>
    <mergeCell ref="G34:AA3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C4F1-01A6-4909-A412-62FD6B7E7A6C}">
  <sheetPr codeName="Sheet5">
    <tabColor rgb="FFC00000"/>
  </sheetPr>
  <dimension ref="B2:M24"/>
  <sheetViews>
    <sheetView zoomScale="163" workbookViewId="0">
      <selection activeCell="H4" sqref="H4:H24"/>
    </sheetView>
  </sheetViews>
  <sheetFormatPr baseColWidth="10" defaultColWidth="8.83203125" defaultRowHeight="15" x14ac:dyDescent="0.2"/>
  <cols>
    <col min="1" max="1" width="2.1640625" customWidth="1"/>
    <col min="2" max="2" width="13.5" customWidth="1"/>
    <col min="3" max="3" width="2.6640625" customWidth="1"/>
    <col min="4" max="4" width="8.6640625" bestFit="1" customWidth="1"/>
    <col min="5" max="5" width="10.5" customWidth="1"/>
    <col min="6" max="6" width="5.5" customWidth="1"/>
    <col min="7" max="7" width="26.83203125" bestFit="1" customWidth="1"/>
    <col min="8" max="8" width="22.33203125" bestFit="1" customWidth="1"/>
    <col min="9" max="9" width="3.5" customWidth="1"/>
    <col min="10" max="10" width="6.5" bestFit="1" customWidth="1"/>
    <col min="11" max="11" width="14" customWidth="1"/>
    <col min="12" max="12" width="3.1640625" customWidth="1"/>
    <col min="13" max="13" width="13.5" customWidth="1"/>
  </cols>
  <sheetData>
    <row r="2" spans="2:13" x14ac:dyDescent="0.2">
      <c r="E2" s="7" t="s">
        <v>7</v>
      </c>
    </row>
    <row r="3" spans="2:13" x14ac:dyDescent="0.2">
      <c r="B3" s="7" t="s">
        <v>4</v>
      </c>
      <c r="D3" s="4" t="s">
        <v>4</v>
      </c>
      <c r="E3" t="s">
        <v>6</v>
      </c>
      <c r="G3" s="5" t="s">
        <v>1</v>
      </c>
      <c r="H3" s="5" t="s">
        <v>2</v>
      </c>
      <c r="J3" s="4" t="s">
        <v>2</v>
      </c>
      <c r="K3" t="s">
        <v>34</v>
      </c>
      <c r="M3" s="7" t="s">
        <v>3</v>
      </c>
    </row>
    <row r="4" spans="2:13" x14ac:dyDescent="0.2">
      <c r="B4" t="s">
        <v>6</v>
      </c>
      <c r="G4" t="s">
        <v>8</v>
      </c>
      <c r="H4" t="s">
        <v>28</v>
      </c>
      <c r="M4" s="8" t="str" cm="1">
        <f t="array" ref="M4:M5">_xlfn._xlws.SORT(_xlfn._xlws.FILTER(tblFields[Field],tblFields[Group]=K3))</f>
        <v>Step Length Average Left</v>
      </c>
    </row>
    <row r="5" spans="2:13" x14ac:dyDescent="0.2">
      <c r="B5" t="s">
        <v>5</v>
      </c>
      <c r="G5" t="s">
        <v>9</v>
      </c>
      <c r="H5" t="s">
        <v>28</v>
      </c>
      <c r="M5" t="str">
        <v>Step Length Average Right</v>
      </c>
    </row>
    <row r="6" spans="2:13" x14ac:dyDescent="0.2">
      <c r="B6" t="s">
        <v>124</v>
      </c>
      <c r="G6" t="s">
        <v>10</v>
      </c>
      <c r="H6" t="s">
        <v>29</v>
      </c>
    </row>
    <row r="7" spans="2:13" x14ac:dyDescent="0.2">
      <c r="G7" t="s">
        <v>11</v>
      </c>
      <c r="H7" t="s">
        <v>29</v>
      </c>
    </row>
    <row r="8" spans="2:13" x14ac:dyDescent="0.2">
      <c r="G8" t="s">
        <v>12</v>
      </c>
      <c r="H8" t="s">
        <v>30</v>
      </c>
    </row>
    <row r="9" spans="2:13" x14ac:dyDescent="0.2">
      <c r="G9" t="s">
        <v>13</v>
      </c>
      <c r="H9" t="s">
        <v>30</v>
      </c>
    </row>
    <row r="10" spans="2:13" x14ac:dyDescent="0.2">
      <c r="G10" t="s">
        <v>14</v>
      </c>
      <c r="H10" t="s">
        <v>31</v>
      </c>
    </row>
    <row r="11" spans="2:13" x14ac:dyDescent="0.2">
      <c r="G11" t="s">
        <v>15</v>
      </c>
      <c r="H11" t="s">
        <v>31</v>
      </c>
    </row>
    <row r="12" spans="2:13" x14ac:dyDescent="0.2">
      <c r="G12" t="s">
        <v>16</v>
      </c>
      <c r="H12" t="s">
        <v>32</v>
      </c>
    </row>
    <row r="13" spans="2:13" x14ac:dyDescent="0.2">
      <c r="G13" t="s">
        <v>17</v>
      </c>
      <c r="H13" t="s">
        <v>32</v>
      </c>
    </row>
    <row r="14" spans="2:13" x14ac:dyDescent="0.2">
      <c r="G14" t="s">
        <v>18</v>
      </c>
      <c r="H14" t="s">
        <v>33</v>
      </c>
    </row>
    <row r="15" spans="2:13" x14ac:dyDescent="0.2">
      <c r="G15" t="s">
        <v>19</v>
      </c>
      <c r="H15" t="s">
        <v>33</v>
      </c>
    </row>
    <row r="16" spans="2:13" x14ac:dyDescent="0.2">
      <c r="G16" t="s">
        <v>20</v>
      </c>
      <c r="H16" t="s">
        <v>34</v>
      </c>
    </row>
    <row r="17" spans="7:8" x14ac:dyDescent="0.2">
      <c r="G17" t="s">
        <v>131</v>
      </c>
      <c r="H17" t="s">
        <v>34</v>
      </c>
    </row>
    <row r="18" spans="7:8" x14ac:dyDescent="0.2">
      <c r="G18" t="s">
        <v>21</v>
      </c>
      <c r="H18" t="s">
        <v>35</v>
      </c>
    </row>
    <row r="19" spans="7:8" x14ac:dyDescent="0.2">
      <c r="G19" t="s">
        <v>22</v>
      </c>
      <c r="H19" t="s">
        <v>36</v>
      </c>
    </row>
    <row r="20" spans="7:8" x14ac:dyDescent="0.2">
      <c r="G20" t="s">
        <v>23</v>
      </c>
      <c r="H20" t="s">
        <v>36</v>
      </c>
    </row>
    <row r="21" spans="7:8" x14ac:dyDescent="0.2">
      <c r="G21" t="s">
        <v>24</v>
      </c>
      <c r="H21" t="s">
        <v>37</v>
      </c>
    </row>
    <row r="22" spans="7:8" x14ac:dyDescent="0.2">
      <c r="G22" t="s">
        <v>25</v>
      </c>
      <c r="H22" t="s">
        <v>37</v>
      </c>
    </row>
    <row r="23" spans="7:8" x14ac:dyDescent="0.2">
      <c r="G23" t="s">
        <v>26</v>
      </c>
      <c r="H23" t="s">
        <v>38</v>
      </c>
    </row>
    <row r="24" spans="7:8" x14ac:dyDescent="0.2">
      <c r="G24" t="s">
        <v>27</v>
      </c>
      <c r="H24" t="s">
        <v>38</v>
      </c>
    </row>
  </sheetData>
  <pageMargins left="0.7" right="0.7" top="0.75" bottom="0.75" header="0.3" footer="0.3"/>
  <pageSetup orientation="portrait" r:id="rId3"/>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201E2-0F09-431E-A8F0-EF4399FCD00F}">
  <sheetPr codeName="Sheet2">
    <tabColor rgb="FFC00000"/>
  </sheetPr>
  <dimension ref="A1:AH954"/>
  <sheetViews>
    <sheetView topLeftCell="W1" zoomScale="112" zoomScaleNormal="110" workbookViewId="0">
      <pane ySplit="1" topLeftCell="A2" activePane="bottomLeft" state="frozen"/>
      <selection activeCell="C1" sqref="C1"/>
      <selection pane="bottomLeft" activeCell="N1" sqref="N1:AH1"/>
    </sheetView>
  </sheetViews>
  <sheetFormatPr baseColWidth="10" defaultColWidth="8.83203125" defaultRowHeight="16" x14ac:dyDescent="0.2"/>
  <cols>
    <col min="1" max="1" width="11" style="1" customWidth="1"/>
    <col min="2" max="2" width="19" style="1" customWidth="1"/>
    <col min="3" max="3" width="16.33203125" style="2" customWidth="1"/>
    <col min="4" max="4" width="23.83203125" style="2" customWidth="1"/>
    <col min="5" max="5" width="20.5" style="3" customWidth="1"/>
    <col min="6" max="6" width="10.6640625" style="3" customWidth="1"/>
    <col min="7" max="8" width="28.6640625" style="3" customWidth="1"/>
    <col min="9" max="9" width="6.83203125" style="3" bestFit="1" customWidth="1"/>
    <col min="10" max="10" width="13" style="3" bestFit="1" customWidth="1"/>
    <col min="11" max="11" width="7.5" style="3" customWidth="1"/>
    <col min="12" max="12" width="10.33203125" style="1" customWidth="1"/>
    <col min="13" max="13" width="26" style="1" customWidth="1"/>
    <col min="14" max="14" width="26" style="6" customWidth="1"/>
    <col min="15" max="15" width="24" style="6" customWidth="1"/>
    <col min="16" max="16" width="26.1640625" style="6" customWidth="1"/>
    <col min="17" max="17" width="25.1640625" style="6" customWidth="1"/>
    <col min="18" max="18" width="29.1640625" style="6" customWidth="1"/>
    <col min="19" max="19" width="28.1640625" style="6" customWidth="1"/>
    <col min="20" max="20" width="22.1640625" style="1" customWidth="1"/>
    <col min="21" max="21" width="21" style="1" customWidth="1"/>
    <col min="22" max="22" width="24.1640625" style="1" customWidth="1"/>
    <col min="23" max="23" width="23" style="1" customWidth="1"/>
    <col min="24" max="24" width="18" style="1" customWidth="1"/>
    <col min="25" max="25" width="17" style="1" customWidth="1"/>
    <col min="26" max="26" width="30.5" style="1" customWidth="1"/>
    <col min="27" max="27" width="29.33203125" style="1" customWidth="1"/>
    <col min="28" max="28" width="24.33203125" style="1" customWidth="1"/>
    <col min="29" max="29" width="23.33203125" style="1" customWidth="1"/>
    <col min="30" max="30" width="13" style="1" customWidth="1"/>
    <col min="31" max="31" width="22.83203125" style="1" customWidth="1"/>
    <col min="32" max="32" width="21.5" style="1" customWidth="1"/>
    <col min="33" max="33" width="24.1640625" style="1" customWidth="1"/>
    <col min="34" max="34" width="25.5" style="1" bestFit="1" customWidth="1"/>
    <col min="35" max="16384" width="8.83203125" style="34"/>
  </cols>
  <sheetData>
    <row r="1" spans="1:34" s="33" customFormat="1" ht="18" customHeight="1" x14ac:dyDescent="0.2">
      <c r="A1" s="9" t="s">
        <v>39</v>
      </c>
      <c r="B1" s="9" t="s">
        <v>40</v>
      </c>
      <c r="C1" s="9" t="s">
        <v>41</v>
      </c>
      <c r="D1" s="9" t="s">
        <v>42</v>
      </c>
      <c r="E1" s="9" t="s">
        <v>43</v>
      </c>
      <c r="F1" s="9" t="s">
        <v>44</v>
      </c>
      <c r="G1" s="9" t="s">
        <v>45</v>
      </c>
      <c r="H1" s="9" t="s">
        <v>189</v>
      </c>
      <c r="I1" s="10" t="s">
        <v>46</v>
      </c>
      <c r="J1" s="10" t="s">
        <v>148</v>
      </c>
      <c r="K1" s="9" t="s">
        <v>47</v>
      </c>
      <c r="L1" s="9" t="s">
        <v>48</v>
      </c>
      <c r="M1" s="9" t="s">
        <v>49</v>
      </c>
      <c r="N1" s="9" t="s">
        <v>50</v>
      </c>
      <c r="O1" s="9" t="s">
        <v>20</v>
      </c>
      <c r="P1" s="9" t="s">
        <v>23</v>
      </c>
      <c r="Q1" s="9" t="s">
        <v>22</v>
      </c>
      <c r="R1" s="9" t="s">
        <v>11</v>
      </c>
      <c r="S1" s="9" t="s">
        <v>10</v>
      </c>
      <c r="T1" s="9" t="s">
        <v>9</v>
      </c>
      <c r="U1" s="9" t="s">
        <v>8</v>
      </c>
      <c r="V1" s="9" t="s">
        <v>27</v>
      </c>
      <c r="W1" s="9" t="s">
        <v>26</v>
      </c>
      <c r="X1" s="9" t="s">
        <v>25</v>
      </c>
      <c r="Y1" s="9" t="s">
        <v>24</v>
      </c>
      <c r="Z1" s="9" t="s">
        <v>13</v>
      </c>
      <c r="AA1" s="9" t="s">
        <v>12</v>
      </c>
      <c r="AB1" s="9" t="s">
        <v>19</v>
      </c>
      <c r="AC1" s="9" t="s">
        <v>18</v>
      </c>
      <c r="AD1" s="9" t="s">
        <v>21</v>
      </c>
      <c r="AE1" s="9" t="s">
        <v>15</v>
      </c>
      <c r="AF1" s="9" t="s">
        <v>14</v>
      </c>
      <c r="AG1" s="9" t="s">
        <v>17</v>
      </c>
      <c r="AH1" s="9" t="s">
        <v>16</v>
      </c>
    </row>
    <row r="2" spans="1:34" s="33" customFormat="1" x14ac:dyDescent="0.2">
      <c r="A2" s="11">
        <v>1</v>
      </c>
      <c r="B2" s="11"/>
      <c r="C2" s="11"/>
      <c r="D2" s="11"/>
      <c r="E2" s="11"/>
      <c r="F2" s="11" t="s">
        <v>51</v>
      </c>
      <c r="G2" s="11" t="s">
        <v>51</v>
      </c>
      <c r="H2" s="56" t="str">
        <f>VLOOKUP(Table6[[#This Row],[ICD Code]],ICD_summary!$I$3:$M$38,5,0)</f>
        <v>Misc/Other</v>
      </c>
      <c r="I2" s="12">
        <v>0.6</v>
      </c>
      <c r="J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2" s="11" t="s">
        <v>52</v>
      </c>
      <c r="L2" s="11"/>
      <c r="M2" s="11"/>
      <c r="N2" s="11">
        <v>51.930999999999997</v>
      </c>
      <c r="O2" s="11">
        <v>37.984000000000002</v>
      </c>
      <c r="P2" s="11">
        <v>90.058000000000007</v>
      </c>
      <c r="Q2" s="11">
        <v>90.396000000000001</v>
      </c>
      <c r="R2" s="11">
        <v>70.447999999999993</v>
      </c>
      <c r="S2" s="11">
        <v>69.894999999999996</v>
      </c>
      <c r="T2" s="11">
        <v>93.656999999999996</v>
      </c>
      <c r="U2" s="11">
        <v>95.17</v>
      </c>
      <c r="V2" s="11">
        <v>68.73</v>
      </c>
      <c r="W2" s="11">
        <v>63.081000000000003</v>
      </c>
      <c r="X2" s="11">
        <v>31.27</v>
      </c>
      <c r="Y2" s="11">
        <v>36.918999999999997</v>
      </c>
      <c r="Z2" s="11">
        <v>15.206</v>
      </c>
      <c r="AA2" s="11">
        <v>14.516999999999999</v>
      </c>
      <c r="AB2" s="11">
        <v>36.918999999999997</v>
      </c>
      <c r="AC2" s="11">
        <v>31.27</v>
      </c>
      <c r="AD2" s="11">
        <v>14.804</v>
      </c>
      <c r="AE2" s="11">
        <v>12</v>
      </c>
      <c r="AF2" s="11">
        <v>11</v>
      </c>
      <c r="AG2" s="11">
        <v>11</v>
      </c>
      <c r="AH2" s="11">
        <v>11</v>
      </c>
    </row>
    <row r="3" spans="1:34" s="33" customFormat="1" x14ac:dyDescent="0.2">
      <c r="A3" s="11">
        <v>2</v>
      </c>
      <c r="B3" s="11"/>
      <c r="C3" s="11"/>
      <c r="D3" s="11"/>
      <c r="E3" s="11"/>
      <c r="F3" s="11" t="s">
        <v>51</v>
      </c>
      <c r="G3" s="11" t="s">
        <v>51</v>
      </c>
      <c r="H3" s="56" t="str">
        <f>VLOOKUP(Table6[[#This Row],[ICD Code]],ICD_summary!$I$3:$M$38,5,0)</f>
        <v>Misc/Other</v>
      </c>
      <c r="I3" s="12">
        <v>66.5</v>
      </c>
      <c r="J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 s="11" t="s">
        <v>52</v>
      </c>
      <c r="L3" s="11"/>
      <c r="M3" s="11"/>
      <c r="N3" s="11">
        <v>51.930999999999997</v>
      </c>
      <c r="O3" s="11">
        <v>37.984000000000002</v>
      </c>
      <c r="P3" s="11">
        <v>90.058000000000007</v>
      </c>
      <c r="Q3" s="11">
        <v>90.396000000000001</v>
      </c>
      <c r="R3" s="11">
        <v>70.447999999999993</v>
      </c>
      <c r="S3" s="11">
        <v>69.894999999999996</v>
      </c>
      <c r="T3" s="11">
        <v>93.656999999999996</v>
      </c>
      <c r="U3" s="11">
        <v>95.17</v>
      </c>
      <c r="V3" s="11">
        <v>68.73</v>
      </c>
      <c r="W3" s="11">
        <v>63.081000000000003</v>
      </c>
      <c r="X3" s="11">
        <v>31.27</v>
      </c>
      <c r="Y3" s="11">
        <v>36.918999999999997</v>
      </c>
      <c r="Z3" s="11">
        <v>15.206</v>
      </c>
      <c r="AA3" s="11">
        <v>14.516999999999999</v>
      </c>
      <c r="AB3" s="11">
        <v>36.918999999999997</v>
      </c>
      <c r="AC3" s="11">
        <v>31.27</v>
      </c>
      <c r="AD3" s="11">
        <v>14.804</v>
      </c>
      <c r="AE3" s="11">
        <v>12</v>
      </c>
      <c r="AF3" s="11">
        <v>11</v>
      </c>
      <c r="AG3" s="11">
        <v>11</v>
      </c>
      <c r="AH3" s="11">
        <v>11</v>
      </c>
    </row>
    <row r="4" spans="1:34" s="33" customFormat="1" x14ac:dyDescent="0.2">
      <c r="A4" s="11">
        <v>100</v>
      </c>
      <c r="B4" s="11"/>
      <c r="C4" s="11"/>
      <c r="D4" s="11"/>
      <c r="E4" s="11"/>
      <c r="F4" s="11">
        <v>332</v>
      </c>
      <c r="G4" s="11" t="s">
        <v>53</v>
      </c>
      <c r="H4" s="56" t="str">
        <f>VLOOKUP(Table6[[#This Row],[ICD Code]],ICD_summary!$I$3:$M$38,5,0)</f>
        <v>PD</v>
      </c>
      <c r="I4" s="12">
        <v>64.3</v>
      </c>
      <c r="J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 s="11" t="s">
        <v>52</v>
      </c>
      <c r="L4" s="11"/>
      <c r="M4" s="11"/>
      <c r="N4" s="11">
        <v>45.006</v>
      </c>
      <c r="O4" s="11">
        <v>58.814</v>
      </c>
      <c r="P4" s="11">
        <v>103.438</v>
      </c>
      <c r="Q4" s="11">
        <v>103.899</v>
      </c>
      <c r="R4" s="11">
        <v>100.863</v>
      </c>
      <c r="S4" s="11">
        <v>101.235</v>
      </c>
      <c r="T4" s="11">
        <v>118.98699999999999</v>
      </c>
      <c r="U4" s="11">
        <v>116.429</v>
      </c>
      <c r="V4" s="11">
        <v>61.444000000000003</v>
      </c>
      <c r="W4" s="11">
        <v>63.558</v>
      </c>
      <c r="X4" s="11">
        <v>38.555999999999997</v>
      </c>
      <c r="Y4" s="11">
        <v>36.442</v>
      </c>
      <c r="Z4" s="11">
        <v>12.574</v>
      </c>
      <c r="AA4" s="11">
        <v>12.725</v>
      </c>
      <c r="AB4" s="11">
        <v>36.442</v>
      </c>
      <c r="AC4" s="11">
        <v>38.555999999999997</v>
      </c>
      <c r="AD4" s="11">
        <v>17.196999999999999</v>
      </c>
      <c r="AE4" s="11">
        <v>11</v>
      </c>
      <c r="AF4" s="11">
        <v>9</v>
      </c>
      <c r="AG4" s="11">
        <v>9</v>
      </c>
      <c r="AH4" s="11">
        <v>9</v>
      </c>
    </row>
    <row r="5" spans="1:34" s="33" customFormat="1" x14ac:dyDescent="0.2">
      <c r="A5" s="11">
        <v>101</v>
      </c>
      <c r="B5" s="11"/>
      <c r="C5" s="11"/>
      <c r="D5" s="11"/>
      <c r="E5" s="11"/>
      <c r="F5" s="11">
        <v>333.1</v>
      </c>
      <c r="G5" s="11" t="s">
        <v>54</v>
      </c>
      <c r="H5" s="56" t="str">
        <f>VLOOKUP(Table6[[#This Row],[ICD Code]],ICD_summary!$I$3:$M$38,5,0)</f>
        <v>Tremor, essential tremor</v>
      </c>
      <c r="I5" s="12">
        <v>70.2</v>
      </c>
      <c r="J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 s="11" t="s">
        <v>52</v>
      </c>
      <c r="L5" s="11"/>
      <c r="M5" s="11"/>
      <c r="N5" s="11">
        <v>60.595999999999997</v>
      </c>
      <c r="O5" s="11">
        <v>63.677999999999997</v>
      </c>
      <c r="P5" s="11">
        <v>124.71599999999999</v>
      </c>
      <c r="Q5" s="11">
        <v>124.991</v>
      </c>
      <c r="R5" s="11">
        <v>109.952</v>
      </c>
      <c r="S5" s="11">
        <v>110.011</v>
      </c>
      <c r="T5" s="11">
        <v>106.251</v>
      </c>
      <c r="U5" s="11">
        <v>105.694</v>
      </c>
      <c r="V5" s="11">
        <v>63.624000000000002</v>
      </c>
      <c r="W5" s="11">
        <v>63.762999999999998</v>
      </c>
      <c r="X5" s="11">
        <v>36.375999999999998</v>
      </c>
      <c r="Y5" s="11">
        <v>36.237000000000002</v>
      </c>
      <c r="Z5" s="11">
        <v>13.943</v>
      </c>
      <c r="AA5" s="11">
        <v>13.683</v>
      </c>
      <c r="AB5" s="11">
        <v>36.237000000000002</v>
      </c>
      <c r="AC5" s="11">
        <v>36.375999999999998</v>
      </c>
      <c r="AD5" s="11">
        <v>13.364000000000001</v>
      </c>
      <c r="AE5" s="11">
        <v>12</v>
      </c>
      <c r="AF5" s="11">
        <v>12</v>
      </c>
      <c r="AG5" s="11">
        <v>12</v>
      </c>
      <c r="AH5" s="11">
        <v>12</v>
      </c>
    </row>
    <row r="6" spans="1:34" s="33" customFormat="1" x14ac:dyDescent="0.2">
      <c r="A6" s="11">
        <v>102</v>
      </c>
      <c r="B6" s="11"/>
      <c r="C6" s="11"/>
      <c r="D6" s="11"/>
      <c r="E6" s="11"/>
      <c r="F6" s="11">
        <v>333.1</v>
      </c>
      <c r="G6" s="11" t="s">
        <v>54</v>
      </c>
      <c r="H6" s="56" t="str">
        <f>VLOOKUP(Table6[[#This Row],[ICD Code]],ICD_summary!$I$3:$M$38,5,0)</f>
        <v>Tremor, essential tremor</v>
      </c>
      <c r="I6" s="12">
        <v>75.3</v>
      </c>
      <c r="J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 s="11" t="s">
        <v>52</v>
      </c>
      <c r="L6" s="11"/>
      <c r="M6" s="11"/>
      <c r="N6" s="11">
        <v>62.112000000000002</v>
      </c>
      <c r="O6" s="11">
        <v>61.255000000000003</v>
      </c>
      <c r="P6" s="11">
        <v>123.01900000000001</v>
      </c>
      <c r="Q6" s="11">
        <v>123.639</v>
      </c>
      <c r="R6" s="11">
        <v>113.806</v>
      </c>
      <c r="S6" s="11">
        <v>114.884</v>
      </c>
      <c r="T6" s="11">
        <v>111.241</v>
      </c>
      <c r="U6" s="11">
        <v>110.96</v>
      </c>
      <c r="V6" s="11">
        <v>62.024000000000001</v>
      </c>
      <c r="W6" s="11">
        <v>61.332000000000001</v>
      </c>
      <c r="X6" s="11">
        <v>37.975999999999999</v>
      </c>
      <c r="Y6" s="11">
        <v>38.667999999999999</v>
      </c>
      <c r="Z6" s="11">
        <v>11.321</v>
      </c>
      <c r="AA6" s="11">
        <v>12.936999999999999</v>
      </c>
      <c r="AB6" s="11">
        <v>38.667999999999999</v>
      </c>
      <c r="AC6" s="11">
        <v>37.975999999999999</v>
      </c>
      <c r="AD6" s="11">
        <v>10.92</v>
      </c>
      <c r="AE6" s="11">
        <v>6</v>
      </c>
      <c r="AF6" s="11">
        <v>5</v>
      </c>
      <c r="AG6" s="11">
        <v>5</v>
      </c>
      <c r="AH6" s="11">
        <v>5</v>
      </c>
    </row>
    <row r="7" spans="1:34" s="33" customFormat="1" x14ac:dyDescent="0.2">
      <c r="A7" s="11">
        <v>103</v>
      </c>
      <c r="B7" s="11"/>
      <c r="C7" s="11"/>
      <c r="D7" s="11"/>
      <c r="E7" s="11"/>
      <c r="F7" s="11">
        <v>332</v>
      </c>
      <c r="G7" s="11" t="s">
        <v>53</v>
      </c>
      <c r="H7" s="56" t="str">
        <f>VLOOKUP(Table6[[#This Row],[ICD Code]],ICD_summary!$I$3:$M$38,5,0)</f>
        <v>PD</v>
      </c>
      <c r="I7" s="12">
        <v>59.5</v>
      </c>
      <c r="J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 s="11" t="s">
        <v>55</v>
      </c>
      <c r="L7" s="11"/>
      <c r="M7" s="11"/>
      <c r="N7" s="11">
        <v>43.561999999999998</v>
      </c>
      <c r="O7" s="11">
        <v>49.287999999999997</v>
      </c>
      <c r="P7" s="11">
        <v>93.16</v>
      </c>
      <c r="Q7" s="11">
        <v>92.283000000000001</v>
      </c>
      <c r="R7" s="11">
        <v>83.733999999999995</v>
      </c>
      <c r="S7" s="11">
        <v>82.768000000000001</v>
      </c>
      <c r="T7" s="11">
        <v>107.72</v>
      </c>
      <c r="U7" s="11">
        <v>107.31</v>
      </c>
      <c r="V7" s="11">
        <v>63.116</v>
      </c>
      <c r="W7" s="11">
        <v>63.244</v>
      </c>
      <c r="X7" s="11">
        <v>36.884</v>
      </c>
      <c r="Y7" s="11">
        <v>36.756</v>
      </c>
      <c r="Z7" s="11">
        <v>14.772</v>
      </c>
      <c r="AA7" s="11">
        <v>11.582000000000001</v>
      </c>
      <c r="AB7" s="11">
        <v>36.756</v>
      </c>
      <c r="AC7" s="11">
        <v>36.884</v>
      </c>
      <c r="AD7" s="11">
        <v>10.452</v>
      </c>
      <c r="AE7" s="11">
        <v>14</v>
      </c>
      <c r="AF7" s="11">
        <v>14</v>
      </c>
      <c r="AG7" s="11">
        <v>14</v>
      </c>
      <c r="AH7" s="11">
        <v>14</v>
      </c>
    </row>
    <row r="8" spans="1:34" s="33" customFormat="1" x14ac:dyDescent="0.2">
      <c r="A8" s="11">
        <v>104</v>
      </c>
      <c r="B8" s="11"/>
      <c r="C8" s="11"/>
      <c r="D8" s="11"/>
      <c r="E8" s="11"/>
      <c r="F8" s="11">
        <v>333.89</v>
      </c>
      <c r="G8" s="11" t="s">
        <v>56</v>
      </c>
      <c r="H8" s="56" t="str">
        <f>VLOOKUP(Table6[[#This Row],[ICD Code]],ICD_summary!$I$3:$M$38,5,0)</f>
        <v>Dystonia, other</v>
      </c>
      <c r="I8" s="12">
        <v>70.599999999999994</v>
      </c>
      <c r="J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 s="11" t="s">
        <v>55</v>
      </c>
      <c r="L8" s="11"/>
      <c r="M8" s="11"/>
      <c r="N8" s="11">
        <v>38.603000000000002</v>
      </c>
      <c r="O8" s="11">
        <v>42.033999999999999</v>
      </c>
      <c r="P8" s="11">
        <v>80.977999999999994</v>
      </c>
      <c r="Q8" s="11">
        <v>79.698999999999998</v>
      </c>
      <c r="R8" s="11">
        <v>58.076999999999998</v>
      </c>
      <c r="S8" s="11">
        <v>59.277000000000001</v>
      </c>
      <c r="T8" s="11">
        <v>88.346000000000004</v>
      </c>
      <c r="U8" s="11">
        <v>89.012</v>
      </c>
      <c r="V8" s="11">
        <v>69.787999999999997</v>
      </c>
      <c r="W8" s="11">
        <v>68.756</v>
      </c>
      <c r="X8" s="11">
        <v>30.212</v>
      </c>
      <c r="Y8" s="11">
        <v>31.244</v>
      </c>
      <c r="Z8" s="11">
        <v>20.158999999999999</v>
      </c>
      <c r="AA8" s="11">
        <v>18.084</v>
      </c>
      <c r="AB8" s="11">
        <v>31.244</v>
      </c>
      <c r="AC8" s="11">
        <v>30.212</v>
      </c>
      <c r="AD8" s="11">
        <v>14.108000000000001</v>
      </c>
      <c r="AE8" s="11">
        <v>16</v>
      </c>
      <c r="AF8" s="11">
        <v>14</v>
      </c>
      <c r="AG8" s="11">
        <v>14</v>
      </c>
      <c r="AH8" s="11">
        <v>14</v>
      </c>
    </row>
    <row r="9" spans="1:34" s="33" customFormat="1" x14ac:dyDescent="0.2">
      <c r="A9" s="11">
        <v>105</v>
      </c>
      <c r="B9" s="11"/>
      <c r="C9" s="11"/>
      <c r="D9" s="11"/>
      <c r="E9" s="11"/>
      <c r="F9" s="11">
        <v>332</v>
      </c>
      <c r="G9" s="11" t="s">
        <v>53</v>
      </c>
      <c r="H9" s="56" t="str">
        <f>VLOOKUP(Table6[[#This Row],[ICD Code]],ICD_summary!$I$3:$M$38,5,0)</f>
        <v>PD</v>
      </c>
      <c r="I9" s="12">
        <v>63.2</v>
      </c>
      <c r="J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 s="11" t="s">
        <v>52</v>
      </c>
      <c r="L9" s="11"/>
      <c r="M9" s="11"/>
      <c r="N9" s="11">
        <v>59.383000000000003</v>
      </c>
      <c r="O9" s="11">
        <v>59.351999999999997</v>
      </c>
      <c r="P9" s="11">
        <v>118.407</v>
      </c>
      <c r="Q9" s="11">
        <v>119.18300000000001</v>
      </c>
      <c r="R9" s="11">
        <v>116.79900000000001</v>
      </c>
      <c r="S9" s="11">
        <v>119.557</v>
      </c>
      <c r="T9" s="11">
        <v>118.348</v>
      </c>
      <c r="U9" s="11">
        <v>119.58199999999999</v>
      </c>
      <c r="V9" s="11">
        <v>64.87</v>
      </c>
      <c r="W9" s="11">
        <v>65.290999999999997</v>
      </c>
      <c r="X9" s="11">
        <v>35.128999999999998</v>
      </c>
      <c r="Y9" s="11">
        <v>34.709000000000003</v>
      </c>
      <c r="Z9" s="11">
        <v>14.724</v>
      </c>
      <c r="AA9" s="11">
        <v>15.632</v>
      </c>
      <c r="AB9" s="11">
        <v>34.709000000000003</v>
      </c>
      <c r="AC9" s="11">
        <v>35.128999999999998</v>
      </c>
      <c r="AD9" s="11">
        <v>12.680999999999999</v>
      </c>
      <c r="AE9" s="11">
        <v>12</v>
      </c>
      <c r="AF9" s="11">
        <v>12</v>
      </c>
      <c r="AG9" s="11">
        <v>12</v>
      </c>
      <c r="AH9" s="11">
        <v>12</v>
      </c>
    </row>
    <row r="10" spans="1:34" s="33" customFormat="1" x14ac:dyDescent="0.2">
      <c r="A10" s="11">
        <v>106</v>
      </c>
      <c r="B10" s="11"/>
      <c r="C10" s="11"/>
      <c r="D10" s="11"/>
      <c r="E10" s="11"/>
      <c r="F10" s="11" t="s">
        <v>51</v>
      </c>
      <c r="G10" s="11" t="s">
        <v>51</v>
      </c>
      <c r="H10" s="56" t="str">
        <f>VLOOKUP(Table6[[#This Row],[ICD Code]],ICD_summary!$I$3:$M$38,5,0)</f>
        <v>Misc/Other</v>
      </c>
      <c r="I10" s="12">
        <v>70.3</v>
      </c>
      <c r="J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 s="11" t="s">
        <v>52</v>
      </c>
      <c r="L10" s="11"/>
      <c r="M10" s="11"/>
      <c r="N10" s="11" t="s">
        <v>51</v>
      </c>
      <c r="O10" s="11" t="s">
        <v>51</v>
      </c>
      <c r="P10" s="11" t="s">
        <v>51</v>
      </c>
      <c r="Q10" s="11" t="s">
        <v>51</v>
      </c>
      <c r="R10" s="11" t="s">
        <v>51</v>
      </c>
      <c r="S10" s="11" t="s">
        <v>51</v>
      </c>
      <c r="T10" s="11" t="s">
        <v>51</v>
      </c>
      <c r="U10" s="11" t="s">
        <v>51</v>
      </c>
      <c r="V10" s="11" t="s">
        <v>51</v>
      </c>
      <c r="W10" s="11" t="s">
        <v>51</v>
      </c>
      <c r="X10" s="11" t="s">
        <v>51</v>
      </c>
      <c r="Y10" s="11" t="s">
        <v>51</v>
      </c>
      <c r="Z10" s="11" t="s">
        <v>51</v>
      </c>
      <c r="AA10" s="11" t="s">
        <v>51</v>
      </c>
      <c r="AB10" s="11" t="s">
        <v>51</v>
      </c>
      <c r="AC10" s="11" t="s">
        <v>51</v>
      </c>
      <c r="AD10" s="11" t="s">
        <v>51</v>
      </c>
      <c r="AE10" s="11" t="s">
        <v>51</v>
      </c>
      <c r="AF10" s="11" t="s">
        <v>51</v>
      </c>
      <c r="AG10" s="11" t="s">
        <v>51</v>
      </c>
      <c r="AH10" s="11" t="s">
        <v>51</v>
      </c>
    </row>
    <row r="11" spans="1:34" s="33" customFormat="1" x14ac:dyDescent="0.2">
      <c r="A11" s="11">
        <v>107</v>
      </c>
      <c r="B11" s="11"/>
      <c r="C11" s="11"/>
      <c r="D11" s="11"/>
      <c r="E11" s="11"/>
      <c r="F11" s="11">
        <v>333.89</v>
      </c>
      <c r="G11" s="11" t="s">
        <v>56</v>
      </c>
      <c r="H11" s="56" t="str">
        <f>VLOOKUP(Table6[[#This Row],[ICD Code]],ICD_summary!$I$3:$M$38,5,0)</f>
        <v>Dystonia, other</v>
      </c>
      <c r="I11" s="12">
        <v>66</v>
      </c>
      <c r="J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1" s="11" t="s">
        <v>55</v>
      </c>
      <c r="L11" s="11"/>
      <c r="M11" s="11"/>
      <c r="N11" s="11">
        <v>61.043999999999997</v>
      </c>
      <c r="O11" s="11">
        <v>61.673999999999999</v>
      </c>
      <c r="P11" s="11">
        <v>122.32</v>
      </c>
      <c r="Q11" s="11">
        <v>123.408</v>
      </c>
      <c r="R11" s="11">
        <v>120.995</v>
      </c>
      <c r="S11" s="11">
        <v>122.938</v>
      </c>
      <c r="T11" s="11">
        <v>119.791</v>
      </c>
      <c r="U11" s="11">
        <v>120.435</v>
      </c>
      <c r="V11" s="11">
        <v>60.366999999999997</v>
      </c>
      <c r="W11" s="11">
        <v>59.564</v>
      </c>
      <c r="X11" s="11">
        <v>39.633000000000003</v>
      </c>
      <c r="Y11" s="11">
        <v>40.436</v>
      </c>
      <c r="Z11" s="11">
        <v>10.388999999999999</v>
      </c>
      <c r="AA11" s="11">
        <v>9.9049999999999994</v>
      </c>
      <c r="AB11" s="11">
        <v>40.436</v>
      </c>
      <c r="AC11" s="11">
        <v>39.633000000000003</v>
      </c>
      <c r="AD11" s="11">
        <v>10.728999999999999</v>
      </c>
      <c r="AE11" s="11">
        <v>15</v>
      </c>
      <c r="AF11" s="11">
        <v>13</v>
      </c>
      <c r="AG11" s="11">
        <v>13</v>
      </c>
      <c r="AH11" s="11">
        <v>13</v>
      </c>
    </row>
    <row r="12" spans="1:34" s="33" customFormat="1" x14ac:dyDescent="0.2">
      <c r="A12" s="11">
        <v>108</v>
      </c>
      <c r="B12" s="11"/>
      <c r="C12" s="11"/>
      <c r="D12" s="11"/>
      <c r="E12" s="11"/>
      <c r="F12" s="11">
        <v>333.1</v>
      </c>
      <c r="G12" s="11" t="s">
        <v>54</v>
      </c>
      <c r="H12" s="56" t="str">
        <f>VLOOKUP(Table6[[#This Row],[ICD Code]],ICD_summary!$I$3:$M$38,5,0)</f>
        <v>Tremor, essential tremor</v>
      </c>
      <c r="I12" s="12">
        <v>63.2</v>
      </c>
      <c r="J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 s="11" t="s">
        <v>52</v>
      </c>
      <c r="L12" s="11"/>
      <c r="M12" s="11"/>
      <c r="N12" s="11">
        <v>32.179000000000002</v>
      </c>
      <c r="O12" s="11">
        <v>34.744999999999997</v>
      </c>
      <c r="P12" s="11">
        <v>67.171999999999997</v>
      </c>
      <c r="Q12" s="11">
        <v>66.525999999999996</v>
      </c>
      <c r="R12" s="11">
        <v>35.664000000000001</v>
      </c>
      <c r="S12" s="11">
        <v>35.975999999999999</v>
      </c>
      <c r="T12" s="11">
        <v>63.924999999999997</v>
      </c>
      <c r="U12" s="11">
        <v>64.108999999999995</v>
      </c>
      <c r="V12" s="11">
        <v>69.382000000000005</v>
      </c>
      <c r="W12" s="11">
        <v>70.652000000000001</v>
      </c>
      <c r="X12" s="11">
        <v>30.617999999999999</v>
      </c>
      <c r="Y12" s="11">
        <v>29.347999999999999</v>
      </c>
      <c r="Z12" s="11">
        <v>20.738</v>
      </c>
      <c r="AA12" s="11">
        <v>19.038</v>
      </c>
      <c r="AB12" s="11">
        <v>29.347999999999999</v>
      </c>
      <c r="AC12" s="11">
        <v>30.617999999999999</v>
      </c>
      <c r="AD12" s="11">
        <v>24.03</v>
      </c>
      <c r="AE12" s="11">
        <v>6</v>
      </c>
      <c r="AF12" s="11">
        <v>6</v>
      </c>
      <c r="AG12" s="11">
        <v>6</v>
      </c>
      <c r="AH12" s="11">
        <v>6</v>
      </c>
    </row>
    <row r="13" spans="1:34" s="33" customFormat="1" x14ac:dyDescent="0.2">
      <c r="A13" s="11">
        <v>109</v>
      </c>
      <c r="B13" s="11"/>
      <c r="C13" s="11"/>
      <c r="D13" s="11"/>
      <c r="E13" s="11"/>
      <c r="F13" s="11">
        <v>332</v>
      </c>
      <c r="G13" s="11" t="s">
        <v>53</v>
      </c>
      <c r="H13" s="56" t="str">
        <f>VLOOKUP(Table6[[#This Row],[ICD Code]],ICD_summary!$I$3:$M$38,5,0)</f>
        <v>PD</v>
      </c>
      <c r="I13" s="12">
        <v>86</v>
      </c>
      <c r="J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3" s="11" t="s">
        <v>52</v>
      </c>
      <c r="L13" s="11"/>
      <c r="M13" s="11"/>
      <c r="N13" s="11">
        <v>48.478000000000002</v>
      </c>
      <c r="O13" s="11">
        <v>48.902000000000001</v>
      </c>
      <c r="P13" s="11">
        <v>96.64</v>
      </c>
      <c r="Q13" s="11">
        <v>96.933999999999997</v>
      </c>
      <c r="R13" s="11">
        <v>89.289000000000001</v>
      </c>
      <c r="S13" s="11">
        <v>90.173000000000002</v>
      </c>
      <c r="T13" s="11">
        <v>111.339</v>
      </c>
      <c r="U13" s="11">
        <v>110.875</v>
      </c>
      <c r="V13" s="11">
        <v>62.606999999999999</v>
      </c>
      <c r="W13" s="11">
        <v>62.893000000000001</v>
      </c>
      <c r="X13" s="11">
        <v>37.393000000000001</v>
      </c>
      <c r="Y13" s="11">
        <v>37.106999999999999</v>
      </c>
      <c r="Z13" s="11">
        <v>12.911</v>
      </c>
      <c r="AA13" s="11">
        <v>12.499000000000001</v>
      </c>
      <c r="AB13" s="11">
        <v>37.106999999999999</v>
      </c>
      <c r="AC13" s="11">
        <v>37.393000000000001</v>
      </c>
      <c r="AD13" s="11">
        <v>14.026999999999999</v>
      </c>
      <c r="AE13" s="11">
        <v>7</v>
      </c>
      <c r="AF13" s="11">
        <v>8</v>
      </c>
      <c r="AG13" s="11">
        <v>7</v>
      </c>
      <c r="AH13" s="11">
        <v>7</v>
      </c>
    </row>
    <row r="14" spans="1:34" s="33" customFormat="1" x14ac:dyDescent="0.2">
      <c r="A14" s="11">
        <v>110</v>
      </c>
      <c r="B14" s="11"/>
      <c r="C14" s="11"/>
      <c r="D14" s="11"/>
      <c r="E14" s="11"/>
      <c r="F14" s="11">
        <v>332</v>
      </c>
      <c r="G14" s="11" t="s">
        <v>53</v>
      </c>
      <c r="H14" s="56" t="str">
        <f>VLOOKUP(Table6[[#This Row],[ICD Code]],ICD_summary!$I$3:$M$38,5,0)</f>
        <v>PD</v>
      </c>
      <c r="I14" s="12">
        <v>65.5</v>
      </c>
      <c r="J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 s="11" t="s">
        <v>52</v>
      </c>
      <c r="L14" s="11"/>
      <c r="M14" s="11"/>
      <c r="N14" s="11">
        <v>66.605000000000004</v>
      </c>
      <c r="O14" s="11">
        <v>62.741999999999997</v>
      </c>
      <c r="P14" s="11">
        <v>128.55799999999999</v>
      </c>
      <c r="Q14" s="11">
        <v>130.35900000000001</v>
      </c>
      <c r="R14" s="11">
        <v>156.27500000000001</v>
      </c>
      <c r="S14" s="11">
        <v>157.953</v>
      </c>
      <c r="T14" s="11">
        <v>146.703</v>
      </c>
      <c r="U14" s="11">
        <v>145.65199999999999</v>
      </c>
      <c r="V14" s="11">
        <v>60.811</v>
      </c>
      <c r="W14" s="11">
        <v>60.31</v>
      </c>
      <c r="X14" s="11">
        <v>39.189</v>
      </c>
      <c r="Y14" s="11">
        <v>39.69</v>
      </c>
      <c r="Z14" s="11">
        <v>9.7279999999999998</v>
      </c>
      <c r="AA14" s="11">
        <v>11.401999999999999</v>
      </c>
      <c r="AB14" s="11">
        <v>39.69</v>
      </c>
      <c r="AC14" s="11">
        <v>39.189</v>
      </c>
      <c r="AD14" s="11">
        <v>7.6120000000000001</v>
      </c>
      <c r="AE14" s="11">
        <v>10</v>
      </c>
      <c r="AF14" s="11">
        <v>11</v>
      </c>
      <c r="AG14" s="11">
        <v>10</v>
      </c>
      <c r="AH14" s="11">
        <v>10</v>
      </c>
    </row>
    <row r="15" spans="1:34" s="33" customFormat="1" x14ac:dyDescent="0.2">
      <c r="A15" s="11">
        <v>111</v>
      </c>
      <c r="B15" s="11"/>
      <c r="C15" s="11"/>
      <c r="D15" s="11"/>
      <c r="E15" s="11"/>
      <c r="F15" s="11">
        <v>333</v>
      </c>
      <c r="G15" s="11" t="s">
        <v>57</v>
      </c>
      <c r="H15" s="56" t="str">
        <f>VLOOKUP(Table6[[#This Row],[ICD Code]],ICD_summary!$I$3:$M$38,5,0)</f>
        <v>Misc/Other</v>
      </c>
      <c r="I15" s="12">
        <v>72.2</v>
      </c>
      <c r="J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 s="11" t="s">
        <v>55</v>
      </c>
      <c r="L15" s="11"/>
      <c r="M15" s="11"/>
      <c r="N15" s="11">
        <v>31.9</v>
      </c>
      <c r="O15" s="11">
        <v>24.724</v>
      </c>
      <c r="P15" s="11">
        <v>58.162999999999997</v>
      </c>
      <c r="Q15" s="11">
        <v>58.923999999999999</v>
      </c>
      <c r="R15" s="11">
        <v>33.738</v>
      </c>
      <c r="S15" s="11">
        <v>33.722000000000001</v>
      </c>
      <c r="T15" s="11">
        <v>69.387</v>
      </c>
      <c r="U15" s="11">
        <v>66.528999999999996</v>
      </c>
      <c r="V15" s="11">
        <v>69.397999999999996</v>
      </c>
      <c r="W15" s="11">
        <v>69.094999999999999</v>
      </c>
      <c r="X15" s="11">
        <v>30.602</v>
      </c>
      <c r="Y15" s="11">
        <v>30.905000000000001</v>
      </c>
      <c r="Z15" s="11">
        <v>20.882999999999999</v>
      </c>
      <c r="AA15" s="11">
        <v>18.574999999999999</v>
      </c>
      <c r="AB15" s="11">
        <v>30.905000000000001</v>
      </c>
      <c r="AC15" s="11">
        <v>30.602</v>
      </c>
      <c r="AD15" s="11">
        <v>11.93</v>
      </c>
      <c r="AE15" s="11">
        <v>15</v>
      </c>
      <c r="AF15" s="11">
        <v>12</v>
      </c>
      <c r="AG15" s="11">
        <v>12</v>
      </c>
      <c r="AH15" s="11">
        <v>12</v>
      </c>
    </row>
    <row r="16" spans="1:34" s="33" customFormat="1" x14ac:dyDescent="0.2">
      <c r="A16" s="11">
        <v>113</v>
      </c>
      <c r="B16" s="11"/>
      <c r="C16" s="11"/>
      <c r="D16" s="11"/>
      <c r="E16" s="11"/>
      <c r="F16" s="11">
        <v>333.1</v>
      </c>
      <c r="G16" s="11" t="s">
        <v>54</v>
      </c>
      <c r="H16" s="56" t="str">
        <f>VLOOKUP(Table6[[#This Row],[ICD Code]],ICD_summary!$I$3:$M$38,5,0)</f>
        <v>Tremor, essential tremor</v>
      </c>
      <c r="I16" s="12">
        <v>64.099999999999994</v>
      </c>
      <c r="J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 s="11" t="s">
        <v>52</v>
      </c>
      <c r="L16" s="11"/>
      <c r="M16" s="11"/>
      <c r="N16" s="11">
        <v>64.789000000000001</v>
      </c>
      <c r="O16" s="11">
        <v>67.117000000000004</v>
      </c>
      <c r="P16" s="11">
        <v>131.76900000000001</v>
      </c>
      <c r="Q16" s="11">
        <v>132.17599999999999</v>
      </c>
      <c r="R16" s="11">
        <v>129.56399999999999</v>
      </c>
      <c r="S16" s="11">
        <v>130.01300000000001</v>
      </c>
      <c r="T16" s="11">
        <v>117.92400000000001</v>
      </c>
      <c r="U16" s="11">
        <v>117.54300000000001</v>
      </c>
      <c r="V16" s="11">
        <v>60.868000000000002</v>
      </c>
      <c r="W16" s="11">
        <v>60.121000000000002</v>
      </c>
      <c r="X16" s="11">
        <v>39.131999999999998</v>
      </c>
      <c r="Y16" s="11">
        <v>39.878999999999998</v>
      </c>
      <c r="Z16" s="11">
        <v>10.27</v>
      </c>
      <c r="AA16" s="11">
        <v>11.153</v>
      </c>
      <c r="AB16" s="11">
        <v>39.878999999999998</v>
      </c>
      <c r="AC16" s="11">
        <v>39.131999999999998</v>
      </c>
      <c r="AD16" s="11">
        <v>8.5459999999999994</v>
      </c>
      <c r="AE16" s="11">
        <v>20</v>
      </c>
      <c r="AF16" s="11">
        <v>15</v>
      </c>
      <c r="AG16" s="11">
        <v>15</v>
      </c>
      <c r="AH16" s="11">
        <v>15</v>
      </c>
    </row>
    <row r="17" spans="1:34" s="33" customFormat="1" x14ac:dyDescent="0.2">
      <c r="A17" s="11">
        <v>114</v>
      </c>
      <c r="B17" s="11"/>
      <c r="C17" s="11"/>
      <c r="D17" s="11"/>
      <c r="E17" s="11"/>
      <c r="F17" s="11">
        <v>781.2</v>
      </c>
      <c r="G17" s="11" t="s">
        <v>58</v>
      </c>
      <c r="H17" s="56" t="str">
        <f>VLOOKUP(Table6[[#This Row],[ICD Code]],ICD_summary!$I$3:$M$38,5,0)</f>
        <v>Gait, other abnormalities</v>
      </c>
      <c r="I17" s="12">
        <v>79.900000000000006</v>
      </c>
      <c r="J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7" s="11" t="s">
        <v>52</v>
      </c>
      <c r="L17" s="11"/>
      <c r="M17" s="11"/>
      <c r="N17" s="11">
        <v>9.7609999999999992</v>
      </c>
      <c r="O17" s="11">
        <v>32.265000000000001</v>
      </c>
      <c r="P17" s="11">
        <v>42.308</v>
      </c>
      <c r="Q17" s="11">
        <v>42.48</v>
      </c>
      <c r="R17" s="11">
        <v>33.091000000000001</v>
      </c>
      <c r="S17" s="11">
        <v>33.304000000000002</v>
      </c>
      <c r="T17" s="11">
        <v>95.953000000000003</v>
      </c>
      <c r="U17" s="11">
        <v>96.912999999999997</v>
      </c>
      <c r="V17" s="11">
        <v>72.399000000000001</v>
      </c>
      <c r="W17" s="11">
        <v>69.141000000000005</v>
      </c>
      <c r="X17" s="11">
        <v>27.600999999999999</v>
      </c>
      <c r="Y17" s="11">
        <v>30.859000000000002</v>
      </c>
      <c r="Z17" s="11">
        <v>19.538</v>
      </c>
      <c r="AA17" s="11">
        <v>21.811</v>
      </c>
      <c r="AB17" s="11">
        <v>30.859000000000002</v>
      </c>
      <c r="AC17" s="11">
        <v>27.600999999999999</v>
      </c>
      <c r="AD17" s="11">
        <v>19.405000000000001</v>
      </c>
      <c r="AE17" s="11">
        <v>24</v>
      </c>
      <c r="AF17" s="11">
        <v>23</v>
      </c>
      <c r="AG17" s="11">
        <v>23</v>
      </c>
      <c r="AH17" s="11">
        <v>23</v>
      </c>
    </row>
    <row r="18" spans="1:34" s="33" customFormat="1" x14ac:dyDescent="0.2">
      <c r="A18" s="11">
        <v>115</v>
      </c>
      <c r="B18" s="11"/>
      <c r="C18" s="11"/>
      <c r="D18" s="11"/>
      <c r="E18" s="11"/>
      <c r="F18" s="11">
        <v>781</v>
      </c>
      <c r="G18" s="11" t="s">
        <v>59</v>
      </c>
      <c r="H18" s="56" t="str">
        <f>VLOOKUP(Table6[[#This Row],[ICD Code]],ICD_summary!$I$3:$M$38,5,0)</f>
        <v>Misc/Other</v>
      </c>
      <c r="I18" s="12">
        <v>47.3</v>
      </c>
      <c r="J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8" s="11" t="s">
        <v>55</v>
      </c>
      <c r="L18" s="11"/>
      <c r="M18" s="11"/>
      <c r="N18" s="11">
        <v>29.140999999999998</v>
      </c>
      <c r="O18" s="11">
        <v>26.29</v>
      </c>
      <c r="P18" s="11">
        <v>57.536000000000001</v>
      </c>
      <c r="Q18" s="11">
        <v>55.432000000000002</v>
      </c>
      <c r="R18" s="11">
        <v>23.244</v>
      </c>
      <c r="S18" s="11">
        <v>23.314</v>
      </c>
      <c r="T18" s="11">
        <v>49.628999999999998</v>
      </c>
      <c r="U18" s="11">
        <v>49.573</v>
      </c>
      <c r="V18" s="11">
        <v>73.914000000000001</v>
      </c>
      <c r="W18" s="11">
        <v>75.349000000000004</v>
      </c>
      <c r="X18" s="11">
        <v>26.085999999999999</v>
      </c>
      <c r="Y18" s="11">
        <v>24.651</v>
      </c>
      <c r="Z18" s="11">
        <v>25.896999999999998</v>
      </c>
      <c r="AA18" s="11">
        <v>24.597999999999999</v>
      </c>
      <c r="AB18" s="11">
        <v>24.651</v>
      </c>
      <c r="AC18" s="11">
        <v>26.085999999999999</v>
      </c>
      <c r="AD18" s="11">
        <v>25.38</v>
      </c>
      <c r="AE18" s="11">
        <v>7</v>
      </c>
      <c r="AF18" s="11">
        <v>8</v>
      </c>
      <c r="AG18" s="11">
        <v>7</v>
      </c>
      <c r="AH18" s="11">
        <v>7</v>
      </c>
    </row>
    <row r="19" spans="1:34" s="33" customFormat="1" x14ac:dyDescent="0.2">
      <c r="A19" s="11">
        <v>116</v>
      </c>
      <c r="B19" s="11"/>
      <c r="C19" s="11"/>
      <c r="D19" s="11"/>
      <c r="E19" s="11"/>
      <c r="F19" s="11">
        <v>332</v>
      </c>
      <c r="G19" s="11" t="s">
        <v>53</v>
      </c>
      <c r="H19" s="56" t="str">
        <f>VLOOKUP(Table6[[#This Row],[ICD Code]],ICD_summary!$I$3:$M$38,5,0)</f>
        <v>PD</v>
      </c>
      <c r="I19" s="12">
        <v>65.7</v>
      </c>
      <c r="J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 s="11" t="s">
        <v>52</v>
      </c>
      <c r="L19" s="11"/>
      <c r="M19" s="11"/>
      <c r="N19" s="11">
        <v>44.043999999999997</v>
      </c>
      <c r="O19" s="11">
        <v>40.771000000000001</v>
      </c>
      <c r="P19" s="11">
        <v>85.947000000000003</v>
      </c>
      <c r="Q19" s="11">
        <v>84.981999999999999</v>
      </c>
      <c r="R19" s="11">
        <v>55.643999999999998</v>
      </c>
      <c r="S19" s="11">
        <v>56.616</v>
      </c>
      <c r="T19" s="11">
        <v>78.168999999999997</v>
      </c>
      <c r="U19" s="11">
        <v>79.582999999999998</v>
      </c>
      <c r="V19" s="11">
        <v>65.301000000000002</v>
      </c>
      <c r="W19" s="11">
        <v>66.626999999999995</v>
      </c>
      <c r="X19" s="11">
        <v>34.698999999999998</v>
      </c>
      <c r="Y19" s="11">
        <v>33.372999999999998</v>
      </c>
      <c r="Z19" s="11">
        <v>16.190999999999999</v>
      </c>
      <c r="AA19" s="11">
        <v>15.813000000000001</v>
      </c>
      <c r="AB19" s="11">
        <v>33.372999999999998</v>
      </c>
      <c r="AC19" s="11">
        <v>34.698999999999998</v>
      </c>
      <c r="AD19" s="11">
        <v>10.762</v>
      </c>
      <c r="AE19" s="11">
        <v>11</v>
      </c>
      <c r="AF19" s="11">
        <v>11</v>
      </c>
      <c r="AG19" s="11">
        <v>11</v>
      </c>
      <c r="AH19" s="11">
        <v>11</v>
      </c>
    </row>
    <row r="20" spans="1:34" s="33" customFormat="1" x14ac:dyDescent="0.2">
      <c r="A20" s="11">
        <v>117</v>
      </c>
      <c r="B20" s="11"/>
      <c r="C20" s="11"/>
      <c r="D20" s="11"/>
      <c r="E20" s="11"/>
      <c r="F20" s="11">
        <v>333.1</v>
      </c>
      <c r="G20" s="11" t="s">
        <v>54</v>
      </c>
      <c r="H20" s="56" t="str">
        <f>VLOOKUP(Table6[[#This Row],[ICD Code]],ICD_summary!$I$3:$M$38,5,0)</f>
        <v>Tremor, essential tremor</v>
      </c>
      <c r="I20" s="12">
        <v>79.3</v>
      </c>
      <c r="J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 s="11" t="s">
        <v>52</v>
      </c>
      <c r="L20" s="11"/>
      <c r="M20" s="11"/>
      <c r="N20" s="11">
        <v>63.366</v>
      </c>
      <c r="O20" s="11">
        <v>64.718999999999994</v>
      </c>
      <c r="P20" s="11">
        <v>126.759</v>
      </c>
      <c r="Q20" s="11">
        <v>128.542</v>
      </c>
      <c r="R20" s="11">
        <v>104.42700000000001</v>
      </c>
      <c r="S20" s="11">
        <v>103.974</v>
      </c>
      <c r="T20" s="11">
        <v>99.994</v>
      </c>
      <c r="U20" s="11">
        <v>98.236999999999995</v>
      </c>
      <c r="V20" s="11">
        <v>62.496000000000002</v>
      </c>
      <c r="W20" s="11">
        <v>62.863</v>
      </c>
      <c r="X20" s="11">
        <v>37.503999999999998</v>
      </c>
      <c r="Y20" s="11">
        <v>37.137</v>
      </c>
      <c r="Z20" s="11">
        <v>12.779</v>
      </c>
      <c r="AA20" s="11">
        <v>13.028</v>
      </c>
      <c r="AB20" s="11">
        <v>37.137</v>
      </c>
      <c r="AC20" s="11">
        <v>37.503999999999998</v>
      </c>
      <c r="AD20" s="11">
        <v>12.702999999999999</v>
      </c>
      <c r="AE20" s="11">
        <v>9</v>
      </c>
      <c r="AF20" s="11">
        <v>10</v>
      </c>
      <c r="AG20" s="11">
        <v>9</v>
      </c>
      <c r="AH20" s="11">
        <v>9</v>
      </c>
    </row>
    <row r="21" spans="1:34" s="33" customFormat="1" x14ac:dyDescent="0.2">
      <c r="A21" s="11">
        <v>118</v>
      </c>
      <c r="B21" s="11"/>
      <c r="C21" s="11"/>
      <c r="D21" s="11"/>
      <c r="E21" s="11"/>
      <c r="F21" s="11">
        <v>332</v>
      </c>
      <c r="G21" s="11" t="s">
        <v>53</v>
      </c>
      <c r="H21" s="56" t="str">
        <f>VLOOKUP(Table6[[#This Row],[ICD Code]],ICD_summary!$I$3:$M$38,5,0)</f>
        <v>PD</v>
      </c>
      <c r="I21" s="12">
        <v>72.599999999999994</v>
      </c>
      <c r="J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1" s="11" t="s">
        <v>55</v>
      </c>
      <c r="L21" s="11"/>
      <c r="M21" s="11"/>
      <c r="N21" s="11" t="s">
        <v>51</v>
      </c>
      <c r="O21" s="11" t="s">
        <v>51</v>
      </c>
      <c r="P21" s="11" t="s">
        <v>51</v>
      </c>
      <c r="Q21" s="11" t="s">
        <v>51</v>
      </c>
      <c r="R21" s="11" t="s">
        <v>51</v>
      </c>
      <c r="S21" s="11" t="s">
        <v>51</v>
      </c>
      <c r="T21" s="11" t="s">
        <v>51</v>
      </c>
      <c r="U21" s="11" t="s">
        <v>51</v>
      </c>
      <c r="V21" s="11" t="s">
        <v>51</v>
      </c>
      <c r="W21" s="11" t="s">
        <v>51</v>
      </c>
      <c r="X21" s="11" t="s">
        <v>51</v>
      </c>
      <c r="Y21" s="11" t="s">
        <v>51</v>
      </c>
      <c r="Z21" s="11" t="s">
        <v>51</v>
      </c>
      <c r="AA21" s="11" t="s">
        <v>51</v>
      </c>
      <c r="AB21" s="11" t="s">
        <v>51</v>
      </c>
      <c r="AC21" s="11" t="s">
        <v>51</v>
      </c>
      <c r="AD21" s="11" t="s">
        <v>51</v>
      </c>
      <c r="AE21" s="11" t="s">
        <v>51</v>
      </c>
      <c r="AF21" s="11" t="s">
        <v>51</v>
      </c>
      <c r="AG21" s="11" t="s">
        <v>51</v>
      </c>
      <c r="AH21" s="11" t="s">
        <v>51</v>
      </c>
    </row>
    <row r="22" spans="1:34" s="33" customFormat="1" x14ac:dyDescent="0.2">
      <c r="A22" s="11">
        <v>119</v>
      </c>
      <c r="B22" s="11"/>
      <c r="C22" s="11"/>
      <c r="D22" s="11"/>
      <c r="E22" s="11"/>
      <c r="F22" s="11">
        <v>333.1</v>
      </c>
      <c r="G22" s="11" t="s">
        <v>54</v>
      </c>
      <c r="H22" s="56" t="str">
        <f>VLOOKUP(Table6[[#This Row],[ICD Code]],ICD_summary!$I$3:$M$38,5,0)</f>
        <v>Tremor, essential tremor</v>
      </c>
      <c r="I22" s="12">
        <v>61</v>
      </c>
      <c r="J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 s="11" t="s">
        <v>55</v>
      </c>
      <c r="L22" s="11"/>
      <c r="M22" s="11"/>
      <c r="N22" s="11">
        <v>52.430999999999997</v>
      </c>
      <c r="O22" s="11">
        <v>48.420999999999999</v>
      </c>
      <c r="P22" s="11">
        <v>100.926</v>
      </c>
      <c r="Q22" s="11">
        <v>101.01300000000001</v>
      </c>
      <c r="R22" s="11">
        <v>96.497</v>
      </c>
      <c r="S22" s="11">
        <v>96.465999999999994</v>
      </c>
      <c r="T22" s="11">
        <v>115.069</v>
      </c>
      <c r="U22" s="11">
        <v>114.95099999999999</v>
      </c>
      <c r="V22" s="11">
        <v>63.997999999999998</v>
      </c>
      <c r="W22" s="11">
        <v>62.74</v>
      </c>
      <c r="X22" s="11">
        <v>36.002000000000002</v>
      </c>
      <c r="Y22" s="11">
        <v>37.26</v>
      </c>
      <c r="Z22" s="11">
        <v>13.073</v>
      </c>
      <c r="AA22" s="11">
        <v>13.443</v>
      </c>
      <c r="AB22" s="11">
        <v>37.26</v>
      </c>
      <c r="AC22" s="11">
        <v>36.002000000000002</v>
      </c>
      <c r="AD22" s="11">
        <v>16.416</v>
      </c>
      <c r="AE22" s="11">
        <v>16</v>
      </c>
      <c r="AF22" s="11">
        <v>19</v>
      </c>
      <c r="AG22" s="11">
        <v>16</v>
      </c>
      <c r="AH22" s="11">
        <v>16</v>
      </c>
    </row>
    <row r="23" spans="1:34" s="33" customFormat="1" x14ac:dyDescent="0.2">
      <c r="A23" s="11">
        <v>120</v>
      </c>
      <c r="B23" s="11"/>
      <c r="C23" s="11"/>
      <c r="D23" s="11"/>
      <c r="E23" s="11"/>
      <c r="F23" s="11">
        <v>332</v>
      </c>
      <c r="G23" s="11" t="s">
        <v>53</v>
      </c>
      <c r="H23" s="56" t="str">
        <f>VLOOKUP(Table6[[#This Row],[ICD Code]],ICD_summary!$I$3:$M$38,5,0)</f>
        <v>PD</v>
      </c>
      <c r="I23" s="12">
        <v>52.2</v>
      </c>
      <c r="J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 s="11" t="s">
        <v>52</v>
      </c>
      <c r="L23" s="11"/>
      <c r="M23" s="11"/>
      <c r="N23" s="11">
        <v>46.432000000000002</v>
      </c>
      <c r="O23" s="11">
        <v>48.204000000000001</v>
      </c>
      <c r="P23" s="11">
        <v>95.602000000000004</v>
      </c>
      <c r="Q23" s="11">
        <v>93.545000000000002</v>
      </c>
      <c r="R23" s="11">
        <v>73.513999999999996</v>
      </c>
      <c r="S23" s="11">
        <v>71.869</v>
      </c>
      <c r="T23" s="11">
        <v>93.356999999999999</v>
      </c>
      <c r="U23" s="11">
        <v>92.415999999999997</v>
      </c>
      <c r="V23" s="11">
        <v>64.406000000000006</v>
      </c>
      <c r="W23" s="11">
        <v>63.927999999999997</v>
      </c>
      <c r="X23" s="11">
        <v>35.594000000000001</v>
      </c>
      <c r="Y23" s="11">
        <v>36.072000000000003</v>
      </c>
      <c r="Z23" s="11">
        <v>14.339</v>
      </c>
      <c r="AA23" s="11">
        <v>13.667999999999999</v>
      </c>
      <c r="AB23" s="11">
        <v>36.072000000000003</v>
      </c>
      <c r="AC23" s="11">
        <v>35.594000000000001</v>
      </c>
      <c r="AD23" s="11">
        <v>18.166</v>
      </c>
      <c r="AE23" s="11">
        <v>12</v>
      </c>
      <c r="AF23" s="11">
        <v>10</v>
      </c>
      <c r="AG23" s="11">
        <v>10</v>
      </c>
      <c r="AH23" s="11">
        <v>10</v>
      </c>
    </row>
    <row r="24" spans="1:34" s="33" customFormat="1" x14ac:dyDescent="0.2">
      <c r="A24" s="11">
        <v>121</v>
      </c>
      <c r="B24" s="11"/>
      <c r="C24" s="11"/>
      <c r="D24" s="11"/>
      <c r="E24" s="11"/>
      <c r="F24" s="11">
        <v>333.79</v>
      </c>
      <c r="G24" s="11" t="s">
        <v>60</v>
      </c>
      <c r="H24" s="56" t="str">
        <f>VLOOKUP(Table6[[#This Row],[ICD Code]],ICD_summary!$I$3:$M$38,5,0)</f>
        <v>Dystonia, other</v>
      </c>
      <c r="I24" s="12">
        <v>55.9</v>
      </c>
      <c r="J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4" s="11" t="s">
        <v>55</v>
      </c>
      <c r="L24" s="11"/>
      <c r="M24" s="11"/>
      <c r="N24" s="11">
        <v>18.007000000000001</v>
      </c>
      <c r="O24" s="11">
        <v>19.535</v>
      </c>
      <c r="P24" s="11">
        <v>37.863999999999997</v>
      </c>
      <c r="Q24" s="11">
        <v>39.500999999999998</v>
      </c>
      <c r="R24" s="11">
        <v>20.027999999999999</v>
      </c>
      <c r="S24" s="11">
        <v>20.49</v>
      </c>
      <c r="T24" s="11">
        <v>63.396999999999998</v>
      </c>
      <c r="U24" s="11">
        <v>62.878999999999998</v>
      </c>
      <c r="V24" s="11">
        <v>64.838999999999999</v>
      </c>
      <c r="W24" s="11">
        <v>74.968999999999994</v>
      </c>
      <c r="X24" s="11">
        <v>35.161000000000001</v>
      </c>
      <c r="Y24" s="11">
        <v>25.030999999999999</v>
      </c>
      <c r="Z24" s="11">
        <v>16.073</v>
      </c>
      <c r="AA24" s="11">
        <v>23.292999999999999</v>
      </c>
      <c r="AB24" s="11">
        <v>25.030999999999999</v>
      </c>
      <c r="AC24" s="11">
        <v>35.161000000000001</v>
      </c>
      <c r="AD24" s="11">
        <v>15.744999999999999</v>
      </c>
      <c r="AE24" s="11">
        <v>13</v>
      </c>
      <c r="AF24" s="11">
        <v>11</v>
      </c>
      <c r="AG24" s="11">
        <v>11</v>
      </c>
      <c r="AH24" s="11">
        <v>11</v>
      </c>
    </row>
    <row r="25" spans="1:34" s="33" customFormat="1" x14ac:dyDescent="0.2">
      <c r="A25" s="11">
        <v>122</v>
      </c>
      <c r="B25" s="11"/>
      <c r="C25" s="11"/>
      <c r="D25" s="11"/>
      <c r="E25" s="11"/>
      <c r="F25" s="11">
        <v>333.1</v>
      </c>
      <c r="G25" s="11" t="s">
        <v>54</v>
      </c>
      <c r="H25" s="56" t="str">
        <f>VLOOKUP(Table6[[#This Row],[ICD Code]],ICD_summary!$I$3:$M$38,5,0)</f>
        <v>Tremor, essential tremor</v>
      </c>
      <c r="I25" s="12">
        <v>69.099999999999994</v>
      </c>
      <c r="J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5" s="11" t="s">
        <v>55</v>
      </c>
      <c r="L25" s="11"/>
      <c r="M25" s="11"/>
      <c r="N25" s="11">
        <v>24.87</v>
      </c>
      <c r="O25" s="11">
        <v>20.613</v>
      </c>
      <c r="P25" s="11">
        <v>45.637999999999998</v>
      </c>
      <c r="Q25" s="11">
        <v>45.832000000000001</v>
      </c>
      <c r="R25" s="11">
        <v>49.89</v>
      </c>
      <c r="S25" s="11">
        <v>49.802</v>
      </c>
      <c r="T25" s="11">
        <v>131.05099999999999</v>
      </c>
      <c r="U25" s="11">
        <v>130.78700000000001</v>
      </c>
      <c r="V25" s="11">
        <v>66.465000000000003</v>
      </c>
      <c r="W25" s="11">
        <v>67.724000000000004</v>
      </c>
      <c r="X25" s="11">
        <v>33.534999999999997</v>
      </c>
      <c r="Y25" s="11">
        <v>32.276000000000003</v>
      </c>
      <c r="Z25" s="11">
        <v>17.047999999999998</v>
      </c>
      <c r="AA25" s="11">
        <v>16.728000000000002</v>
      </c>
      <c r="AB25" s="11">
        <v>32.276000000000003</v>
      </c>
      <c r="AC25" s="11">
        <v>33.534999999999997</v>
      </c>
      <c r="AD25" s="11">
        <v>15.394</v>
      </c>
      <c r="AE25" s="11">
        <v>23</v>
      </c>
      <c r="AF25" s="11">
        <v>22</v>
      </c>
      <c r="AG25" s="11">
        <v>22</v>
      </c>
      <c r="AH25" s="11">
        <v>22</v>
      </c>
    </row>
    <row r="26" spans="1:34" s="33" customFormat="1" x14ac:dyDescent="0.2">
      <c r="A26" s="11">
        <v>123</v>
      </c>
      <c r="B26" s="11"/>
      <c r="C26" s="11"/>
      <c r="D26" s="11"/>
      <c r="E26" s="11"/>
      <c r="F26" s="11">
        <v>333.1</v>
      </c>
      <c r="G26" s="11" t="s">
        <v>54</v>
      </c>
      <c r="H26" s="56" t="str">
        <f>VLOOKUP(Table6[[#This Row],[ICD Code]],ICD_summary!$I$3:$M$38,5,0)</f>
        <v>Tremor, essential tremor</v>
      </c>
      <c r="I26" s="12">
        <v>77.2</v>
      </c>
      <c r="J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6" s="11" t="s">
        <v>52</v>
      </c>
      <c r="L26" s="11"/>
      <c r="M26" s="11"/>
      <c r="N26" s="11">
        <v>56.674999999999997</v>
      </c>
      <c r="O26" s="11">
        <v>58.353000000000002</v>
      </c>
      <c r="P26" s="11">
        <v>114.931</v>
      </c>
      <c r="Q26" s="11">
        <v>115.378</v>
      </c>
      <c r="R26" s="11">
        <v>118.818</v>
      </c>
      <c r="S26" s="11">
        <v>119.626</v>
      </c>
      <c r="T26" s="11">
        <v>122.90900000000001</v>
      </c>
      <c r="U26" s="11">
        <v>124.021</v>
      </c>
      <c r="V26" s="11">
        <v>62.540999999999997</v>
      </c>
      <c r="W26" s="11">
        <v>61.347999999999999</v>
      </c>
      <c r="X26" s="11">
        <v>37.459000000000003</v>
      </c>
      <c r="Y26" s="11">
        <v>38.652000000000001</v>
      </c>
      <c r="Z26" s="11">
        <v>12.509</v>
      </c>
      <c r="AA26" s="11">
        <v>11.327</v>
      </c>
      <c r="AB26" s="11">
        <v>38.652000000000001</v>
      </c>
      <c r="AC26" s="11">
        <v>37.459000000000003</v>
      </c>
      <c r="AD26" s="11">
        <v>12.135</v>
      </c>
      <c r="AE26" s="11">
        <v>12</v>
      </c>
      <c r="AF26" s="11">
        <v>12</v>
      </c>
      <c r="AG26" s="11">
        <v>12</v>
      </c>
      <c r="AH26" s="11">
        <v>12</v>
      </c>
    </row>
    <row r="27" spans="1:34" s="33" customFormat="1" x14ac:dyDescent="0.2">
      <c r="A27" s="11">
        <v>124</v>
      </c>
      <c r="B27" s="11"/>
      <c r="C27" s="11"/>
      <c r="D27" s="11"/>
      <c r="E27" s="11"/>
      <c r="F27" s="11">
        <v>333.89</v>
      </c>
      <c r="G27" s="11" t="s">
        <v>56</v>
      </c>
      <c r="H27" s="56" t="str">
        <f>VLOOKUP(Table6[[#This Row],[ICD Code]],ICD_summary!$I$3:$M$38,5,0)</f>
        <v>Dystonia, other</v>
      </c>
      <c r="I27" s="12">
        <v>48.5</v>
      </c>
      <c r="J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7" s="11" t="s">
        <v>55</v>
      </c>
      <c r="L27" s="11"/>
      <c r="M27" s="11"/>
      <c r="N27" s="11">
        <v>65.841999999999999</v>
      </c>
      <c r="O27" s="11">
        <v>66.930999999999997</v>
      </c>
      <c r="P27" s="11">
        <v>133.16200000000001</v>
      </c>
      <c r="Q27" s="11">
        <v>132.399</v>
      </c>
      <c r="R27" s="11">
        <v>129.34899999999999</v>
      </c>
      <c r="S27" s="11">
        <v>128.71600000000001</v>
      </c>
      <c r="T27" s="11">
        <v>116.27500000000001</v>
      </c>
      <c r="U27" s="11">
        <v>116.736</v>
      </c>
      <c r="V27" s="11">
        <v>61.133000000000003</v>
      </c>
      <c r="W27" s="11">
        <v>60.686999999999998</v>
      </c>
      <c r="X27" s="11">
        <v>38.866999999999997</v>
      </c>
      <c r="Y27" s="11">
        <v>39.313000000000002</v>
      </c>
      <c r="Z27" s="11">
        <v>10.956</v>
      </c>
      <c r="AA27" s="11">
        <v>10.739000000000001</v>
      </c>
      <c r="AB27" s="11">
        <v>39.313000000000002</v>
      </c>
      <c r="AC27" s="11">
        <v>38.866999999999997</v>
      </c>
      <c r="AD27" s="11">
        <v>10.686999999999999</v>
      </c>
      <c r="AE27" s="11">
        <v>7</v>
      </c>
      <c r="AF27" s="11">
        <v>8</v>
      </c>
      <c r="AG27" s="11">
        <v>7</v>
      </c>
      <c r="AH27" s="11">
        <v>7</v>
      </c>
    </row>
    <row r="28" spans="1:34" s="33" customFormat="1" x14ac:dyDescent="0.2">
      <c r="A28" s="11">
        <v>125</v>
      </c>
      <c r="B28" s="11"/>
      <c r="C28" s="11"/>
      <c r="D28" s="11"/>
      <c r="E28" s="11"/>
      <c r="F28" s="11">
        <v>332</v>
      </c>
      <c r="G28" s="11" t="s">
        <v>53</v>
      </c>
      <c r="H28" s="56" t="str">
        <f>VLOOKUP(Table6[[#This Row],[ICD Code]],ICD_summary!$I$3:$M$38,5,0)</f>
        <v>PD</v>
      </c>
      <c r="I28" s="12">
        <v>72.5</v>
      </c>
      <c r="J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8" s="11" t="s">
        <v>52</v>
      </c>
      <c r="L28" s="11"/>
      <c r="M28" s="11"/>
      <c r="N28" s="11">
        <v>61.658000000000001</v>
      </c>
      <c r="O28" s="11">
        <v>63.280999999999999</v>
      </c>
      <c r="P28" s="11">
        <v>124.479</v>
      </c>
      <c r="Q28" s="11">
        <v>125.029</v>
      </c>
      <c r="R28" s="11">
        <v>101.66</v>
      </c>
      <c r="S28" s="11">
        <v>101.93600000000001</v>
      </c>
      <c r="T28" s="11">
        <v>97.825999999999993</v>
      </c>
      <c r="U28" s="11">
        <v>97.89</v>
      </c>
      <c r="V28" s="11">
        <v>61.543999999999997</v>
      </c>
      <c r="W28" s="11">
        <v>64.417000000000002</v>
      </c>
      <c r="X28" s="11">
        <v>38.456000000000003</v>
      </c>
      <c r="Y28" s="11">
        <v>35.582999999999998</v>
      </c>
      <c r="Z28" s="11">
        <v>12.065</v>
      </c>
      <c r="AA28" s="11">
        <v>14.122</v>
      </c>
      <c r="AB28" s="11">
        <v>35.582999999999998</v>
      </c>
      <c r="AC28" s="11">
        <v>38.456000000000003</v>
      </c>
      <c r="AD28" s="11">
        <v>8.9280000000000008</v>
      </c>
      <c r="AE28" s="11">
        <v>13</v>
      </c>
      <c r="AF28" s="11">
        <v>14</v>
      </c>
      <c r="AG28" s="11">
        <v>13</v>
      </c>
      <c r="AH28" s="11">
        <v>13</v>
      </c>
    </row>
    <row r="29" spans="1:34" s="33" customFormat="1" x14ac:dyDescent="0.2">
      <c r="A29" s="11">
        <v>126</v>
      </c>
      <c r="B29" s="11"/>
      <c r="C29" s="11"/>
      <c r="D29" s="11"/>
      <c r="E29" s="11"/>
      <c r="F29" s="11">
        <v>332</v>
      </c>
      <c r="G29" s="11" t="s">
        <v>53</v>
      </c>
      <c r="H29" s="56" t="str">
        <f>VLOOKUP(Table6[[#This Row],[ICD Code]],ICD_summary!$I$3:$M$38,5,0)</f>
        <v>PD</v>
      </c>
      <c r="I29" s="12">
        <v>71.8</v>
      </c>
      <c r="J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 s="11" t="s">
        <v>52</v>
      </c>
      <c r="L29" s="11"/>
      <c r="M29" s="11"/>
      <c r="N29" s="11">
        <v>87.433000000000007</v>
      </c>
      <c r="O29" s="11">
        <v>87.200999999999993</v>
      </c>
      <c r="P29" s="11">
        <v>175.59200000000001</v>
      </c>
      <c r="Q29" s="11">
        <v>174.38200000000001</v>
      </c>
      <c r="R29" s="11">
        <v>165.626</v>
      </c>
      <c r="S29" s="11">
        <v>163.53899999999999</v>
      </c>
      <c r="T29" s="11">
        <v>112.654</v>
      </c>
      <c r="U29" s="11">
        <v>111.749</v>
      </c>
      <c r="V29" s="11">
        <v>59.915999999999997</v>
      </c>
      <c r="W29" s="11">
        <v>58.29</v>
      </c>
      <c r="X29" s="11">
        <v>40.084000000000003</v>
      </c>
      <c r="Y29" s="11">
        <v>41.71</v>
      </c>
      <c r="Z29" s="11">
        <v>9.6669999999999998</v>
      </c>
      <c r="AA29" s="11">
        <v>8.923</v>
      </c>
      <c r="AB29" s="11">
        <v>41.71</v>
      </c>
      <c r="AC29" s="11">
        <v>40.084000000000003</v>
      </c>
      <c r="AD29" s="11">
        <v>8.9570000000000007</v>
      </c>
      <c r="AE29" s="11">
        <v>8</v>
      </c>
      <c r="AF29" s="11">
        <v>8</v>
      </c>
      <c r="AG29" s="11">
        <v>8</v>
      </c>
      <c r="AH29" s="11">
        <v>8</v>
      </c>
    </row>
    <row r="30" spans="1:34" s="33" customFormat="1" x14ac:dyDescent="0.2">
      <c r="A30" s="11">
        <v>127</v>
      </c>
      <c r="B30" s="11"/>
      <c r="C30" s="11"/>
      <c r="D30" s="11"/>
      <c r="E30" s="11"/>
      <c r="F30" s="11">
        <v>332</v>
      </c>
      <c r="G30" s="11" t="s">
        <v>53</v>
      </c>
      <c r="H30" s="56" t="str">
        <f>VLOOKUP(Table6[[#This Row],[ICD Code]],ICD_summary!$I$3:$M$38,5,0)</f>
        <v>PD</v>
      </c>
      <c r="I30" s="12">
        <v>66.5</v>
      </c>
      <c r="J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 s="11" t="s">
        <v>52</v>
      </c>
      <c r="L30" s="11"/>
      <c r="M30" s="11"/>
      <c r="N30" s="11">
        <v>10.477</v>
      </c>
      <c r="O30" s="11">
        <v>6.97</v>
      </c>
      <c r="P30" s="11">
        <v>19.994</v>
      </c>
      <c r="Q30" s="11">
        <v>17.446999999999999</v>
      </c>
      <c r="R30" s="11">
        <v>5.4649999999999999</v>
      </c>
      <c r="S30" s="11">
        <v>5.0970000000000004</v>
      </c>
      <c r="T30" s="11">
        <v>39.216999999999999</v>
      </c>
      <c r="U30" s="11">
        <v>33.412999999999997</v>
      </c>
      <c r="V30" s="11">
        <v>78.293000000000006</v>
      </c>
      <c r="W30" s="11">
        <v>83.215999999999994</v>
      </c>
      <c r="X30" s="11">
        <v>21.707000000000001</v>
      </c>
      <c r="Y30" s="11">
        <v>16.783999999999999</v>
      </c>
      <c r="Z30" s="11">
        <v>21.527000000000001</v>
      </c>
      <c r="AA30" s="11">
        <v>43.360999999999997</v>
      </c>
      <c r="AB30" s="11">
        <v>16.783999999999999</v>
      </c>
      <c r="AC30" s="11">
        <v>21.707000000000001</v>
      </c>
      <c r="AD30" s="11">
        <v>9.57</v>
      </c>
      <c r="AE30" s="11">
        <v>6</v>
      </c>
      <c r="AF30" s="11">
        <v>9</v>
      </c>
      <c r="AG30" s="11">
        <v>6</v>
      </c>
      <c r="AH30" s="11">
        <v>6</v>
      </c>
    </row>
    <row r="31" spans="1:34" s="33" customFormat="1" x14ac:dyDescent="0.2">
      <c r="A31" s="11">
        <v>128</v>
      </c>
      <c r="B31" s="11"/>
      <c r="C31" s="11"/>
      <c r="D31" s="11"/>
      <c r="E31" s="11"/>
      <c r="F31" s="11">
        <v>332</v>
      </c>
      <c r="G31" s="11" t="s">
        <v>53</v>
      </c>
      <c r="H31" s="56" t="str">
        <f>VLOOKUP(Table6[[#This Row],[ICD Code]],ICD_summary!$I$3:$M$38,5,0)</f>
        <v>PD</v>
      </c>
      <c r="I31" s="12">
        <v>74.8</v>
      </c>
      <c r="J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 s="11" t="s">
        <v>52</v>
      </c>
      <c r="L31" s="11"/>
      <c r="M31" s="11"/>
      <c r="N31" s="11">
        <v>15.749000000000001</v>
      </c>
      <c r="O31" s="11">
        <v>19.478000000000002</v>
      </c>
      <c r="P31" s="11">
        <v>35.454000000000001</v>
      </c>
      <c r="Q31" s="11">
        <v>35.677999999999997</v>
      </c>
      <c r="R31" s="11">
        <v>22.163</v>
      </c>
      <c r="S31" s="11">
        <v>22.279</v>
      </c>
      <c r="T31" s="11">
        <v>76.012</v>
      </c>
      <c r="U31" s="11">
        <v>75.212000000000003</v>
      </c>
      <c r="V31" s="11">
        <v>72.316000000000003</v>
      </c>
      <c r="W31" s="11">
        <v>70.84</v>
      </c>
      <c r="X31" s="11">
        <v>27.684000000000001</v>
      </c>
      <c r="Y31" s="11">
        <v>29.16</v>
      </c>
      <c r="Z31" s="11">
        <v>22.658000000000001</v>
      </c>
      <c r="AA31" s="11">
        <v>20.677</v>
      </c>
      <c r="AB31" s="11">
        <v>29.16</v>
      </c>
      <c r="AC31" s="11">
        <v>27.684000000000001</v>
      </c>
      <c r="AD31" s="11">
        <v>8.99</v>
      </c>
      <c r="AE31" s="11">
        <v>23</v>
      </c>
      <c r="AF31" s="11">
        <v>22</v>
      </c>
      <c r="AG31" s="11">
        <v>22</v>
      </c>
      <c r="AH31" s="11">
        <v>22</v>
      </c>
    </row>
    <row r="32" spans="1:34" s="33" customFormat="1" x14ac:dyDescent="0.2">
      <c r="A32" s="11">
        <v>129</v>
      </c>
      <c r="B32" s="11"/>
      <c r="C32" s="11"/>
      <c r="D32" s="11"/>
      <c r="E32" s="11"/>
      <c r="F32" s="11">
        <v>332</v>
      </c>
      <c r="G32" s="11" t="s">
        <v>53</v>
      </c>
      <c r="H32" s="56" t="str">
        <f>VLOOKUP(Table6[[#This Row],[ICD Code]],ICD_summary!$I$3:$M$38,5,0)</f>
        <v>PD</v>
      </c>
      <c r="I32" s="12">
        <v>56.5</v>
      </c>
      <c r="J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2" s="11" t="s">
        <v>52</v>
      </c>
      <c r="L32" s="11"/>
      <c r="M32" s="11"/>
      <c r="N32" s="11">
        <v>80.497</v>
      </c>
      <c r="O32" s="11">
        <v>75.915999999999997</v>
      </c>
      <c r="P32" s="11">
        <v>156.44499999999999</v>
      </c>
      <c r="Q32" s="11">
        <v>156.745</v>
      </c>
      <c r="R32" s="11">
        <v>141.97</v>
      </c>
      <c r="S32" s="11">
        <v>142.523</v>
      </c>
      <c r="T32" s="11">
        <v>108.36199999999999</v>
      </c>
      <c r="U32" s="11">
        <v>108.58</v>
      </c>
      <c r="V32" s="11">
        <v>58.960999999999999</v>
      </c>
      <c r="W32" s="11">
        <v>60.539000000000001</v>
      </c>
      <c r="X32" s="11">
        <v>41.039000000000001</v>
      </c>
      <c r="Y32" s="11">
        <v>39.460999999999999</v>
      </c>
      <c r="Z32" s="11">
        <v>11.279</v>
      </c>
      <c r="AA32" s="11">
        <v>8.6649999999999991</v>
      </c>
      <c r="AB32" s="11">
        <v>39.460999999999999</v>
      </c>
      <c r="AC32" s="11">
        <v>41.039000000000001</v>
      </c>
      <c r="AD32" s="11">
        <v>8.0500000000000007</v>
      </c>
      <c r="AE32" s="11">
        <v>10</v>
      </c>
      <c r="AF32" s="11">
        <v>8</v>
      </c>
      <c r="AG32" s="11">
        <v>8</v>
      </c>
      <c r="AH32" s="11">
        <v>8</v>
      </c>
    </row>
    <row r="33" spans="1:34" s="33" customFormat="1" x14ac:dyDescent="0.2">
      <c r="A33" s="11">
        <v>130</v>
      </c>
      <c r="B33" s="11"/>
      <c r="C33" s="11"/>
      <c r="D33" s="11"/>
      <c r="E33" s="11"/>
      <c r="F33" s="11">
        <v>332</v>
      </c>
      <c r="G33" s="11" t="s">
        <v>53</v>
      </c>
      <c r="H33" s="56" t="str">
        <f>VLOOKUP(Table6[[#This Row],[ICD Code]],ICD_summary!$I$3:$M$38,5,0)</f>
        <v>PD</v>
      </c>
      <c r="I33" s="12">
        <v>62.8</v>
      </c>
      <c r="J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 s="11" t="s">
        <v>52</v>
      </c>
      <c r="L33" s="11"/>
      <c r="M33" s="11"/>
      <c r="N33" s="11" t="s">
        <v>51</v>
      </c>
      <c r="O33" s="11" t="s">
        <v>51</v>
      </c>
      <c r="P33" s="11" t="s">
        <v>51</v>
      </c>
      <c r="Q33" s="11" t="s">
        <v>51</v>
      </c>
      <c r="R33" s="11" t="s">
        <v>51</v>
      </c>
      <c r="S33" s="11" t="s">
        <v>51</v>
      </c>
      <c r="T33" s="11" t="s">
        <v>51</v>
      </c>
      <c r="U33" s="11" t="s">
        <v>51</v>
      </c>
      <c r="V33" s="11" t="s">
        <v>51</v>
      </c>
      <c r="W33" s="11" t="s">
        <v>51</v>
      </c>
      <c r="X33" s="11" t="s">
        <v>51</v>
      </c>
      <c r="Y33" s="11" t="s">
        <v>51</v>
      </c>
      <c r="Z33" s="11" t="s">
        <v>51</v>
      </c>
      <c r="AA33" s="11" t="s">
        <v>51</v>
      </c>
      <c r="AB33" s="11" t="s">
        <v>51</v>
      </c>
      <c r="AC33" s="11" t="s">
        <v>51</v>
      </c>
      <c r="AD33" s="11" t="s">
        <v>51</v>
      </c>
      <c r="AE33" s="11" t="s">
        <v>51</v>
      </c>
      <c r="AF33" s="11" t="s">
        <v>51</v>
      </c>
      <c r="AG33" s="11" t="s">
        <v>51</v>
      </c>
      <c r="AH33" s="11" t="s">
        <v>51</v>
      </c>
    </row>
    <row r="34" spans="1:34" s="33" customFormat="1" x14ac:dyDescent="0.2">
      <c r="A34" s="11">
        <v>131</v>
      </c>
      <c r="B34" s="11"/>
      <c r="C34" s="11"/>
      <c r="D34" s="11"/>
      <c r="E34" s="11"/>
      <c r="F34" s="11">
        <v>332</v>
      </c>
      <c r="G34" s="11" t="s">
        <v>53</v>
      </c>
      <c r="H34" s="56" t="str">
        <f>VLOOKUP(Table6[[#This Row],[ICD Code]],ICD_summary!$I$3:$M$38,5,0)</f>
        <v>PD</v>
      </c>
      <c r="I34" s="12">
        <v>78</v>
      </c>
      <c r="J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 s="11" t="s">
        <v>52</v>
      </c>
      <c r="L34" s="11"/>
      <c r="M34" s="11"/>
      <c r="N34" s="11">
        <v>37.607999999999997</v>
      </c>
      <c r="O34" s="11">
        <v>28.353999999999999</v>
      </c>
      <c r="P34" s="11">
        <v>67.266999999999996</v>
      </c>
      <c r="Q34" s="11">
        <v>66.585999999999999</v>
      </c>
      <c r="R34" s="11">
        <v>60.182000000000002</v>
      </c>
      <c r="S34" s="11">
        <v>59.530999999999999</v>
      </c>
      <c r="T34" s="11">
        <v>108.363</v>
      </c>
      <c r="U34" s="11">
        <v>105.623</v>
      </c>
      <c r="V34" s="11">
        <v>65.867000000000004</v>
      </c>
      <c r="W34" s="11">
        <v>63.134999999999998</v>
      </c>
      <c r="X34" s="11">
        <v>34.133000000000003</v>
      </c>
      <c r="Y34" s="11">
        <v>36.865000000000002</v>
      </c>
      <c r="Z34" s="11">
        <v>13.804</v>
      </c>
      <c r="AA34" s="11">
        <v>16.152000000000001</v>
      </c>
      <c r="AB34" s="11">
        <v>36.865000000000002</v>
      </c>
      <c r="AC34" s="11">
        <v>34.133000000000003</v>
      </c>
      <c r="AD34" s="11">
        <v>17.908000000000001</v>
      </c>
      <c r="AE34" s="11">
        <v>10</v>
      </c>
      <c r="AF34" s="11">
        <v>11</v>
      </c>
      <c r="AG34" s="11">
        <v>10</v>
      </c>
      <c r="AH34" s="11">
        <v>10</v>
      </c>
    </row>
    <row r="35" spans="1:34" s="33" customFormat="1" x14ac:dyDescent="0.2">
      <c r="A35" s="11">
        <v>132</v>
      </c>
      <c r="B35" s="11"/>
      <c r="C35" s="11"/>
      <c r="D35" s="11"/>
      <c r="E35" s="11"/>
      <c r="F35" s="11">
        <v>333.89</v>
      </c>
      <c r="G35" s="11" t="s">
        <v>56</v>
      </c>
      <c r="H35" s="56" t="str">
        <f>VLOOKUP(Table6[[#This Row],[ICD Code]],ICD_summary!$I$3:$M$38,5,0)</f>
        <v>Dystonia, other</v>
      </c>
      <c r="I35" s="12">
        <v>66.8</v>
      </c>
      <c r="J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 s="11" t="s">
        <v>55</v>
      </c>
      <c r="L35" s="11"/>
      <c r="M35" s="11"/>
      <c r="N35" s="11">
        <v>17.164999999999999</v>
      </c>
      <c r="O35" s="11">
        <v>35.774999999999999</v>
      </c>
      <c r="P35" s="11">
        <v>52.91</v>
      </c>
      <c r="Q35" s="11">
        <v>53.35</v>
      </c>
      <c r="R35" s="11">
        <v>32.258000000000003</v>
      </c>
      <c r="S35" s="11">
        <v>32.853999999999999</v>
      </c>
      <c r="T35" s="11">
        <v>72.915999999999997</v>
      </c>
      <c r="U35" s="11">
        <v>74.137</v>
      </c>
      <c r="V35" s="11">
        <v>68.518000000000001</v>
      </c>
      <c r="W35" s="11">
        <v>73.165000000000006</v>
      </c>
      <c r="X35" s="11">
        <v>31.481999999999999</v>
      </c>
      <c r="Y35" s="11">
        <v>26.835000000000001</v>
      </c>
      <c r="Z35" s="11">
        <v>21.591000000000001</v>
      </c>
      <c r="AA35" s="11">
        <v>20.373999999999999</v>
      </c>
      <c r="AB35" s="11">
        <v>26.835000000000001</v>
      </c>
      <c r="AC35" s="11">
        <v>31.481999999999999</v>
      </c>
      <c r="AD35" s="11">
        <v>13.452999999999999</v>
      </c>
      <c r="AE35" s="11">
        <v>20</v>
      </c>
      <c r="AF35" s="11">
        <v>17</v>
      </c>
      <c r="AG35" s="11">
        <v>17</v>
      </c>
      <c r="AH35" s="11">
        <v>17</v>
      </c>
    </row>
    <row r="36" spans="1:34" s="33" customFormat="1" x14ac:dyDescent="0.2">
      <c r="A36" s="11">
        <v>133</v>
      </c>
      <c r="B36" s="11"/>
      <c r="C36" s="11"/>
      <c r="D36" s="11"/>
      <c r="E36" s="11"/>
      <c r="F36" s="11">
        <v>333.71</v>
      </c>
      <c r="G36" s="11" t="s">
        <v>61</v>
      </c>
      <c r="H36" s="56" t="str">
        <f>VLOOKUP(Table6[[#This Row],[ICD Code]],ICD_summary!$I$3:$M$38,5,0)</f>
        <v>Misc/Other</v>
      </c>
      <c r="I36" s="12">
        <v>63.3</v>
      </c>
      <c r="J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 s="11" t="s">
        <v>55</v>
      </c>
      <c r="L36" s="11"/>
      <c r="M36" s="11"/>
      <c r="N36" s="11">
        <v>49.424999999999997</v>
      </c>
      <c r="O36" s="11">
        <v>38.064999999999998</v>
      </c>
      <c r="P36" s="11">
        <v>92.025000000000006</v>
      </c>
      <c r="Q36" s="11">
        <v>85.103999999999999</v>
      </c>
      <c r="R36" s="11">
        <v>71.387</v>
      </c>
      <c r="S36" s="11">
        <v>71.66</v>
      </c>
      <c r="T36" s="11">
        <v>93.069000000000003</v>
      </c>
      <c r="U36" s="11">
        <v>95.039000000000001</v>
      </c>
      <c r="V36" s="11">
        <v>69.512</v>
      </c>
      <c r="W36" s="11">
        <v>55.155000000000001</v>
      </c>
      <c r="X36" s="11">
        <v>30.488</v>
      </c>
      <c r="Y36" s="11">
        <v>44.844999999999999</v>
      </c>
      <c r="Z36" s="11">
        <v>12.676</v>
      </c>
      <c r="AA36" s="11">
        <v>12.426</v>
      </c>
      <c r="AB36" s="11">
        <v>44.844999999999999</v>
      </c>
      <c r="AC36" s="11">
        <v>30.488</v>
      </c>
      <c r="AD36" s="11">
        <v>18.416</v>
      </c>
      <c r="AE36" s="11">
        <v>10</v>
      </c>
      <c r="AF36" s="11">
        <v>9</v>
      </c>
      <c r="AG36" s="11">
        <v>9</v>
      </c>
      <c r="AH36" s="11">
        <v>9</v>
      </c>
    </row>
    <row r="37" spans="1:34" s="33" customFormat="1" x14ac:dyDescent="0.2">
      <c r="A37" s="11">
        <v>134</v>
      </c>
      <c r="B37" s="11"/>
      <c r="C37" s="11"/>
      <c r="D37" s="11"/>
      <c r="E37" s="11"/>
      <c r="F37" s="11" t="s">
        <v>62</v>
      </c>
      <c r="G37" s="11" t="s">
        <v>63</v>
      </c>
      <c r="H37" s="56" t="str">
        <f>VLOOKUP(Table6[[#This Row],[ICD Code]],ICD_summary!$I$3:$M$38,5,0)</f>
        <v>PD</v>
      </c>
      <c r="I37" s="12">
        <v>48.2</v>
      </c>
      <c r="J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37" s="11" t="s">
        <v>55</v>
      </c>
      <c r="L37" s="11"/>
      <c r="M37" s="11"/>
      <c r="N37" s="11">
        <v>55.652000000000001</v>
      </c>
      <c r="O37" s="11">
        <v>57.079000000000001</v>
      </c>
      <c r="P37" s="11">
        <v>112.605</v>
      </c>
      <c r="Q37" s="11">
        <v>113.85599999999999</v>
      </c>
      <c r="R37" s="11">
        <v>102.40600000000001</v>
      </c>
      <c r="S37" s="11">
        <v>104.00700000000001</v>
      </c>
      <c r="T37" s="11">
        <v>109.02800000000001</v>
      </c>
      <c r="U37" s="11">
        <v>109.60599999999999</v>
      </c>
      <c r="V37" s="11">
        <v>63.185000000000002</v>
      </c>
      <c r="W37" s="11">
        <v>63.537999999999997</v>
      </c>
      <c r="X37" s="11">
        <v>36.814999999999998</v>
      </c>
      <c r="Y37" s="11">
        <v>36.462000000000003</v>
      </c>
      <c r="Z37" s="11">
        <v>13.081</v>
      </c>
      <c r="AA37" s="11">
        <v>13.69</v>
      </c>
      <c r="AB37" s="11">
        <v>36.462000000000003</v>
      </c>
      <c r="AC37" s="11">
        <v>36.814999999999998</v>
      </c>
      <c r="AD37" s="11">
        <v>7.9749999999999996</v>
      </c>
      <c r="AE37" s="11">
        <v>14</v>
      </c>
      <c r="AF37" s="11">
        <v>12</v>
      </c>
      <c r="AG37" s="11">
        <v>12</v>
      </c>
      <c r="AH37" s="11">
        <v>12</v>
      </c>
    </row>
    <row r="38" spans="1:34" s="33" customFormat="1" x14ac:dyDescent="0.2">
      <c r="A38" s="11">
        <v>135</v>
      </c>
      <c r="B38" s="11"/>
      <c r="C38" s="11"/>
      <c r="D38" s="11"/>
      <c r="E38" s="11"/>
      <c r="F38" s="11" t="s">
        <v>64</v>
      </c>
      <c r="G38" s="11" t="s">
        <v>65</v>
      </c>
      <c r="H38" s="56" t="str">
        <f>VLOOKUP(Table6[[#This Row],[ICD Code]],ICD_summary!$I$3:$M$38,5,0)</f>
        <v>Gait, other abnormalities</v>
      </c>
      <c r="I38" s="12">
        <v>74.3</v>
      </c>
      <c r="J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 s="11" t="s">
        <v>55</v>
      </c>
      <c r="L38" s="11"/>
      <c r="M38" s="11"/>
      <c r="N38" s="11">
        <v>38.896000000000001</v>
      </c>
      <c r="O38" s="11">
        <v>35.543999999999997</v>
      </c>
      <c r="P38" s="11">
        <v>74.733000000000004</v>
      </c>
      <c r="Q38" s="11">
        <v>73.887</v>
      </c>
      <c r="R38" s="11">
        <v>57.313000000000002</v>
      </c>
      <c r="S38" s="11">
        <v>57.344999999999999</v>
      </c>
      <c r="T38" s="11">
        <v>92.86</v>
      </c>
      <c r="U38" s="11">
        <v>93.51</v>
      </c>
      <c r="V38" s="11">
        <v>66.644999999999996</v>
      </c>
      <c r="W38" s="11">
        <v>66.116</v>
      </c>
      <c r="X38" s="11">
        <v>33.354999999999997</v>
      </c>
      <c r="Y38" s="11">
        <v>33.884</v>
      </c>
      <c r="Z38" s="11">
        <v>15.01</v>
      </c>
      <c r="AA38" s="11">
        <v>18.277999999999999</v>
      </c>
      <c r="AB38" s="11">
        <v>33.884</v>
      </c>
      <c r="AC38" s="11">
        <v>33.354999999999997</v>
      </c>
      <c r="AD38" s="11">
        <v>9.9870000000000001</v>
      </c>
      <c r="AE38" s="11">
        <v>15</v>
      </c>
      <c r="AF38" s="11">
        <v>14</v>
      </c>
      <c r="AG38" s="11">
        <v>14</v>
      </c>
      <c r="AH38" s="11">
        <v>14</v>
      </c>
    </row>
    <row r="39" spans="1:34" s="33" customFormat="1" x14ac:dyDescent="0.2">
      <c r="A39" s="11">
        <v>136</v>
      </c>
      <c r="B39" s="11"/>
      <c r="C39" s="11"/>
      <c r="D39" s="11"/>
      <c r="E39" s="11"/>
      <c r="F39" s="11" t="s">
        <v>51</v>
      </c>
      <c r="G39" s="11" t="s">
        <v>51</v>
      </c>
      <c r="H39" s="56" t="str">
        <f>VLOOKUP(Table6[[#This Row],[ICD Code]],ICD_summary!$I$3:$M$38,5,0)</f>
        <v>Misc/Other</v>
      </c>
      <c r="I39" s="12">
        <v>999</v>
      </c>
      <c r="J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9" s="11" t="s">
        <v>51</v>
      </c>
      <c r="L39" s="11"/>
      <c r="M39" s="11"/>
      <c r="N39" s="11" t="s">
        <v>51</v>
      </c>
      <c r="O39" s="11" t="s">
        <v>51</v>
      </c>
      <c r="P39" s="11" t="s">
        <v>51</v>
      </c>
      <c r="Q39" s="11" t="s">
        <v>51</v>
      </c>
      <c r="R39" s="11" t="s">
        <v>51</v>
      </c>
      <c r="S39" s="11" t="s">
        <v>51</v>
      </c>
      <c r="T39" s="11" t="s">
        <v>51</v>
      </c>
      <c r="U39" s="11" t="s">
        <v>51</v>
      </c>
      <c r="V39" s="11" t="s">
        <v>51</v>
      </c>
      <c r="W39" s="11" t="s">
        <v>51</v>
      </c>
      <c r="X39" s="11" t="s">
        <v>51</v>
      </c>
      <c r="Y39" s="11" t="s">
        <v>51</v>
      </c>
      <c r="Z39" s="11" t="s">
        <v>51</v>
      </c>
      <c r="AA39" s="11" t="s">
        <v>51</v>
      </c>
      <c r="AB39" s="11" t="s">
        <v>51</v>
      </c>
      <c r="AC39" s="11" t="s">
        <v>51</v>
      </c>
      <c r="AD39" s="11" t="s">
        <v>51</v>
      </c>
      <c r="AE39" s="11" t="s">
        <v>51</v>
      </c>
      <c r="AF39" s="11" t="s">
        <v>51</v>
      </c>
      <c r="AG39" s="11" t="s">
        <v>51</v>
      </c>
      <c r="AH39" s="11" t="s">
        <v>51</v>
      </c>
    </row>
    <row r="40" spans="1:34" s="33" customFormat="1" x14ac:dyDescent="0.2">
      <c r="A40" s="11">
        <v>138</v>
      </c>
      <c r="B40" s="11"/>
      <c r="C40" s="11"/>
      <c r="D40" s="11"/>
      <c r="E40" s="11"/>
      <c r="F40" s="11" t="s">
        <v>66</v>
      </c>
      <c r="G40" s="11" t="s">
        <v>67</v>
      </c>
      <c r="H40" s="56" t="str">
        <f>VLOOKUP(Table6[[#This Row],[ICD Code]],ICD_summary!$I$3:$M$38,5,0)</f>
        <v>Dystonia, other</v>
      </c>
      <c r="I40" s="12">
        <v>35.799999999999997</v>
      </c>
      <c r="J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0" s="11" t="s">
        <v>52</v>
      </c>
      <c r="L40" s="11"/>
      <c r="M40" s="11"/>
      <c r="N40" s="11">
        <v>22.646000000000001</v>
      </c>
      <c r="O40" s="11">
        <v>34.863999999999997</v>
      </c>
      <c r="P40" s="11">
        <v>55.917000000000002</v>
      </c>
      <c r="Q40" s="11">
        <v>60.287999999999997</v>
      </c>
      <c r="R40" s="11">
        <v>26.251000000000001</v>
      </c>
      <c r="S40" s="11">
        <v>26.088000000000001</v>
      </c>
      <c r="T40" s="11">
        <v>55.387999999999998</v>
      </c>
      <c r="U40" s="11">
        <v>53.146000000000001</v>
      </c>
      <c r="V40" s="11">
        <v>80.091999999999999</v>
      </c>
      <c r="W40" s="11">
        <v>66.754000000000005</v>
      </c>
      <c r="X40" s="11">
        <v>19.908000000000001</v>
      </c>
      <c r="Y40" s="11">
        <v>33.246000000000002</v>
      </c>
      <c r="Z40" s="11">
        <v>20.683</v>
      </c>
      <c r="AA40" s="11">
        <v>22.32</v>
      </c>
      <c r="AB40" s="11">
        <v>33.246000000000002</v>
      </c>
      <c r="AC40" s="11">
        <v>19.908000000000001</v>
      </c>
      <c r="AD40" s="11">
        <v>18.742000000000001</v>
      </c>
      <c r="AE40" s="11">
        <v>8</v>
      </c>
      <c r="AF40" s="11">
        <v>7</v>
      </c>
      <c r="AG40" s="11">
        <v>7</v>
      </c>
      <c r="AH40" s="11">
        <v>7</v>
      </c>
    </row>
    <row r="41" spans="1:34" s="33" customFormat="1" x14ac:dyDescent="0.2">
      <c r="A41" s="11">
        <v>140</v>
      </c>
      <c r="B41" s="11"/>
      <c r="C41" s="11"/>
      <c r="D41" s="11"/>
      <c r="E41" s="11"/>
      <c r="F41" s="11" t="s">
        <v>62</v>
      </c>
      <c r="G41" s="11" t="s">
        <v>63</v>
      </c>
      <c r="H41" s="56" t="str">
        <f>VLOOKUP(Table6[[#This Row],[ICD Code]],ICD_summary!$I$3:$M$38,5,0)</f>
        <v>PD</v>
      </c>
      <c r="I41" s="12">
        <v>67.3</v>
      </c>
      <c r="J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 s="11" t="s">
        <v>52</v>
      </c>
      <c r="L41" s="11"/>
      <c r="M41" s="11"/>
      <c r="N41" s="11" t="s">
        <v>51</v>
      </c>
      <c r="O41" s="11" t="s">
        <v>51</v>
      </c>
      <c r="P41" s="11" t="s">
        <v>51</v>
      </c>
      <c r="Q41" s="11" t="s">
        <v>51</v>
      </c>
      <c r="R41" s="11" t="s">
        <v>51</v>
      </c>
      <c r="S41" s="11" t="s">
        <v>51</v>
      </c>
      <c r="T41" s="11" t="s">
        <v>51</v>
      </c>
      <c r="U41" s="11" t="s">
        <v>51</v>
      </c>
      <c r="V41" s="11" t="s">
        <v>51</v>
      </c>
      <c r="W41" s="11" t="s">
        <v>51</v>
      </c>
      <c r="X41" s="11" t="s">
        <v>51</v>
      </c>
      <c r="Y41" s="11" t="s">
        <v>51</v>
      </c>
      <c r="Z41" s="11" t="s">
        <v>51</v>
      </c>
      <c r="AA41" s="11" t="s">
        <v>51</v>
      </c>
      <c r="AB41" s="11" t="s">
        <v>51</v>
      </c>
      <c r="AC41" s="11" t="s">
        <v>51</v>
      </c>
      <c r="AD41" s="11" t="s">
        <v>51</v>
      </c>
      <c r="AE41" s="11" t="s">
        <v>51</v>
      </c>
      <c r="AF41" s="11" t="s">
        <v>51</v>
      </c>
      <c r="AG41" s="11" t="s">
        <v>51</v>
      </c>
      <c r="AH41" s="11" t="s">
        <v>51</v>
      </c>
    </row>
    <row r="42" spans="1:34" s="33" customFormat="1" x14ac:dyDescent="0.2">
      <c r="A42" s="11">
        <v>141</v>
      </c>
      <c r="B42" s="11"/>
      <c r="C42" s="11"/>
      <c r="D42" s="11"/>
      <c r="E42" s="11"/>
      <c r="F42" s="11" t="s">
        <v>68</v>
      </c>
      <c r="G42" s="11" t="s">
        <v>69</v>
      </c>
      <c r="H42" s="56" t="str">
        <f>VLOOKUP(Table6[[#This Row],[ICD Code]],ICD_summary!$I$3:$M$38,5,0)</f>
        <v>Tremor, essential tremor</v>
      </c>
      <c r="I42" s="12">
        <v>74.3</v>
      </c>
      <c r="J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2" s="11" t="s">
        <v>55</v>
      </c>
      <c r="L42" s="11"/>
      <c r="M42" s="11"/>
      <c r="N42" s="11">
        <v>43.27</v>
      </c>
      <c r="O42" s="11">
        <v>41.354999999999997</v>
      </c>
      <c r="P42" s="11">
        <v>84.438000000000002</v>
      </c>
      <c r="Q42" s="11">
        <v>84.912000000000006</v>
      </c>
      <c r="R42" s="11">
        <v>65.198999999999998</v>
      </c>
      <c r="S42" s="11">
        <v>65.867999999999995</v>
      </c>
      <c r="T42" s="11">
        <v>91.972999999999999</v>
      </c>
      <c r="U42" s="11">
        <v>92.91</v>
      </c>
      <c r="V42" s="11">
        <v>63.911000000000001</v>
      </c>
      <c r="W42" s="11">
        <v>65.031000000000006</v>
      </c>
      <c r="X42" s="11">
        <v>36.088999999999999</v>
      </c>
      <c r="Y42" s="11">
        <v>34.969000000000001</v>
      </c>
      <c r="Z42" s="11">
        <v>14.766999999999999</v>
      </c>
      <c r="AA42" s="11">
        <v>14.047000000000001</v>
      </c>
      <c r="AB42" s="11">
        <v>34.969000000000001</v>
      </c>
      <c r="AC42" s="11">
        <v>36.088999999999999</v>
      </c>
      <c r="AD42" s="11">
        <v>12.167</v>
      </c>
      <c r="AE42" s="11">
        <v>13</v>
      </c>
      <c r="AF42" s="11">
        <v>11</v>
      </c>
      <c r="AG42" s="11">
        <v>11</v>
      </c>
      <c r="AH42" s="11">
        <v>11</v>
      </c>
    </row>
    <row r="43" spans="1:34" s="33" customFormat="1" x14ac:dyDescent="0.2">
      <c r="A43" s="11">
        <v>142</v>
      </c>
      <c r="B43" s="11"/>
      <c r="C43" s="11"/>
      <c r="D43" s="11"/>
      <c r="E43" s="11"/>
      <c r="F43" s="11" t="s">
        <v>68</v>
      </c>
      <c r="G43" s="11" t="s">
        <v>69</v>
      </c>
      <c r="H43" s="56" t="str">
        <f>VLOOKUP(Table6[[#This Row],[ICD Code]],ICD_summary!$I$3:$M$38,5,0)</f>
        <v>Tremor, essential tremor</v>
      </c>
      <c r="I43" s="12">
        <v>58.9</v>
      </c>
      <c r="J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3" s="11" t="s">
        <v>55</v>
      </c>
      <c r="L43" s="11"/>
      <c r="M43" s="11"/>
      <c r="N43" s="11">
        <v>58.587000000000003</v>
      </c>
      <c r="O43" s="11">
        <v>57.454999999999998</v>
      </c>
      <c r="P43" s="11">
        <v>116.788</v>
      </c>
      <c r="Q43" s="11">
        <v>116.39100000000001</v>
      </c>
      <c r="R43" s="11">
        <v>102.57</v>
      </c>
      <c r="S43" s="11">
        <v>102.92700000000001</v>
      </c>
      <c r="T43" s="11">
        <v>105.239</v>
      </c>
      <c r="U43" s="11">
        <v>105.726</v>
      </c>
      <c r="V43" s="11">
        <v>64.293999999999997</v>
      </c>
      <c r="W43" s="11">
        <v>63.863999999999997</v>
      </c>
      <c r="X43" s="11">
        <v>35.706000000000003</v>
      </c>
      <c r="Y43" s="11">
        <v>36.136000000000003</v>
      </c>
      <c r="Z43" s="11">
        <v>14.429</v>
      </c>
      <c r="AA43" s="11">
        <v>14.131</v>
      </c>
      <c r="AB43" s="11">
        <v>36.136000000000003</v>
      </c>
      <c r="AC43" s="11">
        <v>35.706000000000003</v>
      </c>
      <c r="AD43" s="11">
        <v>9.9169999999999998</v>
      </c>
      <c r="AE43" s="11">
        <v>9</v>
      </c>
      <c r="AF43" s="11">
        <v>8</v>
      </c>
      <c r="AG43" s="11">
        <v>8</v>
      </c>
      <c r="AH43" s="11">
        <v>8</v>
      </c>
    </row>
    <row r="44" spans="1:34" s="33" customFormat="1" x14ac:dyDescent="0.2">
      <c r="A44" s="11">
        <v>144</v>
      </c>
      <c r="B44" s="11"/>
      <c r="C44" s="11"/>
      <c r="D44" s="11"/>
      <c r="E44" s="11"/>
      <c r="F44" s="11" t="s">
        <v>62</v>
      </c>
      <c r="G44" s="11" t="s">
        <v>63</v>
      </c>
      <c r="H44" s="56" t="str">
        <f>VLOOKUP(Table6[[#This Row],[ICD Code]],ICD_summary!$I$3:$M$38,5,0)</f>
        <v>PD</v>
      </c>
      <c r="I44" s="12">
        <v>69.3</v>
      </c>
      <c r="J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 s="11" t="s">
        <v>52</v>
      </c>
      <c r="L44" s="11"/>
      <c r="M44" s="11"/>
      <c r="N44" s="11">
        <v>52.252000000000002</v>
      </c>
      <c r="O44" s="11">
        <v>58.106999999999999</v>
      </c>
      <c r="P44" s="11">
        <v>110.41</v>
      </c>
      <c r="Q44" s="11">
        <v>111.68899999999999</v>
      </c>
      <c r="R44" s="11">
        <v>91.613</v>
      </c>
      <c r="S44" s="11">
        <v>91.909000000000006</v>
      </c>
      <c r="T44" s="11">
        <v>98.936999999999998</v>
      </c>
      <c r="U44" s="11">
        <v>98.632999999999996</v>
      </c>
      <c r="V44" s="11">
        <v>63.369</v>
      </c>
      <c r="W44" s="11">
        <v>63.506</v>
      </c>
      <c r="X44" s="11">
        <v>36.631</v>
      </c>
      <c r="Y44" s="11">
        <v>36.494</v>
      </c>
      <c r="Z44" s="11">
        <v>14.089</v>
      </c>
      <c r="AA44" s="11">
        <v>13.03</v>
      </c>
      <c r="AB44" s="11">
        <v>36.494</v>
      </c>
      <c r="AC44" s="11">
        <v>36.631</v>
      </c>
      <c r="AD44" s="11">
        <v>8.4139999999999997</v>
      </c>
      <c r="AE44" s="11">
        <v>14</v>
      </c>
      <c r="AF44" s="11">
        <v>13</v>
      </c>
      <c r="AG44" s="11">
        <v>13</v>
      </c>
      <c r="AH44" s="11">
        <v>13</v>
      </c>
    </row>
    <row r="45" spans="1:34" s="33" customFormat="1" x14ac:dyDescent="0.2">
      <c r="A45" s="11">
        <v>145</v>
      </c>
      <c r="B45" s="11"/>
      <c r="C45" s="11"/>
      <c r="D45" s="11"/>
      <c r="E45" s="11"/>
      <c r="F45" s="11" t="s">
        <v>68</v>
      </c>
      <c r="G45" s="11" t="s">
        <v>69</v>
      </c>
      <c r="H45" s="56" t="str">
        <f>VLOOKUP(Table6[[#This Row],[ICD Code]],ICD_summary!$I$3:$M$38,5,0)</f>
        <v>Tremor, essential tremor</v>
      </c>
      <c r="I45" s="12">
        <v>70</v>
      </c>
      <c r="J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 s="11" t="s">
        <v>55</v>
      </c>
      <c r="L45" s="11"/>
      <c r="M45" s="11"/>
      <c r="N45" s="11">
        <v>49.241</v>
      </c>
      <c r="O45" s="11">
        <v>52.231999999999999</v>
      </c>
      <c r="P45" s="11">
        <v>101.136</v>
      </c>
      <c r="Q45" s="11">
        <v>101.479</v>
      </c>
      <c r="R45" s="11">
        <v>90.807000000000002</v>
      </c>
      <c r="S45" s="11">
        <v>90.835999999999999</v>
      </c>
      <c r="T45" s="11">
        <v>108.285</v>
      </c>
      <c r="U45" s="11">
        <v>107.886</v>
      </c>
      <c r="V45" s="11">
        <v>62.945999999999998</v>
      </c>
      <c r="W45" s="11">
        <v>62.930999999999997</v>
      </c>
      <c r="X45" s="11">
        <v>37.054000000000002</v>
      </c>
      <c r="Y45" s="11">
        <v>37.069000000000003</v>
      </c>
      <c r="Z45" s="11">
        <v>14.016999999999999</v>
      </c>
      <c r="AA45" s="11">
        <v>12.134</v>
      </c>
      <c r="AB45" s="11">
        <v>37.069000000000003</v>
      </c>
      <c r="AC45" s="11">
        <v>37.054000000000002</v>
      </c>
      <c r="AD45" s="11">
        <v>11.456</v>
      </c>
      <c r="AE45" s="11">
        <v>17</v>
      </c>
      <c r="AF45" s="11">
        <v>18</v>
      </c>
      <c r="AG45" s="11">
        <v>17</v>
      </c>
      <c r="AH45" s="11">
        <v>17</v>
      </c>
    </row>
    <row r="46" spans="1:34" s="33" customFormat="1" x14ac:dyDescent="0.2">
      <c r="A46" s="11">
        <v>146</v>
      </c>
      <c r="B46" s="11"/>
      <c r="C46" s="11"/>
      <c r="D46" s="11"/>
      <c r="E46" s="11"/>
      <c r="F46" s="11" t="s">
        <v>70</v>
      </c>
      <c r="G46" s="11" t="s">
        <v>71</v>
      </c>
      <c r="H46" s="56" t="str">
        <f>VLOOKUP(Table6[[#This Row],[ICD Code]],ICD_summary!$I$3:$M$38,5,0)</f>
        <v>Misc/Other</v>
      </c>
      <c r="I46" s="12">
        <v>63.8</v>
      </c>
      <c r="J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 s="11" t="s">
        <v>52</v>
      </c>
      <c r="L46" s="11"/>
      <c r="M46" s="11"/>
      <c r="N46" s="11">
        <v>61.249000000000002</v>
      </c>
      <c r="O46" s="11">
        <v>57.04</v>
      </c>
      <c r="P46" s="11">
        <v>117.809</v>
      </c>
      <c r="Q46" s="11">
        <v>118.282</v>
      </c>
      <c r="R46" s="11">
        <v>85.016999999999996</v>
      </c>
      <c r="S46" s="11">
        <v>85.971000000000004</v>
      </c>
      <c r="T46" s="11">
        <v>86.947999999999993</v>
      </c>
      <c r="U46" s="11">
        <v>87.227000000000004</v>
      </c>
      <c r="V46" s="11">
        <v>64.504999999999995</v>
      </c>
      <c r="W46" s="11">
        <v>65.043999999999997</v>
      </c>
      <c r="X46" s="11">
        <v>35.494</v>
      </c>
      <c r="Y46" s="11">
        <v>34.956000000000003</v>
      </c>
      <c r="Z46" s="11">
        <v>15.441000000000001</v>
      </c>
      <c r="AA46" s="11">
        <v>14.536</v>
      </c>
      <c r="AB46" s="11">
        <v>34.956000000000003</v>
      </c>
      <c r="AC46" s="11">
        <v>35.494</v>
      </c>
      <c r="AD46" s="11">
        <v>9.5299999999999994</v>
      </c>
      <c r="AE46" s="11">
        <v>16</v>
      </c>
      <c r="AF46" s="11">
        <v>16</v>
      </c>
      <c r="AG46" s="11">
        <v>16</v>
      </c>
      <c r="AH46" s="11">
        <v>16</v>
      </c>
    </row>
    <row r="47" spans="1:34" s="33" customFormat="1" x14ac:dyDescent="0.2">
      <c r="A47" s="11">
        <v>147</v>
      </c>
      <c r="B47" s="11"/>
      <c r="C47" s="11"/>
      <c r="D47" s="11"/>
      <c r="E47" s="11"/>
      <c r="F47" s="11" t="s">
        <v>62</v>
      </c>
      <c r="G47" s="11" t="s">
        <v>63</v>
      </c>
      <c r="H47" s="56" t="str">
        <f>VLOOKUP(Table6[[#This Row],[ICD Code]],ICD_summary!$I$3:$M$38,5,0)</f>
        <v>PD</v>
      </c>
      <c r="I47" s="12">
        <v>51.4</v>
      </c>
      <c r="J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 s="11" t="s">
        <v>52</v>
      </c>
      <c r="L47" s="11"/>
      <c r="M47" s="11"/>
      <c r="N47" s="11">
        <v>62.695999999999998</v>
      </c>
      <c r="O47" s="11">
        <v>64.414000000000001</v>
      </c>
      <c r="P47" s="11">
        <v>127.107</v>
      </c>
      <c r="Q47" s="11">
        <v>127.57299999999999</v>
      </c>
      <c r="R47" s="11">
        <v>127.015</v>
      </c>
      <c r="S47" s="11">
        <v>128.28100000000001</v>
      </c>
      <c r="T47" s="11">
        <v>119.626</v>
      </c>
      <c r="U47" s="11">
        <v>120.473</v>
      </c>
      <c r="V47" s="11">
        <v>61.768000000000001</v>
      </c>
      <c r="W47" s="11">
        <v>64.096999999999994</v>
      </c>
      <c r="X47" s="11">
        <v>38.231999999999999</v>
      </c>
      <c r="Y47" s="11">
        <v>35.902999999999999</v>
      </c>
      <c r="Z47" s="11">
        <v>12.865</v>
      </c>
      <c r="AA47" s="11">
        <v>13.055999999999999</v>
      </c>
      <c r="AB47" s="11">
        <v>35.902999999999999</v>
      </c>
      <c r="AC47" s="11">
        <v>38.231999999999999</v>
      </c>
      <c r="AD47" s="11">
        <v>10.653</v>
      </c>
      <c r="AE47" s="11">
        <v>18</v>
      </c>
      <c r="AF47" s="11">
        <v>21</v>
      </c>
      <c r="AG47" s="11">
        <v>18</v>
      </c>
      <c r="AH47" s="11">
        <v>18</v>
      </c>
    </row>
    <row r="48" spans="1:34" s="33" customFormat="1" x14ac:dyDescent="0.2">
      <c r="A48" s="11">
        <v>148</v>
      </c>
      <c r="B48" s="11"/>
      <c r="C48" s="11"/>
      <c r="D48" s="11"/>
      <c r="E48" s="11"/>
      <c r="F48" s="11" t="s">
        <v>62</v>
      </c>
      <c r="G48" s="11" t="s">
        <v>63</v>
      </c>
      <c r="H48" s="56" t="str">
        <f>VLOOKUP(Table6[[#This Row],[ICD Code]],ICD_summary!$I$3:$M$38,5,0)</f>
        <v>PD</v>
      </c>
      <c r="I48" s="12">
        <v>63.7</v>
      </c>
      <c r="J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 s="11" t="s">
        <v>52</v>
      </c>
      <c r="L48" s="11"/>
      <c r="M48" s="11"/>
      <c r="N48" s="11">
        <v>22.573</v>
      </c>
      <c r="O48" s="11">
        <v>21.818000000000001</v>
      </c>
      <c r="P48" s="11">
        <v>44.475000000000001</v>
      </c>
      <c r="Q48" s="11">
        <v>44.548000000000002</v>
      </c>
      <c r="R48" s="11">
        <v>35.439</v>
      </c>
      <c r="S48" s="11">
        <v>35.470999999999997</v>
      </c>
      <c r="T48" s="11">
        <v>96.341999999999999</v>
      </c>
      <c r="U48" s="11">
        <v>96.798000000000002</v>
      </c>
      <c r="V48" s="11">
        <v>69.828999999999994</v>
      </c>
      <c r="W48" s="11">
        <v>66.918999999999997</v>
      </c>
      <c r="X48" s="11">
        <v>30.170999999999999</v>
      </c>
      <c r="Y48" s="11">
        <v>33.081000000000003</v>
      </c>
      <c r="Z48" s="11">
        <v>20.302</v>
      </c>
      <c r="AA48" s="11">
        <v>15.903</v>
      </c>
      <c r="AB48" s="11">
        <v>33.081000000000003</v>
      </c>
      <c r="AC48" s="11">
        <v>30.170999999999999</v>
      </c>
      <c r="AD48" s="11">
        <v>13.115</v>
      </c>
      <c r="AE48" s="11">
        <v>14</v>
      </c>
      <c r="AF48" s="11">
        <v>15</v>
      </c>
      <c r="AG48" s="11">
        <v>14</v>
      </c>
      <c r="AH48" s="11">
        <v>14</v>
      </c>
    </row>
    <row r="49" spans="1:34" s="33" customFormat="1" x14ac:dyDescent="0.2">
      <c r="A49" s="11">
        <v>150</v>
      </c>
      <c r="B49" s="11"/>
      <c r="C49" s="11"/>
      <c r="D49" s="11"/>
      <c r="E49" s="11"/>
      <c r="F49" s="11" t="s">
        <v>62</v>
      </c>
      <c r="G49" s="11" t="s">
        <v>63</v>
      </c>
      <c r="H49" s="56" t="str">
        <f>VLOOKUP(Table6[[#This Row],[ICD Code]],ICD_summary!$I$3:$M$38,5,0)</f>
        <v>PD</v>
      </c>
      <c r="I49" s="12">
        <v>44.5</v>
      </c>
      <c r="J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9" s="11" t="s">
        <v>52</v>
      </c>
      <c r="L49" s="11"/>
      <c r="M49" s="11"/>
      <c r="N49" s="11">
        <v>50.844999999999999</v>
      </c>
      <c r="O49" s="11">
        <v>46.811</v>
      </c>
      <c r="P49" s="11">
        <v>98.406999999999996</v>
      </c>
      <c r="Q49" s="11">
        <v>97.738</v>
      </c>
      <c r="R49" s="11">
        <v>74.753</v>
      </c>
      <c r="S49" s="11">
        <v>74.656000000000006</v>
      </c>
      <c r="T49" s="11">
        <v>91.888999999999996</v>
      </c>
      <c r="U49" s="11">
        <v>91.653000000000006</v>
      </c>
      <c r="V49" s="11">
        <v>63.277999999999999</v>
      </c>
      <c r="W49" s="11">
        <v>65.096999999999994</v>
      </c>
      <c r="X49" s="11">
        <v>36.722000000000001</v>
      </c>
      <c r="Y49" s="11">
        <v>34.902999999999999</v>
      </c>
      <c r="Z49" s="11">
        <v>13.731</v>
      </c>
      <c r="AA49" s="11">
        <v>15.226000000000001</v>
      </c>
      <c r="AB49" s="11">
        <v>34.902999999999999</v>
      </c>
      <c r="AC49" s="11">
        <v>36.722000000000001</v>
      </c>
      <c r="AD49" s="11">
        <v>10.496</v>
      </c>
      <c r="AE49" s="11">
        <v>20</v>
      </c>
      <c r="AF49" s="11">
        <v>21</v>
      </c>
      <c r="AG49" s="11">
        <v>20</v>
      </c>
      <c r="AH49" s="11">
        <v>20</v>
      </c>
    </row>
    <row r="50" spans="1:34" s="33" customFormat="1" x14ac:dyDescent="0.2">
      <c r="A50" s="11">
        <v>151</v>
      </c>
      <c r="B50" s="11"/>
      <c r="C50" s="11"/>
      <c r="D50" s="11"/>
      <c r="E50" s="11"/>
      <c r="F50" s="11" t="s">
        <v>62</v>
      </c>
      <c r="G50" s="11" t="s">
        <v>63</v>
      </c>
      <c r="H50" s="56" t="str">
        <f>VLOOKUP(Table6[[#This Row],[ICD Code]],ICD_summary!$I$3:$M$38,5,0)</f>
        <v>PD</v>
      </c>
      <c r="I50" s="12">
        <v>57.7</v>
      </c>
      <c r="J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0" s="11" t="s">
        <v>55</v>
      </c>
      <c r="L50" s="11"/>
      <c r="M50" s="11"/>
      <c r="N50" s="11">
        <v>64.686999999999998</v>
      </c>
      <c r="O50" s="11">
        <v>65.594999999999999</v>
      </c>
      <c r="P50" s="11">
        <v>130.315</v>
      </c>
      <c r="Q50" s="11">
        <v>130.501</v>
      </c>
      <c r="R50" s="11">
        <v>132.149</v>
      </c>
      <c r="S50" s="11">
        <v>132.31899999999999</v>
      </c>
      <c r="T50" s="11">
        <v>122.238</v>
      </c>
      <c r="U50" s="11">
        <v>121.857</v>
      </c>
      <c r="V50" s="11">
        <v>59.476999999999997</v>
      </c>
      <c r="W50" s="11">
        <v>59.683999999999997</v>
      </c>
      <c r="X50" s="11">
        <v>40.523000000000003</v>
      </c>
      <c r="Y50" s="11">
        <v>40.316000000000003</v>
      </c>
      <c r="Z50" s="11">
        <v>9.01</v>
      </c>
      <c r="AA50" s="11">
        <v>10.691000000000001</v>
      </c>
      <c r="AB50" s="11">
        <v>40.316000000000003</v>
      </c>
      <c r="AC50" s="11">
        <v>40.523000000000003</v>
      </c>
      <c r="AD50" s="11">
        <v>12.624000000000001</v>
      </c>
      <c r="AE50" s="11">
        <v>24</v>
      </c>
      <c r="AF50" s="11">
        <v>20</v>
      </c>
      <c r="AG50" s="11">
        <v>20</v>
      </c>
      <c r="AH50" s="11">
        <v>20</v>
      </c>
    </row>
    <row r="51" spans="1:34" s="33" customFormat="1" x14ac:dyDescent="0.2">
      <c r="A51" s="11">
        <v>153</v>
      </c>
      <c r="B51" s="11"/>
      <c r="C51" s="11"/>
      <c r="D51" s="11"/>
      <c r="E51" s="11"/>
      <c r="F51" s="11" t="s">
        <v>62</v>
      </c>
      <c r="G51" s="11" t="s">
        <v>63</v>
      </c>
      <c r="H51" s="56" t="str">
        <f>VLOOKUP(Table6[[#This Row],[ICD Code]],ICD_summary!$I$3:$M$38,5,0)</f>
        <v>PD</v>
      </c>
      <c r="I51" s="12">
        <v>56.1</v>
      </c>
      <c r="J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 s="11" t="s">
        <v>52</v>
      </c>
      <c r="L51" s="11"/>
      <c r="M51" s="11"/>
      <c r="N51" s="11">
        <v>41.514000000000003</v>
      </c>
      <c r="O51" s="11">
        <v>57.027999999999999</v>
      </c>
      <c r="P51" s="11">
        <v>98.135000000000005</v>
      </c>
      <c r="Q51" s="11">
        <v>98.733000000000004</v>
      </c>
      <c r="R51" s="11">
        <v>91.361999999999995</v>
      </c>
      <c r="S51" s="11">
        <v>91.147999999999996</v>
      </c>
      <c r="T51" s="11">
        <v>111.254</v>
      </c>
      <c r="U51" s="11">
        <v>111.139</v>
      </c>
      <c r="V51" s="11">
        <v>63.682000000000002</v>
      </c>
      <c r="W51" s="11">
        <v>66.56</v>
      </c>
      <c r="X51" s="11">
        <v>36.317999999999998</v>
      </c>
      <c r="Y51" s="11">
        <v>33.44</v>
      </c>
      <c r="Z51" s="11">
        <v>11.827999999999999</v>
      </c>
      <c r="AA51" s="11">
        <v>18.454000000000001</v>
      </c>
      <c r="AB51" s="11">
        <v>33.44</v>
      </c>
      <c r="AC51" s="11">
        <v>36.317999999999998</v>
      </c>
      <c r="AD51" s="11">
        <v>11.76</v>
      </c>
      <c r="AE51" s="11">
        <v>18</v>
      </c>
      <c r="AF51" s="11">
        <v>20</v>
      </c>
      <c r="AG51" s="11">
        <v>18</v>
      </c>
      <c r="AH51" s="11">
        <v>18</v>
      </c>
    </row>
    <row r="52" spans="1:34" s="33" customFormat="1" x14ac:dyDescent="0.2">
      <c r="A52" s="11">
        <v>155</v>
      </c>
      <c r="B52" s="11"/>
      <c r="C52" s="11"/>
      <c r="D52" s="11"/>
      <c r="E52" s="11"/>
      <c r="F52" s="11" t="s">
        <v>62</v>
      </c>
      <c r="G52" s="11" t="s">
        <v>63</v>
      </c>
      <c r="H52" s="56" t="str">
        <f>VLOOKUP(Table6[[#This Row],[ICD Code]],ICD_summary!$I$3:$M$38,5,0)</f>
        <v>PD</v>
      </c>
      <c r="I52" s="12">
        <v>52</v>
      </c>
      <c r="J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 s="11" t="s">
        <v>52</v>
      </c>
      <c r="L52" s="11"/>
      <c r="M52" s="11"/>
      <c r="N52" s="11">
        <v>68.343000000000004</v>
      </c>
      <c r="O52" s="11">
        <v>60.993000000000002</v>
      </c>
      <c r="P52" s="11">
        <v>129.99799999999999</v>
      </c>
      <c r="Q52" s="11">
        <v>129.47999999999999</v>
      </c>
      <c r="R52" s="11">
        <v>113.04</v>
      </c>
      <c r="S52" s="11">
        <v>112.723</v>
      </c>
      <c r="T52" s="11">
        <v>104.575</v>
      </c>
      <c r="U52" s="11">
        <v>104.678</v>
      </c>
      <c r="V52" s="11">
        <v>63.771000000000001</v>
      </c>
      <c r="W52" s="11">
        <v>66.043999999999997</v>
      </c>
      <c r="X52" s="11">
        <v>36.228999999999999</v>
      </c>
      <c r="Y52" s="11">
        <v>33.956000000000003</v>
      </c>
      <c r="Z52" s="11">
        <v>13.7</v>
      </c>
      <c r="AA52" s="11">
        <v>16.321999999999999</v>
      </c>
      <c r="AB52" s="11">
        <v>33.956000000000003</v>
      </c>
      <c r="AC52" s="11">
        <v>36.228999999999999</v>
      </c>
      <c r="AD52" s="11">
        <v>12.321999999999999</v>
      </c>
      <c r="AE52" s="11">
        <v>17</v>
      </c>
      <c r="AF52" s="11">
        <v>15</v>
      </c>
      <c r="AG52" s="11">
        <v>15</v>
      </c>
      <c r="AH52" s="11">
        <v>15</v>
      </c>
    </row>
    <row r="53" spans="1:34" s="33" customFormat="1" x14ac:dyDescent="0.2">
      <c r="A53" s="11">
        <v>156</v>
      </c>
      <c r="B53" s="11"/>
      <c r="C53" s="11"/>
      <c r="D53" s="11"/>
      <c r="E53" s="11"/>
      <c r="F53" s="11" t="s">
        <v>72</v>
      </c>
      <c r="G53" s="11" t="s">
        <v>73</v>
      </c>
      <c r="H53" s="56" t="str">
        <f>VLOOKUP(Table6[[#This Row],[ICD Code]],ICD_summary!$I$3:$M$38,5,0)</f>
        <v>Tremor, other</v>
      </c>
      <c r="I53" s="12">
        <v>54.1</v>
      </c>
      <c r="J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 s="11" t="s">
        <v>52</v>
      </c>
      <c r="L53" s="11"/>
      <c r="M53" s="11"/>
      <c r="N53" s="11">
        <v>16.209</v>
      </c>
      <c r="O53" s="11">
        <v>3.468</v>
      </c>
      <c r="P53" s="11">
        <v>19.513999999999999</v>
      </c>
      <c r="Q53" s="11">
        <v>19.158999999999999</v>
      </c>
      <c r="R53" s="11">
        <v>4.1989999999999998</v>
      </c>
      <c r="S53" s="11">
        <v>4.2380000000000004</v>
      </c>
      <c r="T53" s="11">
        <v>26.378</v>
      </c>
      <c r="U53" s="11">
        <v>25.66</v>
      </c>
      <c r="V53" s="11">
        <v>87.064999999999998</v>
      </c>
      <c r="W53" s="11">
        <v>89.93</v>
      </c>
      <c r="X53" s="11">
        <v>12.935</v>
      </c>
      <c r="Y53" s="11">
        <v>10.07</v>
      </c>
      <c r="Z53" s="11">
        <v>39.591000000000001</v>
      </c>
      <c r="AA53" s="11">
        <v>37.018999999999998</v>
      </c>
      <c r="AB53" s="11">
        <v>10.07</v>
      </c>
      <c r="AC53" s="11">
        <v>12.935</v>
      </c>
      <c r="AD53" s="11">
        <v>19.945</v>
      </c>
      <c r="AE53" s="11">
        <v>10</v>
      </c>
      <c r="AF53" s="11">
        <v>11</v>
      </c>
      <c r="AG53" s="11">
        <v>10</v>
      </c>
      <c r="AH53" s="11">
        <v>10</v>
      </c>
    </row>
    <row r="54" spans="1:34" s="33" customFormat="1" x14ac:dyDescent="0.2">
      <c r="A54" s="11">
        <v>157</v>
      </c>
      <c r="B54" s="11"/>
      <c r="C54" s="11"/>
      <c r="D54" s="11"/>
      <c r="E54" s="11"/>
      <c r="F54" s="11" t="s">
        <v>62</v>
      </c>
      <c r="G54" s="11" t="s">
        <v>63</v>
      </c>
      <c r="H54" s="56" t="str">
        <f>VLOOKUP(Table6[[#This Row],[ICD Code]],ICD_summary!$I$3:$M$38,5,0)</f>
        <v>PD</v>
      </c>
      <c r="I54" s="12">
        <v>42.3</v>
      </c>
      <c r="J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4" s="11" t="s">
        <v>55</v>
      </c>
      <c r="L54" s="11"/>
      <c r="M54" s="11"/>
      <c r="N54" s="11">
        <v>49.853000000000002</v>
      </c>
      <c r="O54" s="11">
        <v>49.133000000000003</v>
      </c>
      <c r="P54" s="11">
        <v>99.718999999999994</v>
      </c>
      <c r="Q54" s="11">
        <v>99.143000000000001</v>
      </c>
      <c r="R54" s="11">
        <v>87.602999999999994</v>
      </c>
      <c r="S54" s="11">
        <v>87.239000000000004</v>
      </c>
      <c r="T54" s="11">
        <v>105.375</v>
      </c>
      <c r="U54" s="11">
        <v>105.30500000000001</v>
      </c>
      <c r="V54" s="11">
        <v>62.326000000000001</v>
      </c>
      <c r="W54" s="11">
        <v>63.262999999999998</v>
      </c>
      <c r="X54" s="11">
        <v>37.673999999999999</v>
      </c>
      <c r="Y54" s="11">
        <v>36.737000000000002</v>
      </c>
      <c r="Z54" s="11">
        <v>14.196</v>
      </c>
      <c r="AA54" s="11">
        <v>11.667</v>
      </c>
      <c r="AB54" s="11">
        <v>36.737000000000002</v>
      </c>
      <c r="AC54" s="11">
        <v>37.673999999999999</v>
      </c>
      <c r="AD54" s="11">
        <v>10.393000000000001</v>
      </c>
      <c r="AE54" s="11">
        <v>14</v>
      </c>
      <c r="AF54" s="11">
        <v>15</v>
      </c>
      <c r="AG54" s="11">
        <v>14</v>
      </c>
      <c r="AH54" s="11">
        <v>14</v>
      </c>
    </row>
    <row r="55" spans="1:34" s="33" customFormat="1" x14ac:dyDescent="0.2">
      <c r="A55" s="11">
        <v>158</v>
      </c>
      <c r="B55" s="11"/>
      <c r="C55" s="11"/>
      <c r="D55" s="11"/>
      <c r="E55" s="11"/>
      <c r="F55" s="11" t="s">
        <v>68</v>
      </c>
      <c r="G55" s="11" t="s">
        <v>69</v>
      </c>
      <c r="H55" s="56" t="str">
        <f>VLOOKUP(Table6[[#This Row],[ICD Code]],ICD_summary!$I$3:$M$38,5,0)</f>
        <v>Tremor, essential tremor</v>
      </c>
      <c r="I55" s="12">
        <v>74</v>
      </c>
      <c r="J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 s="11" t="s">
        <v>52</v>
      </c>
      <c r="L55" s="11"/>
      <c r="M55" s="11"/>
      <c r="N55" s="11">
        <v>58.195999999999998</v>
      </c>
      <c r="O55" s="11">
        <v>58.847000000000001</v>
      </c>
      <c r="P55" s="11">
        <v>117.017</v>
      </c>
      <c r="Q55" s="11">
        <v>117.09</v>
      </c>
      <c r="R55" s="11">
        <v>96.016999999999996</v>
      </c>
      <c r="S55" s="11">
        <v>96.096000000000004</v>
      </c>
      <c r="T55" s="11">
        <v>98.216999999999999</v>
      </c>
      <c r="U55" s="11">
        <v>98.486000000000004</v>
      </c>
      <c r="V55" s="11">
        <v>63.228000000000002</v>
      </c>
      <c r="W55" s="11">
        <v>64.088999999999999</v>
      </c>
      <c r="X55" s="11">
        <v>36.771999999999998</v>
      </c>
      <c r="Y55" s="11">
        <v>35.911000000000001</v>
      </c>
      <c r="Z55" s="11">
        <v>14.179</v>
      </c>
      <c r="AA55" s="11">
        <v>13.451000000000001</v>
      </c>
      <c r="AB55" s="11">
        <v>35.911000000000001</v>
      </c>
      <c r="AC55" s="11">
        <v>36.771999999999998</v>
      </c>
      <c r="AD55" s="11">
        <v>9.48</v>
      </c>
      <c r="AE55" s="11">
        <v>15</v>
      </c>
      <c r="AF55" s="11">
        <v>15</v>
      </c>
      <c r="AG55" s="11">
        <v>15</v>
      </c>
      <c r="AH55" s="11">
        <v>15</v>
      </c>
    </row>
    <row r="56" spans="1:34" s="33" customFormat="1" x14ac:dyDescent="0.2">
      <c r="A56" s="11">
        <v>161</v>
      </c>
      <c r="B56" s="11"/>
      <c r="C56" s="11"/>
      <c r="D56" s="11"/>
      <c r="E56" s="11"/>
      <c r="F56" s="11" t="s">
        <v>72</v>
      </c>
      <c r="G56" s="11" t="s">
        <v>73</v>
      </c>
      <c r="H56" s="56" t="str">
        <f>VLOOKUP(Table6[[#This Row],[ICD Code]],ICD_summary!$I$3:$M$38,5,0)</f>
        <v>Tremor, other</v>
      </c>
      <c r="I56" s="12">
        <v>81.099999999999994</v>
      </c>
      <c r="J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6" s="11" t="s">
        <v>52</v>
      </c>
      <c r="L56" s="11"/>
      <c r="M56" s="11"/>
      <c r="N56" s="11" t="s">
        <v>51</v>
      </c>
      <c r="O56" s="11" t="s">
        <v>51</v>
      </c>
      <c r="P56" s="11" t="s">
        <v>51</v>
      </c>
      <c r="Q56" s="11" t="s">
        <v>51</v>
      </c>
      <c r="R56" s="11" t="s">
        <v>51</v>
      </c>
      <c r="S56" s="11" t="s">
        <v>51</v>
      </c>
      <c r="T56" s="11" t="s">
        <v>51</v>
      </c>
      <c r="U56" s="11" t="s">
        <v>51</v>
      </c>
      <c r="V56" s="11" t="s">
        <v>51</v>
      </c>
      <c r="W56" s="11" t="s">
        <v>51</v>
      </c>
      <c r="X56" s="11" t="s">
        <v>51</v>
      </c>
      <c r="Y56" s="11" t="s">
        <v>51</v>
      </c>
      <c r="Z56" s="11" t="s">
        <v>51</v>
      </c>
      <c r="AA56" s="11" t="s">
        <v>51</v>
      </c>
      <c r="AB56" s="11" t="s">
        <v>51</v>
      </c>
      <c r="AC56" s="11" t="s">
        <v>51</v>
      </c>
      <c r="AD56" s="11" t="s">
        <v>51</v>
      </c>
      <c r="AE56" s="11" t="s">
        <v>51</v>
      </c>
      <c r="AF56" s="11" t="s">
        <v>51</v>
      </c>
      <c r="AG56" s="11" t="s">
        <v>51</v>
      </c>
      <c r="AH56" s="11" t="s">
        <v>51</v>
      </c>
    </row>
    <row r="57" spans="1:34" s="33" customFormat="1" x14ac:dyDescent="0.2">
      <c r="A57" s="11">
        <v>162</v>
      </c>
      <c r="B57" s="11"/>
      <c r="C57" s="11"/>
      <c r="D57" s="11"/>
      <c r="E57" s="11"/>
      <c r="F57" s="11" t="s">
        <v>51</v>
      </c>
      <c r="G57" s="11" t="s">
        <v>51</v>
      </c>
      <c r="H57" s="56" t="str">
        <f>VLOOKUP(Table6[[#This Row],[ICD Code]],ICD_summary!$I$3:$M$38,5,0)</f>
        <v>Misc/Other</v>
      </c>
      <c r="I57" s="12">
        <v>999</v>
      </c>
      <c r="J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7" s="11" t="s">
        <v>51</v>
      </c>
      <c r="L57" s="11"/>
      <c r="M57" s="11"/>
      <c r="N57" s="11">
        <v>52.616999999999997</v>
      </c>
      <c r="O57" s="11">
        <v>54.167999999999999</v>
      </c>
      <c r="P57" s="11">
        <v>106.77</v>
      </c>
      <c r="Q57" s="11">
        <v>107.068</v>
      </c>
      <c r="R57" s="11">
        <v>97.239000000000004</v>
      </c>
      <c r="S57" s="11">
        <v>97.801000000000002</v>
      </c>
      <c r="T57" s="11">
        <v>109.297</v>
      </c>
      <c r="U57" s="11">
        <v>109.505</v>
      </c>
      <c r="V57" s="11">
        <v>64.242999999999995</v>
      </c>
      <c r="W57" s="11">
        <v>64.328999999999994</v>
      </c>
      <c r="X57" s="11">
        <v>35.756999999999998</v>
      </c>
      <c r="Y57" s="11">
        <v>35.670999999999999</v>
      </c>
      <c r="Z57" s="11">
        <v>14.178000000000001</v>
      </c>
      <c r="AA57" s="11">
        <v>14.417999999999999</v>
      </c>
      <c r="AB57" s="11">
        <v>35.670999999999999</v>
      </c>
      <c r="AC57" s="11">
        <v>35.756999999999998</v>
      </c>
      <c r="AD57" s="11">
        <v>9.51</v>
      </c>
      <c r="AE57" s="11">
        <v>28</v>
      </c>
      <c r="AF57" s="11">
        <v>29</v>
      </c>
      <c r="AG57" s="11">
        <v>28</v>
      </c>
      <c r="AH57" s="11">
        <v>28</v>
      </c>
    </row>
    <row r="58" spans="1:34" s="33" customFormat="1" x14ac:dyDescent="0.2">
      <c r="A58" s="11">
        <v>164</v>
      </c>
      <c r="B58" s="11"/>
      <c r="C58" s="11"/>
      <c r="D58" s="11"/>
      <c r="E58" s="11"/>
      <c r="F58" s="11" t="s">
        <v>62</v>
      </c>
      <c r="G58" s="11" t="s">
        <v>63</v>
      </c>
      <c r="H58" s="56" t="str">
        <f>VLOOKUP(Table6[[#This Row],[ICD Code]],ICD_summary!$I$3:$M$38,5,0)</f>
        <v>PD</v>
      </c>
      <c r="I58" s="12">
        <v>67.8</v>
      </c>
      <c r="J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 s="11" t="s">
        <v>52</v>
      </c>
      <c r="L58" s="11"/>
      <c r="M58" s="11"/>
      <c r="N58" s="11">
        <v>61.332000000000001</v>
      </c>
      <c r="O58" s="11">
        <v>61.148000000000003</v>
      </c>
      <c r="P58" s="11">
        <v>122.66</v>
      </c>
      <c r="Q58" s="11">
        <v>122.02</v>
      </c>
      <c r="R58" s="11">
        <v>106.07899999999999</v>
      </c>
      <c r="S58" s="11">
        <v>106.07599999999999</v>
      </c>
      <c r="T58" s="11">
        <v>103.974</v>
      </c>
      <c r="U58" s="11">
        <v>104.247</v>
      </c>
      <c r="V58" s="11">
        <v>62.975000000000001</v>
      </c>
      <c r="W58" s="11">
        <v>64.408000000000001</v>
      </c>
      <c r="X58" s="11">
        <v>37.024999999999999</v>
      </c>
      <c r="Y58" s="11">
        <v>35.591999999999999</v>
      </c>
      <c r="Z58" s="11">
        <v>14.925000000000001</v>
      </c>
      <c r="AA58" s="11">
        <v>12.708</v>
      </c>
      <c r="AB58" s="11">
        <v>35.591999999999999</v>
      </c>
      <c r="AC58" s="11">
        <v>37.024999999999999</v>
      </c>
      <c r="AD58" s="11">
        <v>11.151999999999999</v>
      </c>
      <c r="AE58" s="11">
        <v>16</v>
      </c>
      <c r="AF58" s="11">
        <v>16</v>
      </c>
      <c r="AG58" s="11">
        <v>16</v>
      </c>
      <c r="AH58" s="11">
        <v>16</v>
      </c>
    </row>
    <row r="59" spans="1:34" s="33" customFormat="1" x14ac:dyDescent="0.2">
      <c r="A59" s="11">
        <v>167</v>
      </c>
      <c r="B59" s="11"/>
      <c r="C59" s="11"/>
      <c r="D59" s="11"/>
      <c r="E59" s="11"/>
      <c r="F59" s="11" t="s">
        <v>72</v>
      </c>
      <c r="G59" s="11" t="s">
        <v>73</v>
      </c>
      <c r="H59" s="56" t="str">
        <f>VLOOKUP(Table6[[#This Row],[ICD Code]],ICD_summary!$I$3:$M$38,5,0)</f>
        <v>Tremor, other</v>
      </c>
      <c r="I59" s="12">
        <v>68.400000000000006</v>
      </c>
      <c r="J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9" s="11" t="s">
        <v>55</v>
      </c>
      <c r="L59" s="11"/>
      <c r="M59" s="11"/>
      <c r="N59" s="11">
        <v>60.006</v>
      </c>
      <c r="O59" s="11">
        <v>60.750999999999998</v>
      </c>
      <c r="P59" s="11">
        <v>120.81699999999999</v>
      </c>
      <c r="Q59" s="11">
        <v>121.581</v>
      </c>
      <c r="R59" s="11">
        <v>116.843</v>
      </c>
      <c r="S59" s="11">
        <v>116.917</v>
      </c>
      <c r="T59" s="11">
        <v>115.89700000000001</v>
      </c>
      <c r="U59" s="11">
        <v>115.283</v>
      </c>
      <c r="V59" s="11">
        <v>60.566000000000003</v>
      </c>
      <c r="W59" s="11">
        <v>62.435000000000002</v>
      </c>
      <c r="X59" s="11">
        <v>39.433999999999997</v>
      </c>
      <c r="Y59" s="11">
        <v>37.564999999999998</v>
      </c>
      <c r="Z59" s="11">
        <v>11.531000000000001</v>
      </c>
      <c r="AA59" s="11">
        <v>11.999000000000001</v>
      </c>
      <c r="AB59" s="11">
        <v>37.564999999999998</v>
      </c>
      <c r="AC59" s="11">
        <v>39.433999999999997</v>
      </c>
      <c r="AD59" s="11">
        <v>8.3859999999999992</v>
      </c>
      <c r="AE59" s="11">
        <v>15</v>
      </c>
      <c r="AF59" s="11">
        <v>15</v>
      </c>
      <c r="AG59" s="11">
        <v>15</v>
      </c>
      <c r="AH59" s="11">
        <v>15</v>
      </c>
    </row>
    <row r="60" spans="1:34" s="33" customFormat="1" x14ac:dyDescent="0.2">
      <c r="A60" s="11">
        <v>168</v>
      </c>
      <c r="B60" s="11"/>
      <c r="C60" s="11"/>
      <c r="D60" s="11"/>
      <c r="E60" s="11"/>
      <c r="F60" s="11" t="s">
        <v>74</v>
      </c>
      <c r="G60" s="11" t="s">
        <v>75</v>
      </c>
      <c r="H60" s="56" t="str">
        <f>VLOOKUP(Table6[[#This Row],[ICD Code]],ICD_summary!$I$3:$M$38,5,0)</f>
        <v>Tremor, other</v>
      </c>
      <c r="I60" s="12">
        <v>73.5</v>
      </c>
      <c r="J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 s="11" t="s">
        <v>52</v>
      </c>
      <c r="L60" s="11"/>
      <c r="M60" s="11"/>
      <c r="N60" s="11">
        <v>22.172000000000001</v>
      </c>
      <c r="O60" s="11">
        <v>25.260999999999999</v>
      </c>
      <c r="P60" s="11">
        <v>47.448</v>
      </c>
      <c r="Q60" s="11">
        <v>47.258000000000003</v>
      </c>
      <c r="R60" s="11">
        <v>49.710999999999999</v>
      </c>
      <c r="S60" s="11">
        <v>48.933999999999997</v>
      </c>
      <c r="T60" s="11">
        <v>127.126</v>
      </c>
      <c r="U60" s="11">
        <v>125.21899999999999</v>
      </c>
      <c r="V60" s="11">
        <v>68.491</v>
      </c>
      <c r="W60" s="11">
        <v>68.721999999999994</v>
      </c>
      <c r="X60" s="11">
        <v>31.509</v>
      </c>
      <c r="Y60" s="11">
        <v>31.277999999999999</v>
      </c>
      <c r="Z60" s="11">
        <v>19.783999999999999</v>
      </c>
      <c r="AA60" s="11">
        <v>17.353999999999999</v>
      </c>
      <c r="AB60" s="11">
        <v>31.277999999999999</v>
      </c>
      <c r="AC60" s="11">
        <v>31.509</v>
      </c>
      <c r="AD60" s="11">
        <v>21.414999999999999</v>
      </c>
      <c r="AE60" s="11">
        <v>26</v>
      </c>
      <c r="AF60" s="11">
        <v>26</v>
      </c>
      <c r="AG60" s="11">
        <v>26</v>
      </c>
      <c r="AH60" s="11">
        <v>26</v>
      </c>
    </row>
    <row r="61" spans="1:34" s="33" customFormat="1" x14ac:dyDescent="0.2">
      <c r="A61" s="11">
        <v>169</v>
      </c>
      <c r="B61" s="11"/>
      <c r="C61" s="11"/>
      <c r="D61" s="11"/>
      <c r="E61" s="11"/>
      <c r="F61" s="11" t="s">
        <v>62</v>
      </c>
      <c r="G61" s="11" t="s">
        <v>63</v>
      </c>
      <c r="H61" s="56" t="str">
        <f>VLOOKUP(Table6[[#This Row],[ICD Code]],ICD_summary!$I$3:$M$38,5,0)</f>
        <v>PD</v>
      </c>
      <c r="I61" s="12">
        <v>75.3</v>
      </c>
      <c r="J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 s="11" t="s">
        <v>52</v>
      </c>
      <c r="L61" s="11"/>
      <c r="M61" s="11"/>
      <c r="N61" s="11">
        <v>47.466000000000001</v>
      </c>
      <c r="O61" s="11">
        <v>50.695999999999998</v>
      </c>
      <c r="P61" s="11">
        <v>98.055999999999997</v>
      </c>
      <c r="Q61" s="11">
        <v>98.105999999999995</v>
      </c>
      <c r="R61" s="11">
        <v>100.851</v>
      </c>
      <c r="S61" s="11">
        <v>101.05800000000001</v>
      </c>
      <c r="T61" s="11">
        <v>123.398</v>
      </c>
      <c r="U61" s="11">
        <v>122.999</v>
      </c>
      <c r="V61" s="11">
        <v>63.978000000000002</v>
      </c>
      <c r="W61" s="11">
        <v>66.263999999999996</v>
      </c>
      <c r="X61" s="11">
        <v>36.021999999999998</v>
      </c>
      <c r="Y61" s="11">
        <v>33.735999999999997</v>
      </c>
      <c r="Z61" s="11">
        <v>15.334</v>
      </c>
      <c r="AA61" s="11">
        <v>15.317</v>
      </c>
      <c r="AB61" s="11">
        <v>33.735999999999997</v>
      </c>
      <c r="AC61" s="11">
        <v>36.021999999999998</v>
      </c>
      <c r="AD61" s="11">
        <v>11.757999999999999</v>
      </c>
      <c r="AE61" s="11">
        <v>22</v>
      </c>
      <c r="AF61" s="11">
        <v>18</v>
      </c>
      <c r="AG61" s="11">
        <v>18</v>
      </c>
      <c r="AH61" s="11">
        <v>18</v>
      </c>
    </row>
    <row r="62" spans="1:34" s="33" customFormat="1" x14ac:dyDescent="0.2">
      <c r="A62" s="11">
        <v>170</v>
      </c>
      <c r="B62" s="11"/>
      <c r="C62" s="11"/>
      <c r="D62" s="11"/>
      <c r="E62" s="11"/>
      <c r="F62" s="11" t="s">
        <v>72</v>
      </c>
      <c r="G62" s="11" t="s">
        <v>73</v>
      </c>
      <c r="H62" s="56" t="str">
        <f>VLOOKUP(Table6[[#This Row],[ICD Code]],ICD_summary!$I$3:$M$38,5,0)</f>
        <v>Tremor, other</v>
      </c>
      <c r="I62" s="12">
        <v>61.9</v>
      </c>
      <c r="J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 s="11" t="s">
        <v>55</v>
      </c>
      <c r="L62" s="11"/>
      <c r="M62" s="11"/>
      <c r="N62" s="11">
        <v>51.488999999999997</v>
      </c>
      <c r="O62" s="11">
        <v>51.576000000000001</v>
      </c>
      <c r="P62" s="11">
        <v>102.955</v>
      </c>
      <c r="Q62" s="11">
        <v>103.636</v>
      </c>
      <c r="R62" s="11">
        <v>95.415000000000006</v>
      </c>
      <c r="S62" s="11">
        <v>95.8</v>
      </c>
      <c r="T62" s="11">
        <v>110.91200000000001</v>
      </c>
      <c r="U62" s="11">
        <v>111.069</v>
      </c>
      <c r="V62" s="11">
        <v>62.295999999999999</v>
      </c>
      <c r="W62" s="11">
        <v>61.683</v>
      </c>
      <c r="X62" s="11">
        <v>37.704000000000001</v>
      </c>
      <c r="Y62" s="11">
        <v>38.317</v>
      </c>
      <c r="Z62" s="11">
        <v>12.672000000000001</v>
      </c>
      <c r="AA62" s="11">
        <v>11.789</v>
      </c>
      <c r="AB62" s="11">
        <v>38.317</v>
      </c>
      <c r="AC62" s="11">
        <v>37.704000000000001</v>
      </c>
      <c r="AD62" s="11">
        <v>7.9880000000000004</v>
      </c>
      <c r="AE62" s="11">
        <v>19</v>
      </c>
      <c r="AF62" s="11">
        <v>17</v>
      </c>
      <c r="AG62" s="11">
        <v>17</v>
      </c>
      <c r="AH62" s="11">
        <v>17</v>
      </c>
    </row>
    <row r="63" spans="1:34" s="33" customFormat="1" x14ac:dyDescent="0.2">
      <c r="A63" s="11">
        <v>172</v>
      </c>
      <c r="B63" s="11"/>
      <c r="C63" s="11"/>
      <c r="D63" s="11"/>
      <c r="E63" s="11"/>
      <c r="F63" s="11" t="s">
        <v>76</v>
      </c>
      <c r="G63" s="11" t="s">
        <v>77</v>
      </c>
      <c r="H63" s="56" t="str">
        <f>VLOOKUP(Table6[[#This Row],[ICD Code]],ICD_summary!$I$3:$M$38,5,0)</f>
        <v>Dystonia, other</v>
      </c>
      <c r="I63" s="12">
        <v>34.5</v>
      </c>
      <c r="J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3" s="11" t="s">
        <v>52</v>
      </c>
      <c r="L63" s="11"/>
      <c r="M63" s="11"/>
      <c r="N63" s="11">
        <v>55.298000000000002</v>
      </c>
      <c r="O63" s="11">
        <v>52.923000000000002</v>
      </c>
      <c r="P63" s="11">
        <v>108.489</v>
      </c>
      <c r="Q63" s="11">
        <v>107.253</v>
      </c>
      <c r="R63" s="11">
        <v>89.578000000000003</v>
      </c>
      <c r="S63" s="11">
        <v>89.802000000000007</v>
      </c>
      <c r="T63" s="11">
        <v>99.341999999999999</v>
      </c>
      <c r="U63" s="11">
        <v>99.912999999999997</v>
      </c>
      <c r="V63" s="11">
        <v>64.701999999999998</v>
      </c>
      <c r="W63" s="11">
        <v>62.841999999999999</v>
      </c>
      <c r="X63" s="11">
        <v>35.298000000000002</v>
      </c>
      <c r="Y63" s="11">
        <v>37.158000000000001</v>
      </c>
      <c r="Z63" s="11">
        <v>13.721</v>
      </c>
      <c r="AA63" s="11">
        <v>14</v>
      </c>
      <c r="AB63" s="11">
        <v>37.158000000000001</v>
      </c>
      <c r="AC63" s="11">
        <v>35.298000000000002</v>
      </c>
      <c r="AD63" s="11">
        <v>16.204999999999998</v>
      </c>
      <c r="AE63" s="11">
        <v>17</v>
      </c>
      <c r="AF63" s="11">
        <v>15</v>
      </c>
      <c r="AG63" s="11">
        <v>15</v>
      </c>
      <c r="AH63" s="11">
        <v>15</v>
      </c>
    </row>
    <row r="64" spans="1:34" s="33" customFormat="1" x14ac:dyDescent="0.2">
      <c r="A64" s="11">
        <v>173</v>
      </c>
      <c r="B64" s="11"/>
      <c r="C64" s="11"/>
      <c r="D64" s="11"/>
      <c r="E64" s="11"/>
      <c r="F64" s="11">
        <v>332</v>
      </c>
      <c r="G64" s="11" t="s">
        <v>53</v>
      </c>
      <c r="H64" s="56" t="str">
        <f>VLOOKUP(Table6[[#This Row],[ICD Code]],ICD_summary!$I$3:$M$38,5,0)</f>
        <v>PD</v>
      </c>
      <c r="I64" s="12">
        <v>70.099999999999994</v>
      </c>
      <c r="J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 s="11" t="s">
        <v>55</v>
      </c>
      <c r="L64" s="11"/>
      <c r="M64" s="11"/>
      <c r="N64" s="11">
        <v>41.421999999999997</v>
      </c>
      <c r="O64" s="11">
        <v>36.116</v>
      </c>
      <c r="P64" s="11">
        <v>77.676000000000002</v>
      </c>
      <c r="Q64" s="11">
        <v>77.094999999999999</v>
      </c>
      <c r="R64" s="11">
        <v>77.016000000000005</v>
      </c>
      <c r="S64" s="11">
        <v>76.587999999999994</v>
      </c>
      <c r="T64" s="11">
        <v>119.535</v>
      </c>
      <c r="U64" s="11">
        <v>118.786</v>
      </c>
      <c r="V64" s="11">
        <v>64.281000000000006</v>
      </c>
      <c r="W64" s="11">
        <v>64.792000000000002</v>
      </c>
      <c r="X64" s="11">
        <v>35.719000000000001</v>
      </c>
      <c r="Y64" s="11">
        <v>35.207999999999998</v>
      </c>
      <c r="Z64" s="11">
        <v>14.583</v>
      </c>
      <c r="AA64" s="11">
        <v>14.786</v>
      </c>
      <c r="AB64" s="11">
        <v>35.207999999999998</v>
      </c>
      <c r="AC64" s="11">
        <v>35.719000000000001</v>
      </c>
      <c r="AD64" s="11">
        <v>13.8</v>
      </c>
      <c r="AE64" s="11">
        <v>17</v>
      </c>
      <c r="AF64" s="11">
        <v>19</v>
      </c>
      <c r="AG64" s="11">
        <v>17</v>
      </c>
      <c r="AH64" s="11">
        <v>17</v>
      </c>
    </row>
    <row r="65" spans="1:34" s="33" customFormat="1" x14ac:dyDescent="0.2">
      <c r="A65" s="11">
        <v>174</v>
      </c>
      <c r="B65" s="11"/>
      <c r="C65" s="11"/>
      <c r="D65" s="11"/>
      <c r="E65" s="11"/>
      <c r="F65" s="11">
        <v>333.1</v>
      </c>
      <c r="G65" s="11" t="s">
        <v>54</v>
      </c>
      <c r="H65" s="56" t="str">
        <f>VLOOKUP(Table6[[#This Row],[ICD Code]],ICD_summary!$I$3:$M$38,5,0)</f>
        <v>Tremor, essential tremor</v>
      </c>
      <c r="I65" s="12">
        <v>73</v>
      </c>
      <c r="J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5" s="11" t="s">
        <v>52</v>
      </c>
      <c r="L65" s="11"/>
      <c r="M65" s="11"/>
      <c r="N65" s="11">
        <v>52.048000000000002</v>
      </c>
      <c r="O65" s="11">
        <v>42.255000000000003</v>
      </c>
      <c r="P65" s="11">
        <v>95.134</v>
      </c>
      <c r="Q65" s="11">
        <v>94.248000000000005</v>
      </c>
      <c r="R65" s="11">
        <v>80.95</v>
      </c>
      <c r="S65" s="11">
        <v>80.873999999999995</v>
      </c>
      <c r="T65" s="11">
        <v>101.521</v>
      </c>
      <c r="U65" s="11">
        <v>102.12</v>
      </c>
      <c r="V65" s="11">
        <v>64.403000000000006</v>
      </c>
      <c r="W65" s="11">
        <v>64.912000000000006</v>
      </c>
      <c r="X65" s="11">
        <v>35.597000000000001</v>
      </c>
      <c r="Y65" s="11">
        <v>35.088000000000001</v>
      </c>
      <c r="Z65" s="11">
        <v>16.253</v>
      </c>
      <c r="AA65" s="11">
        <v>13.226000000000001</v>
      </c>
      <c r="AB65" s="11">
        <v>35.088000000000001</v>
      </c>
      <c r="AC65" s="11">
        <v>35.597000000000001</v>
      </c>
      <c r="AD65" s="11">
        <v>17.376000000000001</v>
      </c>
      <c r="AE65" s="11">
        <v>16</v>
      </c>
      <c r="AF65" s="11">
        <v>18</v>
      </c>
      <c r="AG65" s="11">
        <v>16</v>
      </c>
      <c r="AH65" s="11">
        <v>16</v>
      </c>
    </row>
    <row r="66" spans="1:34" s="33" customFormat="1" x14ac:dyDescent="0.2">
      <c r="A66" s="11">
        <v>175</v>
      </c>
      <c r="B66" s="11"/>
      <c r="C66" s="11"/>
      <c r="D66" s="11"/>
      <c r="E66" s="11"/>
      <c r="F66" s="11">
        <v>332</v>
      </c>
      <c r="G66" s="11" t="s">
        <v>53</v>
      </c>
      <c r="H66" s="56" t="str">
        <f>VLOOKUP(Table6[[#This Row],[ICD Code]],ICD_summary!$I$3:$M$38,5,0)</f>
        <v>PD</v>
      </c>
      <c r="I66" s="12">
        <v>75.400000000000006</v>
      </c>
      <c r="J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 s="11" t="s">
        <v>52</v>
      </c>
      <c r="L66" s="11"/>
      <c r="M66" s="11"/>
      <c r="N66" s="11">
        <v>47.517000000000003</v>
      </c>
      <c r="O66" s="11">
        <v>49.247</v>
      </c>
      <c r="P66" s="11">
        <v>96.328000000000003</v>
      </c>
      <c r="Q66" s="11">
        <v>99.21</v>
      </c>
      <c r="R66" s="11">
        <v>74.009</v>
      </c>
      <c r="S66" s="11">
        <v>75.072999999999993</v>
      </c>
      <c r="T66" s="11">
        <v>91.015000000000001</v>
      </c>
      <c r="U66" s="11">
        <v>90.212000000000003</v>
      </c>
      <c r="V66" s="11">
        <v>63.591000000000001</v>
      </c>
      <c r="W66" s="11">
        <v>64.367000000000004</v>
      </c>
      <c r="X66" s="11">
        <v>36.408999999999999</v>
      </c>
      <c r="Y66" s="11">
        <v>35.633000000000003</v>
      </c>
      <c r="Z66" s="11">
        <v>13.561</v>
      </c>
      <c r="AA66" s="11">
        <v>13.968</v>
      </c>
      <c r="AB66" s="11">
        <v>35.633000000000003</v>
      </c>
      <c r="AC66" s="11">
        <v>36.408999999999999</v>
      </c>
      <c r="AD66" s="11">
        <v>14.11</v>
      </c>
      <c r="AE66" s="11">
        <v>15</v>
      </c>
      <c r="AF66" s="11">
        <v>14</v>
      </c>
      <c r="AG66" s="11">
        <v>14</v>
      </c>
      <c r="AH66" s="11">
        <v>14</v>
      </c>
    </row>
    <row r="67" spans="1:34" s="33" customFormat="1" x14ac:dyDescent="0.2">
      <c r="A67" s="11">
        <v>177</v>
      </c>
      <c r="B67" s="11"/>
      <c r="C67" s="11"/>
      <c r="D67" s="11"/>
      <c r="E67" s="11"/>
      <c r="F67" s="11">
        <v>332</v>
      </c>
      <c r="G67" s="11" t="s">
        <v>53</v>
      </c>
      <c r="H67" s="56" t="str">
        <f>VLOOKUP(Table6[[#This Row],[ICD Code]],ICD_summary!$I$3:$M$38,5,0)</f>
        <v>PD</v>
      </c>
      <c r="I67" s="12">
        <v>59.5</v>
      </c>
      <c r="J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7" s="11" t="s">
        <v>52</v>
      </c>
      <c r="L67" s="11"/>
      <c r="M67" s="11"/>
      <c r="N67" s="11">
        <v>65.162000000000006</v>
      </c>
      <c r="O67" s="11">
        <v>67.356999999999999</v>
      </c>
      <c r="P67" s="11">
        <v>131.02099999999999</v>
      </c>
      <c r="Q67" s="11">
        <v>132.67400000000001</v>
      </c>
      <c r="R67" s="11">
        <v>117.68899999999999</v>
      </c>
      <c r="S67" s="11">
        <v>117.38800000000001</v>
      </c>
      <c r="T67" s="11">
        <v>106.43600000000001</v>
      </c>
      <c r="U67" s="11">
        <v>106.276</v>
      </c>
      <c r="V67" s="11">
        <v>60.798999999999999</v>
      </c>
      <c r="W67" s="11">
        <v>60.994</v>
      </c>
      <c r="X67" s="11">
        <v>39.201000000000001</v>
      </c>
      <c r="Y67" s="11">
        <v>39.006</v>
      </c>
      <c r="Z67" s="11">
        <v>11.696999999999999</v>
      </c>
      <c r="AA67" s="11">
        <v>10.132</v>
      </c>
      <c r="AB67" s="11">
        <v>39.006</v>
      </c>
      <c r="AC67" s="11">
        <v>39.201000000000001</v>
      </c>
      <c r="AD67" s="11">
        <v>7.7320000000000002</v>
      </c>
      <c r="AE67" s="11">
        <v>12</v>
      </c>
      <c r="AF67" s="11">
        <v>16</v>
      </c>
      <c r="AG67" s="11">
        <v>12</v>
      </c>
      <c r="AH67" s="11">
        <v>12</v>
      </c>
    </row>
    <row r="68" spans="1:34" s="33" customFormat="1" x14ac:dyDescent="0.2">
      <c r="A68" s="11">
        <v>178</v>
      </c>
      <c r="B68" s="11"/>
      <c r="C68" s="11"/>
      <c r="D68" s="11"/>
      <c r="E68" s="11"/>
      <c r="F68" s="11">
        <v>332</v>
      </c>
      <c r="G68" s="11" t="s">
        <v>53</v>
      </c>
      <c r="H68" s="56" t="str">
        <f>VLOOKUP(Table6[[#This Row],[ICD Code]],ICD_summary!$I$3:$M$38,5,0)</f>
        <v>PD</v>
      </c>
      <c r="I68" s="12">
        <v>73.2</v>
      </c>
      <c r="J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 s="11" t="s">
        <v>52</v>
      </c>
      <c r="L68" s="11"/>
      <c r="M68" s="11"/>
      <c r="N68" s="11">
        <v>60.838000000000001</v>
      </c>
      <c r="O68" s="11">
        <v>63.843000000000004</v>
      </c>
      <c r="P68" s="11">
        <v>125.36499999999999</v>
      </c>
      <c r="Q68" s="11">
        <v>124.426</v>
      </c>
      <c r="R68" s="11">
        <v>131.16</v>
      </c>
      <c r="S68" s="11">
        <v>130.137</v>
      </c>
      <c r="T68" s="11">
        <v>125.55500000000001</v>
      </c>
      <c r="U68" s="11">
        <v>125.78700000000001</v>
      </c>
      <c r="V68" s="11">
        <v>62.716000000000001</v>
      </c>
      <c r="W68" s="11">
        <v>60.597999999999999</v>
      </c>
      <c r="X68" s="11">
        <v>37.283999999999999</v>
      </c>
      <c r="Y68" s="11">
        <v>39.402000000000001</v>
      </c>
      <c r="Z68" s="11">
        <v>11.147</v>
      </c>
      <c r="AA68" s="11">
        <v>11.881</v>
      </c>
      <c r="AB68" s="11">
        <v>39.402000000000001</v>
      </c>
      <c r="AC68" s="11">
        <v>37.283999999999999</v>
      </c>
      <c r="AD68" s="11">
        <v>11.845000000000001</v>
      </c>
      <c r="AE68" s="11">
        <v>20</v>
      </c>
      <c r="AF68" s="11">
        <v>23</v>
      </c>
      <c r="AG68" s="11">
        <v>20</v>
      </c>
      <c r="AH68" s="11">
        <v>20</v>
      </c>
    </row>
    <row r="69" spans="1:34" s="33" customFormat="1" x14ac:dyDescent="0.2">
      <c r="A69" s="11">
        <v>179</v>
      </c>
      <c r="B69" s="11"/>
      <c r="C69" s="11"/>
      <c r="D69" s="11"/>
      <c r="E69" s="11"/>
      <c r="F69" s="11">
        <v>332</v>
      </c>
      <c r="G69" s="11" t="s">
        <v>53</v>
      </c>
      <c r="H69" s="56" t="str">
        <f>VLOOKUP(Table6[[#This Row],[ICD Code]],ICD_summary!$I$3:$M$38,5,0)</f>
        <v>PD</v>
      </c>
      <c r="I69" s="12">
        <v>53.3</v>
      </c>
      <c r="J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9" s="11" t="s">
        <v>52</v>
      </c>
      <c r="L69" s="11"/>
      <c r="M69" s="11"/>
      <c r="N69" s="11">
        <v>66.733999999999995</v>
      </c>
      <c r="O69" s="11">
        <v>71.616</v>
      </c>
      <c r="P69" s="11">
        <v>138.74199999999999</v>
      </c>
      <c r="Q69" s="11">
        <v>139.351</v>
      </c>
      <c r="R69" s="11">
        <v>133.55799999999999</v>
      </c>
      <c r="S69" s="11">
        <v>133.774</v>
      </c>
      <c r="T69" s="11">
        <v>115.95699999999999</v>
      </c>
      <c r="U69" s="11">
        <v>115.446</v>
      </c>
      <c r="V69" s="11">
        <v>62.353999999999999</v>
      </c>
      <c r="W69" s="11">
        <v>56.536999999999999</v>
      </c>
      <c r="X69" s="11">
        <v>37.646000000000001</v>
      </c>
      <c r="Y69" s="11">
        <v>43.463000000000001</v>
      </c>
      <c r="Z69" s="11">
        <v>9.4429999999999996</v>
      </c>
      <c r="AA69" s="11">
        <v>10.146000000000001</v>
      </c>
      <c r="AB69" s="11">
        <v>43.463000000000001</v>
      </c>
      <c r="AC69" s="11">
        <v>37.646000000000001</v>
      </c>
      <c r="AD69" s="11">
        <v>9.5389999999999997</v>
      </c>
      <c r="AE69" s="11">
        <v>19</v>
      </c>
      <c r="AF69" s="11">
        <v>17</v>
      </c>
      <c r="AG69" s="11">
        <v>17</v>
      </c>
      <c r="AH69" s="11">
        <v>17</v>
      </c>
    </row>
    <row r="70" spans="1:34" s="33" customFormat="1" x14ac:dyDescent="0.2">
      <c r="A70" s="11">
        <v>180</v>
      </c>
      <c r="B70" s="11"/>
      <c r="C70" s="11"/>
      <c r="D70" s="11"/>
      <c r="E70" s="11"/>
      <c r="F70" s="11">
        <v>332</v>
      </c>
      <c r="G70" s="11" t="s">
        <v>53</v>
      </c>
      <c r="H70" s="56" t="str">
        <f>VLOOKUP(Table6[[#This Row],[ICD Code]],ICD_summary!$I$3:$M$38,5,0)</f>
        <v>PD</v>
      </c>
      <c r="I70" s="12">
        <v>62.9</v>
      </c>
      <c r="J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 s="11" t="s">
        <v>52</v>
      </c>
      <c r="L70" s="11"/>
      <c r="M70" s="11"/>
      <c r="N70" s="11">
        <v>43.685000000000002</v>
      </c>
      <c r="O70" s="11">
        <v>48.167999999999999</v>
      </c>
      <c r="P70" s="11">
        <v>91.343000000000004</v>
      </c>
      <c r="Q70" s="11">
        <v>92.126000000000005</v>
      </c>
      <c r="R70" s="11">
        <v>76.599999999999994</v>
      </c>
      <c r="S70" s="11">
        <v>76.927000000000007</v>
      </c>
      <c r="T70" s="11">
        <v>100.504</v>
      </c>
      <c r="U70" s="11">
        <v>100.131</v>
      </c>
      <c r="V70" s="11">
        <v>62.718000000000004</v>
      </c>
      <c r="W70" s="11">
        <v>66.305000000000007</v>
      </c>
      <c r="X70" s="11">
        <v>37.281999999999996</v>
      </c>
      <c r="Y70" s="11">
        <v>33.695</v>
      </c>
      <c r="Z70" s="11">
        <v>14.906000000000001</v>
      </c>
      <c r="AA70" s="11">
        <v>14.045999999999999</v>
      </c>
      <c r="AB70" s="11">
        <v>33.695</v>
      </c>
      <c r="AC70" s="11">
        <v>37.281999999999996</v>
      </c>
      <c r="AD70" s="11">
        <v>7.3070000000000004</v>
      </c>
      <c r="AE70" s="11">
        <v>14</v>
      </c>
      <c r="AF70" s="11">
        <v>15</v>
      </c>
      <c r="AG70" s="11">
        <v>14</v>
      </c>
      <c r="AH70" s="11">
        <v>14</v>
      </c>
    </row>
    <row r="71" spans="1:34" s="33" customFormat="1" x14ac:dyDescent="0.2">
      <c r="A71" s="11">
        <v>181</v>
      </c>
      <c r="B71" s="11"/>
      <c r="C71" s="11"/>
      <c r="D71" s="11"/>
      <c r="E71" s="11"/>
      <c r="F71" s="11" t="s">
        <v>51</v>
      </c>
      <c r="G71" s="11" t="s">
        <v>51</v>
      </c>
      <c r="H71" s="56" t="str">
        <f>VLOOKUP(Table6[[#This Row],[ICD Code]],ICD_summary!$I$3:$M$38,5,0)</f>
        <v>Misc/Other</v>
      </c>
      <c r="I71" s="12">
        <v>999</v>
      </c>
      <c r="J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 s="11" t="s">
        <v>51</v>
      </c>
      <c r="L71" s="11"/>
      <c r="M71" s="11"/>
      <c r="N71" s="11">
        <v>63.225999999999999</v>
      </c>
      <c r="O71" s="11">
        <v>60.386000000000003</v>
      </c>
      <c r="P71" s="11">
        <v>123.535</v>
      </c>
      <c r="Q71" s="11">
        <v>124.00700000000001</v>
      </c>
      <c r="R71" s="11">
        <v>130.18100000000001</v>
      </c>
      <c r="S71" s="11">
        <v>130.6</v>
      </c>
      <c r="T71" s="11">
        <v>126.456</v>
      </c>
      <c r="U71" s="11">
        <v>126.304</v>
      </c>
      <c r="V71" s="11">
        <v>60.500999999999998</v>
      </c>
      <c r="W71" s="11">
        <v>61.539000000000001</v>
      </c>
      <c r="X71" s="11">
        <v>39.499000000000002</v>
      </c>
      <c r="Y71" s="11">
        <v>38.460999999999999</v>
      </c>
      <c r="Z71" s="11">
        <v>12.117000000000001</v>
      </c>
      <c r="AA71" s="11">
        <v>10.298</v>
      </c>
      <c r="AB71" s="11">
        <v>38.460999999999999</v>
      </c>
      <c r="AC71" s="11">
        <v>39.499000000000002</v>
      </c>
      <c r="AD71" s="11">
        <v>12.397</v>
      </c>
      <c r="AE71" s="11">
        <v>16</v>
      </c>
      <c r="AF71" s="11">
        <v>16</v>
      </c>
      <c r="AG71" s="11">
        <v>16</v>
      </c>
      <c r="AH71" s="11">
        <v>16</v>
      </c>
    </row>
    <row r="72" spans="1:34" s="33" customFormat="1" x14ac:dyDescent="0.2">
      <c r="A72" s="11">
        <v>182</v>
      </c>
      <c r="B72" s="11"/>
      <c r="C72" s="11"/>
      <c r="D72" s="11"/>
      <c r="E72" s="11"/>
      <c r="F72" s="11">
        <v>332</v>
      </c>
      <c r="G72" s="11" t="s">
        <v>53</v>
      </c>
      <c r="H72" s="56" t="str">
        <f>VLOOKUP(Table6[[#This Row],[ICD Code]],ICD_summary!$I$3:$M$38,5,0)</f>
        <v>PD</v>
      </c>
      <c r="I72" s="12">
        <v>67.5</v>
      </c>
      <c r="J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 s="11" t="s">
        <v>52</v>
      </c>
      <c r="L72" s="11"/>
      <c r="M72" s="11"/>
      <c r="N72" s="11">
        <v>41.552999999999997</v>
      </c>
      <c r="O72" s="11">
        <v>43.735999999999997</v>
      </c>
      <c r="P72" s="11">
        <v>84.893000000000001</v>
      </c>
      <c r="Q72" s="11">
        <v>85.656999999999996</v>
      </c>
      <c r="R72" s="11">
        <v>78.295000000000002</v>
      </c>
      <c r="S72" s="11">
        <v>78.597999999999999</v>
      </c>
      <c r="T72" s="11">
        <v>110.5</v>
      </c>
      <c r="U72" s="11">
        <v>110.181</v>
      </c>
      <c r="V72" s="11">
        <v>62.322000000000003</v>
      </c>
      <c r="W72" s="11">
        <v>62.167000000000002</v>
      </c>
      <c r="X72" s="11">
        <v>37.677999999999997</v>
      </c>
      <c r="Y72" s="11">
        <v>37.832999999999998</v>
      </c>
      <c r="Z72" s="11">
        <v>11.599</v>
      </c>
      <c r="AA72" s="11">
        <v>13.004</v>
      </c>
      <c r="AB72" s="11">
        <v>37.832999999999998</v>
      </c>
      <c r="AC72" s="11">
        <v>37.677999999999997</v>
      </c>
      <c r="AD72" s="11">
        <v>19.902999999999999</v>
      </c>
      <c r="AE72" s="11">
        <v>16</v>
      </c>
      <c r="AF72" s="11">
        <v>15</v>
      </c>
      <c r="AG72" s="11">
        <v>15</v>
      </c>
      <c r="AH72" s="11">
        <v>15</v>
      </c>
    </row>
    <row r="73" spans="1:34" s="33" customFormat="1" x14ac:dyDescent="0.2">
      <c r="A73" s="11">
        <v>183</v>
      </c>
      <c r="B73" s="11"/>
      <c r="C73" s="11"/>
      <c r="D73" s="11"/>
      <c r="E73" s="11"/>
      <c r="F73" s="11">
        <v>781</v>
      </c>
      <c r="G73" s="11" t="s">
        <v>59</v>
      </c>
      <c r="H73" s="56" t="str">
        <f>VLOOKUP(Table6[[#This Row],[ICD Code]],ICD_summary!$I$3:$M$38,5,0)</f>
        <v>Misc/Other</v>
      </c>
      <c r="I73" s="12">
        <v>84.2</v>
      </c>
      <c r="J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3" s="11" t="s">
        <v>55</v>
      </c>
      <c r="L73" s="11"/>
      <c r="M73" s="11"/>
      <c r="N73" s="11">
        <v>53.417999999999999</v>
      </c>
      <c r="O73" s="11">
        <v>50.213999999999999</v>
      </c>
      <c r="P73" s="11">
        <v>103.77200000000001</v>
      </c>
      <c r="Q73" s="11">
        <v>103.944</v>
      </c>
      <c r="R73" s="11">
        <v>117.425</v>
      </c>
      <c r="S73" s="11">
        <v>117.532</v>
      </c>
      <c r="T73" s="11">
        <v>134.60599999999999</v>
      </c>
      <c r="U73" s="11">
        <v>135.33699999999999</v>
      </c>
      <c r="V73" s="11">
        <v>60.902999999999999</v>
      </c>
      <c r="W73" s="11">
        <v>59.87</v>
      </c>
      <c r="X73" s="11">
        <v>39.097000000000001</v>
      </c>
      <c r="Y73" s="11">
        <v>40.130000000000003</v>
      </c>
      <c r="Z73" s="11">
        <v>10.28</v>
      </c>
      <c r="AA73" s="11">
        <v>10.401999999999999</v>
      </c>
      <c r="AB73" s="11">
        <v>40.130000000000003</v>
      </c>
      <c r="AC73" s="11">
        <v>39.097000000000001</v>
      </c>
      <c r="AD73" s="11">
        <v>9.84</v>
      </c>
      <c r="AE73" s="11">
        <v>12</v>
      </c>
      <c r="AF73" s="11">
        <v>14</v>
      </c>
      <c r="AG73" s="11">
        <v>12</v>
      </c>
      <c r="AH73" s="11">
        <v>12</v>
      </c>
    </row>
    <row r="74" spans="1:34" s="33" customFormat="1" x14ac:dyDescent="0.2">
      <c r="A74" s="11">
        <v>184</v>
      </c>
      <c r="B74" s="11"/>
      <c r="C74" s="11"/>
      <c r="D74" s="11"/>
      <c r="E74" s="11"/>
      <c r="F74" s="11">
        <v>333.1</v>
      </c>
      <c r="G74" s="11" t="s">
        <v>54</v>
      </c>
      <c r="H74" s="56" t="str">
        <f>VLOOKUP(Table6[[#This Row],[ICD Code]],ICD_summary!$I$3:$M$38,5,0)</f>
        <v>Tremor, essential tremor</v>
      </c>
      <c r="I74" s="12">
        <v>72.099999999999994</v>
      </c>
      <c r="J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 s="11" t="s">
        <v>55</v>
      </c>
      <c r="L74" s="11"/>
      <c r="M74" s="11"/>
      <c r="N74" s="11" t="s">
        <v>51</v>
      </c>
      <c r="O74" s="11" t="s">
        <v>51</v>
      </c>
      <c r="P74" s="11" t="s">
        <v>51</v>
      </c>
      <c r="Q74" s="11" t="s">
        <v>51</v>
      </c>
      <c r="R74" s="11" t="s">
        <v>51</v>
      </c>
      <c r="S74" s="11" t="s">
        <v>51</v>
      </c>
      <c r="T74" s="11" t="s">
        <v>51</v>
      </c>
      <c r="U74" s="11" t="s">
        <v>51</v>
      </c>
      <c r="V74" s="11" t="s">
        <v>51</v>
      </c>
      <c r="W74" s="11" t="s">
        <v>51</v>
      </c>
      <c r="X74" s="11" t="s">
        <v>51</v>
      </c>
      <c r="Y74" s="11" t="s">
        <v>51</v>
      </c>
      <c r="Z74" s="11" t="s">
        <v>51</v>
      </c>
      <c r="AA74" s="11" t="s">
        <v>51</v>
      </c>
      <c r="AB74" s="11" t="s">
        <v>51</v>
      </c>
      <c r="AC74" s="11" t="s">
        <v>51</v>
      </c>
      <c r="AD74" s="11" t="s">
        <v>51</v>
      </c>
      <c r="AE74" s="11" t="s">
        <v>51</v>
      </c>
      <c r="AF74" s="11" t="s">
        <v>51</v>
      </c>
      <c r="AG74" s="11" t="s">
        <v>51</v>
      </c>
      <c r="AH74" s="11" t="s">
        <v>51</v>
      </c>
    </row>
    <row r="75" spans="1:34" s="33" customFormat="1" x14ac:dyDescent="0.2">
      <c r="A75" s="11">
        <v>185</v>
      </c>
      <c r="B75" s="11"/>
      <c r="C75" s="11"/>
      <c r="D75" s="11"/>
      <c r="E75" s="11"/>
      <c r="F75" s="11" t="s">
        <v>51</v>
      </c>
      <c r="G75" s="11" t="s">
        <v>51</v>
      </c>
      <c r="H75" s="56" t="str">
        <f>VLOOKUP(Table6[[#This Row],[ICD Code]],ICD_summary!$I$3:$M$38,5,0)</f>
        <v>Misc/Other</v>
      </c>
      <c r="I75" s="12">
        <v>999</v>
      </c>
      <c r="J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5" s="11" t="s">
        <v>51</v>
      </c>
      <c r="L75" s="11"/>
      <c r="M75" s="11"/>
      <c r="N75" s="11">
        <v>74.278999999999996</v>
      </c>
      <c r="O75" s="11">
        <v>75.623000000000005</v>
      </c>
      <c r="P75" s="11">
        <v>151.00700000000001</v>
      </c>
      <c r="Q75" s="11">
        <v>149.65600000000001</v>
      </c>
      <c r="R75" s="11">
        <v>150.30600000000001</v>
      </c>
      <c r="S75" s="11">
        <v>148.345</v>
      </c>
      <c r="T75" s="11">
        <v>118.592</v>
      </c>
      <c r="U75" s="11">
        <v>119.764</v>
      </c>
      <c r="V75" s="11">
        <v>58.959000000000003</v>
      </c>
      <c r="W75" s="11">
        <v>59.741999999999997</v>
      </c>
      <c r="X75" s="11">
        <v>41.040999999999997</v>
      </c>
      <c r="Y75" s="11">
        <v>40.258000000000003</v>
      </c>
      <c r="Z75" s="11">
        <v>9.3019999999999996</v>
      </c>
      <c r="AA75" s="11">
        <v>9.327</v>
      </c>
      <c r="AB75" s="11">
        <v>40.258000000000003</v>
      </c>
      <c r="AC75" s="11">
        <v>41.040999999999997</v>
      </c>
      <c r="AD75" s="11">
        <v>7.4219999999999997</v>
      </c>
      <c r="AE75" s="11">
        <v>13</v>
      </c>
      <c r="AF75" s="11">
        <v>16</v>
      </c>
      <c r="AG75" s="11">
        <v>13</v>
      </c>
      <c r="AH75" s="11">
        <v>13</v>
      </c>
    </row>
    <row r="76" spans="1:34" s="33" customFormat="1" x14ac:dyDescent="0.2">
      <c r="A76" s="11">
        <v>186</v>
      </c>
      <c r="B76" s="11"/>
      <c r="C76" s="11"/>
      <c r="D76" s="11"/>
      <c r="E76" s="11"/>
      <c r="F76" s="11">
        <v>333.1</v>
      </c>
      <c r="G76" s="11" t="s">
        <v>54</v>
      </c>
      <c r="H76" s="56" t="str">
        <f>VLOOKUP(Table6[[#This Row],[ICD Code]],ICD_summary!$I$3:$M$38,5,0)</f>
        <v>Tremor, essential tremor</v>
      </c>
      <c r="I76" s="12">
        <v>70.599999999999994</v>
      </c>
      <c r="J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 s="11" t="s">
        <v>55</v>
      </c>
      <c r="L76" s="11"/>
      <c r="M76" s="11"/>
      <c r="N76" s="11">
        <v>36.356000000000002</v>
      </c>
      <c r="O76" s="11">
        <v>35.584000000000003</v>
      </c>
      <c r="P76" s="11">
        <v>71.998000000000005</v>
      </c>
      <c r="Q76" s="11">
        <v>71.888000000000005</v>
      </c>
      <c r="R76" s="11">
        <v>61.936999999999998</v>
      </c>
      <c r="S76" s="11">
        <v>61.792000000000002</v>
      </c>
      <c r="T76" s="11">
        <v>103.09699999999999</v>
      </c>
      <c r="U76" s="11">
        <v>102.871</v>
      </c>
      <c r="V76" s="11">
        <v>64.424000000000007</v>
      </c>
      <c r="W76" s="11">
        <v>65.061000000000007</v>
      </c>
      <c r="X76" s="11">
        <v>35.576000000000001</v>
      </c>
      <c r="Y76" s="11">
        <v>34.939</v>
      </c>
      <c r="Z76" s="11">
        <v>13.288</v>
      </c>
      <c r="AA76" s="11">
        <v>15.827</v>
      </c>
      <c r="AB76" s="11">
        <v>34.939</v>
      </c>
      <c r="AC76" s="11">
        <v>35.576000000000001</v>
      </c>
      <c r="AD76" s="11">
        <v>15.285</v>
      </c>
      <c r="AE76" s="11">
        <v>18</v>
      </c>
      <c r="AF76" s="11">
        <v>17</v>
      </c>
      <c r="AG76" s="11">
        <v>17</v>
      </c>
      <c r="AH76" s="11">
        <v>17</v>
      </c>
    </row>
    <row r="77" spans="1:34" s="33" customFormat="1" x14ac:dyDescent="0.2">
      <c r="A77" s="11">
        <v>187</v>
      </c>
      <c r="B77" s="11"/>
      <c r="C77" s="11"/>
      <c r="D77" s="11"/>
      <c r="E77" s="11"/>
      <c r="F77" s="11">
        <v>333.1</v>
      </c>
      <c r="G77" s="11" t="s">
        <v>54</v>
      </c>
      <c r="H77" s="56" t="str">
        <f>VLOOKUP(Table6[[#This Row],[ICD Code]],ICD_summary!$I$3:$M$38,5,0)</f>
        <v>Tremor, essential tremor</v>
      </c>
      <c r="I77" s="12">
        <v>59.8</v>
      </c>
      <c r="J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7" s="11" t="s">
        <v>55</v>
      </c>
      <c r="L77" s="11"/>
      <c r="M77" s="11"/>
      <c r="N77" s="11">
        <v>47.012</v>
      </c>
      <c r="O77" s="11">
        <v>36.588000000000001</v>
      </c>
      <c r="P77" s="11">
        <v>84.084000000000003</v>
      </c>
      <c r="Q77" s="11">
        <v>83.509</v>
      </c>
      <c r="R77" s="11">
        <v>59.697000000000003</v>
      </c>
      <c r="S77" s="11">
        <v>59.588999999999999</v>
      </c>
      <c r="T77" s="11">
        <v>85.218000000000004</v>
      </c>
      <c r="U77" s="11">
        <v>85.376000000000005</v>
      </c>
      <c r="V77" s="11">
        <v>64.435000000000002</v>
      </c>
      <c r="W77" s="11">
        <v>63.558999999999997</v>
      </c>
      <c r="X77" s="11">
        <v>35.564999999999998</v>
      </c>
      <c r="Y77" s="11">
        <v>36.441000000000003</v>
      </c>
      <c r="Z77" s="11">
        <v>13.976000000000001</v>
      </c>
      <c r="AA77" s="11">
        <v>13.824</v>
      </c>
      <c r="AB77" s="11">
        <v>36.441000000000003</v>
      </c>
      <c r="AC77" s="11">
        <v>35.564999999999998</v>
      </c>
      <c r="AD77" s="11">
        <v>10.84</v>
      </c>
      <c r="AE77" s="11">
        <v>9</v>
      </c>
      <c r="AF77" s="11">
        <v>10</v>
      </c>
      <c r="AG77" s="11">
        <v>9</v>
      </c>
      <c r="AH77" s="11">
        <v>9</v>
      </c>
    </row>
    <row r="78" spans="1:34" s="33" customFormat="1" x14ac:dyDescent="0.2">
      <c r="A78" s="11">
        <v>188</v>
      </c>
      <c r="B78" s="11"/>
      <c r="C78" s="11"/>
      <c r="D78" s="11"/>
      <c r="E78" s="11"/>
      <c r="F78" s="11">
        <v>333</v>
      </c>
      <c r="G78" s="11" t="s">
        <v>57</v>
      </c>
      <c r="H78" s="56" t="str">
        <f>VLOOKUP(Table6[[#This Row],[ICD Code]],ICD_summary!$I$3:$M$38,5,0)</f>
        <v>Misc/Other</v>
      </c>
      <c r="I78" s="12">
        <v>67.7</v>
      </c>
      <c r="J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 s="11" t="s">
        <v>52</v>
      </c>
      <c r="L78" s="11"/>
      <c r="M78" s="11"/>
      <c r="N78" s="11">
        <v>11.75</v>
      </c>
      <c r="O78" s="11">
        <v>8.6660000000000004</v>
      </c>
      <c r="P78" s="11">
        <v>20.59</v>
      </c>
      <c r="Q78" s="11">
        <v>20.707000000000001</v>
      </c>
      <c r="R78" s="11">
        <v>10.305</v>
      </c>
      <c r="S78" s="11">
        <v>10.58</v>
      </c>
      <c r="T78" s="11">
        <v>59.23</v>
      </c>
      <c r="U78" s="11">
        <v>59.854999999999997</v>
      </c>
      <c r="V78" s="11">
        <v>85.227000000000004</v>
      </c>
      <c r="W78" s="11">
        <v>85.344999999999999</v>
      </c>
      <c r="X78" s="11">
        <v>14.773</v>
      </c>
      <c r="Y78" s="11">
        <v>14.654999999999999</v>
      </c>
      <c r="Z78" s="11">
        <v>35.880000000000003</v>
      </c>
      <c r="AA78" s="11">
        <v>35.792000000000002</v>
      </c>
      <c r="AB78" s="11">
        <v>14.654999999999999</v>
      </c>
      <c r="AC78" s="11">
        <v>14.773</v>
      </c>
      <c r="AD78" s="11">
        <v>26.88</v>
      </c>
      <c r="AE78" s="11">
        <v>12</v>
      </c>
      <c r="AF78" s="11">
        <v>12</v>
      </c>
      <c r="AG78" s="11">
        <v>12</v>
      </c>
      <c r="AH78" s="11">
        <v>12</v>
      </c>
    </row>
    <row r="79" spans="1:34" s="33" customFormat="1" x14ac:dyDescent="0.2">
      <c r="A79" s="11">
        <v>189</v>
      </c>
      <c r="B79" s="11"/>
      <c r="C79" s="11"/>
      <c r="D79" s="11"/>
      <c r="E79" s="11"/>
      <c r="F79" s="11">
        <v>333.1</v>
      </c>
      <c r="G79" s="11" t="s">
        <v>54</v>
      </c>
      <c r="H79" s="56" t="str">
        <f>VLOOKUP(Table6[[#This Row],[ICD Code]],ICD_summary!$I$3:$M$38,5,0)</f>
        <v>Tremor, essential tremor</v>
      </c>
      <c r="I79" s="12">
        <v>70.5</v>
      </c>
      <c r="J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 s="11" t="s">
        <v>55</v>
      </c>
      <c r="L79" s="11"/>
      <c r="M79" s="11"/>
      <c r="N79" s="11">
        <v>53.600999999999999</v>
      </c>
      <c r="O79" s="11">
        <v>38.234999999999999</v>
      </c>
      <c r="P79" s="11">
        <v>92.289000000000001</v>
      </c>
      <c r="Q79" s="11">
        <v>91.923000000000002</v>
      </c>
      <c r="R79" s="11">
        <v>83.900999999999996</v>
      </c>
      <c r="S79" s="11">
        <v>83.885000000000005</v>
      </c>
      <c r="T79" s="11">
        <v>109.13200000000001</v>
      </c>
      <c r="U79" s="11">
        <v>109.41800000000001</v>
      </c>
      <c r="V79" s="11">
        <v>62.39</v>
      </c>
      <c r="W79" s="11">
        <v>64.426000000000002</v>
      </c>
      <c r="X79" s="11">
        <v>37.61</v>
      </c>
      <c r="Y79" s="11">
        <v>35.573999999999998</v>
      </c>
      <c r="Z79" s="11">
        <v>11.946</v>
      </c>
      <c r="AA79" s="11">
        <v>14.775</v>
      </c>
      <c r="AB79" s="11">
        <v>35.573999999999998</v>
      </c>
      <c r="AC79" s="11">
        <v>37.61</v>
      </c>
      <c r="AD79" s="11">
        <v>11.154999999999999</v>
      </c>
      <c r="AE79" s="11">
        <v>18</v>
      </c>
      <c r="AF79" s="11">
        <v>17</v>
      </c>
      <c r="AG79" s="11">
        <v>17</v>
      </c>
      <c r="AH79" s="11">
        <v>17</v>
      </c>
    </row>
    <row r="80" spans="1:34" s="33" customFormat="1" x14ac:dyDescent="0.2">
      <c r="A80" s="11">
        <v>190</v>
      </c>
      <c r="B80" s="11"/>
      <c r="C80" s="11"/>
      <c r="D80" s="11"/>
      <c r="E80" s="11"/>
      <c r="F80" s="11">
        <v>332</v>
      </c>
      <c r="G80" s="11" t="s">
        <v>53</v>
      </c>
      <c r="H80" s="56" t="str">
        <f>VLOOKUP(Table6[[#This Row],[ICD Code]],ICD_summary!$I$3:$M$38,5,0)</f>
        <v>PD</v>
      </c>
      <c r="I80" s="12">
        <v>72.3</v>
      </c>
      <c r="J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 s="11" t="s">
        <v>55</v>
      </c>
      <c r="L80" s="11"/>
      <c r="M80" s="11"/>
      <c r="N80" s="11">
        <v>31.140999999999998</v>
      </c>
      <c r="O80" s="11">
        <v>43.704999999999998</v>
      </c>
      <c r="P80" s="11">
        <v>75.227000000000004</v>
      </c>
      <c r="Q80" s="11">
        <v>74.593999999999994</v>
      </c>
      <c r="R80" s="11">
        <v>81.456000000000003</v>
      </c>
      <c r="S80" s="11">
        <v>81.224999999999994</v>
      </c>
      <c r="T80" s="11">
        <v>130.09700000000001</v>
      </c>
      <c r="U80" s="11">
        <v>129.98400000000001</v>
      </c>
      <c r="V80" s="11">
        <v>64.873999999999995</v>
      </c>
      <c r="W80" s="11">
        <v>61.881</v>
      </c>
      <c r="X80" s="11">
        <v>35.125999999999998</v>
      </c>
      <c r="Y80" s="11">
        <v>38.119</v>
      </c>
      <c r="Z80" s="11">
        <v>10.333</v>
      </c>
      <c r="AA80" s="11">
        <v>16.291</v>
      </c>
      <c r="AB80" s="11">
        <v>38.119</v>
      </c>
      <c r="AC80" s="11">
        <v>35.125999999999998</v>
      </c>
      <c r="AD80" s="11">
        <v>9.61</v>
      </c>
      <c r="AE80" s="11">
        <v>18</v>
      </c>
      <c r="AF80" s="11">
        <v>18</v>
      </c>
      <c r="AG80" s="11">
        <v>18</v>
      </c>
      <c r="AH80" s="11">
        <v>18</v>
      </c>
    </row>
    <row r="81" spans="1:34" s="33" customFormat="1" x14ac:dyDescent="0.2">
      <c r="A81" s="11">
        <v>191</v>
      </c>
      <c r="B81" s="11"/>
      <c r="C81" s="11"/>
      <c r="D81" s="11"/>
      <c r="E81" s="11"/>
      <c r="F81" s="11">
        <v>332</v>
      </c>
      <c r="G81" s="11" t="s">
        <v>53</v>
      </c>
      <c r="H81" s="56" t="str">
        <f>VLOOKUP(Table6[[#This Row],[ICD Code]],ICD_summary!$I$3:$M$38,5,0)</f>
        <v>PD</v>
      </c>
      <c r="I81" s="12">
        <v>83.2</v>
      </c>
      <c r="J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1" s="11" t="s">
        <v>55</v>
      </c>
      <c r="L81" s="11"/>
      <c r="M81" s="11"/>
      <c r="N81" s="11">
        <v>39.771999999999998</v>
      </c>
      <c r="O81" s="11">
        <v>34.646000000000001</v>
      </c>
      <c r="P81" s="11">
        <v>74.471999999999994</v>
      </c>
      <c r="Q81" s="11">
        <v>74.012</v>
      </c>
      <c r="R81" s="11">
        <v>73.588999999999999</v>
      </c>
      <c r="S81" s="11">
        <v>74.301000000000002</v>
      </c>
      <c r="T81" s="11">
        <v>119.98099999999999</v>
      </c>
      <c r="U81" s="11">
        <v>120.136</v>
      </c>
      <c r="V81" s="11">
        <v>64.653999999999996</v>
      </c>
      <c r="W81" s="11">
        <v>63.948999999999998</v>
      </c>
      <c r="X81" s="11">
        <v>35.345999999999997</v>
      </c>
      <c r="Y81" s="11">
        <v>36.051000000000002</v>
      </c>
      <c r="Z81" s="11">
        <v>15.067</v>
      </c>
      <c r="AA81" s="11">
        <v>13.352</v>
      </c>
      <c r="AB81" s="11">
        <v>36.051000000000002</v>
      </c>
      <c r="AC81" s="11">
        <v>35.345999999999997</v>
      </c>
      <c r="AD81" s="11">
        <v>9.8629999999999995</v>
      </c>
      <c r="AE81" s="11">
        <v>15</v>
      </c>
      <c r="AF81" s="11">
        <v>13</v>
      </c>
      <c r="AG81" s="11">
        <v>13</v>
      </c>
      <c r="AH81" s="11">
        <v>13</v>
      </c>
    </row>
    <row r="82" spans="1:34" s="33" customFormat="1" x14ac:dyDescent="0.2">
      <c r="A82" s="11">
        <v>192</v>
      </c>
      <c r="B82" s="11"/>
      <c r="C82" s="11"/>
      <c r="D82" s="11"/>
      <c r="E82" s="11"/>
      <c r="F82" s="11" t="s">
        <v>51</v>
      </c>
      <c r="G82" s="11" t="s">
        <v>51</v>
      </c>
      <c r="H82" s="56" t="str">
        <f>VLOOKUP(Table6[[#This Row],[ICD Code]],ICD_summary!$I$3:$M$38,5,0)</f>
        <v>Misc/Other</v>
      </c>
      <c r="I82" s="12">
        <v>999</v>
      </c>
      <c r="J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 s="11" t="s">
        <v>51</v>
      </c>
      <c r="L82" s="11"/>
      <c r="M82" s="11"/>
      <c r="N82" s="11" t="s">
        <v>51</v>
      </c>
      <c r="O82" s="11" t="s">
        <v>51</v>
      </c>
      <c r="P82" s="11" t="s">
        <v>51</v>
      </c>
      <c r="Q82" s="11" t="s">
        <v>51</v>
      </c>
      <c r="R82" s="11" t="s">
        <v>51</v>
      </c>
      <c r="S82" s="11" t="s">
        <v>51</v>
      </c>
      <c r="T82" s="11" t="s">
        <v>51</v>
      </c>
      <c r="U82" s="11" t="s">
        <v>51</v>
      </c>
      <c r="V82" s="11" t="s">
        <v>51</v>
      </c>
      <c r="W82" s="11" t="s">
        <v>51</v>
      </c>
      <c r="X82" s="11" t="s">
        <v>51</v>
      </c>
      <c r="Y82" s="11" t="s">
        <v>51</v>
      </c>
      <c r="Z82" s="11" t="s">
        <v>51</v>
      </c>
      <c r="AA82" s="11" t="s">
        <v>51</v>
      </c>
      <c r="AB82" s="11" t="s">
        <v>51</v>
      </c>
      <c r="AC82" s="11" t="s">
        <v>51</v>
      </c>
      <c r="AD82" s="11" t="s">
        <v>51</v>
      </c>
      <c r="AE82" s="11" t="s">
        <v>51</v>
      </c>
      <c r="AF82" s="11" t="s">
        <v>51</v>
      </c>
      <c r="AG82" s="11" t="s">
        <v>51</v>
      </c>
      <c r="AH82" s="11" t="s">
        <v>51</v>
      </c>
    </row>
    <row r="83" spans="1:34" s="33" customFormat="1" x14ac:dyDescent="0.2">
      <c r="A83" s="11">
        <v>193</v>
      </c>
      <c r="B83" s="11"/>
      <c r="C83" s="11"/>
      <c r="D83" s="11"/>
      <c r="E83" s="11"/>
      <c r="F83" s="11" t="s">
        <v>51</v>
      </c>
      <c r="G83" s="11" t="s">
        <v>51</v>
      </c>
      <c r="H83" s="56" t="str">
        <f>VLOOKUP(Table6[[#This Row],[ICD Code]],ICD_summary!$I$3:$M$38,5,0)</f>
        <v>Misc/Other</v>
      </c>
      <c r="I83" s="12">
        <v>999</v>
      </c>
      <c r="J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 s="11" t="s">
        <v>51</v>
      </c>
      <c r="L83" s="11"/>
      <c r="M83" s="11"/>
      <c r="N83" s="11" t="s">
        <v>51</v>
      </c>
      <c r="O83" s="11" t="s">
        <v>51</v>
      </c>
      <c r="P83" s="11" t="s">
        <v>51</v>
      </c>
      <c r="Q83" s="11" t="s">
        <v>51</v>
      </c>
      <c r="R83" s="11" t="s">
        <v>51</v>
      </c>
      <c r="S83" s="11" t="s">
        <v>51</v>
      </c>
      <c r="T83" s="11" t="s">
        <v>51</v>
      </c>
      <c r="U83" s="11" t="s">
        <v>51</v>
      </c>
      <c r="V83" s="11" t="s">
        <v>51</v>
      </c>
      <c r="W83" s="11" t="s">
        <v>51</v>
      </c>
      <c r="X83" s="11" t="s">
        <v>51</v>
      </c>
      <c r="Y83" s="11" t="s">
        <v>51</v>
      </c>
      <c r="Z83" s="11" t="s">
        <v>51</v>
      </c>
      <c r="AA83" s="11" t="s">
        <v>51</v>
      </c>
      <c r="AB83" s="11" t="s">
        <v>51</v>
      </c>
      <c r="AC83" s="11" t="s">
        <v>51</v>
      </c>
      <c r="AD83" s="11" t="s">
        <v>51</v>
      </c>
      <c r="AE83" s="11" t="s">
        <v>51</v>
      </c>
      <c r="AF83" s="11" t="s">
        <v>51</v>
      </c>
      <c r="AG83" s="11" t="s">
        <v>51</v>
      </c>
      <c r="AH83" s="11" t="s">
        <v>51</v>
      </c>
    </row>
    <row r="84" spans="1:34" s="33" customFormat="1" x14ac:dyDescent="0.2">
      <c r="A84" s="11">
        <v>194</v>
      </c>
      <c r="B84" s="11"/>
      <c r="C84" s="11"/>
      <c r="D84" s="11"/>
      <c r="E84" s="11"/>
      <c r="F84" s="11">
        <v>333.1</v>
      </c>
      <c r="G84" s="11" t="s">
        <v>54</v>
      </c>
      <c r="H84" s="56" t="str">
        <f>VLOOKUP(Table6[[#This Row],[ICD Code]],ICD_summary!$I$3:$M$38,5,0)</f>
        <v>Tremor, essential tremor</v>
      </c>
      <c r="I84" s="12">
        <v>78.3</v>
      </c>
      <c r="J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4" s="11" t="s">
        <v>55</v>
      </c>
      <c r="L84" s="11"/>
      <c r="M84" s="11"/>
      <c r="N84" s="11">
        <v>60.749000000000002</v>
      </c>
      <c r="O84" s="11">
        <v>62.683999999999997</v>
      </c>
      <c r="P84" s="11">
        <v>123.679</v>
      </c>
      <c r="Q84" s="11">
        <v>123.745</v>
      </c>
      <c r="R84" s="11">
        <v>126.15600000000001</v>
      </c>
      <c r="S84" s="11">
        <v>124.907</v>
      </c>
      <c r="T84" s="11">
        <v>122.38</v>
      </c>
      <c r="U84" s="11">
        <v>121.79600000000001</v>
      </c>
      <c r="V84" s="11">
        <v>61.271999999999998</v>
      </c>
      <c r="W84" s="11">
        <v>60.268000000000001</v>
      </c>
      <c r="X84" s="11">
        <v>38.728000000000002</v>
      </c>
      <c r="Y84" s="11">
        <v>39.731999999999999</v>
      </c>
      <c r="Z84" s="11">
        <v>10.680999999999999</v>
      </c>
      <c r="AA84" s="11">
        <v>10.651999999999999</v>
      </c>
      <c r="AB84" s="11">
        <v>39.731999999999999</v>
      </c>
      <c r="AC84" s="11">
        <v>38.728000000000002</v>
      </c>
      <c r="AD84" s="11">
        <v>6.6630000000000003</v>
      </c>
      <c r="AE84" s="11">
        <v>18</v>
      </c>
      <c r="AF84" s="11">
        <v>18</v>
      </c>
      <c r="AG84" s="11">
        <v>18</v>
      </c>
      <c r="AH84" s="11">
        <v>18</v>
      </c>
    </row>
    <row r="85" spans="1:34" s="33" customFormat="1" x14ac:dyDescent="0.2">
      <c r="A85" s="11">
        <v>195</v>
      </c>
      <c r="B85" s="11"/>
      <c r="C85" s="11"/>
      <c r="D85" s="11"/>
      <c r="E85" s="11"/>
      <c r="F85" s="11">
        <v>333.1</v>
      </c>
      <c r="G85" s="11" t="s">
        <v>54</v>
      </c>
      <c r="H85" s="56" t="str">
        <f>VLOOKUP(Table6[[#This Row],[ICD Code]],ICD_summary!$I$3:$M$38,5,0)</f>
        <v>Tremor, essential tremor</v>
      </c>
      <c r="I85" s="12">
        <v>66.900000000000006</v>
      </c>
      <c r="J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5" s="11" t="s">
        <v>55</v>
      </c>
      <c r="L85" s="11"/>
      <c r="M85" s="11"/>
      <c r="N85" s="11">
        <v>58.247999999999998</v>
      </c>
      <c r="O85" s="11">
        <v>54.795999999999999</v>
      </c>
      <c r="P85" s="11">
        <v>113.009</v>
      </c>
      <c r="Q85" s="11">
        <v>113.398</v>
      </c>
      <c r="R85" s="11">
        <v>115.998</v>
      </c>
      <c r="S85" s="11">
        <v>116.108</v>
      </c>
      <c r="T85" s="11">
        <v>123.20399999999999</v>
      </c>
      <c r="U85" s="11">
        <v>122.887</v>
      </c>
      <c r="V85" s="11">
        <v>60.667000000000002</v>
      </c>
      <c r="W85" s="11">
        <v>61.908999999999999</v>
      </c>
      <c r="X85" s="11">
        <v>39.332999999999998</v>
      </c>
      <c r="Y85" s="11">
        <v>38.091000000000001</v>
      </c>
      <c r="Z85" s="11">
        <v>10.497999999999999</v>
      </c>
      <c r="AA85" s="11">
        <v>11.943</v>
      </c>
      <c r="AB85" s="11">
        <v>38.091000000000001</v>
      </c>
      <c r="AC85" s="11">
        <v>39.332999999999998</v>
      </c>
      <c r="AD85" s="11">
        <v>13.343</v>
      </c>
      <c r="AE85" s="11">
        <v>11</v>
      </c>
      <c r="AF85" s="11">
        <v>9</v>
      </c>
      <c r="AG85" s="11">
        <v>9</v>
      </c>
      <c r="AH85" s="11">
        <v>9</v>
      </c>
    </row>
    <row r="86" spans="1:34" s="33" customFormat="1" x14ac:dyDescent="0.2">
      <c r="A86" s="11">
        <v>196</v>
      </c>
      <c r="B86" s="11"/>
      <c r="C86" s="11"/>
      <c r="D86" s="11"/>
      <c r="E86" s="11"/>
      <c r="F86" s="11">
        <v>333.1</v>
      </c>
      <c r="G86" s="11" t="s">
        <v>54</v>
      </c>
      <c r="H86" s="56" t="str">
        <f>VLOOKUP(Table6[[#This Row],[ICD Code]],ICD_summary!$I$3:$M$38,5,0)</f>
        <v>Tremor, essential tremor</v>
      </c>
      <c r="I86" s="12">
        <v>24.8</v>
      </c>
      <c r="J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86" s="11" t="s">
        <v>52</v>
      </c>
      <c r="L86" s="11"/>
      <c r="M86" s="11"/>
      <c r="N86" s="11" t="s">
        <v>51</v>
      </c>
      <c r="O86" s="11" t="s">
        <v>51</v>
      </c>
      <c r="P86" s="11" t="s">
        <v>51</v>
      </c>
      <c r="Q86" s="11" t="s">
        <v>51</v>
      </c>
      <c r="R86" s="11" t="s">
        <v>51</v>
      </c>
      <c r="S86" s="11" t="s">
        <v>51</v>
      </c>
      <c r="T86" s="11" t="s">
        <v>51</v>
      </c>
      <c r="U86" s="11" t="s">
        <v>51</v>
      </c>
      <c r="V86" s="11" t="s">
        <v>51</v>
      </c>
      <c r="W86" s="11" t="s">
        <v>51</v>
      </c>
      <c r="X86" s="11" t="s">
        <v>51</v>
      </c>
      <c r="Y86" s="11" t="s">
        <v>51</v>
      </c>
      <c r="Z86" s="11" t="s">
        <v>51</v>
      </c>
      <c r="AA86" s="11" t="s">
        <v>51</v>
      </c>
      <c r="AB86" s="11" t="s">
        <v>51</v>
      </c>
      <c r="AC86" s="11" t="s">
        <v>51</v>
      </c>
      <c r="AD86" s="11" t="s">
        <v>51</v>
      </c>
      <c r="AE86" s="11" t="s">
        <v>51</v>
      </c>
      <c r="AF86" s="11" t="s">
        <v>51</v>
      </c>
      <c r="AG86" s="11" t="s">
        <v>51</v>
      </c>
      <c r="AH86" s="11" t="s">
        <v>51</v>
      </c>
    </row>
    <row r="87" spans="1:34" s="33" customFormat="1" x14ac:dyDescent="0.2">
      <c r="A87" s="11">
        <v>197</v>
      </c>
      <c r="B87" s="11"/>
      <c r="C87" s="11"/>
      <c r="D87" s="11"/>
      <c r="E87" s="11"/>
      <c r="F87" s="11">
        <v>332</v>
      </c>
      <c r="G87" s="11" t="s">
        <v>53</v>
      </c>
      <c r="H87" s="56" t="str">
        <f>VLOOKUP(Table6[[#This Row],[ICD Code]],ICD_summary!$I$3:$M$38,5,0)</f>
        <v>PD</v>
      </c>
      <c r="I87" s="12">
        <v>51.9</v>
      </c>
      <c r="J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7" s="11" t="s">
        <v>52</v>
      </c>
      <c r="L87" s="11"/>
      <c r="M87" s="11"/>
      <c r="N87" s="11" t="s">
        <v>51</v>
      </c>
      <c r="O87" s="11" t="s">
        <v>51</v>
      </c>
      <c r="P87" s="11" t="s">
        <v>51</v>
      </c>
      <c r="Q87" s="11" t="s">
        <v>51</v>
      </c>
      <c r="R87" s="11" t="s">
        <v>51</v>
      </c>
      <c r="S87" s="11" t="s">
        <v>51</v>
      </c>
      <c r="T87" s="11" t="s">
        <v>51</v>
      </c>
      <c r="U87" s="11" t="s">
        <v>51</v>
      </c>
      <c r="V87" s="11" t="s">
        <v>51</v>
      </c>
      <c r="W87" s="11" t="s">
        <v>51</v>
      </c>
      <c r="X87" s="11" t="s">
        <v>51</v>
      </c>
      <c r="Y87" s="11" t="s">
        <v>51</v>
      </c>
      <c r="Z87" s="11" t="s">
        <v>51</v>
      </c>
      <c r="AA87" s="11" t="s">
        <v>51</v>
      </c>
      <c r="AB87" s="11" t="s">
        <v>51</v>
      </c>
      <c r="AC87" s="11" t="s">
        <v>51</v>
      </c>
      <c r="AD87" s="11" t="s">
        <v>51</v>
      </c>
      <c r="AE87" s="11" t="s">
        <v>51</v>
      </c>
      <c r="AF87" s="11" t="s">
        <v>51</v>
      </c>
      <c r="AG87" s="11" t="s">
        <v>51</v>
      </c>
      <c r="AH87" s="11" t="s">
        <v>51</v>
      </c>
    </row>
    <row r="88" spans="1:34" s="33" customFormat="1" x14ac:dyDescent="0.2">
      <c r="A88" s="11">
        <v>198</v>
      </c>
      <c r="B88" s="11"/>
      <c r="C88" s="11"/>
      <c r="D88" s="11"/>
      <c r="E88" s="11"/>
      <c r="F88" s="11">
        <v>332</v>
      </c>
      <c r="G88" s="11" t="s">
        <v>53</v>
      </c>
      <c r="H88" s="56" t="str">
        <f>VLOOKUP(Table6[[#This Row],[ICD Code]],ICD_summary!$I$3:$M$38,5,0)</f>
        <v>PD</v>
      </c>
      <c r="I88" s="12">
        <v>55.9</v>
      </c>
      <c r="J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8" s="11" t="s">
        <v>52</v>
      </c>
      <c r="L88" s="11"/>
      <c r="M88" s="11"/>
      <c r="N88" s="11">
        <v>54.628999999999998</v>
      </c>
      <c r="O88" s="11">
        <v>55.463999999999999</v>
      </c>
      <c r="P88" s="11">
        <v>109.98</v>
      </c>
      <c r="Q88" s="11">
        <v>110.614</v>
      </c>
      <c r="R88" s="11">
        <v>93.813999999999993</v>
      </c>
      <c r="S88" s="11">
        <v>93.724000000000004</v>
      </c>
      <c r="T88" s="11">
        <v>101.958</v>
      </c>
      <c r="U88" s="11">
        <v>101.065</v>
      </c>
      <c r="V88" s="11">
        <v>65.17</v>
      </c>
      <c r="W88" s="11">
        <v>64.704999999999998</v>
      </c>
      <c r="X88" s="11">
        <v>34.83</v>
      </c>
      <c r="Y88" s="11">
        <v>35.295000000000002</v>
      </c>
      <c r="Z88" s="11">
        <v>14.711</v>
      </c>
      <c r="AA88" s="11">
        <v>15.412000000000001</v>
      </c>
      <c r="AB88" s="11">
        <v>35.295000000000002</v>
      </c>
      <c r="AC88" s="11">
        <v>34.83</v>
      </c>
      <c r="AD88" s="11">
        <v>9.7240000000000002</v>
      </c>
      <c r="AE88" s="11">
        <v>11</v>
      </c>
      <c r="AF88" s="11">
        <v>14</v>
      </c>
      <c r="AG88" s="11">
        <v>10</v>
      </c>
      <c r="AH88" s="11">
        <v>10</v>
      </c>
    </row>
    <row r="89" spans="1:34" s="33" customFormat="1" x14ac:dyDescent="0.2">
      <c r="A89" s="11">
        <v>199</v>
      </c>
      <c r="B89" s="11"/>
      <c r="C89" s="11"/>
      <c r="D89" s="11"/>
      <c r="E89" s="11"/>
      <c r="F89" s="11">
        <v>332</v>
      </c>
      <c r="G89" s="11" t="s">
        <v>53</v>
      </c>
      <c r="H89" s="56" t="str">
        <f>VLOOKUP(Table6[[#This Row],[ICD Code]],ICD_summary!$I$3:$M$38,5,0)</f>
        <v>PD</v>
      </c>
      <c r="I89" s="12">
        <v>81.400000000000006</v>
      </c>
      <c r="J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9" s="11" t="s">
        <v>52</v>
      </c>
      <c r="L89" s="11"/>
      <c r="M89" s="11"/>
      <c r="N89" s="11" t="s">
        <v>51</v>
      </c>
      <c r="O89" s="11" t="s">
        <v>51</v>
      </c>
      <c r="P89" s="11" t="s">
        <v>51</v>
      </c>
      <c r="Q89" s="11" t="s">
        <v>51</v>
      </c>
      <c r="R89" s="11" t="s">
        <v>51</v>
      </c>
      <c r="S89" s="11" t="s">
        <v>51</v>
      </c>
      <c r="T89" s="11" t="s">
        <v>51</v>
      </c>
      <c r="U89" s="11" t="s">
        <v>51</v>
      </c>
      <c r="V89" s="11" t="s">
        <v>51</v>
      </c>
      <c r="W89" s="11" t="s">
        <v>51</v>
      </c>
      <c r="X89" s="11" t="s">
        <v>51</v>
      </c>
      <c r="Y89" s="11" t="s">
        <v>51</v>
      </c>
      <c r="Z89" s="11" t="s">
        <v>51</v>
      </c>
      <c r="AA89" s="11" t="s">
        <v>51</v>
      </c>
      <c r="AB89" s="11" t="s">
        <v>51</v>
      </c>
      <c r="AC89" s="11" t="s">
        <v>51</v>
      </c>
      <c r="AD89" s="11" t="s">
        <v>51</v>
      </c>
      <c r="AE89" s="11" t="s">
        <v>51</v>
      </c>
      <c r="AF89" s="11" t="s">
        <v>51</v>
      </c>
      <c r="AG89" s="11" t="s">
        <v>51</v>
      </c>
      <c r="AH89" s="11" t="s">
        <v>51</v>
      </c>
    </row>
    <row r="90" spans="1:34" s="33" customFormat="1" x14ac:dyDescent="0.2">
      <c r="A90" s="11">
        <v>200</v>
      </c>
      <c r="B90" s="11"/>
      <c r="C90" s="11"/>
      <c r="D90" s="11"/>
      <c r="E90" s="11"/>
      <c r="F90" s="11">
        <v>332</v>
      </c>
      <c r="G90" s="11" t="s">
        <v>53</v>
      </c>
      <c r="H90" s="56" t="str">
        <f>VLOOKUP(Table6[[#This Row],[ICD Code]],ICD_summary!$I$3:$M$38,5,0)</f>
        <v>PD</v>
      </c>
      <c r="I90" s="12">
        <v>69.8</v>
      </c>
      <c r="J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0" s="11" t="s">
        <v>55</v>
      </c>
      <c r="L90" s="11"/>
      <c r="M90" s="11"/>
      <c r="N90" s="11" t="s">
        <v>51</v>
      </c>
      <c r="O90" s="11" t="s">
        <v>51</v>
      </c>
      <c r="P90" s="11" t="s">
        <v>51</v>
      </c>
      <c r="Q90" s="11" t="s">
        <v>51</v>
      </c>
      <c r="R90" s="11" t="s">
        <v>51</v>
      </c>
      <c r="S90" s="11" t="s">
        <v>51</v>
      </c>
      <c r="T90" s="11" t="s">
        <v>51</v>
      </c>
      <c r="U90" s="11" t="s">
        <v>51</v>
      </c>
      <c r="V90" s="11" t="s">
        <v>51</v>
      </c>
      <c r="W90" s="11" t="s">
        <v>51</v>
      </c>
      <c r="X90" s="11" t="s">
        <v>51</v>
      </c>
      <c r="Y90" s="11" t="s">
        <v>51</v>
      </c>
      <c r="Z90" s="11" t="s">
        <v>51</v>
      </c>
      <c r="AA90" s="11" t="s">
        <v>51</v>
      </c>
      <c r="AB90" s="11" t="s">
        <v>51</v>
      </c>
      <c r="AC90" s="11" t="s">
        <v>51</v>
      </c>
      <c r="AD90" s="11" t="s">
        <v>51</v>
      </c>
      <c r="AE90" s="11" t="s">
        <v>51</v>
      </c>
      <c r="AF90" s="11" t="s">
        <v>51</v>
      </c>
      <c r="AG90" s="11" t="s">
        <v>51</v>
      </c>
      <c r="AH90" s="11" t="s">
        <v>51</v>
      </c>
    </row>
    <row r="91" spans="1:34" s="33" customFormat="1" x14ac:dyDescent="0.2">
      <c r="A91" s="11">
        <v>201</v>
      </c>
      <c r="B91" s="11"/>
      <c r="C91" s="11"/>
      <c r="D91" s="11"/>
      <c r="E91" s="11"/>
      <c r="F91" s="11">
        <v>333</v>
      </c>
      <c r="G91" s="11" t="s">
        <v>57</v>
      </c>
      <c r="H91" s="56" t="str">
        <f>VLOOKUP(Table6[[#This Row],[ICD Code]],ICD_summary!$I$3:$M$38,5,0)</f>
        <v>Misc/Other</v>
      </c>
      <c r="I91" s="12">
        <v>68.8</v>
      </c>
      <c r="J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 s="11" t="s">
        <v>55</v>
      </c>
      <c r="L91" s="11"/>
      <c r="M91" s="11"/>
      <c r="N91" s="11" t="s">
        <v>51</v>
      </c>
      <c r="O91" s="11" t="s">
        <v>51</v>
      </c>
      <c r="P91" s="11" t="s">
        <v>51</v>
      </c>
      <c r="Q91" s="11" t="s">
        <v>51</v>
      </c>
      <c r="R91" s="11" t="s">
        <v>51</v>
      </c>
      <c r="S91" s="11" t="s">
        <v>51</v>
      </c>
      <c r="T91" s="11" t="s">
        <v>51</v>
      </c>
      <c r="U91" s="11" t="s">
        <v>51</v>
      </c>
      <c r="V91" s="11" t="s">
        <v>51</v>
      </c>
      <c r="W91" s="11" t="s">
        <v>51</v>
      </c>
      <c r="X91" s="11" t="s">
        <v>51</v>
      </c>
      <c r="Y91" s="11" t="s">
        <v>51</v>
      </c>
      <c r="Z91" s="11" t="s">
        <v>51</v>
      </c>
      <c r="AA91" s="11" t="s">
        <v>51</v>
      </c>
      <c r="AB91" s="11" t="s">
        <v>51</v>
      </c>
      <c r="AC91" s="11" t="s">
        <v>51</v>
      </c>
      <c r="AD91" s="11" t="s">
        <v>51</v>
      </c>
      <c r="AE91" s="11" t="s">
        <v>51</v>
      </c>
      <c r="AF91" s="11" t="s">
        <v>51</v>
      </c>
      <c r="AG91" s="11" t="s">
        <v>51</v>
      </c>
      <c r="AH91" s="11" t="s">
        <v>51</v>
      </c>
    </row>
    <row r="92" spans="1:34" s="33" customFormat="1" x14ac:dyDescent="0.2">
      <c r="A92" s="11">
        <v>202</v>
      </c>
      <c r="B92" s="11"/>
      <c r="C92" s="11"/>
      <c r="D92" s="11"/>
      <c r="E92" s="11"/>
      <c r="F92" s="11">
        <v>332</v>
      </c>
      <c r="G92" s="11" t="s">
        <v>53</v>
      </c>
      <c r="H92" s="56" t="str">
        <f>VLOOKUP(Table6[[#This Row],[ICD Code]],ICD_summary!$I$3:$M$38,5,0)</f>
        <v>PD</v>
      </c>
      <c r="I92" s="12">
        <v>52.1</v>
      </c>
      <c r="J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 s="11" t="s">
        <v>55</v>
      </c>
      <c r="L92" s="11"/>
      <c r="M92" s="11"/>
      <c r="N92" s="11" t="s">
        <v>51</v>
      </c>
      <c r="O92" s="11" t="s">
        <v>51</v>
      </c>
      <c r="P92" s="11" t="s">
        <v>51</v>
      </c>
      <c r="Q92" s="11" t="s">
        <v>51</v>
      </c>
      <c r="R92" s="11" t="s">
        <v>51</v>
      </c>
      <c r="S92" s="11" t="s">
        <v>51</v>
      </c>
      <c r="T92" s="11" t="s">
        <v>51</v>
      </c>
      <c r="U92" s="11" t="s">
        <v>51</v>
      </c>
      <c r="V92" s="11" t="s">
        <v>51</v>
      </c>
      <c r="W92" s="11" t="s">
        <v>51</v>
      </c>
      <c r="X92" s="11" t="s">
        <v>51</v>
      </c>
      <c r="Y92" s="11" t="s">
        <v>51</v>
      </c>
      <c r="Z92" s="11" t="s">
        <v>51</v>
      </c>
      <c r="AA92" s="11" t="s">
        <v>51</v>
      </c>
      <c r="AB92" s="11" t="s">
        <v>51</v>
      </c>
      <c r="AC92" s="11" t="s">
        <v>51</v>
      </c>
      <c r="AD92" s="11" t="s">
        <v>51</v>
      </c>
      <c r="AE92" s="11" t="s">
        <v>51</v>
      </c>
      <c r="AF92" s="11" t="s">
        <v>51</v>
      </c>
      <c r="AG92" s="11" t="s">
        <v>51</v>
      </c>
      <c r="AH92" s="11" t="s">
        <v>51</v>
      </c>
    </row>
    <row r="93" spans="1:34" s="33" customFormat="1" x14ac:dyDescent="0.2">
      <c r="A93" s="11">
        <v>203</v>
      </c>
      <c r="B93" s="11"/>
      <c r="C93" s="11"/>
      <c r="D93" s="11"/>
      <c r="E93" s="11"/>
      <c r="F93" s="11">
        <v>333.1</v>
      </c>
      <c r="G93" s="11" t="s">
        <v>54</v>
      </c>
      <c r="H93" s="56" t="str">
        <f>VLOOKUP(Table6[[#This Row],[ICD Code]],ICD_summary!$I$3:$M$38,5,0)</f>
        <v>Tremor, essential tremor</v>
      </c>
      <c r="I93" s="12">
        <v>68.7</v>
      </c>
      <c r="J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 s="11" t="s">
        <v>55</v>
      </c>
      <c r="L93" s="11"/>
      <c r="M93" s="11"/>
      <c r="N93" s="11" t="s">
        <v>51</v>
      </c>
      <c r="O93" s="11" t="s">
        <v>51</v>
      </c>
      <c r="P93" s="11" t="s">
        <v>51</v>
      </c>
      <c r="Q93" s="11" t="s">
        <v>51</v>
      </c>
      <c r="R93" s="11" t="s">
        <v>51</v>
      </c>
      <c r="S93" s="11" t="s">
        <v>51</v>
      </c>
      <c r="T93" s="11" t="s">
        <v>51</v>
      </c>
      <c r="U93" s="11" t="s">
        <v>51</v>
      </c>
      <c r="V93" s="11" t="s">
        <v>51</v>
      </c>
      <c r="W93" s="11" t="s">
        <v>51</v>
      </c>
      <c r="X93" s="11" t="s">
        <v>51</v>
      </c>
      <c r="Y93" s="11" t="s">
        <v>51</v>
      </c>
      <c r="Z93" s="11" t="s">
        <v>51</v>
      </c>
      <c r="AA93" s="11" t="s">
        <v>51</v>
      </c>
      <c r="AB93" s="11" t="s">
        <v>51</v>
      </c>
      <c r="AC93" s="11" t="s">
        <v>51</v>
      </c>
      <c r="AD93" s="11" t="s">
        <v>51</v>
      </c>
      <c r="AE93" s="11" t="s">
        <v>51</v>
      </c>
      <c r="AF93" s="11" t="s">
        <v>51</v>
      </c>
      <c r="AG93" s="11" t="s">
        <v>51</v>
      </c>
      <c r="AH93" s="11" t="s">
        <v>51</v>
      </c>
    </row>
    <row r="94" spans="1:34" s="33" customFormat="1" x14ac:dyDescent="0.2">
      <c r="A94" s="11">
        <v>206</v>
      </c>
      <c r="B94" s="11"/>
      <c r="C94" s="11"/>
      <c r="D94" s="11"/>
      <c r="E94" s="11"/>
      <c r="F94" s="11">
        <v>332</v>
      </c>
      <c r="G94" s="11" t="s">
        <v>53</v>
      </c>
      <c r="H94" s="56" t="str">
        <f>VLOOKUP(Table6[[#This Row],[ICD Code]],ICD_summary!$I$3:$M$38,5,0)</f>
        <v>PD</v>
      </c>
      <c r="I94" s="12">
        <v>48.8</v>
      </c>
      <c r="J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94" s="11" t="s">
        <v>52</v>
      </c>
      <c r="L94" s="11"/>
      <c r="M94" s="11"/>
      <c r="N94" s="11" t="s">
        <v>51</v>
      </c>
      <c r="O94" s="11" t="s">
        <v>51</v>
      </c>
      <c r="P94" s="11" t="s">
        <v>51</v>
      </c>
      <c r="Q94" s="11" t="s">
        <v>51</v>
      </c>
      <c r="R94" s="11" t="s">
        <v>51</v>
      </c>
      <c r="S94" s="11" t="s">
        <v>51</v>
      </c>
      <c r="T94" s="11" t="s">
        <v>51</v>
      </c>
      <c r="U94" s="11" t="s">
        <v>51</v>
      </c>
      <c r="V94" s="11" t="s">
        <v>51</v>
      </c>
      <c r="W94" s="11" t="s">
        <v>51</v>
      </c>
      <c r="X94" s="11" t="s">
        <v>51</v>
      </c>
      <c r="Y94" s="11" t="s">
        <v>51</v>
      </c>
      <c r="Z94" s="11" t="s">
        <v>51</v>
      </c>
      <c r="AA94" s="11" t="s">
        <v>51</v>
      </c>
      <c r="AB94" s="11" t="s">
        <v>51</v>
      </c>
      <c r="AC94" s="11" t="s">
        <v>51</v>
      </c>
      <c r="AD94" s="11" t="s">
        <v>51</v>
      </c>
      <c r="AE94" s="11" t="s">
        <v>51</v>
      </c>
      <c r="AF94" s="11" t="s">
        <v>51</v>
      </c>
      <c r="AG94" s="11" t="s">
        <v>51</v>
      </c>
      <c r="AH94" s="11" t="s">
        <v>51</v>
      </c>
    </row>
    <row r="95" spans="1:34" s="33" customFormat="1" x14ac:dyDescent="0.2">
      <c r="A95" s="11">
        <v>208</v>
      </c>
      <c r="B95" s="11"/>
      <c r="C95" s="11"/>
      <c r="D95" s="11"/>
      <c r="E95" s="11"/>
      <c r="F95" s="11">
        <v>332</v>
      </c>
      <c r="G95" s="11" t="s">
        <v>53</v>
      </c>
      <c r="H95" s="56" t="str">
        <f>VLOOKUP(Table6[[#This Row],[ICD Code]],ICD_summary!$I$3:$M$38,5,0)</f>
        <v>PD</v>
      </c>
      <c r="I95" s="12">
        <v>47.2</v>
      </c>
      <c r="J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95" s="11" t="s">
        <v>52</v>
      </c>
      <c r="L95" s="11"/>
      <c r="M95" s="11"/>
      <c r="N95" s="11" t="s">
        <v>51</v>
      </c>
      <c r="O95" s="11" t="s">
        <v>51</v>
      </c>
      <c r="P95" s="11" t="s">
        <v>51</v>
      </c>
      <c r="Q95" s="11" t="s">
        <v>51</v>
      </c>
      <c r="R95" s="11" t="s">
        <v>51</v>
      </c>
      <c r="S95" s="11" t="s">
        <v>51</v>
      </c>
      <c r="T95" s="11" t="s">
        <v>51</v>
      </c>
      <c r="U95" s="11" t="s">
        <v>51</v>
      </c>
      <c r="V95" s="11" t="s">
        <v>51</v>
      </c>
      <c r="W95" s="11" t="s">
        <v>51</v>
      </c>
      <c r="X95" s="11" t="s">
        <v>51</v>
      </c>
      <c r="Y95" s="11" t="s">
        <v>51</v>
      </c>
      <c r="Z95" s="11" t="s">
        <v>51</v>
      </c>
      <c r="AA95" s="11" t="s">
        <v>51</v>
      </c>
      <c r="AB95" s="11" t="s">
        <v>51</v>
      </c>
      <c r="AC95" s="11" t="s">
        <v>51</v>
      </c>
      <c r="AD95" s="11" t="s">
        <v>51</v>
      </c>
      <c r="AE95" s="11" t="s">
        <v>51</v>
      </c>
      <c r="AF95" s="11" t="s">
        <v>51</v>
      </c>
      <c r="AG95" s="11" t="s">
        <v>51</v>
      </c>
      <c r="AH95" s="11" t="s">
        <v>51</v>
      </c>
    </row>
    <row r="96" spans="1:34" s="33" customFormat="1" x14ac:dyDescent="0.2">
      <c r="A96" s="11">
        <v>209</v>
      </c>
      <c r="B96" s="11"/>
      <c r="C96" s="11"/>
      <c r="D96" s="11"/>
      <c r="E96" s="11"/>
      <c r="F96" s="11" t="s">
        <v>51</v>
      </c>
      <c r="G96" s="11" t="s">
        <v>51</v>
      </c>
      <c r="H96" s="56" t="str">
        <f>VLOOKUP(Table6[[#This Row],[ICD Code]],ICD_summary!$I$3:$M$38,5,0)</f>
        <v>Misc/Other</v>
      </c>
      <c r="I96" s="12">
        <v>999</v>
      </c>
      <c r="J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6" s="11" t="s">
        <v>51</v>
      </c>
      <c r="L96" s="11"/>
      <c r="M96" s="11"/>
      <c r="N96" s="11" t="s">
        <v>51</v>
      </c>
      <c r="O96" s="11" t="s">
        <v>51</v>
      </c>
      <c r="P96" s="11" t="s">
        <v>51</v>
      </c>
      <c r="Q96" s="11" t="s">
        <v>51</v>
      </c>
      <c r="R96" s="11" t="s">
        <v>51</v>
      </c>
      <c r="S96" s="11" t="s">
        <v>51</v>
      </c>
      <c r="T96" s="11" t="s">
        <v>51</v>
      </c>
      <c r="U96" s="11" t="s">
        <v>51</v>
      </c>
      <c r="V96" s="11" t="s">
        <v>51</v>
      </c>
      <c r="W96" s="11" t="s">
        <v>51</v>
      </c>
      <c r="X96" s="11" t="s">
        <v>51</v>
      </c>
      <c r="Y96" s="11" t="s">
        <v>51</v>
      </c>
      <c r="Z96" s="11" t="s">
        <v>51</v>
      </c>
      <c r="AA96" s="11" t="s">
        <v>51</v>
      </c>
      <c r="AB96" s="11" t="s">
        <v>51</v>
      </c>
      <c r="AC96" s="11" t="s">
        <v>51</v>
      </c>
      <c r="AD96" s="11" t="s">
        <v>51</v>
      </c>
      <c r="AE96" s="11" t="s">
        <v>51</v>
      </c>
      <c r="AF96" s="11" t="s">
        <v>51</v>
      </c>
      <c r="AG96" s="11" t="s">
        <v>51</v>
      </c>
      <c r="AH96" s="11" t="s">
        <v>51</v>
      </c>
    </row>
    <row r="97" spans="1:34" s="33" customFormat="1" x14ac:dyDescent="0.2">
      <c r="A97" s="11">
        <v>210</v>
      </c>
      <c r="B97" s="11"/>
      <c r="C97" s="11"/>
      <c r="D97" s="11"/>
      <c r="E97" s="11"/>
      <c r="F97" s="11">
        <v>333.1</v>
      </c>
      <c r="G97" s="11" t="s">
        <v>54</v>
      </c>
      <c r="H97" s="56" t="str">
        <f>VLOOKUP(Table6[[#This Row],[ICD Code]],ICD_summary!$I$3:$M$38,5,0)</f>
        <v>Tremor, essential tremor</v>
      </c>
      <c r="I97" s="12">
        <v>76.7</v>
      </c>
      <c r="J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7" s="11" t="s">
        <v>52</v>
      </c>
      <c r="L97" s="11"/>
      <c r="M97" s="11"/>
      <c r="N97" s="11" t="s">
        <v>51</v>
      </c>
      <c r="O97" s="11" t="s">
        <v>51</v>
      </c>
      <c r="P97" s="11" t="s">
        <v>51</v>
      </c>
      <c r="Q97" s="11" t="s">
        <v>51</v>
      </c>
      <c r="R97" s="11" t="s">
        <v>51</v>
      </c>
      <c r="S97" s="11" t="s">
        <v>51</v>
      </c>
      <c r="T97" s="11" t="s">
        <v>51</v>
      </c>
      <c r="U97" s="11" t="s">
        <v>51</v>
      </c>
      <c r="V97" s="11" t="s">
        <v>51</v>
      </c>
      <c r="W97" s="11" t="s">
        <v>51</v>
      </c>
      <c r="X97" s="11" t="s">
        <v>51</v>
      </c>
      <c r="Y97" s="11" t="s">
        <v>51</v>
      </c>
      <c r="Z97" s="11" t="s">
        <v>51</v>
      </c>
      <c r="AA97" s="11" t="s">
        <v>51</v>
      </c>
      <c r="AB97" s="11" t="s">
        <v>51</v>
      </c>
      <c r="AC97" s="11" t="s">
        <v>51</v>
      </c>
      <c r="AD97" s="11" t="s">
        <v>51</v>
      </c>
      <c r="AE97" s="11" t="s">
        <v>51</v>
      </c>
      <c r="AF97" s="11" t="s">
        <v>51</v>
      </c>
      <c r="AG97" s="11" t="s">
        <v>51</v>
      </c>
      <c r="AH97" s="11" t="s">
        <v>51</v>
      </c>
    </row>
    <row r="98" spans="1:34" s="33" customFormat="1" x14ac:dyDescent="0.2">
      <c r="A98" s="11">
        <v>211</v>
      </c>
      <c r="B98" s="11"/>
      <c r="C98" s="11"/>
      <c r="D98" s="11"/>
      <c r="E98" s="11"/>
      <c r="F98" s="11">
        <v>333.1</v>
      </c>
      <c r="G98" s="11" t="s">
        <v>54</v>
      </c>
      <c r="H98" s="56" t="str">
        <f>VLOOKUP(Table6[[#This Row],[ICD Code]],ICD_summary!$I$3:$M$38,5,0)</f>
        <v>Tremor, essential tremor</v>
      </c>
      <c r="I98" s="12">
        <v>67.3</v>
      </c>
      <c r="J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8" s="11" t="s">
        <v>55</v>
      </c>
      <c r="L98" s="11"/>
      <c r="M98" s="11"/>
      <c r="N98" s="11" t="s">
        <v>51</v>
      </c>
      <c r="O98" s="11" t="s">
        <v>51</v>
      </c>
      <c r="P98" s="11" t="s">
        <v>51</v>
      </c>
      <c r="Q98" s="11" t="s">
        <v>51</v>
      </c>
      <c r="R98" s="11" t="s">
        <v>51</v>
      </c>
      <c r="S98" s="11" t="s">
        <v>51</v>
      </c>
      <c r="T98" s="11" t="s">
        <v>51</v>
      </c>
      <c r="U98" s="11" t="s">
        <v>51</v>
      </c>
      <c r="V98" s="11" t="s">
        <v>51</v>
      </c>
      <c r="W98" s="11" t="s">
        <v>51</v>
      </c>
      <c r="X98" s="11" t="s">
        <v>51</v>
      </c>
      <c r="Y98" s="11" t="s">
        <v>51</v>
      </c>
      <c r="Z98" s="11" t="s">
        <v>51</v>
      </c>
      <c r="AA98" s="11" t="s">
        <v>51</v>
      </c>
      <c r="AB98" s="11" t="s">
        <v>51</v>
      </c>
      <c r="AC98" s="11" t="s">
        <v>51</v>
      </c>
      <c r="AD98" s="11" t="s">
        <v>51</v>
      </c>
      <c r="AE98" s="11" t="s">
        <v>51</v>
      </c>
      <c r="AF98" s="11" t="s">
        <v>51</v>
      </c>
      <c r="AG98" s="11" t="s">
        <v>51</v>
      </c>
      <c r="AH98" s="11" t="s">
        <v>51</v>
      </c>
    </row>
    <row r="99" spans="1:34" s="33" customFormat="1" x14ac:dyDescent="0.2">
      <c r="A99" s="11">
        <v>212</v>
      </c>
      <c r="B99" s="11"/>
      <c r="C99" s="11"/>
      <c r="D99" s="11"/>
      <c r="E99" s="11"/>
      <c r="F99" s="11">
        <v>333.1</v>
      </c>
      <c r="G99" s="11" t="s">
        <v>54</v>
      </c>
      <c r="H99" s="56" t="str">
        <f>VLOOKUP(Table6[[#This Row],[ICD Code]],ICD_summary!$I$3:$M$38,5,0)</f>
        <v>Tremor, essential tremor</v>
      </c>
      <c r="I99" s="12">
        <v>73.7</v>
      </c>
      <c r="J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9" s="11" t="s">
        <v>55</v>
      </c>
      <c r="L99" s="11"/>
      <c r="M99" s="11"/>
      <c r="N99" s="11">
        <v>18.193000000000001</v>
      </c>
      <c r="O99" s="11">
        <v>14.781000000000001</v>
      </c>
      <c r="P99" s="11">
        <v>33.476999999999997</v>
      </c>
      <c r="Q99" s="11">
        <v>32.194000000000003</v>
      </c>
      <c r="R99" s="11">
        <v>21.241</v>
      </c>
      <c r="S99" s="11">
        <v>21.097999999999999</v>
      </c>
      <c r="T99" s="11">
        <v>78.066999999999993</v>
      </c>
      <c r="U99" s="11">
        <v>81.006</v>
      </c>
      <c r="V99" s="11">
        <v>71.626999999999995</v>
      </c>
      <c r="W99" s="11">
        <v>73.010999999999996</v>
      </c>
      <c r="X99" s="11">
        <v>28.373000000000001</v>
      </c>
      <c r="Y99" s="11">
        <v>26.989000000000001</v>
      </c>
      <c r="Z99" s="11">
        <v>22.266999999999999</v>
      </c>
      <c r="AA99" s="11">
        <v>22.172999999999998</v>
      </c>
      <c r="AB99" s="11">
        <v>26.989000000000001</v>
      </c>
      <c r="AC99" s="11">
        <v>28.373000000000001</v>
      </c>
      <c r="AD99" s="11">
        <v>19.23</v>
      </c>
      <c r="AE99" s="11">
        <v>7</v>
      </c>
      <c r="AF99" s="11">
        <v>7</v>
      </c>
      <c r="AG99" s="11">
        <v>7</v>
      </c>
      <c r="AH99" s="11">
        <v>7</v>
      </c>
    </row>
    <row r="100" spans="1:34" s="33" customFormat="1" x14ac:dyDescent="0.2">
      <c r="A100" s="11">
        <v>213</v>
      </c>
      <c r="B100" s="11"/>
      <c r="C100" s="11"/>
      <c r="D100" s="11"/>
      <c r="E100" s="11"/>
      <c r="F100" s="11">
        <v>333.1</v>
      </c>
      <c r="G100" s="11" t="s">
        <v>54</v>
      </c>
      <c r="H100" s="56" t="str">
        <f>VLOOKUP(Table6[[#This Row],[ICD Code]],ICD_summary!$I$3:$M$38,5,0)</f>
        <v>Tremor, essential tremor</v>
      </c>
      <c r="I100" s="12">
        <v>66.2</v>
      </c>
      <c r="J1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0" s="11" t="s">
        <v>55</v>
      </c>
      <c r="L100" s="11"/>
      <c r="M100" s="11"/>
      <c r="N100" s="11">
        <v>55.232999999999997</v>
      </c>
      <c r="O100" s="11">
        <v>54.441000000000003</v>
      </c>
      <c r="P100" s="11">
        <v>108.67400000000001</v>
      </c>
      <c r="Q100" s="11">
        <v>110.944</v>
      </c>
      <c r="R100" s="11">
        <v>82.221999999999994</v>
      </c>
      <c r="S100" s="11">
        <v>80.802999999999997</v>
      </c>
      <c r="T100" s="11">
        <v>91.007999999999996</v>
      </c>
      <c r="U100" s="11">
        <v>88.519000000000005</v>
      </c>
      <c r="V100" s="11">
        <v>64.861999999999995</v>
      </c>
      <c r="W100" s="11">
        <v>64.102999999999994</v>
      </c>
      <c r="X100" s="11">
        <v>35.137999999999998</v>
      </c>
      <c r="Y100" s="11">
        <v>35.896999999999998</v>
      </c>
      <c r="Z100" s="11">
        <v>14.342000000000001</v>
      </c>
      <c r="AA100" s="11">
        <v>16.212</v>
      </c>
      <c r="AB100" s="11">
        <v>35.896999999999998</v>
      </c>
      <c r="AC100" s="11">
        <v>35.137999999999998</v>
      </c>
      <c r="AD100" s="11">
        <v>11.798</v>
      </c>
      <c r="AE100" s="11">
        <v>7</v>
      </c>
      <c r="AF100" s="11">
        <v>10</v>
      </c>
      <c r="AG100" s="11">
        <v>7</v>
      </c>
      <c r="AH100" s="11">
        <v>7</v>
      </c>
    </row>
    <row r="101" spans="1:34" s="33" customFormat="1" x14ac:dyDescent="0.2">
      <c r="A101" s="11">
        <v>214</v>
      </c>
      <c r="B101" s="11"/>
      <c r="C101" s="11"/>
      <c r="D101" s="11"/>
      <c r="E101" s="11"/>
      <c r="F101" s="11">
        <v>781.2</v>
      </c>
      <c r="G101" s="11" t="s">
        <v>58</v>
      </c>
      <c r="H101" s="56" t="str">
        <f>VLOOKUP(Table6[[#This Row],[ICD Code]],ICD_summary!$I$3:$M$38,5,0)</f>
        <v>Gait, other abnormalities</v>
      </c>
      <c r="I101" s="12">
        <v>65.7</v>
      </c>
      <c r="J1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1" s="11" t="s">
        <v>52</v>
      </c>
      <c r="L101" s="11"/>
      <c r="M101" s="11"/>
      <c r="N101" s="11">
        <v>39.167999999999999</v>
      </c>
      <c r="O101" s="11">
        <v>35.308</v>
      </c>
      <c r="P101" s="11">
        <v>75.239000000000004</v>
      </c>
      <c r="Q101" s="11">
        <v>74.475999999999999</v>
      </c>
      <c r="R101" s="11">
        <v>54.198</v>
      </c>
      <c r="S101" s="11">
        <v>52.546999999999997</v>
      </c>
      <c r="T101" s="11">
        <v>87.936000000000007</v>
      </c>
      <c r="U101" s="11">
        <v>86.134</v>
      </c>
      <c r="V101" s="11">
        <v>70.067999999999998</v>
      </c>
      <c r="W101" s="11">
        <v>68.180999999999997</v>
      </c>
      <c r="X101" s="11">
        <v>29.931999999999999</v>
      </c>
      <c r="Y101" s="11">
        <v>31.818999999999999</v>
      </c>
      <c r="Z101" s="11">
        <v>24.582000000000001</v>
      </c>
      <c r="AA101" s="11">
        <v>14.755000000000001</v>
      </c>
      <c r="AB101" s="11">
        <v>31.818999999999999</v>
      </c>
      <c r="AC101" s="11">
        <v>29.931999999999999</v>
      </c>
      <c r="AD101" s="11">
        <v>14.433</v>
      </c>
      <c r="AE101" s="11">
        <v>8</v>
      </c>
      <c r="AF101" s="11">
        <v>11</v>
      </c>
      <c r="AG101" s="11">
        <v>8</v>
      </c>
      <c r="AH101" s="11">
        <v>8</v>
      </c>
    </row>
    <row r="102" spans="1:34" s="33" customFormat="1" x14ac:dyDescent="0.2">
      <c r="A102" s="11">
        <v>215</v>
      </c>
      <c r="B102" s="11"/>
      <c r="C102" s="11"/>
      <c r="D102" s="11"/>
      <c r="E102" s="11"/>
      <c r="F102" s="11">
        <v>333.1</v>
      </c>
      <c r="G102" s="11" t="s">
        <v>54</v>
      </c>
      <c r="H102" s="56" t="str">
        <f>VLOOKUP(Table6[[#This Row],[ICD Code]],ICD_summary!$I$3:$M$38,5,0)</f>
        <v>Tremor, essential tremor</v>
      </c>
      <c r="I102" s="12">
        <v>76.400000000000006</v>
      </c>
      <c r="J1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2" s="11" t="s">
        <v>52</v>
      </c>
      <c r="L102" s="11"/>
      <c r="M102" s="11"/>
      <c r="N102" s="11">
        <v>55.566000000000003</v>
      </c>
      <c r="O102" s="11">
        <v>63.142000000000003</v>
      </c>
      <c r="P102" s="11">
        <v>118.77</v>
      </c>
      <c r="Q102" s="11">
        <v>118.699</v>
      </c>
      <c r="R102" s="11">
        <v>105.666</v>
      </c>
      <c r="S102" s="11">
        <v>105.69499999999999</v>
      </c>
      <c r="T102" s="11">
        <v>106.423</v>
      </c>
      <c r="U102" s="11">
        <v>106.542</v>
      </c>
      <c r="V102" s="11">
        <v>61.819000000000003</v>
      </c>
      <c r="W102" s="11">
        <v>62.423000000000002</v>
      </c>
      <c r="X102" s="11">
        <v>38.180999999999997</v>
      </c>
      <c r="Y102" s="11">
        <v>37.576999999999998</v>
      </c>
      <c r="Z102" s="11">
        <v>10.176</v>
      </c>
      <c r="AA102" s="11">
        <v>14.129</v>
      </c>
      <c r="AB102" s="11">
        <v>37.576999999999998</v>
      </c>
      <c r="AC102" s="11">
        <v>38.180999999999997</v>
      </c>
      <c r="AD102" s="11">
        <v>12.75</v>
      </c>
      <c r="AE102" s="11">
        <v>9</v>
      </c>
      <c r="AF102" s="11">
        <v>10</v>
      </c>
      <c r="AG102" s="11">
        <v>9</v>
      </c>
      <c r="AH102" s="11">
        <v>9</v>
      </c>
    </row>
    <row r="103" spans="1:34" s="33" customFormat="1" x14ac:dyDescent="0.2">
      <c r="A103" s="11">
        <v>216</v>
      </c>
      <c r="B103" s="11"/>
      <c r="C103" s="11"/>
      <c r="D103" s="11"/>
      <c r="E103" s="11"/>
      <c r="F103" s="11">
        <v>333.89</v>
      </c>
      <c r="G103" s="11" t="s">
        <v>56</v>
      </c>
      <c r="H103" s="56" t="str">
        <f>VLOOKUP(Table6[[#This Row],[ICD Code]],ICD_summary!$I$3:$M$38,5,0)</f>
        <v>Dystonia, other</v>
      </c>
      <c r="I103" s="12">
        <v>55.3</v>
      </c>
      <c r="J1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03" s="11" t="s">
        <v>55</v>
      </c>
      <c r="L103" s="11"/>
      <c r="M103" s="11"/>
      <c r="N103" s="11">
        <v>26.058</v>
      </c>
      <c r="O103" s="11">
        <v>21.103999999999999</v>
      </c>
      <c r="P103" s="11">
        <v>46.795000000000002</v>
      </c>
      <c r="Q103" s="11">
        <v>49.155000000000001</v>
      </c>
      <c r="R103" s="11">
        <v>25.701000000000001</v>
      </c>
      <c r="S103" s="11">
        <v>26.86</v>
      </c>
      <c r="T103" s="11">
        <v>66.626999999999995</v>
      </c>
      <c r="U103" s="11">
        <v>66.872</v>
      </c>
      <c r="V103" s="11">
        <v>69.992000000000004</v>
      </c>
      <c r="W103" s="11">
        <v>65.361000000000004</v>
      </c>
      <c r="X103" s="11">
        <v>30.007999999999999</v>
      </c>
      <c r="Y103" s="11">
        <v>34.639000000000003</v>
      </c>
      <c r="Z103" s="11">
        <v>20.277999999999999</v>
      </c>
      <c r="AA103" s="11">
        <v>16.234999999999999</v>
      </c>
      <c r="AB103" s="11">
        <v>34.639000000000003</v>
      </c>
      <c r="AC103" s="11">
        <v>30.007999999999999</v>
      </c>
      <c r="AD103" s="11">
        <v>20.85</v>
      </c>
      <c r="AE103" s="11">
        <v>5</v>
      </c>
      <c r="AF103" s="11">
        <v>5</v>
      </c>
      <c r="AG103" s="11">
        <v>5</v>
      </c>
      <c r="AH103" s="11">
        <v>5</v>
      </c>
    </row>
    <row r="104" spans="1:34" s="33" customFormat="1" x14ac:dyDescent="0.2">
      <c r="A104" s="11">
        <v>218</v>
      </c>
      <c r="B104" s="11"/>
      <c r="C104" s="11"/>
      <c r="D104" s="11"/>
      <c r="E104" s="11"/>
      <c r="F104" s="11">
        <v>333.1</v>
      </c>
      <c r="G104" s="11" t="s">
        <v>54</v>
      </c>
      <c r="H104" s="56" t="str">
        <f>VLOOKUP(Table6[[#This Row],[ICD Code]],ICD_summary!$I$3:$M$38,5,0)</f>
        <v>Tremor, essential tremor</v>
      </c>
      <c r="I104" s="12">
        <v>81.099999999999994</v>
      </c>
      <c r="J1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04" s="11" t="s">
        <v>52</v>
      </c>
      <c r="L104" s="11"/>
      <c r="M104" s="11"/>
      <c r="N104" s="11" t="s">
        <v>51</v>
      </c>
      <c r="O104" s="11" t="s">
        <v>51</v>
      </c>
      <c r="P104" s="11" t="s">
        <v>51</v>
      </c>
      <c r="Q104" s="11" t="s">
        <v>51</v>
      </c>
      <c r="R104" s="11" t="s">
        <v>51</v>
      </c>
      <c r="S104" s="11" t="s">
        <v>51</v>
      </c>
      <c r="T104" s="11" t="s">
        <v>51</v>
      </c>
      <c r="U104" s="11" t="s">
        <v>51</v>
      </c>
      <c r="V104" s="11" t="s">
        <v>51</v>
      </c>
      <c r="W104" s="11" t="s">
        <v>51</v>
      </c>
      <c r="X104" s="11" t="s">
        <v>51</v>
      </c>
      <c r="Y104" s="11" t="s">
        <v>51</v>
      </c>
      <c r="Z104" s="11" t="s">
        <v>51</v>
      </c>
      <c r="AA104" s="11" t="s">
        <v>51</v>
      </c>
      <c r="AB104" s="11" t="s">
        <v>51</v>
      </c>
      <c r="AC104" s="11" t="s">
        <v>51</v>
      </c>
      <c r="AD104" s="11" t="s">
        <v>51</v>
      </c>
      <c r="AE104" s="11" t="s">
        <v>51</v>
      </c>
      <c r="AF104" s="11" t="s">
        <v>51</v>
      </c>
      <c r="AG104" s="11" t="s">
        <v>51</v>
      </c>
      <c r="AH104" s="11" t="s">
        <v>51</v>
      </c>
    </row>
    <row r="105" spans="1:34" s="33" customFormat="1" x14ac:dyDescent="0.2">
      <c r="A105" s="11">
        <v>219</v>
      </c>
      <c r="B105" s="11"/>
      <c r="C105" s="11"/>
      <c r="D105" s="11"/>
      <c r="E105" s="11"/>
      <c r="F105" s="11">
        <v>333.1</v>
      </c>
      <c r="G105" s="11" t="s">
        <v>54</v>
      </c>
      <c r="H105" s="56" t="str">
        <f>VLOOKUP(Table6[[#This Row],[ICD Code]],ICD_summary!$I$3:$M$38,5,0)</f>
        <v>Tremor, essential tremor</v>
      </c>
      <c r="I105" s="12">
        <v>85.3</v>
      </c>
      <c r="J1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05" s="11" t="s">
        <v>55</v>
      </c>
      <c r="L105" s="11"/>
      <c r="M105" s="11"/>
      <c r="N105" s="11">
        <v>25.469000000000001</v>
      </c>
      <c r="O105" s="11">
        <v>23.902999999999999</v>
      </c>
      <c r="P105" s="11">
        <v>49.98</v>
      </c>
      <c r="Q105" s="11">
        <v>49.896000000000001</v>
      </c>
      <c r="R105" s="11">
        <v>36.566000000000003</v>
      </c>
      <c r="S105" s="11">
        <v>37.046999999999997</v>
      </c>
      <c r="T105" s="11">
        <v>87.489000000000004</v>
      </c>
      <c r="U105" s="11">
        <v>88.245000000000005</v>
      </c>
      <c r="V105" s="11">
        <v>69.14</v>
      </c>
      <c r="W105" s="11">
        <v>68.915999999999997</v>
      </c>
      <c r="X105" s="11">
        <v>30.86</v>
      </c>
      <c r="Y105" s="11">
        <v>31.084</v>
      </c>
      <c r="Z105" s="11">
        <v>18.443999999999999</v>
      </c>
      <c r="AA105" s="11">
        <v>19.488</v>
      </c>
      <c r="AB105" s="11">
        <v>31.084</v>
      </c>
      <c r="AC105" s="11">
        <v>30.86</v>
      </c>
      <c r="AD105" s="11">
        <v>16.375</v>
      </c>
      <c r="AE105" s="11">
        <v>16</v>
      </c>
      <c r="AF105" s="11">
        <v>15</v>
      </c>
      <c r="AG105" s="11">
        <v>15</v>
      </c>
      <c r="AH105" s="11">
        <v>15</v>
      </c>
    </row>
    <row r="106" spans="1:34" s="33" customFormat="1" x14ac:dyDescent="0.2">
      <c r="A106" s="11">
        <v>220</v>
      </c>
      <c r="B106" s="11"/>
      <c r="C106" s="11"/>
      <c r="D106" s="11"/>
      <c r="E106" s="11"/>
      <c r="F106" s="11">
        <v>333.1</v>
      </c>
      <c r="G106" s="11" t="s">
        <v>54</v>
      </c>
      <c r="H106" s="56" t="str">
        <f>VLOOKUP(Table6[[#This Row],[ICD Code]],ICD_summary!$I$3:$M$38,5,0)</f>
        <v>Tremor, essential tremor</v>
      </c>
      <c r="I106" s="12">
        <v>63</v>
      </c>
      <c r="J1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6" s="11" t="s">
        <v>52</v>
      </c>
      <c r="L106" s="11"/>
      <c r="M106" s="11"/>
      <c r="N106" s="11" t="s">
        <v>51</v>
      </c>
      <c r="O106" s="11" t="s">
        <v>51</v>
      </c>
      <c r="P106" s="11" t="s">
        <v>51</v>
      </c>
      <c r="Q106" s="11" t="s">
        <v>51</v>
      </c>
      <c r="R106" s="11" t="s">
        <v>51</v>
      </c>
      <c r="S106" s="11" t="s">
        <v>51</v>
      </c>
      <c r="T106" s="11" t="s">
        <v>51</v>
      </c>
      <c r="U106" s="11" t="s">
        <v>51</v>
      </c>
      <c r="V106" s="11" t="s">
        <v>51</v>
      </c>
      <c r="W106" s="11" t="s">
        <v>51</v>
      </c>
      <c r="X106" s="11" t="s">
        <v>51</v>
      </c>
      <c r="Y106" s="11" t="s">
        <v>51</v>
      </c>
      <c r="Z106" s="11" t="s">
        <v>51</v>
      </c>
      <c r="AA106" s="11" t="s">
        <v>51</v>
      </c>
      <c r="AB106" s="11" t="s">
        <v>51</v>
      </c>
      <c r="AC106" s="11" t="s">
        <v>51</v>
      </c>
      <c r="AD106" s="11" t="s">
        <v>51</v>
      </c>
      <c r="AE106" s="11" t="s">
        <v>51</v>
      </c>
      <c r="AF106" s="11" t="s">
        <v>51</v>
      </c>
      <c r="AG106" s="11" t="s">
        <v>51</v>
      </c>
      <c r="AH106" s="11" t="s">
        <v>51</v>
      </c>
    </row>
    <row r="107" spans="1:34" s="33" customFormat="1" x14ac:dyDescent="0.2">
      <c r="A107" s="11">
        <v>221</v>
      </c>
      <c r="B107" s="11"/>
      <c r="C107" s="11"/>
      <c r="D107" s="11"/>
      <c r="E107" s="11"/>
      <c r="F107" s="11">
        <v>333.1</v>
      </c>
      <c r="G107" s="11" t="s">
        <v>54</v>
      </c>
      <c r="H107" s="56" t="str">
        <f>VLOOKUP(Table6[[#This Row],[ICD Code]],ICD_summary!$I$3:$M$38,5,0)</f>
        <v>Tremor, essential tremor</v>
      </c>
      <c r="I107" s="12">
        <v>73.599999999999994</v>
      </c>
      <c r="J1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7" s="11" t="s">
        <v>52</v>
      </c>
      <c r="L107" s="11"/>
      <c r="M107" s="11"/>
      <c r="N107" s="11">
        <v>55.023000000000003</v>
      </c>
      <c r="O107" s="11">
        <v>51.679000000000002</v>
      </c>
      <c r="P107" s="11">
        <v>107.67400000000001</v>
      </c>
      <c r="Q107" s="11">
        <v>107.01600000000001</v>
      </c>
      <c r="R107" s="11">
        <v>109.34399999999999</v>
      </c>
      <c r="S107" s="11">
        <v>109.872</v>
      </c>
      <c r="T107" s="11">
        <v>122.245</v>
      </c>
      <c r="U107" s="11">
        <v>123.502</v>
      </c>
      <c r="V107" s="11">
        <v>62.021000000000001</v>
      </c>
      <c r="W107" s="11">
        <v>62.386000000000003</v>
      </c>
      <c r="X107" s="11">
        <v>37.978999999999999</v>
      </c>
      <c r="Y107" s="11">
        <v>37.613999999999997</v>
      </c>
      <c r="Z107" s="11">
        <v>11.836</v>
      </c>
      <c r="AA107" s="11">
        <v>12.253</v>
      </c>
      <c r="AB107" s="11">
        <v>37.613999999999997</v>
      </c>
      <c r="AC107" s="11">
        <v>37.978999999999999</v>
      </c>
      <c r="AD107" s="11">
        <v>7.93</v>
      </c>
      <c r="AE107" s="11">
        <v>13</v>
      </c>
      <c r="AF107" s="11">
        <v>12</v>
      </c>
      <c r="AG107" s="11">
        <v>12</v>
      </c>
      <c r="AH107" s="11">
        <v>12</v>
      </c>
    </row>
    <row r="108" spans="1:34" s="33" customFormat="1" x14ac:dyDescent="0.2">
      <c r="A108" s="11">
        <v>222</v>
      </c>
      <c r="B108" s="11"/>
      <c r="C108" s="11"/>
      <c r="D108" s="11"/>
      <c r="E108" s="11"/>
      <c r="F108" s="11">
        <v>781.3</v>
      </c>
      <c r="G108" s="11" t="s">
        <v>78</v>
      </c>
      <c r="H108" s="56" t="str">
        <f>VLOOKUP(Table6[[#This Row],[ICD Code]],ICD_summary!$I$3:$M$38,5,0)</f>
        <v>Misc/Other</v>
      </c>
      <c r="I108" s="12">
        <v>49</v>
      </c>
      <c r="J1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08" s="11" t="s">
        <v>52</v>
      </c>
      <c r="L108" s="11"/>
      <c r="M108" s="11"/>
      <c r="N108" s="11">
        <v>48.18</v>
      </c>
      <c r="O108" s="11">
        <v>44.24</v>
      </c>
      <c r="P108" s="11">
        <v>93.74</v>
      </c>
      <c r="Q108" s="11">
        <v>92.18</v>
      </c>
      <c r="R108" s="11">
        <v>64.778999999999996</v>
      </c>
      <c r="S108" s="11">
        <v>65.028000000000006</v>
      </c>
      <c r="T108" s="11">
        <v>83.278999999999996</v>
      </c>
      <c r="U108" s="11">
        <v>84.406000000000006</v>
      </c>
      <c r="V108" s="11">
        <v>66.84</v>
      </c>
      <c r="W108" s="11">
        <v>65.031999999999996</v>
      </c>
      <c r="X108" s="11">
        <v>33.159999999999997</v>
      </c>
      <c r="Y108" s="11">
        <v>34.968000000000004</v>
      </c>
      <c r="Z108" s="11">
        <v>15.302</v>
      </c>
      <c r="AA108" s="11">
        <v>16.454000000000001</v>
      </c>
      <c r="AB108" s="11">
        <v>34.968000000000004</v>
      </c>
      <c r="AC108" s="11">
        <v>33.159999999999997</v>
      </c>
      <c r="AD108" s="11">
        <v>18.073</v>
      </c>
      <c r="AE108" s="11">
        <v>12</v>
      </c>
      <c r="AF108" s="11">
        <v>14</v>
      </c>
      <c r="AG108" s="11">
        <v>12</v>
      </c>
      <c r="AH108" s="11">
        <v>12</v>
      </c>
    </row>
    <row r="109" spans="1:34" s="33" customFormat="1" x14ac:dyDescent="0.2">
      <c r="A109" s="11">
        <v>223</v>
      </c>
      <c r="B109" s="11"/>
      <c r="C109" s="11"/>
      <c r="D109" s="11"/>
      <c r="E109" s="11"/>
      <c r="F109" s="11">
        <v>333</v>
      </c>
      <c r="G109" s="11" t="s">
        <v>57</v>
      </c>
      <c r="H109" s="56" t="str">
        <f>VLOOKUP(Table6[[#This Row],[ICD Code]],ICD_summary!$I$3:$M$38,5,0)</f>
        <v>Misc/Other</v>
      </c>
      <c r="I109" s="12">
        <v>66</v>
      </c>
      <c r="J1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9" s="11" t="s">
        <v>52</v>
      </c>
      <c r="L109" s="11"/>
      <c r="M109" s="11"/>
      <c r="N109" s="11">
        <v>39.817</v>
      </c>
      <c r="O109" s="11">
        <v>36.844999999999999</v>
      </c>
      <c r="P109" s="11">
        <v>76.611000000000004</v>
      </c>
      <c r="Q109" s="11">
        <v>76.813000000000002</v>
      </c>
      <c r="R109" s="11">
        <v>73.024000000000001</v>
      </c>
      <c r="S109" s="11">
        <v>73.137</v>
      </c>
      <c r="T109" s="11">
        <v>114.279</v>
      </c>
      <c r="U109" s="11">
        <v>113.95699999999999</v>
      </c>
      <c r="V109" s="11">
        <v>64.477999999999994</v>
      </c>
      <c r="W109" s="11">
        <v>65.066000000000003</v>
      </c>
      <c r="X109" s="11">
        <v>35.521000000000001</v>
      </c>
      <c r="Y109" s="11">
        <v>34.933999999999997</v>
      </c>
      <c r="Z109" s="11">
        <v>14.999000000000001</v>
      </c>
      <c r="AA109" s="11">
        <v>14.664999999999999</v>
      </c>
      <c r="AB109" s="11">
        <v>34.933999999999997</v>
      </c>
      <c r="AC109" s="11">
        <v>35.521000000000001</v>
      </c>
      <c r="AD109" s="11">
        <v>13.8</v>
      </c>
      <c r="AE109" s="11">
        <v>10</v>
      </c>
      <c r="AF109" s="11">
        <v>11</v>
      </c>
      <c r="AG109" s="11">
        <v>10</v>
      </c>
      <c r="AH109" s="11">
        <v>10</v>
      </c>
    </row>
    <row r="110" spans="1:34" s="33" customFormat="1" x14ac:dyDescent="0.2">
      <c r="A110" s="11">
        <v>224</v>
      </c>
      <c r="B110" s="11"/>
      <c r="C110" s="11"/>
      <c r="D110" s="11"/>
      <c r="E110" s="11"/>
      <c r="F110" s="11">
        <v>781.2</v>
      </c>
      <c r="G110" s="11" t="s">
        <v>58</v>
      </c>
      <c r="H110" s="56" t="str">
        <f>VLOOKUP(Table6[[#This Row],[ICD Code]],ICD_summary!$I$3:$M$38,5,0)</f>
        <v>Gait, other abnormalities</v>
      </c>
      <c r="I110" s="12">
        <v>79.3</v>
      </c>
      <c r="J1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0" s="11" t="s">
        <v>52</v>
      </c>
      <c r="L110" s="11"/>
      <c r="M110" s="11"/>
      <c r="N110" s="11" t="s">
        <v>51</v>
      </c>
      <c r="O110" s="11" t="s">
        <v>51</v>
      </c>
      <c r="P110" s="11" t="s">
        <v>51</v>
      </c>
      <c r="Q110" s="11" t="s">
        <v>51</v>
      </c>
      <c r="R110" s="11" t="s">
        <v>51</v>
      </c>
      <c r="S110" s="11" t="s">
        <v>51</v>
      </c>
      <c r="T110" s="11" t="s">
        <v>51</v>
      </c>
      <c r="U110" s="11" t="s">
        <v>51</v>
      </c>
      <c r="V110" s="11" t="s">
        <v>51</v>
      </c>
      <c r="W110" s="11" t="s">
        <v>51</v>
      </c>
      <c r="X110" s="11" t="s">
        <v>51</v>
      </c>
      <c r="Y110" s="11" t="s">
        <v>51</v>
      </c>
      <c r="Z110" s="11" t="s">
        <v>51</v>
      </c>
      <c r="AA110" s="11" t="s">
        <v>51</v>
      </c>
      <c r="AB110" s="11" t="s">
        <v>51</v>
      </c>
      <c r="AC110" s="11" t="s">
        <v>51</v>
      </c>
      <c r="AD110" s="11" t="s">
        <v>51</v>
      </c>
      <c r="AE110" s="11" t="s">
        <v>51</v>
      </c>
      <c r="AF110" s="11" t="s">
        <v>51</v>
      </c>
      <c r="AG110" s="11" t="s">
        <v>51</v>
      </c>
      <c r="AH110" s="11" t="s">
        <v>51</v>
      </c>
    </row>
    <row r="111" spans="1:34" s="33" customFormat="1" x14ac:dyDescent="0.2">
      <c r="A111" s="11">
        <v>225</v>
      </c>
      <c r="B111" s="11"/>
      <c r="C111" s="11"/>
      <c r="D111" s="11"/>
      <c r="E111" s="11"/>
      <c r="F111" s="11">
        <v>333.1</v>
      </c>
      <c r="G111" s="11" t="s">
        <v>54</v>
      </c>
      <c r="H111" s="56" t="str">
        <f>VLOOKUP(Table6[[#This Row],[ICD Code]],ICD_summary!$I$3:$M$38,5,0)</f>
        <v>Tremor, essential tremor</v>
      </c>
      <c r="I111" s="12">
        <v>76.5</v>
      </c>
      <c r="J1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1" s="11" t="s">
        <v>55</v>
      </c>
      <c r="L111" s="11"/>
      <c r="M111" s="11"/>
      <c r="N111" s="11" t="s">
        <v>51</v>
      </c>
      <c r="O111" s="11" t="s">
        <v>51</v>
      </c>
      <c r="P111" s="11" t="s">
        <v>51</v>
      </c>
      <c r="Q111" s="11" t="s">
        <v>51</v>
      </c>
      <c r="R111" s="11" t="s">
        <v>51</v>
      </c>
      <c r="S111" s="11" t="s">
        <v>51</v>
      </c>
      <c r="T111" s="11" t="s">
        <v>51</v>
      </c>
      <c r="U111" s="11" t="s">
        <v>51</v>
      </c>
      <c r="V111" s="11" t="s">
        <v>51</v>
      </c>
      <c r="W111" s="11" t="s">
        <v>51</v>
      </c>
      <c r="X111" s="11" t="s">
        <v>51</v>
      </c>
      <c r="Y111" s="11" t="s">
        <v>51</v>
      </c>
      <c r="Z111" s="11" t="s">
        <v>51</v>
      </c>
      <c r="AA111" s="11" t="s">
        <v>51</v>
      </c>
      <c r="AB111" s="11" t="s">
        <v>51</v>
      </c>
      <c r="AC111" s="11" t="s">
        <v>51</v>
      </c>
      <c r="AD111" s="11" t="s">
        <v>51</v>
      </c>
      <c r="AE111" s="11" t="s">
        <v>51</v>
      </c>
      <c r="AF111" s="11" t="s">
        <v>51</v>
      </c>
      <c r="AG111" s="11" t="s">
        <v>51</v>
      </c>
      <c r="AH111" s="11" t="s">
        <v>51</v>
      </c>
    </row>
    <row r="112" spans="1:34" s="33" customFormat="1" x14ac:dyDescent="0.2">
      <c r="A112" s="11">
        <v>226</v>
      </c>
      <c r="B112" s="11"/>
      <c r="C112" s="11"/>
      <c r="D112" s="11"/>
      <c r="E112" s="11"/>
      <c r="F112" s="11">
        <v>332</v>
      </c>
      <c r="G112" s="11" t="s">
        <v>53</v>
      </c>
      <c r="H112" s="56" t="str">
        <f>VLOOKUP(Table6[[#This Row],[ICD Code]],ICD_summary!$I$3:$M$38,5,0)</f>
        <v>PD</v>
      </c>
      <c r="I112" s="12">
        <v>59.5</v>
      </c>
      <c r="J1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2" s="11" t="s">
        <v>52</v>
      </c>
      <c r="L112" s="11"/>
      <c r="M112" s="11"/>
      <c r="N112" s="11">
        <v>66.914000000000001</v>
      </c>
      <c r="O112" s="11">
        <v>66.728999999999999</v>
      </c>
      <c r="P112" s="11">
        <v>134.51400000000001</v>
      </c>
      <c r="Q112" s="11">
        <v>132.00899999999999</v>
      </c>
      <c r="R112" s="11">
        <v>135.81200000000001</v>
      </c>
      <c r="S112" s="11">
        <v>132.90600000000001</v>
      </c>
      <c r="T112" s="11">
        <v>120.80800000000001</v>
      </c>
      <c r="U112" s="11">
        <v>117.99</v>
      </c>
      <c r="V112" s="11">
        <v>60.058999999999997</v>
      </c>
      <c r="W112" s="11">
        <v>59.283000000000001</v>
      </c>
      <c r="X112" s="11">
        <v>39.941000000000003</v>
      </c>
      <c r="Y112" s="11">
        <v>40.716999999999999</v>
      </c>
      <c r="Z112" s="11">
        <v>9.4890000000000008</v>
      </c>
      <c r="AA112" s="11">
        <v>9.5879999999999992</v>
      </c>
      <c r="AB112" s="11">
        <v>40.716999999999999</v>
      </c>
      <c r="AC112" s="11">
        <v>39.941000000000003</v>
      </c>
      <c r="AD112" s="11">
        <v>12.723000000000001</v>
      </c>
      <c r="AE112" s="11">
        <v>6</v>
      </c>
      <c r="AF112" s="11">
        <v>4</v>
      </c>
      <c r="AG112" s="11">
        <v>4</v>
      </c>
      <c r="AH112" s="11">
        <v>4</v>
      </c>
    </row>
    <row r="113" spans="1:34" s="33" customFormat="1" x14ac:dyDescent="0.2">
      <c r="A113" s="11">
        <v>228</v>
      </c>
      <c r="B113" s="11"/>
      <c r="C113" s="11"/>
      <c r="D113" s="11"/>
      <c r="E113" s="11"/>
      <c r="F113" s="11">
        <v>334.3</v>
      </c>
      <c r="G113" s="11" t="s">
        <v>79</v>
      </c>
      <c r="H113" s="56" t="str">
        <f>VLOOKUP(Table6[[#This Row],[ICD Code]],ICD_summary!$I$3:$M$38,5,0)</f>
        <v>Ataxia</v>
      </c>
      <c r="I113" s="12">
        <v>59.2</v>
      </c>
      <c r="J1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3" s="11" t="s">
        <v>52</v>
      </c>
      <c r="L113" s="11"/>
      <c r="M113" s="11"/>
      <c r="N113" s="11" t="s">
        <v>51</v>
      </c>
      <c r="O113" s="11" t="s">
        <v>51</v>
      </c>
      <c r="P113" s="11" t="s">
        <v>51</v>
      </c>
      <c r="Q113" s="11" t="s">
        <v>51</v>
      </c>
      <c r="R113" s="11" t="s">
        <v>51</v>
      </c>
      <c r="S113" s="11" t="s">
        <v>51</v>
      </c>
      <c r="T113" s="11" t="s">
        <v>51</v>
      </c>
      <c r="U113" s="11" t="s">
        <v>51</v>
      </c>
      <c r="V113" s="11" t="s">
        <v>51</v>
      </c>
      <c r="W113" s="11" t="s">
        <v>51</v>
      </c>
      <c r="X113" s="11" t="s">
        <v>51</v>
      </c>
      <c r="Y113" s="11" t="s">
        <v>51</v>
      </c>
      <c r="Z113" s="11" t="s">
        <v>51</v>
      </c>
      <c r="AA113" s="11" t="s">
        <v>51</v>
      </c>
      <c r="AB113" s="11" t="s">
        <v>51</v>
      </c>
      <c r="AC113" s="11" t="s">
        <v>51</v>
      </c>
      <c r="AD113" s="11" t="s">
        <v>51</v>
      </c>
      <c r="AE113" s="11" t="s">
        <v>51</v>
      </c>
      <c r="AF113" s="11" t="s">
        <v>51</v>
      </c>
      <c r="AG113" s="11" t="s">
        <v>51</v>
      </c>
      <c r="AH113" s="11" t="s">
        <v>51</v>
      </c>
    </row>
    <row r="114" spans="1:34" s="33" customFormat="1" x14ac:dyDescent="0.2">
      <c r="A114" s="11">
        <v>231</v>
      </c>
      <c r="B114" s="11"/>
      <c r="C114" s="11"/>
      <c r="D114" s="11"/>
      <c r="E114" s="11"/>
      <c r="F114" s="11" t="s">
        <v>51</v>
      </c>
      <c r="G114" s="11" t="s">
        <v>51</v>
      </c>
      <c r="H114" s="56" t="str">
        <f>VLOOKUP(Table6[[#This Row],[ICD Code]],ICD_summary!$I$3:$M$38,5,0)</f>
        <v>Misc/Other</v>
      </c>
      <c r="I114" s="12">
        <v>59.7</v>
      </c>
      <c r="J1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4" s="11" t="s">
        <v>52</v>
      </c>
      <c r="L114" s="11"/>
      <c r="M114" s="11"/>
      <c r="N114" s="11">
        <v>65.066999999999993</v>
      </c>
      <c r="O114" s="11">
        <v>67.024000000000001</v>
      </c>
      <c r="P114" s="11">
        <v>131.85599999999999</v>
      </c>
      <c r="Q114" s="11">
        <v>132.012</v>
      </c>
      <c r="R114" s="11">
        <v>110.312</v>
      </c>
      <c r="S114" s="11">
        <v>109.646</v>
      </c>
      <c r="T114" s="11">
        <v>100.328</v>
      </c>
      <c r="U114" s="11">
        <v>99.82</v>
      </c>
      <c r="V114" s="11">
        <v>62.036999999999999</v>
      </c>
      <c r="W114" s="11">
        <v>62.960999999999999</v>
      </c>
      <c r="X114" s="11">
        <v>37.963000000000001</v>
      </c>
      <c r="Y114" s="11">
        <v>37.039000000000001</v>
      </c>
      <c r="Z114" s="11">
        <v>12.49</v>
      </c>
      <c r="AA114" s="11">
        <v>12.94</v>
      </c>
      <c r="AB114" s="11">
        <v>37.039000000000001</v>
      </c>
      <c r="AC114" s="11">
        <v>37.963000000000001</v>
      </c>
      <c r="AD114" s="11">
        <v>12.113</v>
      </c>
      <c r="AE114" s="11">
        <v>14</v>
      </c>
      <c r="AF114" s="11">
        <v>16</v>
      </c>
      <c r="AG114" s="11">
        <v>14</v>
      </c>
      <c r="AH114" s="11">
        <v>14</v>
      </c>
    </row>
    <row r="115" spans="1:34" s="33" customFormat="1" x14ac:dyDescent="0.2">
      <c r="A115" s="11">
        <v>232</v>
      </c>
      <c r="B115" s="11"/>
      <c r="C115" s="11"/>
      <c r="D115" s="11"/>
      <c r="E115" s="11"/>
      <c r="F115" s="11">
        <v>333.1</v>
      </c>
      <c r="G115" s="11" t="s">
        <v>54</v>
      </c>
      <c r="H115" s="56" t="str">
        <f>VLOOKUP(Table6[[#This Row],[ICD Code]],ICD_summary!$I$3:$M$38,5,0)</f>
        <v>Tremor, essential tremor</v>
      </c>
      <c r="I115" s="12">
        <v>78.099999999999994</v>
      </c>
      <c r="J1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5" s="11" t="s">
        <v>52</v>
      </c>
      <c r="L115" s="11"/>
      <c r="M115" s="11"/>
      <c r="N115" s="11">
        <v>57.417999999999999</v>
      </c>
      <c r="O115" s="11">
        <v>53.640999999999998</v>
      </c>
      <c r="P115" s="11">
        <v>110.148</v>
      </c>
      <c r="Q115" s="11">
        <v>111.991</v>
      </c>
      <c r="R115" s="11">
        <v>83.858000000000004</v>
      </c>
      <c r="S115" s="11">
        <v>84.299000000000007</v>
      </c>
      <c r="T115" s="11">
        <v>91.52</v>
      </c>
      <c r="U115" s="11">
        <v>91.028999999999996</v>
      </c>
      <c r="V115" s="11">
        <v>62.762</v>
      </c>
      <c r="W115" s="11">
        <v>63.948999999999998</v>
      </c>
      <c r="X115" s="11">
        <v>37.238</v>
      </c>
      <c r="Y115" s="11">
        <v>36.051000000000002</v>
      </c>
      <c r="Z115" s="11">
        <v>13.802</v>
      </c>
      <c r="AA115" s="11">
        <v>12.73</v>
      </c>
      <c r="AB115" s="11">
        <v>36.051000000000002</v>
      </c>
      <c r="AC115" s="11">
        <v>37.238</v>
      </c>
      <c r="AD115" s="11">
        <v>12.458</v>
      </c>
      <c r="AE115" s="11">
        <v>14</v>
      </c>
      <c r="AF115" s="11">
        <v>15</v>
      </c>
      <c r="AG115" s="11">
        <v>14</v>
      </c>
      <c r="AH115" s="11">
        <v>14</v>
      </c>
    </row>
    <row r="116" spans="1:34" s="33" customFormat="1" x14ac:dyDescent="0.2">
      <c r="A116" s="11">
        <v>233</v>
      </c>
      <c r="B116" s="11"/>
      <c r="C116" s="11"/>
      <c r="D116" s="11"/>
      <c r="E116" s="11"/>
      <c r="F116" s="11">
        <v>333.1</v>
      </c>
      <c r="G116" s="11" t="s">
        <v>54</v>
      </c>
      <c r="H116" s="56" t="str">
        <f>VLOOKUP(Table6[[#This Row],[ICD Code]],ICD_summary!$I$3:$M$38,5,0)</f>
        <v>Tremor, essential tremor</v>
      </c>
      <c r="I116" s="12">
        <v>81.3</v>
      </c>
      <c r="J1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16" s="11" t="s">
        <v>52</v>
      </c>
      <c r="L116" s="11"/>
      <c r="M116" s="11"/>
      <c r="N116" s="11" t="s">
        <v>51</v>
      </c>
      <c r="O116" s="11" t="s">
        <v>51</v>
      </c>
      <c r="P116" s="11" t="s">
        <v>51</v>
      </c>
      <c r="Q116" s="11" t="s">
        <v>51</v>
      </c>
      <c r="R116" s="11" t="s">
        <v>51</v>
      </c>
      <c r="S116" s="11" t="s">
        <v>51</v>
      </c>
      <c r="T116" s="11" t="s">
        <v>51</v>
      </c>
      <c r="U116" s="11" t="s">
        <v>51</v>
      </c>
      <c r="V116" s="11" t="s">
        <v>51</v>
      </c>
      <c r="W116" s="11" t="s">
        <v>51</v>
      </c>
      <c r="X116" s="11" t="s">
        <v>51</v>
      </c>
      <c r="Y116" s="11" t="s">
        <v>51</v>
      </c>
      <c r="Z116" s="11" t="s">
        <v>51</v>
      </c>
      <c r="AA116" s="11" t="s">
        <v>51</v>
      </c>
      <c r="AB116" s="11" t="s">
        <v>51</v>
      </c>
      <c r="AC116" s="11" t="s">
        <v>51</v>
      </c>
      <c r="AD116" s="11" t="s">
        <v>51</v>
      </c>
      <c r="AE116" s="11" t="s">
        <v>51</v>
      </c>
      <c r="AF116" s="11" t="s">
        <v>51</v>
      </c>
      <c r="AG116" s="11" t="s">
        <v>51</v>
      </c>
      <c r="AH116" s="11" t="s">
        <v>51</v>
      </c>
    </row>
    <row r="117" spans="1:34" s="33" customFormat="1" x14ac:dyDescent="0.2">
      <c r="A117" s="11">
        <v>234</v>
      </c>
      <c r="B117" s="11"/>
      <c r="C117" s="11"/>
      <c r="D117" s="11"/>
      <c r="E117" s="11"/>
      <c r="F117" s="11">
        <v>332</v>
      </c>
      <c r="G117" s="11" t="s">
        <v>53</v>
      </c>
      <c r="H117" s="56" t="str">
        <f>VLOOKUP(Table6[[#This Row],[ICD Code]],ICD_summary!$I$3:$M$38,5,0)</f>
        <v>PD</v>
      </c>
      <c r="I117" s="12">
        <v>62.6</v>
      </c>
      <c r="J1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17" s="11" t="s">
        <v>52</v>
      </c>
      <c r="L117" s="11"/>
      <c r="M117" s="11"/>
      <c r="N117" s="11" t="s">
        <v>51</v>
      </c>
      <c r="O117" s="11" t="s">
        <v>51</v>
      </c>
      <c r="P117" s="11" t="s">
        <v>51</v>
      </c>
      <c r="Q117" s="11" t="s">
        <v>51</v>
      </c>
      <c r="R117" s="11" t="s">
        <v>51</v>
      </c>
      <c r="S117" s="11" t="s">
        <v>51</v>
      </c>
      <c r="T117" s="11" t="s">
        <v>51</v>
      </c>
      <c r="U117" s="11" t="s">
        <v>51</v>
      </c>
      <c r="V117" s="11" t="s">
        <v>51</v>
      </c>
      <c r="W117" s="11" t="s">
        <v>51</v>
      </c>
      <c r="X117" s="11" t="s">
        <v>51</v>
      </c>
      <c r="Y117" s="11" t="s">
        <v>51</v>
      </c>
      <c r="Z117" s="11" t="s">
        <v>51</v>
      </c>
      <c r="AA117" s="11" t="s">
        <v>51</v>
      </c>
      <c r="AB117" s="11" t="s">
        <v>51</v>
      </c>
      <c r="AC117" s="11" t="s">
        <v>51</v>
      </c>
      <c r="AD117" s="11" t="s">
        <v>51</v>
      </c>
      <c r="AE117" s="11" t="s">
        <v>51</v>
      </c>
      <c r="AF117" s="11" t="s">
        <v>51</v>
      </c>
      <c r="AG117" s="11" t="s">
        <v>51</v>
      </c>
      <c r="AH117" s="11" t="s">
        <v>51</v>
      </c>
    </row>
    <row r="118" spans="1:34" s="33" customFormat="1" x14ac:dyDescent="0.2">
      <c r="A118" s="11">
        <v>235</v>
      </c>
      <c r="B118" s="11"/>
      <c r="C118" s="11"/>
      <c r="D118" s="11"/>
      <c r="E118" s="11"/>
      <c r="F118" s="11">
        <v>332</v>
      </c>
      <c r="G118" s="11" t="s">
        <v>53</v>
      </c>
      <c r="H118" s="56" t="str">
        <f>VLOOKUP(Table6[[#This Row],[ICD Code]],ICD_summary!$I$3:$M$38,5,0)</f>
        <v>PD</v>
      </c>
      <c r="I118" s="12">
        <v>42.3</v>
      </c>
      <c r="J1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18" s="11" t="s">
        <v>55</v>
      </c>
      <c r="L118" s="11"/>
      <c r="M118" s="11"/>
      <c r="N118" s="11">
        <v>62.527999999999999</v>
      </c>
      <c r="O118" s="11">
        <v>64.539000000000001</v>
      </c>
      <c r="P118" s="11">
        <v>127.23399999999999</v>
      </c>
      <c r="Q118" s="11">
        <v>127.851</v>
      </c>
      <c r="R118" s="11">
        <v>103.014</v>
      </c>
      <c r="S118" s="11">
        <v>104.511</v>
      </c>
      <c r="T118" s="11">
        <v>97.498000000000005</v>
      </c>
      <c r="U118" s="11">
        <v>97.983999999999995</v>
      </c>
      <c r="V118" s="11">
        <v>60.759</v>
      </c>
      <c r="W118" s="11">
        <v>59.607999999999997</v>
      </c>
      <c r="X118" s="11">
        <v>39.241</v>
      </c>
      <c r="Y118" s="11">
        <v>40.392000000000003</v>
      </c>
      <c r="Z118" s="11">
        <v>9.4570000000000007</v>
      </c>
      <c r="AA118" s="11">
        <v>11.055999999999999</v>
      </c>
      <c r="AB118" s="11">
        <v>40.392000000000003</v>
      </c>
      <c r="AC118" s="11">
        <v>39.241</v>
      </c>
      <c r="AD118" s="11">
        <v>16.992999999999999</v>
      </c>
      <c r="AE118" s="11">
        <v>10</v>
      </c>
      <c r="AF118" s="11">
        <v>8</v>
      </c>
      <c r="AG118" s="11">
        <v>8</v>
      </c>
      <c r="AH118" s="11">
        <v>8</v>
      </c>
    </row>
    <row r="119" spans="1:34" s="33" customFormat="1" x14ac:dyDescent="0.2">
      <c r="A119" s="11">
        <v>236</v>
      </c>
      <c r="B119" s="11"/>
      <c r="C119" s="11"/>
      <c r="D119" s="11"/>
      <c r="E119" s="11"/>
      <c r="F119" s="11">
        <v>781.2</v>
      </c>
      <c r="G119" s="11" t="s">
        <v>58</v>
      </c>
      <c r="H119" s="56" t="str">
        <f>VLOOKUP(Table6[[#This Row],[ICD Code]],ICD_summary!$I$3:$M$38,5,0)</f>
        <v>Gait, other abnormalities</v>
      </c>
      <c r="I119" s="12">
        <v>83.6</v>
      </c>
      <c r="J1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19" s="11" t="s">
        <v>55</v>
      </c>
      <c r="L119" s="11"/>
      <c r="M119" s="11"/>
      <c r="N119" s="11">
        <v>12.452</v>
      </c>
      <c r="O119" s="11">
        <v>16.946000000000002</v>
      </c>
      <c r="P119" s="11">
        <v>32.445</v>
      </c>
      <c r="Q119" s="11">
        <v>29.536999999999999</v>
      </c>
      <c r="R119" s="11">
        <v>19.253</v>
      </c>
      <c r="S119" s="11">
        <v>17.937000000000001</v>
      </c>
      <c r="T119" s="11">
        <v>71.180000000000007</v>
      </c>
      <c r="U119" s="11">
        <v>70.177999999999997</v>
      </c>
      <c r="V119" s="11">
        <v>66.165000000000006</v>
      </c>
      <c r="W119" s="11">
        <v>72.209999999999994</v>
      </c>
      <c r="X119" s="11">
        <v>33.835000000000001</v>
      </c>
      <c r="Y119" s="11">
        <v>27.79</v>
      </c>
      <c r="Z119" s="11">
        <v>18.193999999999999</v>
      </c>
      <c r="AA119" s="11">
        <v>21.026</v>
      </c>
      <c r="AB119" s="11">
        <v>27.79</v>
      </c>
      <c r="AC119" s="11">
        <v>33.835000000000001</v>
      </c>
      <c r="AD119" s="11">
        <v>10.585000000000001</v>
      </c>
      <c r="AE119" s="11">
        <v>6</v>
      </c>
      <c r="AF119" s="11">
        <v>7</v>
      </c>
      <c r="AG119" s="11">
        <v>6</v>
      </c>
      <c r="AH119" s="11">
        <v>6</v>
      </c>
    </row>
    <row r="120" spans="1:34" s="33" customFormat="1" x14ac:dyDescent="0.2">
      <c r="A120" s="11">
        <v>237</v>
      </c>
      <c r="B120" s="11"/>
      <c r="C120" s="11"/>
      <c r="D120" s="11"/>
      <c r="E120" s="11"/>
      <c r="F120" s="11" t="s">
        <v>51</v>
      </c>
      <c r="G120" s="11" t="s">
        <v>51</v>
      </c>
      <c r="H120" s="56" t="str">
        <f>VLOOKUP(Table6[[#This Row],[ICD Code]],ICD_summary!$I$3:$M$38,5,0)</f>
        <v>Misc/Other</v>
      </c>
      <c r="I120" s="12">
        <v>999</v>
      </c>
      <c r="J1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20" s="11" t="s">
        <v>51</v>
      </c>
      <c r="L120" s="11"/>
      <c r="M120" s="11"/>
      <c r="N120" s="11" t="s">
        <v>51</v>
      </c>
      <c r="O120" s="11" t="s">
        <v>51</v>
      </c>
      <c r="P120" s="11" t="s">
        <v>51</v>
      </c>
      <c r="Q120" s="11" t="s">
        <v>51</v>
      </c>
      <c r="R120" s="11" t="s">
        <v>51</v>
      </c>
      <c r="S120" s="11" t="s">
        <v>51</v>
      </c>
      <c r="T120" s="11" t="s">
        <v>51</v>
      </c>
      <c r="U120" s="11" t="s">
        <v>51</v>
      </c>
      <c r="V120" s="11" t="s">
        <v>51</v>
      </c>
      <c r="W120" s="11" t="s">
        <v>51</v>
      </c>
      <c r="X120" s="11" t="s">
        <v>51</v>
      </c>
      <c r="Y120" s="11" t="s">
        <v>51</v>
      </c>
      <c r="Z120" s="11" t="s">
        <v>51</v>
      </c>
      <c r="AA120" s="11" t="s">
        <v>51</v>
      </c>
      <c r="AB120" s="11" t="s">
        <v>51</v>
      </c>
      <c r="AC120" s="11" t="s">
        <v>51</v>
      </c>
      <c r="AD120" s="11" t="s">
        <v>51</v>
      </c>
      <c r="AE120" s="11" t="s">
        <v>51</v>
      </c>
      <c r="AF120" s="11" t="s">
        <v>51</v>
      </c>
      <c r="AG120" s="11" t="s">
        <v>51</v>
      </c>
      <c r="AH120" s="11" t="s">
        <v>51</v>
      </c>
    </row>
    <row r="121" spans="1:34" s="33" customFormat="1" x14ac:dyDescent="0.2">
      <c r="A121" s="11">
        <v>239</v>
      </c>
      <c r="B121" s="11"/>
      <c r="C121" s="11"/>
      <c r="D121" s="11"/>
      <c r="E121" s="11"/>
      <c r="F121" s="11">
        <v>332</v>
      </c>
      <c r="G121" s="11" t="s">
        <v>53</v>
      </c>
      <c r="H121" s="56" t="str">
        <f>VLOOKUP(Table6[[#This Row],[ICD Code]],ICD_summary!$I$3:$M$38,5,0)</f>
        <v>PD</v>
      </c>
      <c r="I121" s="12">
        <v>48.8</v>
      </c>
      <c r="J1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21" s="11" t="s">
        <v>52</v>
      </c>
      <c r="L121" s="11"/>
      <c r="M121" s="11"/>
      <c r="N121" s="11">
        <v>20.663</v>
      </c>
      <c r="O121" s="11">
        <v>21.312000000000001</v>
      </c>
      <c r="P121" s="11">
        <v>41.734999999999999</v>
      </c>
      <c r="Q121" s="11">
        <v>42.206000000000003</v>
      </c>
      <c r="R121" s="11">
        <v>17.673999999999999</v>
      </c>
      <c r="S121" s="11">
        <v>17.702000000000002</v>
      </c>
      <c r="T121" s="11">
        <v>50.448999999999998</v>
      </c>
      <c r="U121" s="11">
        <v>50.622</v>
      </c>
      <c r="V121" s="11">
        <v>80.62</v>
      </c>
      <c r="W121" s="11">
        <v>74.697000000000003</v>
      </c>
      <c r="X121" s="11">
        <v>19.38</v>
      </c>
      <c r="Y121" s="11">
        <v>25.303000000000001</v>
      </c>
      <c r="Z121" s="11">
        <v>34.234999999999999</v>
      </c>
      <c r="AA121" s="11">
        <v>22.026</v>
      </c>
      <c r="AB121" s="11">
        <v>25.303000000000001</v>
      </c>
      <c r="AC121" s="11">
        <v>19.38</v>
      </c>
      <c r="AD121" s="11">
        <v>20.82</v>
      </c>
      <c r="AE121" s="11">
        <v>17</v>
      </c>
      <c r="AF121" s="11">
        <v>18</v>
      </c>
      <c r="AG121" s="11">
        <v>17</v>
      </c>
      <c r="AH121" s="11">
        <v>17</v>
      </c>
    </row>
    <row r="122" spans="1:34" s="33" customFormat="1" x14ac:dyDescent="0.2">
      <c r="A122" s="11">
        <v>240</v>
      </c>
      <c r="B122" s="11"/>
      <c r="C122" s="11"/>
      <c r="D122" s="11"/>
      <c r="E122" s="11"/>
      <c r="F122" s="11">
        <v>332</v>
      </c>
      <c r="G122" s="11" t="s">
        <v>53</v>
      </c>
      <c r="H122" s="56" t="str">
        <f>VLOOKUP(Table6[[#This Row],[ICD Code]],ICD_summary!$I$3:$M$38,5,0)</f>
        <v>PD</v>
      </c>
      <c r="I122" s="12">
        <v>67.2</v>
      </c>
      <c r="J1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2" s="11" t="s">
        <v>52</v>
      </c>
      <c r="L122" s="11"/>
      <c r="M122" s="11"/>
      <c r="N122" s="11" t="s">
        <v>51</v>
      </c>
      <c r="O122" s="11" t="s">
        <v>51</v>
      </c>
      <c r="P122" s="11" t="s">
        <v>51</v>
      </c>
      <c r="Q122" s="11" t="s">
        <v>51</v>
      </c>
      <c r="R122" s="11" t="s">
        <v>51</v>
      </c>
      <c r="S122" s="11" t="s">
        <v>51</v>
      </c>
      <c r="T122" s="11" t="s">
        <v>51</v>
      </c>
      <c r="U122" s="11" t="s">
        <v>51</v>
      </c>
      <c r="V122" s="11" t="s">
        <v>51</v>
      </c>
      <c r="W122" s="11" t="s">
        <v>51</v>
      </c>
      <c r="X122" s="11" t="s">
        <v>51</v>
      </c>
      <c r="Y122" s="11" t="s">
        <v>51</v>
      </c>
      <c r="Z122" s="11" t="s">
        <v>51</v>
      </c>
      <c r="AA122" s="11" t="s">
        <v>51</v>
      </c>
      <c r="AB122" s="11" t="s">
        <v>51</v>
      </c>
      <c r="AC122" s="11" t="s">
        <v>51</v>
      </c>
      <c r="AD122" s="11" t="s">
        <v>51</v>
      </c>
      <c r="AE122" s="11" t="s">
        <v>51</v>
      </c>
      <c r="AF122" s="11" t="s">
        <v>51</v>
      </c>
      <c r="AG122" s="11" t="s">
        <v>51</v>
      </c>
      <c r="AH122" s="11" t="s">
        <v>51</v>
      </c>
    </row>
    <row r="123" spans="1:34" s="33" customFormat="1" x14ac:dyDescent="0.2">
      <c r="A123" s="11">
        <v>241</v>
      </c>
      <c r="B123" s="11"/>
      <c r="C123" s="11"/>
      <c r="D123" s="11"/>
      <c r="E123" s="11"/>
      <c r="F123" s="11">
        <v>333.1</v>
      </c>
      <c r="G123" s="11" t="s">
        <v>54</v>
      </c>
      <c r="H123" s="56" t="str">
        <f>VLOOKUP(Table6[[#This Row],[ICD Code]],ICD_summary!$I$3:$M$38,5,0)</f>
        <v>Tremor, essential tremor</v>
      </c>
      <c r="I123" s="12">
        <v>74.3</v>
      </c>
      <c r="J1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23" s="11" t="s">
        <v>52</v>
      </c>
      <c r="L123" s="11"/>
      <c r="M123" s="11"/>
      <c r="N123" s="11">
        <v>41.439</v>
      </c>
      <c r="O123" s="11">
        <v>40.225000000000001</v>
      </c>
      <c r="P123" s="11">
        <v>79.331000000000003</v>
      </c>
      <c r="Q123" s="11">
        <v>80.563999999999993</v>
      </c>
      <c r="R123" s="11">
        <v>62.451999999999998</v>
      </c>
      <c r="S123" s="11">
        <v>62.680999999999997</v>
      </c>
      <c r="T123" s="11">
        <v>94.384</v>
      </c>
      <c r="U123" s="11">
        <v>94.194999999999993</v>
      </c>
      <c r="V123" s="11">
        <v>65.144999999999996</v>
      </c>
      <c r="W123" s="11">
        <v>65.510000000000005</v>
      </c>
      <c r="X123" s="11">
        <v>34.854999999999997</v>
      </c>
      <c r="Y123" s="11">
        <v>34.49</v>
      </c>
      <c r="Z123" s="11">
        <v>14.704000000000001</v>
      </c>
      <c r="AA123" s="11">
        <v>16.183</v>
      </c>
      <c r="AB123" s="11">
        <v>34.49</v>
      </c>
      <c r="AC123" s="11">
        <v>34.854999999999997</v>
      </c>
      <c r="AD123" s="11">
        <v>15.82</v>
      </c>
      <c r="AE123" s="11">
        <v>17</v>
      </c>
      <c r="AF123" s="11">
        <v>17</v>
      </c>
      <c r="AG123" s="11">
        <v>17</v>
      </c>
      <c r="AH123" s="11">
        <v>17</v>
      </c>
    </row>
    <row r="124" spans="1:34" s="33" customFormat="1" x14ac:dyDescent="0.2">
      <c r="A124" s="11">
        <v>244</v>
      </c>
      <c r="B124" s="11"/>
      <c r="C124" s="11"/>
      <c r="D124" s="11"/>
      <c r="E124" s="11"/>
      <c r="F124" s="11" t="s">
        <v>62</v>
      </c>
      <c r="G124" s="11" t="s">
        <v>63</v>
      </c>
      <c r="H124" s="56" t="str">
        <f>VLOOKUP(Table6[[#This Row],[ICD Code]],ICD_summary!$I$3:$M$38,5,0)</f>
        <v>PD</v>
      </c>
      <c r="I124" s="12">
        <v>44.2</v>
      </c>
      <c r="J1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24" s="11" t="s">
        <v>52</v>
      </c>
      <c r="L124" s="11"/>
      <c r="M124" s="11"/>
      <c r="N124" s="11" t="s">
        <v>51</v>
      </c>
      <c r="O124" s="11" t="s">
        <v>51</v>
      </c>
      <c r="P124" s="11" t="s">
        <v>51</v>
      </c>
      <c r="Q124" s="11" t="s">
        <v>51</v>
      </c>
      <c r="R124" s="11" t="s">
        <v>51</v>
      </c>
      <c r="S124" s="11" t="s">
        <v>51</v>
      </c>
      <c r="T124" s="11" t="s">
        <v>51</v>
      </c>
      <c r="U124" s="11" t="s">
        <v>51</v>
      </c>
      <c r="V124" s="11" t="s">
        <v>51</v>
      </c>
      <c r="W124" s="11" t="s">
        <v>51</v>
      </c>
      <c r="X124" s="11" t="s">
        <v>51</v>
      </c>
      <c r="Y124" s="11" t="s">
        <v>51</v>
      </c>
      <c r="Z124" s="11" t="s">
        <v>51</v>
      </c>
      <c r="AA124" s="11" t="s">
        <v>51</v>
      </c>
      <c r="AB124" s="11" t="s">
        <v>51</v>
      </c>
      <c r="AC124" s="11" t="s">
        <v>51</v>
      </c>
      <c r="AD124" s="11" t="s">
        <v>51</v>
      </c>
      <c r="AE124" s="11" t="s">
        <v>51</v>
      </c>
      <c r="AF124" s="11" t="s">
        <v>51</v>
      </c>
      <c r="AG124" s="11" t="s">
        <v>51</v>
      </c>
      <c r="AH124" s="11" t="s">
        <v>51</v>
      </c>
    </row>
    <row r="125" spans="1:34" s="33" customFormat="1" x14ac:dyDescent="0.2">
      <c r="A125" s="11">
        <v>245</v>
      </c>
      <c r="B125" s="11"/>
      <c r="C125" s="11"/>
      <c r="D125" s="11"/>
      <c r="E125" s="11"/>
      <c r="F125" s="11" t="s">
        <v>80</v>
      </c>
      <c r="G125" s="11" t="s">
        <v>81</v>
      </c>
      <c r="H125" s="56" t="str">
        <f>VLOOKUP(Table6[[#This Row],[ICD Code]],ICD_summary!$I$3:$M$38,5,0)</f>
        <v>Dystonia, cervical</v>
      </c>
      <c r="I125" s="12">
        <v>37.799999999999997</v>
      </c>
      <c r="J1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125" s="11" t="s">
        <v>52</v>
      </c>
      <c r="L125" s="11"/>
      <c r="M125" s="11"/>
      <c r="N125" s="11">
        <v>75.192999999999998</v>
      </c>
      <c r="O125" s="11">
        <v>75.046999999999997</v>
      </c>
      <c r="P125" s="11">
        <v>150.97300000000001</v>
      </c>
      <c r="Q125" s="11">
        <v>150.792</v>
      </c>
      <c r="R125" s="11">
        <v>161.20099999999999</v>
      </c>
      <c r="S125" s="11">
        <v>160.809</v>
      </c>
      <c r="T125" s="11">
        <v>128.61000000000001</v>
      </c>
      <c r="U125" s="11">
        <v>126.92100000000001</v>
      </c>
      <c r="V125" s="11">
        <v>59.192</v>
      </c>
      <c r="W125" s="11">
        <v>58.877000000000002</v>
      </c>
      <c r="X125" s="11">
        <v>40.808</v>
      </c>
      <c r="Y125" s="11">
        <v>41.122999999999998</v>
      </c>
      <c r="Z125" s="11">
        <v>8.5749999999999993</v>
      </c>
      <c r="AA125" s="11">
        <v>9.2430000000000003</v>
      </c>
      <c r="AB125" s="11">
        <v>41.122999999999998</v>
      </c>
      <c r="AC125" s="11">
        <v>40.808</v>
      </c>
      <c r="AD125" s="11">
        <v>13.353999999999999</v>
      </c>
      <c r="AE125" s="11">
        <v>10</v>
      </c>
      <c r="AF125" s="11">
        <v>6</v>
      </c>
      <c r="AG125" s="11">
        <v>6</v>
      </c>
      <c r="AH125" s="11">
        <v>6</v>
      </c>
    </row>
    <row r="126" spans="1:34" s="33" customFormat="1" x14ac:dyDescent="0.2">
      <c r="A126" s="11">
        <v>246</v>
      </c>
      <c r="B126" s="11"/>
      <c r="C126" s="11"/>
      <c r="D126" s="11"/>
      <c r="E126" s="11"/>
      <c r="F126" s="11" t="s">
        <v>51</v>
      </c>
      <c r="G126" s="11" t="s">
        <v>51</v>
      </c>
      <c r="H126" s="56" t="str">
        <f>VLOOKUP(Table6[[#This Row],[ICD Code]],ICD_summary!$I$3:$M$38,5,0)</f>
        <v>Misc/Other</v>
      </c>
      <c r="I126" s="12">
        <v>999</v>
      </c>
      <c r="J1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26" s="11" t="s">
        <v>51</v>
      </c>
      <c r="L126" s="11"/>
      <c r="M126" s="11"/>
      <c r="N126" s="11">
        <v>55.615000000000002</v>
      </c>
      <c r="O126" s="11">
        <v>54.372</v>
      </c>
      <c r="P126" s="11">
        <v>109.923</v>
      </c>
      <c r="Q126" s="11">
        <v>109.669</v>
      </c>
      <c r="R126" s="11">
        <v>103.19199999999999</v>
      </c>
      <c r="S126" s="11">
        <v>103.15600000000001</v>
      </c>
      <c r="T126" s="11">
        <v>112.499</v>
      </c>
      <c r="U126" s="11">
        <v>112.57299999999999</v>
      </c>
      <c r="V126" s="11">
        <v>65.009</v>
      </c>
      <c r="W126" s="11">
        <v>62.77</v>
      </c>
      <c r="X126" s="11">
        <v>34.991</v>
      </c>
      <c r="Y126" s="11">
        <v>37.229999999999997</v>
      </c>
      <c r="Z126" s="11">
        <v>13.334</v>
      </c>
      <c r="AA126" s="11">
        <v>14.771000000000001</v>
      </c>
      <c r="AB126" s="11">
        <v>37.229999999999997</v>
      </c>
      <c r="AC126" s="11">
        <v>34.991</v>
      </c>
      <c r="AD126" s="11">
        <v>15.124000000000001</v>
      </c>
      <c r="AE126" s="11">
        <v>11</v>
      </c>
      <c r="AF126" s="11">
        <v>12</v>
      </c>
      <c r="AG126" s="11">
        <v>11</v>
      </c>
      <c r="AH126" s="11">
        <v>11</v>
      </c>
    </row>
    <row r="127" spans="1:34" s="33" customFormat="1" x14ac:dyDescent="0.2">
      <c r="A127" s="11">
        <v>247</v>
      </c>
      <c r="B127" s="11"/>
      <c r="C127" s="11"/>
      <c r="D127" s="11"/>
      <c r="E127" s="11"/>
      <c r="F127" s="11" t="s">
        <v>68</v>
      </c>
      <c r="G127" s="11" t="s">
        <v>69</v>
      </c>
      <c r="H127" s="56" t="str">
        <f>VLOOKUP(Table6[[#This Row],[ICD Code]],ICD_summary!$I$3:$M$38,5,0)</f>
        <v>Tremor, essential tremor</v>
      </c>
      <c r="I127" s="12">
        <v>50</v>
      </c>
      <c r="J1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27" s="11" t="s">
        <v>55</v>
      </c>
      <c r="L127" s="11"/>
      <c r="M127" s="11"/>
      <c r="N127" s="11">
        <v>10.702999999999999</v>
      </c>
      <c r="O127" s="11">
        <v>13.281000000000001</v>
      </c>
      <c r="P127" s="11">
        <v>23.68</v>
      </c>
      <c r="Q127" s="11">
        <v>23.408999999999999</v>
      </c>
      <c r="R127" s="11">
        <v>5.8730000000000002</v>
      </c>
      <c r="S127" s="11">
        <v>5.2960000000000003</v>
      </c>
      <c r="T127" s="11">
        <v>30.363</v>
      </c>
      <c r="U127" s="11">
        <v>29.638999999999999</v>
      </c>
      <c r="V127" s="11">
        <v>93.536000000000001</v>
      </c>
      <c r="W127" s="11">
        <v>93.417000000000002</v>
      </c>
      <c r="X127" s="11">
        <v>6.4640000000000004</v>
      </c>
      <c r="Y127" s="11">
        <v>6.5830000000000002</v>
      </c>
      <c r="Z127" s="11">
        <v>50.073999999999998</v>
      </c>
      <c r="AA127" s="11">
        <v>42.348999999999997</v>
      </c>
      <c r="AB127" s="11">
        <v>6.5830000000000002</v>
      </c>
      <c r="AC127" s="11">
        <v>6.4640000000000004</v>
      </c>
      <c r="AD127" s="11">
        <v>38.69</v>
      </c>
      <c r="AE127" s="11">
        <v>9</v>
      </c>
      <c r="AF127" s="11">
        <v>9</v>
      </c>
      <c r="AG127" s="11">
        <v>9</v>
      </c>
      <c r="AH127" s="11">
        <v>9</v>
      </c>
    </row>
    <row r="128" spans="1:34" s="33" customFormat="1" x14ac:dyDescent="0.2">
      <c r="A128" s="11">
        <v>248</v>
      </c>
      <c r="B128" s="11"/>
      <c r="C128" s="11"/>
      <c r="D128" s="11"/>
      <c r="E128" s="11"/>
      <c r="F128" s="11" t="s">
        <v>62</v>
      </c>
      <c r="G128" s="11" t="s">
        <v>63</v>
      </c>
      <c r="H128" s="56" t="str">
        <f>VLOOKUP(Table6[[#This Row],[ICD Code]],ICD_summary!$I$3:$M$38,5,0)</f>
        <v>PD</v>
      </c>
      <c r="I128" s="12">
        <v>61.2</v>
      </c>
      <c r="J1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8" s="11" t="s">
        <v>55</v>
      </c>
      <c r="L128" s="11"/>
      <c r="M128" s="11"/>
      <c r="N128" s="11">
        <v>70.483999999999995</v>
      </c>
      <c r="O128" s="11">
        <v>72.885000000000005</v>
      </c>
      <c r="P128" s="11">
        <v>144.297</v>
      </c>
      <c r="Q128" s="11">
        <v>143.12700000000001</v>
      </c>
      <c r="R128" s="11">
        <v>143.54900000000001</v>
      </c>
      <c r="S128" s="11">
        <v>141.74100000000001</v>
      </c>
      <c r="T128" s="11">
        <v>119.43300000000001</v>
      </c>
      <c r="U128" s="11">
        <v>118.545</v>
      </c>
      <c r="V128" s="11">
        <v>61.689</v>
      </c>
      <c r="W128" s="11">
        <v>59.158999999999999</v>
      </c>
      <c r="X128" s="11">
        <v>38.311</v>
      </c>
      <c r="Y128" s="11">
        <v>40.841000000000001</v>
      </c>
      <c r="Z128" s="11">
        <v>10.779</v>
      </c>
      <c r="AA128" s="11">
        <v>10.693</v>
      </c>
      <c r="AB128" s="11">
        <v>40.841000000000001</v>
      </c>
      <c r="AC128" s="11">
        <v>38.311</v>
      </c>
      <c r="AD128" s="11">
        <v>9.4</v>
      </c>
      <c r="AE128" s="11">
        <v>10</v>
      </c>
      <c r="AF128" s="11">
        <v>8</v>
      </c>
      <c r="AG128" s="11">
        <v>8</v>
      </c>
      <c r="AH128" s="11">
        <v>8</v>
      </c>
    </row>
    <row r="129" spans="1:34" s="33" customFormat="1" x14ac:dyDescent="0.2">
      <c r="A129" s="11">
        <v>249</v>
      </c>
      <c r="B129" s="11"/>
      <c r="C129" s="11"/>
      <c r="D129" s="11"/>
      <c r="E129" s="11"/>
      <c r="F129" s="11" t="s">
        <v>68</v>
      </c>
      <c r="G129" s="11" t="s">
        <v>69</v>
      </c>
      <c r="H129" s="56" t="str">
        <f>VLOOKUP(Table6[[#This Row],[ICD Code]],ICD_summary!$I$3:$M$38,5,0)</f>
        <v>Tremor, essential tremor</v>
      </c>
      <c r="I129" s="12">
        <v>73.900000000000006</v>
      </c>
      <c r="J1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29" s="11" t="s">
        <v>55</v>
      </c>
      <c r="L129" s="11"/>
      <c r="M129" s="11"/>
      <c r="N129" s="11">
        <v>30.780999999999999</v>
      </c>
      <c r="O129" s="11">
        <v>33.311</v>
      </c>
      <c r="P129" s="11">
        <v>63.984000000000002</v>
      </c>
      <c r="Q129" s="11">
        <v>64.302000000000007</v>
      </c>
      <c r="R129" s="11">
        <v>52.094999999999999</v>
      </c>
      <c r="S129" s="11">
        <v>52.404000000000003</v>
      </c>
      <c r="T129" s="11">
        <v>97.341999999999999</v>
      </c>
      <c r="U129" s="11">
        <v>97.873000000000005</v>
      </c>
      <c r="V129" s="11">
        <v>67.05</v>
      </c>
      <c r="W129" s="11">
        <v>66.968000000000004</v>
      </c>
      <c r="X129" s="11">
        <v>32.950000000000003</v>
      </c>
      <c r="Y129" s="11">
        <v>33.031999999999996</v>
      </c>
      <c r="Z129" s="11">
        <v>15.821</v>
      </c>
      <c r="AA129" s="11">
        <v>17.876999999999999</v>
      </c>
      <c r="AB129" s="11">
        <v>33.031999999999996</v>
      </c>
      <c r="AC129" s="11">
        <v>32.950000000000003</v>
      </c>
      <c r="AD129" s="11">
        <v>12.8</v>
      </c>
      <c r="AE129" s="11">
        <v>19</v>
      </c>
      <c r="AF129" s="11">
        <v>19</v>
      </c>
      <c r="AG129" s="11">
        <v>19</v>
      </c>
      <c r="AH129" s="11">
        <v>19</v>
      </c>
    </row>
    <row r="130" spans="1:34" s="33" customFormat="1" x14ac:dyDescent="0.2">
      <c r="A130" s="11">
        <v>250</v>
      </c>
      <c r="B130" s="11"/>
      <c r="C130" s="11"/>
      <c r="D130" s="11"/>
      <c r="E130" s="11"/>
      <c r="F130" s="11" t="s">
        <v>72</v>
      </c>
      <c r="G130" s="11" t="s">
        <v>73</v>
      </c>
      <c r="H130" s="56" t="str">
        <f>VLOOKUP(Table6[[#This Row],[ICD Code]],ICD_summary!$I$3:$M$38,5,0)</f>
        <v>Tremor, other</v>
      </c>
      <c r="I130" s="12">
        <v>49.4</v>
      </c>
      <c r="J1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0" s="11" t="s">
        <v>52</v>
      </c>
      <c r="L130" s="11"/>
      <c r="M130" s="11"/>
      <c r="N130" s="11">
        <v>74.522000000000006</v>
      </c>
      <c r="O130" s="11">
        <v>74.858999999999995</v>
      </c>
      <c r="P130" s="11">
        <v>149.34</v>
      </c>
      <c r="Q130" s="11">
        <v>149.47</v>
      </c>
      <c r="R130" s="11">
        <v>135.822</v>
      </c>
      <c r="S130" s="11">
        <v>135.76499999999999</v>
      </c>
      <c r="T130" s="11">
        <v>109.03100000000001</v>
      </c>
      <c r="U130" s="11">
        <v>108.51600000000001</v>
      </c>
      <c r="V130" s="11">
        <v>58.957999999999998</v>
      </c>
      <c r="W130" s="11">
        <v>61.36</v>
      </c>
      <c r="X130" s="11">
        <v>41.042000000000002</v>
      </c>
      <c r="Y130" s="11">
        <v>38.64</v>
      </c>
      <c r="Z130" s="11">
        <v>10.6</v>
      </c>
      <c r="AA130" s="11">
        <v>9.8979999999999997</v>
      </c>
      <c r="AB130" s="11">
        <v>38.64</v>
      </c>
      <c r="AC130" s="11">
        <v>41.042000000000002</v>
      </c>
      <c r="AD130" s="11">
        <v>7.1639999999999997</v>
      </c>
      <c r="AE130" s="11">
        <v>9</v>
      </c>
      <c r="AF130" s="11">
        <v>7</v>
      </c>
      <c r="AG130" s="11">
        <v>7</v>
      </c>
      <c r="AH130" s="11">
        <v>7</v>
      </c>
    </row>
    <row r="131" spans="1:34" s="33" customFormat="1" x14ac:dyDescent="0.2">
      <c r="A131" s="11">
        <v>251</v>
      </c>
      <c r="B131" s="11"/>
      <c r="C131" s="11"/>
      <c r="D131" s="11"/>
      <c r="E131" s="11"/>
      <c r="F131" s="11" t="s">
        <v>51</v>
      </c>
      <c r="G131" s="11" t="s">
        <v>51</v>
      </c>
      <c r="H131" s="56" t="str">
        <f>VLOOKUP(Table6[[#This Row],[ICD Code]],ICD_summary!$I$3:$M$38,5,0)</f>
        <v>Misc/Other</v>
      </c>
      <c r="I131" s="12">
        <v>999</v>
      </c>
      <c r="J1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1" s="11" t="s">
        <v>51</v>
      </c>
      <c r="L131" s="11"/>
      <c r="M131" s="11"/>
      <c r="N131" s="11" t="s">
        <v>51</v>
      </c>
      <c r="O131" s="11" t="s">
        <v>51</v>
      </c>
      <c r="P131" s="11" t="s">
        <v>51</v>
      </c>
      <c r="Q131" s="11" t="s">
        <v>51</v>
      </c>
      <c r="R131" s="11" t="s">
        <v>51</v>
      </c>
      <c r="S131" s="11" t="s">
        <v>51</v>
      </c>
      <c r="T131" s="11" t="s">
        <v>51</v>
      </c>
      <c r="U131" s="11" t="s">
        <v>51</v>
      </c>
      <c r="V131" s="11" t="s">
        <v>51</v>
      </c>
      <c r="W131" s="11" t="s">
        <v>51</v>
      </c>
      <c r="X131" s="11" t="s">
        <v>51</v>
      </c>
      <c r="Y131" s="11" t="s">
        <v>51</v>
      </c>
      <c r="Z131" s="11" t="s">
        <v>51</v>
      </c>
      <c r="AA131" s="11" t="s">
        <v>51</v>
      </c>
      <c r="AB131" s="11" t="s">
        <v>51</v>
      </c>
      <c r="AC131" s="11" t="s">
        <v>51</v>
      </c>
      <c r="AD131" s="11" t="s">
        <v>51</v>
      </c>
      <c r="AE131" s="11" t="s">
        <v>51</v>
      </c>
      <c r="AF131" s="11" t="s">
        <v>51</v>
      </c>
      <c r="AG131" s="11" t="s">
        <v>51</v>
      </c>
      <c r="AH131" s="11" t="s">
        <v>51</v>
      </c>
    </row>
    <row r="132" spans="1:34" s="33" customFormat="1" x14ac:dyDescent="0.2">
      <c r="A132" s="11">
        <v>252</v>
      </c>
      <c r="B132" s="11"/>
      <c r="C132" s="11"/>
      <c r="D132" s="11"/>
      <c r="E132" s="11"/>
      <c r="F132" s="11" t="s">
        <v>62</v>
      </c>
      <c r="G132" s="11" t="s">
        <v>63</v>
      </c>
      <c r="H132" s="56" t="str">
        <f>VLOOKUP(Table6[[#This Row],[ICD Code]],ICD_summary!$I$3:$M$38,5,0)</f>
        <v>PD</v>
      </c>
      <c r="I132" s="12">
        <v>49.7</v>
      </c>
      <c r="J1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2" s="11" t="s">
        <v>52</v>
      </c>
      <c r="L132" s="11"/>
      <c r="M132" s="11"/>
      <c r="N132" s="11" t="s">
        <v>51</v>
      </c>
      <c r="O132" s="11" t="s">
        <v>51</v>
      </c>
      <c r="P132" s="11" t="s">
        <v>51</v>
      </c>
      <c r="Q132" s="11" t="s">
        <v>51</v>
      </c>
      <c r="R132" s="11" t="s">
        <v>51</v>
      </c>
      <c r="S132" s="11" t="s">
        <v>51</v>
      </c>
      <c r="T132" s="11" t="s">
        <v>51</v>
      </c>
      <c r="U132" s="11" t="s">
        <v>51</v>
      </c>
      <c r="V132" s="11" t="s">
        <v>51</v>
      </c>
      <c r="W132" s="11" t="s">
        <v>51</v>
      </c>
      <c r="X132" s="11" t="s">
        <v>51</v>
      </c>
      <c r="Y132" s="11" t="s">
        <v>51</v>
      </c>
      <c r="Z132" s="11" t="s">
        <v>51</v>
      </c>
      <c r="AA132" s="11" t="s">
        <v>51</v>
      </c>
      <c r="AB132" s="11" t="s">
        <v>51</v>
      </c>
      <c r="AC132" s="11" t="s">
        <v>51</v>
      </c>
      <c r="AD132" s="11" t="s">
        <v>51</v>
      </c>
      <c r="AE132" s="11" t="s">
        <v>51</v>
      </c>
      <c r="AF132" s="11" t="s">
        <v>51</v>
      </c>
      <c r="AG132" s="11" t="s">
        <v>51</v>
      </c>
      <c r="AH132" s="11" t="s">
        <v>51</v>
      </c>
    </row>
    <row r="133" spans="1:34" s="33" customFormat="1" x14ac:dyDescent="0.2">
      <c r="A133" s="11">
        <v>253</v>
      </c>
      <c r="B133" s="11"/>
      <c r="C133" s="11"/>
      <c r="D133" s="11"/>
      <c r="E133" s="11"/>
      <c r="F133" s="11" t="s">
        <v>62</v>
      </c>
      <c r="G133" s="11" t="s">
        <v>63</v>
      </c>
      <c r="H133" s="56" t="str">
        <f>VLOOKUP(Table6[[#This Row],[ICD Code]],ICD_summary!$I$3:$M$38,5,0)</f>
        <v>PD</v>
      </c>
      <c r="I133" s="12">
        <v>75.5</v>
      </c>
      <c r="J1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33" s="11" t="s">
        <v>52</v>
      </c>
      <c r="L133" s="11"/>
      <c r="M133" s="11"/>
      <c r="N133" s="11">
        <v>54.064</v>
      </c>
      <c r="O133" s="11">
        <v>47.936</v>
      </c>
      <c r="P133" s="11">
        <v>101.82599999999999</v>
      </c>
      <c r="Q133" s="11">
        <v>101.63800000000001</v>
      </c>
      <c r="R133" s="11">
        <v>104.61499999999999</v>
      </c>
      <c r="S133" s="11">
        <v>103.974</v>
      </c>
      <c r="T133" s="11">
        <v>122.248</v>
      </c>
      <c r="U133" s="11">
        <v>122.452</v>
      </c>
      <c r="V133" s="11">
        <v>62.326000000000001</v>
      </c>
      <c r="W133" s="11">
        <v>60.463000000000001</v>
      </c>
      <c r="X133" s="11">
        <v>37.673999999999999</v>
      </c>
      <c r="Y133" s="11">
        <v>39.536999999999999</v>
      </c>
      <c r="Z133" s="11">
        <v>11.183</v>
      </c>
      <c r="AA133" s="11">
        <v>11.303000000000001</v>
      </c>
      <c r="AB133" s="11">
        <v>39.536999999999999</v>
      </c>
      <c r="AC133" s="11">
        <v>37.673999999999999</v>
      </c>
      <c r="AD133" s="11">
        <v>8.9920000000000009</v>
      </c>
      <c r="AE133" s="11">
        <v>10</v>
      </c>
      <c r="AF133" s="11">
        <v>13</v>
      </c>
      <c r="AG133" s="11">
        <v>10</v>
      </c>
      <c r="AH133" s="11">
        <v>10</v>
      </c>
    </row>
    <row r="134" spans="1:34" s="33" customFormat="1" x14ac:dyDescent="0.2">
      <c r="A134" s="11">
        <v>254</v>
      </c>
      <c r="B134" s="11"/>
      <c r="C134" s="11"/>
      <c r="D134" s="11"/>
      <c r="E134" s="11"/>
      <c r="F134" s="11" t="s">
        <v>51</v>
      </c>
      <c r="G134" s="11" t="s">
        <v>51</v>
      </c>
      <c r="H134" s="56" t="str">
        <f>VLOOKUP(Table6[[#This Row],[ICD Code]],ICD_summary!$I$3:$M$38,5,0)</f>
        <v>Misc/Other</v>
      </c>
      <c r="I134" s="12">
        <v>999</v>
      </c>
      <c r="J1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4" s="11" t="s">
        <v>51</v>
      </c>
      <c r="L134" s="11"/>
      <c r="M134" s="11"/>
      <c r="N134" s="11" t="s">
        <v>51</v>
      </c>
      <c r="O134" s="11" t="s">
        <v>51</v>
      </c>
      <c r="P134" s="11" t="s">
        <v>51</v>
      </c>
      <c r="Q134" s="11" t="s">
        <v>51</v>
      </c>
      <c r="R134" s="11" t="s">
        <v>51</v>
      </c>
      <c r="S134" s="11" t="s">
        <v>51</v>
      </c>
      <c r="T134" s="11" t="s">
        <v>51</v>
      </c>
      <c r="U134" s="11" t="s">
        <v>51</v>
      </c>
      <c r="V134" s="11" t="s">
        <v>51</v>
      </c>
      <c r="W134" s="11" t="s">
        <v>51</v>
      </c>
      <c r="X134" s="11" t="s">
        <v>51</v>
      </c>
      <c r="Y134" s="11" t="s">
        <v>51</v>
      </c>
      <c r="Z134" s="11" t="s">
        <v>51</v>
      </c>
      <c r="AA134" s="11" t="s">
        <v>51</v>
      </c>
      <c r="AB134" s="11" t="s">
        <v>51</v>
      </c>
      <c r="AC134" s="11" t="s">
        <v>51</v>
      </c>
      <c r="AD134" s="11" t="s">
        <v>51</v>
      </c>
      <c r="AE134" s="11" t="s">
        <v>51</v>
      </c>
      <c r="AF134" s="11" t="s">
        <v>51</v>
      </c>
      <c r="AG134" s="11" t="s">
        <v>51</v>
      </c>
      <c r="AH134" s="11" t="s">
        <v>51</v>
      </c>
    </row>
    <row r="135" spans="1:34" s="33" customFormat="1" x14ac:dyDescent="0.2">
      <c r="A135" s="11">
        <v>255</v>
      </c>
      <c r="B135" s="11"/>
      <c r="C135" s="11"/>
      <c r="D135" s="11"/>
      <c r="E135" s="11"/>
      <c r="F135" s="11" t="s">
        <v>51</v>
      </c>
      <c r="G135" s="11" t="s">
        <v>51</v>
      </c>
      <c r="H135" s="56" t="str">
        <f>VLOOKUP(Table6[[#This Row],[ICD Code]],ICD_summary!$I$3:$M$38,5,0)</f>
        <v>Misc/Other</v>
      </c>
      <c r="I135" s="12">
        <v>999</v>
      </c>
      <c r="J1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5" s="11" t="s">
        <v>51</v>
      </c>
      <c r="L135" s="11"/>
      <c r="M135" s="11"/>
      <c r="N135" s="11">
        <v>44.902999999999999</v>
      </c>
      <c r="O135" s="11">
        <v>42.869</v>
      </c>
      <c r="P135" s="11">
        <v>87.674000000000007</v>
      </c>
      <c r="Q135" s="11">
        <v>87.974999999999994</v>
      </c>
      <c r="R135" s="11">
        <v>63.341999999999999</v>
      </c>
      <c r="S135" s="11">
        <v>63.694000000000003</v>
      </c>
      <c r="T135" s="11">
        <v>87.031999999999996</v>
      </c>
      <c r="U135" s="11">
        <v>86.664000000000001</v>
      </c>
      <c r="V135" s="11">
        <v>64.519000000000005</v>
      </c>
      <c r="W135" s="11">
        <v>66.203999999999994</v>
      </c>
      <c r="X135" s="11">
        <v>35.481000000000002</v>
      </c>
      <c r="Y135" s="11">
        <v>33.795999999999999</v>
      </c>
      <c r="Z135" s="11">
        <v>14.708</v>
      </c>
      <c r="AA135" s="11">
        <v>16.056999999999999</v>
      </c>
      <c r="AB135" s="11">
        <v>33.795999999999999</v>
      </c>
      <c r="AC135" s="11">
        <v>35.481000000000002</v>
      </c>
      <c r="AD135" s="11">
        <v>14.09</v>
      </c>
      <c r="AE135" s="11">
        <v>15</v>
      </c>
      <c r="AF135" s="11">
        <v>16</v>
      </c>
      <c r="AG135" s="11">
        <v>15</v>
      </c>
      <c r="AH135" s="11">
        <v>15</v>
      </c>
    </row>
    <row r="136" spans="1:34" s="33" customFormat="1" x14ac:dyDescent="0.2">
      <c r="A136" s="11">
        <v>256</v>
      </c>
      <c r="B136" s="11"/>
      <c r="C136" s="11"/>
      <c r="D136" s="11"/>
      <c r="E136" s="11"/>
      <c r="F136" s="11" t="s">
        <v>68</v>
      </c>
      <c r="G136" s="11" t="s">
        <v>69</v>
      </c>
      <c r="H136" s="56" t="str">
        <f>VLOOKUP(Table6[[#This Row],[ICD Code]],ICD_summary!$I$3:$M$38,5,0)</f>
        <v>Tremor, essential tremor</v>
      </c>
      <c r="I136" s="12">
        <v>74.400000000000006</v>
      </c>
      <c r="J1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36" s="11" t="s">
        <v>52</v>
      </c>
      <c r="L136" s="11"/>
      <c r="M136" s="11"/>
      <c r="N136" s="11">
        <v>58.113</v>
      </c>
      <c r="O136" s="11">
        <v>54.476999999999997</v>
      </c>
      <c r="P136" s="11">
        <v>112.223</v>
      </c>
      <c r="Q136" s="11">
        <v>113.50700000000001</v>
      </c>
      <c r="R136" s="11">
        <v>97.832999999999998</v>
      </c>
      <c r="S136" s="11">
        <v>98.725999999999999</v>
      </c>
      <c r="T136" s="11">
        <v>104.078</v>
      </c>
      <c r="U136" s="11">
        <v>104.125</v>
      </c>
      <c r="V136" s="11">
        <v>62.908999999999999</v>
      </c>
      <c r="W136" s="11">
        <v>63.616999999999997</v>
      </c>
      <c r="X136" s="11">
        <v>37.091000000000001</v>
      </c>
      <c r="Y136" s="11">
        <v>36.383000000000003</v>
      </c>
      <c r="Z136" s="11">
        <v>14.233000000000001</v>
      </c>
      <c r="AA136" s="11">
        <v>12.936</v>
      </c>
      <c r="AB136" s="11">
        <v>36.383000000000003</v>
      </c>
      <c r="AC136" s="11">
        <v>37.091000000000001</v>
      </c>
      <c r="AD136" s="11">
        <v>8.5559999999999992</v>
      </c>
      <c r="AE136" s="11">
        <v>11</v>
      </c>
      <c r="AF136" s="11">
        <v>11</v>
      </c>
      <c r="AG136" s="11">
        <v>11</v>
      </c>
      <c r="AH136" s="11">
        <v>11</v>
      </c>
    </row>
    <row r="137" spans="1:34" s="33" customFormat="1" x14ac:dyDescent="0.2">
      <c r="A137" s="11">
        <v>257</v>
      </c>
      <c r="B137" s="11"/>
      <c r="C137" s="11"/>
      <c r="D137" s="11"/>
      <c r="E137" s="11"/>
      <c r="F137" s="11" t="s">
        <v>51</v>
      </c>
      <c r="G137" s="11" t="s">
        <v>51</v>
      </c>
      <c r="H137" s="56" t="str">
        <f>VLOOKUP(Table6[[#This Row],[ICD Code]],ICD_summary!$I$3:$M$38,5,0)</f>
        <v>Misc/Other</v>
      </c>
      <c r="I137" s="12">
        <v>999</v>
      </c>
      <c r="J1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7" s="11" t="s">
        <v>51</v>
      </c>
      <c r="L137" s="11"/>
      <c r="M137" s="11"/>
      <c r="N137" s="11" t="s">
        <v>51</v>
      </c>
      <c r="O137" s="11" t="s">
        <v>51</v>
      </c>
      <c r="P137" s="11" t="s">
        <v>51</v>
      </c>
      <c r="Q137" s="11" t="s">
        <v>51</v>
      </c>
      <c r="R137" s="11" t="s">
        <v>51</v>
      </c>
      <c r="S137" s="11" t="s">
        <v>51</v>
      </c>
      <c r="T137" s="11" t="s">
        <v>51</v>
      </c>
      <c r="U137" s="11" t="s">
        <v>51</v>
      </c>
      <c r="V137" s="11" t="s">
        <v>51</v>
      </c>
      <c r="W137" s="11" t="s">
        <v>51</v>
      </c>
      <c r="X137" s="11" t="s">
        <v>51</v>
      </c>
      <c r="Y137" s="11" t="s">
        <v>51</v>
      </c>
      <c r="Z137" s="11" t="s">
        <v>51</v>
      </c>
      <c r="AA137" s="11" t="s">
        <v>51</v>
      </c>
      <c r="AB137" s="11" t="s">
        <v>51</v>
      </c>
      <c r="AC137" s="11" t="s">
        <v>51</v>
      </c>
      <c r="AD137" s="11" t="s">
        <v>51</v>
      </c>
      <c r="AE137" s="11" t="s">
        <v>51</v>
      </c>
      <c r="AF137" s="11" t="s">
        <v>51</v>
      </c>
      <c r="AG137" s="11" t="s">
        <v>51</v>
      </c>
      <c r="AH137" s="11" t="s">
        <v>51</v>
      </c>
    </row>
    <row r="138" spans="1:34" s="33" customFormat="1" x14ac:dyDescent="0.2">
      <c r="A138" s="11">
        <v>258</v>
      </c>
      <c r="B138" s="11"/>
      <c r="C138" s="11"/>
      <c r="D138" s="11"/>
      <c r="E138" s="11"/>
      <c r="F138" s="11" t="s">
        <v>62</v>
      </c>
      <c r="G138" s="11" t="s">
        <v>63</v>
      </c>
      <c r="H138" s="56" t="str">
        <f>VLOOKUP(Table6[[#This Row],[ICD Code]],ICD_summary!$I$3:$M$38,5,0)</f>
        <v>PD</v>
      </c>
      <c r="I138" s="12">
        <v>57.3</v>
      </c>
      <c r="J1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38" s="11" t="s">
        <v>52</v>
      </c>
      <c r="L138" s="11"/>
      <c r="M138" s="11"/>
      <c r="N138" s="11">
        <v>52.186999999999998</v>
      </c>
      <c r="O138" s="11">
        <v>45.9</v>
      </c>
      <c r="P138" s="11">
        <v>98.977000000000004</v>
      </c>
      <c r="Q138" s="11">
        <v>95.488</v>
      </c>
      <c r="R138" s="11">
        <v>94.039000000000001</v>
      </c>
      <c r="S138" s="11">
        <v>90.626999999999995</v>
      </c>
      <c r="T138" s="11">
        <v>114.175</v>
      </c>
      <c r="U138" s="11">
        <v>114.27800000000001</v>
      </c>
      <c r="V138" s="11">
        <v>65.501999999999995</v>
      </c>
      <c r="W138" s="11">
        <v>64.566000000000003</v>
      </c>
      <c r="X138" s="11">
        <v>34.497999999999998</v>
      </c>
      <c r="Y138" s="11">
        <v>35.433999999999997</v>
      </c>
      <c r="Z138" s="11">
        <v>15.106999999999999</v>
      </c>
      <c r="AA138" s="11">
        <v>14.897</v>
      </c>
      <c r="AB138" s="11">
        <v>35.433999999999997</v>
      </c>
      <c r="AC138" s="11">
        <v>34.497999999999998</v>
      </c>
      <c r="AD138" s="11">
        <v>13.417999999999999</v>
      </c>
      <c r="AE138" s="11">
        <v>15</v>
      </c>
      <c r="AF138" s="11">
        <v>12</v>
      </c>
      <c r="AG138" s="11">
        <v>12</v>
      </c>
      <c r="AH138" s="11">
        <v>12</v>
      </c>
    </row>
    <row r="139" spans="1:34" s="33" customFormat="1" x14ac:dyDescent="0.2">
      <c r="A139" s="11">
        <v>259</v>
      </c>
      <c r="B139" s="11"/>
      <c r="C139" s="11"/>
      <c r="D139" s="11"/>
      <c r="E139" s="11"/>
      <c r="F139" s="11" t="s">
        <v>62</v>
      </c>
      <c r="G139" s="11" t="s">
        <v>63</v>
      </c>
      <c r="H139" s="56" t="str">
        <f>VLOOKUP(Table6[[#This Row],[ICD Code]],ICD_summary!$I$3:$M$38,5,0)</f>
        <v>PD</v>
      </c>
      <c r="I139" s="12">
        <v>46.1</v>
      </c>
      <c r="J1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9" s="11" t="s">
        <v>52</v>
      </c>
      <c r="L139" s="11"/>
      <c r="M139" s="11"/>
      <c r="N139" s="11">
        <v>47.555</v>
      </c>
      <c r="O139" s="11">
        <v>51.341000000000001</v>
      </c>
      <c r="P139" s="11">
        <v>98.561000000000007</v>
      </c>
      <c r="Q139" s="11">
        <v>99.013000000000005</v>
      </c>
      <c r="R139" s="11">
        <v>98.2</v>
      </c>
      <c r="S139" s="11">
        <v>99.149000000000001</v>
      </c>
      <c r="T139" s="11">
        <v>118.324</v>
      </c>
      <c r="U139" s="11">
        <v>118.985</v>
      </c>
      <c r="V139" s="11">
        <v>62.796999999999997</v>
      </c>
      <c r="W139" s="11">
        <v>63.539000000000001</v>
      </c>
      <c r="X139" s="11">
        <v>37.203000000000003</v>
      </c>
      <c r="Y139" s="11">
        <v>36.460999999999999</v>
      </c>
      <c r="Z139" s="11">
        <v>14.677</v>
      </c>
      <c r="AA139" s="11">
        <v>12.061</v>
      </c>
      <c r="AB139" s="11">
        <v>36.460999999999999</v>
      </c>
      <c r="AC139" s="11">
        <v>37.203000000000003</v>
      </c>
      <c r="AD139" s="11">
        <v>7.7539999999999996</v>
      </c>
      <c r="AE139" s="11">
        <v>10</v>
      </c>
      <c r="AF139" s="11">
        <v>12</v>
      </c>
      <c r="AG139" s="11">
        <v>10</v>
      </c>
      <c r="AH139" s="11">
        <v>10</v>
      </c>
    </row>
    <row r="140" spans="1:34" s="33" customFormat="1" x14ac:dyDescent="0.2">
      <c r="A140" s="11">
        <v>260</v>
      </c>
      <c r="B140" s="11"/>
      <c r="C140" s="11"/>
      <c r="D140" s="11"/>
      <c r="E140" s="11"/>
      <c r="F140" s="11" t="s">
        <v>66</v>
      </c>
      <c r="G140" s="11" t="s">
        <v>67</v>
      </c>
      <c r="H140" s="56" t="str">
        <f>VLOOKUP(Table6[[#This Row],[ICD Code]],ICD_summary!$I$3:$M$38,5,0)</f>
        <v>Dystonia, other</v>
      </c>
      <c r="I140" s="12">
        <v>56.8</v>
      </c>
      <c r="J1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40" s="11" t="s">
        <v>55</v>
      </c>
      <c r="L140" s="11"/>
      <c r="M140" s="11"/>
      <c r="N140" s="11" t="s">
        <v>51</v>
      </c>
      <c r="O140" s="11" t="s">
        <v>51</v>
      </c>
      <c r="P140" s="11" t="s">
        <v>51</v>
      </c>
      <c r="Q140" s="11" t="s">
        <v>51</v>
      </c>
      <c r="R140" s="11" t="s">
        <v>51</v>
      </c>
      <c r="S140" s="11" t="s">
        <v>51</v>
      </c>
      <c r="T140" s="11" t="s">
        <v>51</v>
      </c>
      <c r="U140" s="11" t="s">
        <v>51</v>
      </c>
      <c r="V140" s="11" t="s">
        <v>51</v>
      </c>
      <c r="W140" s="11" t="s">
        <v>51</v>
      </c>
      <c r="X140" s="11" t="s">
        <v>51</v>
      </c>
      <c r="Y140" s="11" t="s">
        <v>51</v>
      </c>
      <c r="Z140" s="11" t="s">
        <v>51</v>
      </c>
      <c r="AA140" s="11" t="s">
        <v>51</v>
      </c>
      <c r="AB140" s="11" t="s">
        <v>51</v>
      </c>
      <c r="AC140" s="11" t="s">
        <v>51</v>
      </c>
      <c r="AD140" s="11" t="s">
        <v>51</v>
      </c>
      <c r="AE140" s="11" t="s">
        <v>51</v>
      </c>
      <c r="AF140" s="11" t="s">
        <v>51</v>
      </c>
      <c r="AG140" s="11" t="s">
        <v>51</v>
      </c>
      <c r="AH140" s="11" t="s">
        <v>51</v>
      </c>
    </row>
    <row r="141" spans="1:34" s="33" customFormat="1" x14ac:dyDescent="0.2">
      <c r="A141" s="11">
        <v>261</v>
      </c>
      <c r="B141" s="11"/>
      <c r="C141" s="11"/>
      <c r="D141" s="11"/>
      <c r="E141" s="11"/>
      <c r="F141" s="11" t="s">
        <v>62</v>
      </c>
      <c r="G141" s="11" t="s">
        <v>63</v>
      </c>
      <c r="H141" s="56" t="str">
        <f>VLOOKUP(Table6[[#This Row],[ICD Code]],ICD_summary!$I$3:$M$38,5,0)</f>
        <v>PD</v>
      </c>
      <c r="I141" s="12">
        <v>70.7</v>
      </c>
      <c r="J1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1" s="11" t="s">
        <v>55</v>
      </c>
      <c r="L141" s="11"/>
      <c r="M141" s="11"/>
      <c r="N141" s="11">
        <v>49.209000000000003</v>
      </c>
      <c r="O141" s="11">
        <v>39.923999999999999</v>
      </c>
      <c r="P141" s="11">
        <v>89.656999999999996</v>
      </c>
      <c r="Q141" s="11">
        <v>89.674999999999997</v>
      </c>
      <c r="R141" s="11">
        <v>71.588999999999999</v>
      </c>
      <c r="S141" s="11">
        <v>71.554000000000002</v>
      </c>
      <c r="T141" s="11">
        <v>95.69</v>
      </c>
      <c r="U141" s="11">
        <v>96.135999999999996</v>
      </c>
      <c r="V141" s="11">
        <v>65.686000000000007</v>
      </c>
      <c r="W141" s="11">
        <v>67.87</v>
      </c>
      <c r="X141" s="11">
        <v>34.314</v>
      </c>
      <c r="Y141" s="11">
        <v>32.130000000000003</v>
      </c>
      <c r="Z141" s="11">
        <v>16.227</v>
      </c>
      <c r="AA141" s="11">
        <v>17.492000000000001</v>
      </c>
      <c r="AB141" s="11">
        <v>32.130000000000003</v>
      </c>
      <c r="AC141" s="11">
        <v>34.314</v>
      </c>
      <c r="AD141" s="11">
        <v>10.6</v>
      </c>
      <c r="AE141" s="11">
        <v>12</v>
      </c>
      <c r="AF141" s="11">
        <v>12</v>
      </c>
      <c r="AG141" s="11">
        <v>12</v>
      </c>
      <c r="AH141" s="11">
        <v>12</v>
      </c>
    </row>
    <row r="142" spans="1:34" s="33" customFormat="1" x14ac:dyDescent="0.2">
      <c r="A142" s="11">
        <v>262</v>
      </c>
      <c r="B142" s="11"/>
      <c r="C142" s="11"/>
      <c r="D142" s="11"/>
      <c r="E142" s="11"/>
      <c r="F142" s="11" t="s">
        <v>51</v>
      </c>
      <c r="G142" s="11" t="s">
        <v>51</v>
      </c>
      <c r="H142" s="56" t="str">
        <f>VLOOKUP(Table6[[#This Row],[ICD Code]],ICD_summary!$I$3:$M$38,5,0)</f>
        <v>Misc/Other</v>
      </c>
      <c r="I142" s="12">
        <v>66</v>
      </c>
      <c r="J1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2" s="11" t="s">
        <v>52</v>
      </c>
      <c r="L142" s="11"/>
      <c r="M142" s="11"/>
      <c r="N142" s="11" t="s">
        <v>51</v>
      </c>
      <c r="O142" s="11" t="s">
        <v>51</v>
      </c>
      <c r="P142" s="11" t="s">
        <v>51</v>
      </c>
      <c r="Q142" s="11" t="s">
        <v>51</v>
      </c>
      <c r="R142" s="11" t="s">
        <v>51</v>
      </c>
      <c r="S142" s="11" t="s">
        <v>51</v>
      </c>
      <c r="T142" s="11" t="s">
        <v>51</v>
      </c>
      <c r="U142" s="11" t="s">
        <v>51</v>
      </c>
      <c r="V142" s="11" t="s">
        <v>51</v>
      </c>
      <c r="W142" s="11" t="s">
        <v>51</v>
      </c>
      <c r="X142" s="11" t="s">
        <v>51</v>
      </c>
      <c r="Y142" s="11" t="s">
        <v>51</v>
      </c>
      <c r="Z142" s="11" t="s">
        <v>51</v>
      </c>
      <c r="AA142" s="11" t="s">
        <v>51</v>
      </c>
      <c r="AB142" s="11" t="s">
        <v>51</v>
      </c>
      <c r="AC142" s="11" t="s">
        <v>51</v>
      </c>
      <c r="AD142" s="11" t="s">
        <v>51</v>
      </c>
      <c r="AE142" s="11" t="s">
        <v>51</v>
      </c>
      <c r="AF142" s="11" t="s">
        <v>51</v>
      </c>
      <c r="AG142" s="11" t="s">
        <v>51</v>
      </c>
      <c r="AH142" s="11" t="s">
        <v>51</v>
      </c>
    </row>
    <row r="143" spans="1:34" s="33" customFormat="1" x14ac:dyDescent="0.2">
      <c r="A143" s="11">
        <v>263</v>
      </c>
      <c r="B143" s="11"/>
      <c r="C143" s="11"/>
      <c r="D143" s="11"/>
      <c r="E143" s="11"/>
      <c r="F143" s="11" t="s">
        <v>72</v>
      </c>
      <c r="G143" s="11" t="s">
        <v>73</v>
      </c>
      <c r="H143" s="56" t="str">
        <f>VLOOKUP(Table6[[#This Row],[ICD Code]],ICD_summary!$I$3:$M$38,5,0)</f>
        <v>Tremor, other</v>
      </c>
      <c r="I143" s="12">
        <v>71.099999999999994</v>
      </c>
      <c r="J1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3" s="11" t="s">
        <v>52</v>
      </c>
      <c r="L143" s="11"/>
      <c r="M143" s="11"/>
      <c r="N143" s="11">
        <v>71.603999999999999</v>
      </c>
      <c r="O143" s="11">
        <v>68.108999999999995</v>
      </c>
      <c r="P143" s="11">
        <v>139.834</v>
      </c>
      <c r="Q143" s="11">
        <v>139.76</v>
      </c>
      <c r="R143" s="11">
        <v>140.40799999999999</v>
      </c>
      <c r="S143" s="11">
        <v>139.679</v>
      </c>
      <c r="T143" s="11">
        <v>120.04</v>
      </c>
      <c r="U143" s="11">
        <v>119.35599999999999</v>
      </c>
      <c r="V143" s="11">
        <v>61.332000000000001</v>
      </c>
      <c r="W143" s="11">
        <v>61.073999999999998</v>
      </c>
      <c r="X143" s="11">
        <v>38.667999999999999</v>
      </c>
      <c r="Y143" s="11">
        <v>38.926000000000002</v>
      </c>
      <c r="Z143" s="11">
        <v>11.833</v>
      </c>
      <c r="AA143" s="11">
        <v>11.234999999999999</v>
      </c>
      <c r="AB143" s="11">
        <v>38.926000000000002</v>
      </c>
      <c r="AC143" s="11">
        <v>38.667999999999999</v>
      </c>
      <c r="AD143" s="11">
        <v>11.956</v>
      </c>
      <c r="AE143" s="11">
        <v>10</v>
      </c>
      <c r="AF143" s="11">
        <v>7</v>
      </c>
      <c r="AG143" s="11">
        <v>7</v>
      </c>
      <c r="AH143" s="11">
        <v>7</v>
      </c>
    </row>
    <row r="144" spans="1:34" s="33" customFormat="1" x14ac:dyDescent="0.2">
      <c r="A144" s="11">
        <v>264</v>
      </c>
      <c r="B144" s="11"/>
      <c r="C144" s="11"/>
      <c r="D144" s="11"/>
      <c r="E144" s="11"/>
      <c r="F144" s="11" t="s">
        <v>51</v>
      </c>
      <c r="G144" s="11" t="s">
        <v>51</v>
      </c>
      <c r="H144" s="56" t="str">
        <f>VLOOKUP(Table6[[#This Row],[ICD Code]],ICD_summary!$I$3:$M$38,5,0)</f>
        <v>Misc/Other</v>
      </c>
      <c r="I144" s="12">
        <v>59.5</v>
      </c>
      <c r="J1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44" s="11" t="s">
        <v>52</v>
      </c>
      <c r="L144" s="11"/>
      <c r="M144" s="11"/>
      <c r="N144" s="11" t="s">
        <v>51</v>
      </c>
      <c r="O144" s="11" t="s">
        <v>51</v>
      </c>
      <c r="P144" s="11" t="s">
        <v>51</v>
      </c>
      <c r="Q144" s="11" t="s">
        <v>51</v>
      </c>
      <c r="R144" s="11" t="s">
        <v>51</v>
      </c>
      <c r="S144" s="11" t="s">
        <v>51</v>
      </c>
      <c r="T144" s="11" t="s">
        <v>51</v>
      </c>
      <c r="U144" s="11" t="s">
        <v>51</v>
      </c>
      <c r="V144" s="11" t="s">
        <v>51</v>
      </c>
      <c r="W144" s="11" t="s">
        <v>51</v>
      </c>
      <c r="X144" s="11" t="s">
        <v>51</v>
      </c>
      <c r="Y144" s="11" t="s">
        <v>51</v>
      </c>
      <c r="Z144" s="11" t="s">
        <v>51</v>
      </c>
      <c r="AA144" s="11" t="s">
        <v>51</v>
      </c>
      <c r="AB144" s="11" t="s">
        <v>51</v>
      </c>
      <c r="AC144" s="11" t="s">
        <v>51</v>
      </c>
      <c r="AD144" s="11" t="s">
        <v>51</v>
      </c>
      <c r="AE144" s="11" t="s">
        <v>51</v>
      </c>
      <c r="AF144" s="11" t="s">
        <v>51</v>
      </c>
      <c r="AG144" s="11" t="s">
        <v>51</v>
      </c>
      <c r="AH144" s="11" t="s">
        <v>51</v>
      </c>
    </row>
    <row r="145" spans="1:34" s="33" customFormat="1" x14ac:dyDescent="0.2">
      <c r="A145" s="11">
        <v>265</v>
      </c>
      <c r="B145" s="11"/>
      <c r="C145" s="11"/>
      <c r="D145" s="11"/>
      <c r="E145" s="11"/>
      <c r="F145" s="11" t="s">
        <v>51</v>
      </c>
      <c r="G145" s="11" t="s">
        <v>51</v>
      </c>
      <c r="H145" s="56" t="str">
        <f>VLOOKUP(Table6[[#This Row],[ICD Code]],ICD_summary!$I$3:$M$38,5,0)</f>
        <v>Misc/Other</v>
      </c>
      <c r="I145" s="12">
        <v>999</v>
      </c>
      <c r="J1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45" s="11" t="s">
        <v>51</v>
      </c>
      <c r="L145" s="11"/>
      <c r="M145" s="11"/>
      <c r="N145" s="11">
        <v>53.415999999999997</v>
      </c>
      <c r="O145" s="11">
        <v>56.051000000000002</v>
      </c>
      <c r="P145" s="11">
        <v>109.021</v>
      </c>
      <c r="Q145" s="11">
        <v>109.797</v>
      </c>
      <c r="R145" s="11">
        <v>98.706000000000003</v>
      </c>
      <c r="S145" s="11">
        <v>99.856999999999999</v>
      </c>
      <c r="T145" s="11">
        <v>108.202</v>
      </c>
      <c r="U145" s="11">
        <v>107.81</v>
      </c>
      <c r="V145" s="11">
        <v>64.007000000000005</v>
      </c>
      <c r="W145" s="11">
        <v>64.289000000000001</v>
      </c>
      <c r="X145" s="11">
        <v>35.993000000000002</v>
      </c>
      <c r="Y145" s="11">
        <v>35.710999999999999</v>
      </c>
      <c r="Z145" s="11">
        <v>13.942</v>
      </c>
      <c r="AA145" s="11">
        <v>14.507999999999999</v>
      </c>
      <c r="AB145" s="11">
        <v>35.710999999999999</v>
      </c>
      <c r="AC145" s="11">
        <v>35.993000000000002</v>
      </c>
      <c r="AD145" s="11">
        <v>12.15</v>
      </c>
      <c r="AE145" s="11">
        <v>14</v>
      </c>
      <c r="AF145" s="11">
        <v>10</v>
      </c>
      <c r="AG145" s="11">
        <v>10</v>
      </c>
      <c r="AH145" s="11">
        <v>10</v>
      </c>
    </row>
    <row r="146" spans="1:34" s="33" customFormat="1" x14ac:dyDescent="0.2">
      <c r="A146" s="11">
        <v>266</v>
      </c>
      <c r="B146" s="11"/>
      <c r="C146" s="11"/>
      <c r="D146" s="11"/>
      <c r="E146" s="11"/>
      <c r="F146" s="11" t="s">
        <v>62</v>
      </c>
      <c r="G146" s="11" t="s">
        <v>63</v>
      </c>
      <c r="H146" s="56" t="str">
        <f>VLOOKUP(Table6[[#This Row],[ICD Code]],ICD_summary!$I$3:$M$38,5,0)</f>
        <v>PD</v>
      </c>
      <c r="I146" s="12">
        <v>66</v>
      </c>
      <c r="J1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6" s="11" t="s">
        <v>55</v>
      </c>
      <c r="L146" s="11"/>
      <c r="M146" s="11"/>
      <c r="N146" s="11">
        <v>44.600999999999999</v>
      </c>
      <c r="O146" s="11">
        <v>45.887</v>
      </c>
      <c r="P146" s="11">
        <v>90.212000000000003</v>
      </c>
      <c r="Q146" s="11">
        <v>91.275999999999996</v>
      </c>
      <c r="R146" s="11">
        <v>105.631</v>
      </c>
      <c r="S146" s="11">
        <v>105.96599999999999</v>
      </c>
      <c r="T146" s="11">
        <v>140.26</v>
      </c>
      <c r="U146" s="11">
        <v>140.035</v>
      </c>
      <c r="V146" s="11">
        <v>61.473999999999997</v>
      </c>
      <c r="W146" s="11">
        <v>61.046999999999997</v>
      </c>
      <c r="X146" s="11">
        <v>38.526000000000003</v>
      </c>
      <c r="Y146" s="11">
        <v>38.953000000000003</v>
      </c>
      <c r="Z146" s="11">
        <v>11.026</v>
      </c>
      <c r="AA146" s="11">
        <v>11.686</v>
      </c>
      <c r="AB146" s="11">
        <v>38.953000000000003</v>
      </c>
      <c r="AC146" s="11">
        <v>38.526000000000003</v>
      </c>
      <c r="AD146" s="11">
        <v>5.4459999999999997</v>
      </c>
      <c r="AE146" s="11">
        <v>13</v>
      </c>
      <c r="AF146" s="11">
        <v>15</v>
      </c>
      <c r="AG146" s="11">
        <v>13</v>
      </c>
      <c r="AH146" s="11">
        <v>13</v>
      </c>
    </row>
    <row r="147" spans="1:34" s="33" customFormat="1" x14ac:dyDescent="0.2">
      <c r="A147" s="11">
        <v>267</v>
      </c>
      <c r="B147" s="11"/>
      <c r="C147" s="11"/>
      <c r="D147" s="11"/>
      <c r="E147" s="11"/>
      <c r="F147" s="11" t="s">
        <v>72</v>
      </c>
      <c r="G147" s="11" t="s">
        <v>73</v>
      </c>
      <c r="H147" s="56" t="str">
        <f>VLOOKUP(Table6[[#This Row],[ICD Code]],ICD_summary!$I$3:$M$38,5,0)</f>
        <v>Tremor, other</v>
      </c>
      <c r="I147" s="12">
        <v>74.400000000000006</v>
      </c>
      <c r="J1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7" s="11" t="s">
        <v>52</v>
      </c>
      <c r="L147" s="11"/>
      <c r="M147" s="11"/>
      <c r="N147" s="11">
        <v>39.832999999999998</v>
      </c>
      <c r="O147" s="11">
        <v>35.502000000000002</v>
      </c>
      <c r="P147" s="11">
        <v>75.334999999999994</v>
      </c>
      <c r="Q147" s="11">
        <v>75.953999999999994</v>
      </c>
      <c r="R147" s="11">
        <v>73.817999999999998</v>
      </c>
      <c r="S147" s="11">
        <v>74.63</v>
      </c>
      <c r="T147" s="11">
        <v>117.554</v>
      </c>
      <c r="U147" s="11">
        <v>117.071</v>
      </c>
      <c r="V147" s="11">
        <v>66.816000000000003</v>
      </c>
      <c r="W147" s="11">
        <v>66.655000000000001</v>
      </c>
      <c r="X147" s="11">
        <v>33.183999999999997</v>
      </c>
      <c r="Y147" s="11">
        <v>33.344999999999999</v>
      </c>
      <c r="Z147" s="11">
        <v>15.763999999999999</v>
      </c>
      <c r="AA147" s="11">
        <v>17.606999999999999</v>
      </c>
      <c r="AB147" s="11">
        <v>33.344999999999999</v>
      </c>
      <c r="AC147" s="11">
        <v>33.183999999999997</v>
      </c>
      <c r="AD147" s="11">
        <v>17.016999999999999</v>
      </c>
      <c r="AE147" s="11">
        <v>16</v>
      </c>
      <c r="AF147" s="11">
        <v>12</v>
      </c>
      <c r="AG147" s="11">
        <v>12</v>
      </c>
      <c r="AH147" s="11">
        <v>12</v>
      </c>
    </row>
    <row r="148" spans="1:34" s="33" customFormat="1" x14ac:dyDescent="0.2">
      <c r="A148" s="11">
        <v>268</v>
      </c>
      <c r="B148" s="11"/>
      <c r="C148" s="11"/>
      <c r="D148" s="11"/>
      <c r="E148" s="11"/>
      <c r="F148" s="11" t="s">
        <v>51</v>
      </c>
      <c r="G148" s="11" t="s">
        <v>51</v>
      </c>
      <c r="H148" s="56" t="str">
        <f>VLOOKUP(Table6[[#This Row],[ICD Code]],ICD_summary!$I$3:$M$38,5,0)</f>
        <v>Misc/Other</v>
      </c>
      <c r="I148" s="12">
        <v>999</v>
      </c>
      <c r="J1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48" s="11" t="s">
        <v>51</v>
      </c>
      <c r="L148" s="11"/>
      <c r="M148" s="11"/>
      <c r="N148" s="11">
        <v>41.369</v>
      </c>
      <c r="O148" s="11">
        <v>40.082000000000001</v>
      </c>
      <c r="P148" s="11">
        <v>81.400000000000006</v>
      </c>
      <c r="Q148" s="11">
        <v>81.631</v>
      </c>
      <c r="R148" s="11">
        <v>72.742000000000004</v>
      </c>
      <c r="S148" s="11">
        <v>72.748999999999995</v>
      </c>
      <c r="T148" s="11">
        <v>106.313</v>
      </c>
      <c r="U148" s="11">
        <v>106.813</v>
      </c>
      <c r="V148" s="11">
        <v>65.688000000000002</v>
      </c>
      <c r="W148" s="11">
        <v>63.854999999999997</v>
      </c>
      <c r="X148" s="11">
        <v>34.311999999999998</v>
      </c>
      <c r="Y148" s="11">
        <v>36.145000000000003</v>
      </c>
      <c r="Z148" s="11">
        <v>14.015000000000001</v>
      </c>
      <c r="AA148" s="11">
        <v>15.752000000000001</v>
      </c>
      <c r="AB148" s="11">
        <v>36.145000000000003</v>
      </c>
      <c r="AC148" s="11">
        <v>34.311999999999998</v>
      </c>
      <c r="AD148" s="11">
        <v>11.847</v>
      </c>
      <c r="AE148" s="11">
        <v>12</v>
      </c>
      <c r="AF148" s="11">
        <v>12</v>
      </c>
      <c r="AG148" s="11">
        <v>12</v>
      </c>
      <c r="AH148" s="11">
        <v>12</v>
      </c>
    </row>
    <row r="149" spans="1:34" s="33" customFormat="1" x14ac:dyDescent="0.2">
      <c r="A149" s="11">
        <v>269</v>
      </c>
      <c r="B149" s="11"/>
      <c r="C149" s="11"/>
      <c r="D149" s="11"/>
      <c r="E149" s="11"/>
      <c r="F149" s="11" t="s">
        <v>51</v>
      </c>
      <c r="G149" s="11" t="s">
        <v>51</v>
      </c>
      <c r="H149" s="56" t="str">
        <f>VLOOKUP(Table6[[#This Row],[ICD Code]],ICD_summary!$I$3:$M$38,5,0)</f>
        <v>Misc/Other</v>
      </c>
      <c r="I149" s="12">
        <v>45.5</v>
      </c>
      <c r="J1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49" s="11" t="s">
        <v>55</v>
      </c>
      <c r="L149" s="11"/>
      <c r="M149" s="11"/>
      <c r="N149" s="11" t="s">
        <v>51</v>
      </c>
      <c r="O149" s="11" t="s">
        <v>51</v>
      </c>
      <c r="P149" s="11" t="s">
        <v>51</v>
      </c>
      <c r="Q149" s="11" t="s">
        <v>51</v>
      </c>
      <c r="R149" s="11" t="s">
        <v>51</v>
      </c>
      <c r="S149" s="11" t="s">
        <v>51</v>
      </c>
      <c r="T149" s="11" t="s">
        <v>51</v>
      </c>
      <c r="U149" s="11" t="s">
        <v>51</v>
      </c>
      <c r="V149" s="11" t="s">
        <v>51</v>
      </c>
      <c r="W149" s="11" t="s">
        <v>51</v>
      </c>
      <c r="X149" s="11" t="s">
        <v>51</v>
      </c>
      <c r="Y149" s="11" t="s">
        <v>51</v>
      </c>
      <c r="Z149" s="11" t="s">
        <v>51</v>
      </c>
      <c r="AA149" s="11" t="s">
        <v>51</v>
      </c>
      <c r="AB149" s="11" t="s">
        <v>51</v>
      </c>
      <c r="AC149" s="11" t="s">
        <v>51</v>
      </c>
      <c r="AD149" s="11" t="s">
        <v>51</v>
      </c>
      <c r="AE149" s="11" t="s">
        <v>51</v>
      </c>
      <c r="AF149" s="11" t="s">
        <v>51</v>
      </c>
      <c r="AG149" s="11" t="s">
        <v>51</v>
      </c>
      <c r="AH149" s="11" t="s">
        <v>51</v>
      </c>
    </row>
    <row r="150" spans="1:34" s="33" customFormat="1" x14ac:dyDescent="0.2">
      <c r="A150" s="11">
        <v>270</v>
      </c>
      <c r="B150" s="11"/>
      <c r="C150" s="11"/>
      <c r="D150" s="11"/>
      <c r="E150" s="11"/>
      <c r="F150" s="11" t="s">
        <v>51</v>
      </c>
      <c r="G150" s="11" t="s">
        <v>51</v>
      </c>
      <c r="H150" s="56" t="str">
        <f>VLOOKUP(Table6[[#This Row],[ICD Code]],ICD_summary!$I$3:$M$38,5,0)</f>
        <v>Misc/Other</v>
      </c>
      <c r="I150" s="12">
        <v>999</v>
      </c>
      <c r="J1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50" s="11" t="s">
        <v>51</v>
      </c>
      <c r="L150" s="11"/>
      <c r="M150" s="11"/>
      <c r="N150" s="11">
        <v>49.000999999999998</v>
      </c>
      <c r="O150" s="11">
        <v>49.078000000000003</v>
      </c>
      <c r="P150" s="11">
        <v>97.828999999999994</v>
      </c>
      <c r="Q150" s="11">
        <v>97.97</v>
      </c>
      <c r="R150" s="11">
        <v>76.391999999999996</v>
      </c>
      <c r="S150" s="11">
        <v>76.766000000000005</v>
      </c>
      <c r="T150" s="11">
        <v>93.682000000000002</v>
      </c>
      <c r="U150" s="11">
        <v>94.144000000000005</v>
      </c>
      <c r="V150" s="11">
        <v>63.58</v>
      </c>
      <c r="W150" s="11">
        <v>66.182000000000002</v>
      </c>
      <c r="X150" s="11">
        <v>36.42</v>
      </c>
      <c r="Y150" s="11">
        <v>33.817999999999998</v>
      </c>
      <c r="Z150" s="11">
        <v>15.348000000000001</v>
      </c>
      <c r="AA150" s="11">
        <v>14.976000000000001</v>
      </c>
      <c r="AB150" s="11">
        <v>33.817999999999998</v>
      </c>
      <c r="AC150" s="11">
        <v>36.42</v>
      </c>
      <c r="AD150" s="11">
        <v>10.417999999999999</v>
      </c>
      <c r="AE150" s="11">
        <v>15</v>
      </c>
      <c r="AF150" s="11">
        <v>13</v>
      </c>
      <c r="AG150" s="11">
        <v>13</v>
      </c>
      <c r="AH150" s="11">
        <v>13</v>
      </c>
    </row>
    <row r="151" spans="1:34" s="33" customFormat="1" x14ac:dyDescent="0.2">
      <c r="A151" s="11">
        <v>271</v>
      </c>
      <c r="B151" s="11"/>
      <c r="C151" s="11"/>
      <c r="D151" s="11"/>
      <c r="E151" s="11"/>
      <c r="F151" s="11" t="s">
        <v>72</v>
      </c>
      <c r="G151" s="11" t="s">
        <v>73</v>
      </c>
      <c r="H151" s="56" t="str">
        <f>VLOOKUP(Table6[[#This Row],[ICD Code]],ICD_summary!$I$3:$M$38,5,0)</f>
        <v>Tremor, other</v>
      </c>
      <c r="I151" s="12">
        <v>45.3</v>
      </c>
      <c r="J1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51" s="11" t="s">
        <v>52</v>
      </c>
      <c r="L151" s="11"/>
      <c r="M151" s="11"/>
      <c r="N151" s="11">
        <v>24.808</v>
      </c>
      <c r="O151" s="11">
        <v>29.265000000000001</v>
      </c>
      <c r="P151" s="11">
        <v>54.609000000000002</v>
      </c>
      <c r="Q151" s="11">
        <v>53.994999999999997</v>
      </c>
      <c r="R151" s="11">
        <v>22.091999999999999</v>
      </c>
      <c r="S151" s="11">
        <v>22.077999999999999</v>
      </c>
      <c r="T151" s="11">
        <v>49.082000000000001</v>
      </c>
      <c r="U151" s="11">
        <v>48.316000000000003</v>
      </c>
      <c r="V151" s="11">
        <v>74.326999999999998</v>
      </c>
      <c r="W151" s="11">
        <v>84.994</v>
      </c>
      <c r="X151" s="11">
        <v>25.672999999999998</v>
      </c>
      <c r="Y151" s="11">
        <v>15.006</v>
      </c>
      <c r="Z151" s="11">
        <v>32.487000000000002</v>
      </c>
      <c r="AA151" s="11">
        <v>26.774000000000001</v>
      </c>
      <c r="AB151" s="11">
        <v>15.006</v>
      </c>
      <c r="AC151" s="11">
        <v>25.672999999999998</v>
      </c>
      <c r="AD151" s="11">
        <v>30.984999999999999</v>
      </c>
      <c r="AE151" s="11">
        <v>8</v>
      </c>
      <c r="AF151" s="11">
        <v>7</v>
      </c>
      <c r="AG151" s="11">
        <v>7</v>
      </c>
      <c r="AH151" s="11">
        <v>7</v>
      </c>
    </row>
    <row r="152" spans="1:34" s="33" customFormat="1" x14ac:dyDescent="0.2">
      <c r="A152" s="11">
        <v>272</v>
      </c>
      <c r="B152" s="11"/>
      <c r="C152" s="11"/>
      <c r="D152" s="11"/>
      <c r="E152" s="11"/>
      <c r="F152" s="11" t="s">
        <v>62</v>
      </c>
      <c r="G152" s="11" t="s">
        <v>63</v>
      </c>
      <c r="H152" s="56" t="str">
        <f>VLOOKUP(Table6[[#This Row],[ICD Code]],ICD_summary!$I$3:$M$38,5,0)</f>
        <v>PD</v>
      </c>
      <c r="I152" s="12">
        <v>71.7</v>
      </c>
      <c r="J1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2" s="11" t="s">
        <v>52</v>
      </c>
      <c r="L152" s="11"/>
      <c r="M152" s="11"/>
      <c r="N152" s="11">
        <v>41.613999999999997</v>
      </c>
      <c r="O152" s="11">
        <v>40.915999999999997</v>
      </c>
      <c r="P152" s="11">
        <v>82.661000000000001</v>
      </c>
      <c r="Q152" s="11">
        <v>82.885999999999996</v>
      </c>
      <c r="R152" s="11">
        <v>92.968999999999994</v>
      </c>
      <c r="S152" s="11">
        <v>92.849000000000004</v>
      </c>
      <c r="T152" s="11">
        <v>135.08799999999999</v>
      </c>
      <c r="U152" s="11">
        <v>133.79499999999999</v>
      </c>
      <c r="V152" s="11">
        <v>62.265000000000001</v>
      </c>
      <c r="W152" s="11">
        <v>61.585000000000001</v>
      </c>
      <c r="X152" s="11">
        <v>37.734999999999999</v>
      </c>
      <c r="Y152" s="11">
        <v>38.414999999999999</v>
      </c>
      <c r="Z152" s="11">
        <v>12.355</v>
      </c>
      <c r="AA152" s="11">
        <v>11.821</v>
      </c>
      <c r="AB152" s="11">
        <v>38.414999999999999</v>
      </c>
      <c r="AC152" s="11">
        <v>37.734999999999999</v>
      </c>
      <c r="AD152" s="11">
        <v>11.156000000000001</v>
      </c>
      <c r="AE152" s="11">
        <v>18</v>
      </c>
      <c r="AF152" s="11">
        <v>16</v>
      </c>
      <c r="AG152" s="11">
        <v>16</v>
      </c>
      <c r="AH152" s="11">
        <v>16</v>
      </c>
    </row>
    <row r="153" spans="1:34" s="33" customFormat="1" x14ac:dyDescent="0.2">
      <c r="A153" s="11">
        <v>273</v>
      </c>
      <c r="B153" s="11"/>
      <c r="C153" s="11"/>
      <c r="D153" s="11"/>
      <c r="E153" s="11"/>
      <c r="F153" s="11" t="s">
        <v>72</v>
      </c>
      <c r="G153" s="11" t="s">
        <v>73</v>
      </c>
      <c r="H153" s="56" t="str">
        <f>VLOOKUP(Table6[[#This Row],[ICD Code]],ICD_summary!$I$3:$M$38,5,0)</f>
        <v>Tremor, other</v>
      </c>
      <c r="I153" s="12">
        <v>55.3</v>
      </c>
      <c r="J1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53" s="11" t="s">
        <v>55</v>
      </c>
      <c r="L153" s="11"/>
      <c r="M153" s="11"/>
      <c r="N153" s="11" t="s">
        <v>51</v>
      </c>
      <c r="O153" s="11" t="s">
        <v>51</v>
      </c>
      <c r="P153" s="11" t="s">
        <v>51</v>
      </c>
      <c r="Q153" s="11" t="s">
        <v>51</v>
      </c>
      <c r="R153" s="11" t="s">
        <v>51</v>
      </c>
      <c r="S153" s="11" t="s">
        <v>51</v>
      </c>
      <c r="T153" s="11" t="s">
        <v>51</v>
      </c>
      <c r="U153" s="11" t="s">
        <v>51</v>
      </c>
      <c r="V153" s="11" t="s">
        <v>51</v>
      </c>
      <c r="W153" s="11" t="s">
        <v>51</v>
      </c>
      <c r="X153" s="11" t="s">
        <v>51</v>
      </c>
      <c r="Y153" s="11" t="s">
        <v>51</v>
      </c>
      <c r="Z153" s="11" t="s">
        <v>51</v>
      </c>
      <c r="AA153" s="11" t="s">
        <v>51</v>
      </c>
      <c r="AB153" s="11" t="s">
        <v>51</v>
      </c>
      <c r="AC153" s="11" t="s">
        <v>51</v>
      </c>
      <c r="AD153" s="11" t="s">
        <v>51</v>
      </c>
      <c r="AE153" s="11" t="s">
        <v>51</v>
      </c>
      <c r="AF153" s="11" t="s">
        <v>51</v>
      </c>
      <c r="AG153" s="11" t="s">
        <v>51</v>
      </c>
      <c r="AH153" s="11" t="s">
        <v>51</v>
      </c>
    </row>
    <row r="154" spans="1:34" s="33" customFormat="1" x14ac:dyDescent="0.2">
      <c r="A154" s="11">
        <v>274</v>
      </c>
      <c r="B154" s="11"/>
      <c r="C154" s="11"/>
      <c r="D154" s="11"/>
      <c r="E154" s="11"/>
      <c r="F154" s="11" t="s">
        <v>68</v>
      </c>
      <c r="G154" s="11" t="s">
        <v>69</v>
      </c>
      <c r="H154" s="56" t="str">
        <f>VLOOKUP(Table6[[#This Row],[ICD Code]],ICD_summary!$I$3:$M$38,5,0)</f>
        <v>Tremor, essential tremor</v>
      </c>
      <c r="I154" s="12">
        <v>62.9</v>
      </c>
      <c r="J1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4" s="11" t="s">
        <v>55</v>
      </c>
      <c r="L154" s="11"/>
      <c r="M154" s="11"/>
      <c r="N154" s="11">
        <v>36.683</v>
      </c>
      <c r="O154" s="11">
        <v>38.6</v>
      </c>
      <c r="P154" s="11">
        <v>75.697999999999993</v>
      </c>
      <c r="Q154" s="11">
        <v>75.242999999999995</v>
      </c>
      <c r="R154" s="11">
        <v>50.543999999999997</v>
      </c>
      <c r="S154" s="11">
        <v>51.064</v>
      </c>
      <c r="T154" s="11">
        <v>80.197999999999993</v>
      </c>
      <c r="U154" s="11">
        <v>80.081000000000003</v>
      </c>
      <c r="V154" s="11">
        <v>69.620999999999995</v>
      </c>
      <c r="W154" s="11">
        <v>70.361999999999995</v>
      </c>
      <c r="X154" s="11">
        <v>30.379000000000001</v>
      </c>
      <c r="Y154" s="11">
        <v>29.638000000000002</v>
      </c>
      <c r="Z154" s="11">
        <v>22.039000000000001</v>
      </c>
      <c r="AA154" s="11">
        <v>18.584</v>
      </c>
      <c r="AB154" s="11">
        <v>29.638000000000002</v>
      </c>
      <c r="AC154" s="11">
        <v>30.379000000000001</v>
      </c>
      <c r="AD154" s="11">
        <v>14.9</v>
      </c>
      <c r="AE154" s="11">
        <v>9</v>
      </c>
      <c r="AF154" s="11">
        <v>10</v>
      </c>
      <c r="AG154" s="11">
        <v>9</v>
      </c>
      <c r="AH154" s="11">
        <v>9</v>
      </c>
    </row>
    <row r="155" spans="1:34" s="33" customFormat="1" x14ac:dyDescent="0.2">
      <c r="A155" s="11">
        <v>275</v>
      </c>
      <c r="B155" s="11"/>
      <c r="C155" s="11"/>
      <c r="D155" s="11"/>
      <c r="E155" s="11"/>
      <c r="F155" s="11" t="s">
        <v>62</v>
      </c>
      <c r="G155" s="11" t="s">
        <v>63</v>
      </c>
      <c r="H155" s="56" t="str">
        <f>VLOOKUP(Table6[[#This Row],[ICD Code]],ICD_summary!$I$3:$M$38,5,0)</f>
        <v>PD</v>
      </c>
      <c r="I155" s="12">
        <v>69.7</v>
      </c>
      <c r="J1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5" s="11" t="s">
        <v>52</v>
      </c>
      <c r="L155" s="11"/>
      <c r="M155" s="11"/>
      <c r="N155" s="11">
        <v>57.780999999999999</v>
      </c>
      <c r="O155" s="11">
        <v>54.710999999999999</v>
      </c>
      <c r="P155" s="11">
        <v>112.82599999999999</v>
      </c>
      <c r="Q155" s="11">
        <v>112.652</v>
      </c>
      <c r="R155" s="11">
        <v>119.74299999999999</v>
      </c>
      <c r="S155" s="11">
        <v>119.90600000000001</v>
      </c>
      <c r="T155" s="11">
        <v>126.988</v>
      </c>
      <c r="U155" s="11">
        <v>126.779</v>
      </c>
      <c r="V155" s="11">
        <v>62.468000000000004</v>
      </c>
      <c r="W155" s="11">
        <v>61.881999999999998</v>
      </c>
      <c r="X155" s="11">
        <v>37.531999999999996</v>
      </c>
      <c r="Y155" s="11">
        <v>38.118000000000002</v>
      </c>
      <c r="Z155" s="11">
        <v>13.834</v>
      </c>
      <c r="AA155" s="11">
        <v>10.994</v>
      </c>
      <c r="AB155" s="11">
        <v>38.118000000000002</v>
      </c>
      <c r="AC155" s="11">
        <v>37.531999999999996</v>
      </c>
      <c r="AD155" s="11">
        <v>9.2119999999999997</v>
      </c>
      <c r="AE155" s="11">
        <v>10</v>
      </c>
      <c r="AF155" s="11">
        <v>12</v>
      </c>
      <c r="AG155" s="11">
        <v>10</v>
      </c>
      <c r="AH155" s="11">
        <v>10</v>
      </c>
    </row>
    <row r="156" spans="1:34" s="33" customFormat="1" x14ac:dyDescent="0.2">
      <c r="A156" s="11">
        <v>276</v>
      </c>
      <c r="B156" s="11"/>
      <c r="C156" s="11"/>
      <c r="D156" s="11"/>
      <c r="E156" s="11"/>
      <c r="F156" s="11" t="s">
        <v>72</v>
      </c>
      <c r="G156" s="11" t="s">
        <v>73</v>
      </c>
      <c r="H156" s="56" t="str">
        <f>VLOOKUP(Table6[[#This Row],[ICD Code]],ICD_summary!$I$3:$M$38,5,0)</f>
        <v>Tremor, other</v>
      </c>
      <c r="I156" s="12">
        <v>53.7</v>
      </c>
      <c r="J1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56" s="11" t="s">
        <v>55</v>
      </c>
      <c r="L156" s="11"/>
      <c r="M156" s="11"/>
      <c r="N156" s="11">
        <v>65.646000000000001</v>
      </c>
      <c r="O156" s="11">
        <v>62.536999999999999</v>
      </c>
      <c r="P156" s="11">
        <v>128.38</v>
      </c>
      <c r="Q156" s="11">
        <v>128.256</v>
      </c>
      <c r="R156" s="11">
        <v>136.54300000000001</v>
      </c>
      <c r="S156" s="11">
        <v>135.43299999999999</v>
      </c>
      <c r="T156" s="11">
        <v>126.648</v>
      </c>
      <c r="U156" s="11">
        <v>126.28400000000001</v>
      </c>
      <c r="V156" s="11">
        <v>61.15</v>
      </c>
      <c r="W156" s="11">
        <v>61.345999999999997</v>
      </c>
      <c r="X156" s="11">
        <v>38.85</v>
      </c>
      <c r="Y156" s="11">
        <v>38.654000000000003</v>
      </c>
      <c r="Z156" s="11">
        <v>11.106</v>
      </c>
      <c r="AA156" s="11">
        <v>11.782</v>
      </c>
      <c r="AB156" s="11">
        <v>38.654000000000003</v>
      </c>
      <c r="AC156" s="11">
        <v>38.85</v>
      </c>
      <c r="AD156" s="11">
        <v>10.084</v>
      </c>
      <c r="AE156" s="11">
        <v>10</v>
      </c>
      <c r="AF156" s="11">
        <v>10</v>
      </c>
      <c r="AG156" s="11">
        <v>10</v>
      </c>
      <c r="AH156" s="11">
        <v>10</v>
      </c>
    </row>
    <row r="157" spans="1:34" s="33" customFormat="1" x14ac:dyDescent="0.2">
      <c r="A157" s="11">
        <v>277</v>
      </c>
      <c r="B157" s="11"/>
      <c r="C157" s="11"/>
      <c r="D157" s="11"/>
      <c r="E157" s="11"/>
      <c r="F157" s="11" t="s">
        <v>62</v>
      </c>
      <c r="G157" s="11" t="s">
        <v>63</v>
      </c>
      <c r="H157" s="56" t="str">
        <f>VLOOKUP(Table6[[#This Row],[ICD Code]],ICD_summary!$I$3:$M$38,5,0)</f>
        <v>PD</v>
      </c>
      <c r="I157" s="12">
        <v>72.599999999999994</v>
      </c>
      <c r="J1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7" s="11" t="s">
        <v>52</v>
      </c>
      <c r="L157" s="11"/>
      <c r="M157" s="11"/>
      <c r="N157" s="11">
        <v>66.558999999999997</v>
      </c>
      <c r="O157" s="11">
        <v>65.274000000000001</v>
      </c>
      <c r="P157" s="11">
        <v>131.56200000000001</v>
      </c>
      <c r="Q157" s="11">
        <v>132.93899999999999</v>
      </c>
      <c r="R157" s="11">
        <v>109.318</v>
      </c>
      <c r="S157" s="11">
        <v>111.04300000000001</v>
      </c>
      <c r="T157" s="11">
        <v>99.123000000000005</v>
      </c>
      <c r="U157" s="11">
        <v>99.414000000000001</v>
      </c>
      <c r="V157" s="11">
        <v>64.900000000000006</v>
      </c>
      <c r="W157" s="11">
        <v>64.450999999999993</v>
      </c>
      <c r="X157" s="11">
        <v>35.1</v>
      </c>
      <c r="Y157" s="11">
        <v>35.548999999999999</v>
      </c>
      <c r="Z157" s="11">
        <v>14.752000000000001</v>
      </c>
      <c r="AA157" s="11">
        <v>14.927</v>
      </c>
      <c r="AB157" s="11">
        <v>35.548999999999999</v>
      </c>
      <c r="AC157" s="11">
        <v>35.1</v>
      </c>
      <c r="AD157" s="11">
        <v>10.212</v>
      </c>
      <c r="AE157" s="11">
        <v>7</v>
      </c>
      <c r="AF157" s="11">
        <v>8</v>
      </c>
      <c r="AG157" s="11">
        <v>7</v>
      </c>
      <c r="AH157" s="11">
        <v>7</v>
      </c>
    </row>
    <row r="158" spans="1:34" s="33" customFormat="1" x14ac:dyDescent="0.2">
      <c r="A158" s="11">
        <v>278</v>
      </c>
      <c r="B158" s="11"/>
      <c r="C158" s="11"/>
      <c r="D158" s="11"/>
      <c r="E158" s="11"/>
      <c r="F158" s="11" t="s">
        <v>62</v>
      </c>
      <c r="G158" s="11" t="s">
        <v>63</v>
      </c>
      <c r="H158" s="56" t="str">
        <f>VLOOKUP(Table6[[#This Row],[ICD Code]],ICD_summary!$I$3:$M$38,5,0)</f>
        <v>PD</v>
      </c>
      <c r="I158" s="12">
        <v>64.099999999999994</v>
      </c>
      <c r="J1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8" s="11" t="s">
        <v>52</v>
      </c>
      <c r="L158" s="11"/>
      <c r="M158" s="11"/>
      <c r="N158" s="11">
        <v>39.435000000000002</v>
      </c>
      <c r="O158" s="11">
        <v>38.209000000000003</v>
      </c>
      <c r="P158" s="11">
        <v>77.477999999999994</v>
      </c>
      <c r="Q158" s="11">
        <v>78.052999999999997</v>
      </c>
      <c r="R158" s="11">
        <v>76.094999999999999</v>
      </c>
      <c r="S158" s="11">
        <v>76.551000000000002</v>
      </c>
      <c r="T158" s="11">
        <v>117.78700000000001</v>
      </c>
      <c r="U158" s="11">
        <v>117.423</v>
      </c>
      <c r="V158" s="11">
        <v>63.55</v>
      </c>
      <c r="W158" s="11">
        <v>52.493000000000002</v>
      </c>
      <c r="X158" s="11">
        <v>36.450000000000003</v>
      </c>
      <c r="Y158" s="11">
        <v>47.506999999999998</v>
      </c>
      <c r="Z158" s="11">
        <v>6.8520000000000003</v>
      </c>
      <c r="AA158" s="11">
        <v>15.393000000000001</v>
      </c>
      <c r="AB158" s="11">
        <v>47.506999999999998</v>
      </c>
      <c r="AC158" s="11">
        <v>36.450000000000003</v>
      </c>
      <c r="AD158" s="11">
        <v>11.81</v>
      </c>
      <c r="AE158" s="11">
        <v>16</v>
      </c>
      <c r="AF158" s="11">
        <v>16</v>
      </c>
      <c r="AG158" s="11">
        <v>16</v>
      </c>
      <c r="AH158" s="11">
        <v>16</v>
      </c>
    </row>
    <row r="159" spans="1:34" s="33" customFormat="1" x14ac:dyDescent="0.2">
      <c r="A159" s="11">
        <v>279</v>
      </c>
      <c r="B159" s="11"/>
      <c r="C159" s="11"/>
      <c r="D159" s="11"/>
      <c r="E159" s="11"/>
      <c r="F159" s="11" t="s">
        <v>62</v>
      </c>
      <c r="G159" s="11" t="s">
        <v>63</v>
      </c>
      <c r="H159" s="56" t="str">
        <f>VLOOKUP(Table6[[#This Row],[ICD Code]],ICD_summary!$I$3:$M$38,5,0)</f>
        <v>PD</v>
      </c>
      <c r="I159" s="12">
        <v>61.6</v>
      </c>
      <c r="J1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9" s="11" t="s">
        <v>55</v>
      </c>
      <c r="L159" s="11"/>
      <c r="M159" s="11"/>
      <c r="N159" s="11">
        <v>59.027999999999999</v>
      </c>
      <c r="O159" s="11">
        <v>62.390999999999998</v>
      </c>
      <c r="P159" s="11">
        <v>121.861</v>
      </c>
      <c r="Q159" s="11">
        <v>121.47799999999999</v>
      </c>
      <c r="R159" s="11">
        <v>125.438</v>
      </c>
      <c r="S159" s="11">
        <v>125.32299999999999</v>
      </c>
      <c r="T159" s="11">
        <v>123.134</v>
      </c>
      <c r="U159" s="11">
        <v>123.39400000000001</v>
      </c>
      <c r="V159" s="11">
        <v>61.970999999999997</v>
      </c>
      <c r="W159" s="11">
        <v>64.034000000000006</v>
      </c>
      <c r="X159" s="11">
        <v>38.029000000000003</v>
      </c>
      <c r="Y159" s="11">
        <v>35.966000000000001</v>
      </c>
      <c r="Z159" s="11">
        <v>13.183</v>
      </c>
      <c r="AA159" s="11">
        <v>13.009</v>
      </c>
      <c r="AB159" s="11">
        <v>35.966000000000001</v>
      </c>
      <c r="AC159" s="11">
        <v>38.029000000000003</v>
      </c>
      <c r="AD159" s="11">
        <v>13.628</v>
      </c>
      <c r="AE159" s="11">
        <v>10</v>
      </c>
      <c r="AF159" s="11">
        <v>10</v>
      </c>
      <c r="AG159" s="11">
        <v>10</v>
      </c>
      <c r="AH159" s="11">
        <v>10</v>
      </c>
    </row>
    <row r="160" spans="1:34" s="33" customFormat="1" x14ac:dyDescent="0.2">
      <c r="A160" s="11">
        <v>280</v>
      </c>
      <c r="B160" s="11"/>
      <c r="C160" s="11"/>
      <c r="D160" s="11"/>
      <c r="E160" s="11"/>
      <c r="F160" s="11" t="s">
        <v>51</v>
      </c>
      <c r="G160" s="11" t="s">
        <v>51</v>
      </c>
      <c r="H160" s="56" t="str">
        <f>VLOOKUP(Table6[[#This Row],[ICD Code]],ICD_summary!$I$3:$M$38,5,0)</f>
        <v>Misc/Other</v>
      </c>
      <c r="I160" s="12">
        <v>999</v>
      </c>
      <c r="J1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0" s="11" t="s">
        <v>51</v>
      </c>
      <c r="L160" s="11"/>
      <c r="M160" s="11"/>
      <c r="N160" s="11" t="s">
        <v>51</v>
      </c>
      <c r="O160" s="11" t="s">
        <v>51</v>
      </c>
      <c r="P160" s="11" t="s">
        <v>51</v>
      </c>
      <c r="Q160" s="11" t="s">
        <v>51</v>
      </c>
      <c r="R160" s="11" t="s">
        <v>51</v>
      </c>
      <c r="S160" s="11" t="s">
        <v>51</v>
      </c>
      <c r="T160" s="11" t="s">
        <v>51</v>
      </c>
      <c r="U160" s="11" t="s">
        <v>51</v>
      </c>
      <c r="V160" s="11" t="s">
        <v>51</v>
      </c>
      <c r="W160" s="11" t="s">
        <v>51</v>
      </c>
      <c r="X160" s="11" t="s">
        <v>51</v>
      </c>
      <c r="Y160" s="11" t="s">
        <v>51</v>
      </c>
      <c r="Z160" s="11" t="s">
        <v>51</v>
      </c>
      <c r="AA160" s="11" t="s">
        <v>51</v>
      </c>
      <c r="AB160" s="11" t="s">
        <v>51</v>
      </c>
      <c r="AC160" s="11" t="s">
        <v>51</v>
      </c>
      <c r="AD160" s="11" t="s">
        <v>51</v>
      </c>
      <c r="AE160" s="11" t="s">
        <v>51</v>
      </c>
      <c r="AF160" s="11" t="s">
        <v>51</v>
      </c>
      <c r="AG160" s="11" t="s">
        <v>51</v>
      </c>
      <c r="AH160" s="11" t="s">
        <v>51</v>
      </c>
    </row>
    <row r="161" spans="1:34" s="33" customFormat="1" x14ac:dyDescent="0.2">
      <c r="A161" s="11">
        <v>281</v>
      </c>
      <c r="B161" s="11"/>
      <c r="C161" s="11"/>
      <c r="D161" s="11"/>
      <c r="E161" s="11"/>
      <c r="F161" s="11" t="s">
        <v>51</v>
      </c>
      <c r="G161" s="11" t="s">
        <v>51</v>
      </c>
      <c r="H161" s="56" t="str">
        <f>VLOOKUP(Table6[[#This Row],[ICD Code]],ICD_summary!$I$3:$M$38,5,0)</f>
        <v>Misc/Other</v>
      </c>
      <c r="I161" s="12">
        <v>999</v>
      </c>
      <c r="J1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1" s="11" t="s">
        <v>51</v>
      </c>
      <c r="L161" s="11"/>
      <c r="M161" s="11"/>
      <c r="N161" s="11" t="s">
        <v>51</v>
      </c>
      <c r="O161" s="11" t="s">
        <v>51</v>
      </c>
      <c r="P161" s="11" t="s">
        <v>51</v>
      </c>
      <c r="Q161" s="11" t="s">
        <v>51</v>
      </c>
      <c r="R161" s="11" t="s">
        <v>51</v>
      </c>
      <c r="S161" s="11" t="s">
        <v>51</v>
      </c>
      <c r="T161" s="11" t="s">
        <v>51</v>
      </c>
      <c r="U161" s="11" t="s">
        <v>51</v>
      </c>
      <c r="V161" s="11" t="s">
        <v>51</v>
      </c>
      <c r="W161" s="11" t="s">
        <v>51</v>
      </c>
      <c r="X161" s="11" t="s">
        <v>51</v>
      </c>
      <c r="Y161" s="11" t="s">
        <v>51</v>
      </c>
      <c r="Z161" s="11" t="s">
        <v>51</v>
      </c>
      <c r="AA161" s="11" t="s">
        <v>51</v>
      </c>
      <c r="AB161" s="11" t="s">
        <v>51</v>
      </c>
      <c r="AC161" s="11" t="s">
        <v>51</v>
      </c>
      <c r="AD161" s="11" t="s">
        <v>51</v>
      </c>
      <c r="AE161" s="11" t="s">
        <v>51</v>
      </c>
      <c r="AF161" s="11" t="s">
        <v>51</v>
      </c>
      <c r="AG161" s="11" t="s">
        <v>51</v>
      </c>
      <c r="AH161" s="11" t="s">
        <v>51</v>
      </c>
    </row>
    <row r="162" spans="1:34" s="33" customFormat="1" x14ac:dyDescent="0.2">
      <c r="A162" s="11">
        <v>282</v>
      </c>
      <c r="B162" s="11"/>
      <c r="C162" s="11"/>
      <c r="D162" s="11"/>
      <c r="E162" s="11"/>
      <c r="F162" s="11" t="s">
        <v>62</v>
      </c>
      <c r="G162" s="11" t="s">
        <v>63</v>
      </c>
      <c r="H162" s="56" t="str">
        <f>VLOOKUP(Table6[[#This Row],[ICD Code]],ICD_summary!$I$3:$M$38,5,0)</f>
        <v>PD</v>
      </c>
      <c r="I162" s="12">
        <v>68.099999999999994</v>
      </c>
      <c r="J1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2" s="11" t="s">
        <v>52</v>
      </c>
      <c r="L162" s="11"/>
      <c r="M162" s="11"/>
      <c r="N162" s="11">
        <v>63.095999999999997</v>
      </c>
      <c r="O162" s="11">
        <v>63.999000000000002</v>
      </c>
      <c r="P162" s="11">
        <v>128.107</v>
      </c>
      <c r="Q162" s="11">
        <v>126.482</v>
      </c>
      <c r="R162" s="11">
        <v>119.146</v>
      </c>
      <c r="S162" s="11">
        <v>119.53</v>
      </c>
      <c r="T162" s="11">
        <v>112.032</v>
      </c>
      <c r="U162" s="11">
        <v>112.989</v>
      </c>
      <c r="V162" s="11">
        <v>63.475999999999999</v>
      </c>
      <c r="W162" s="11">
        <v>63.536999999999999</v>
      </c>
      <c r="X162" s="11">
        <v>36.524000000000001</v>
      </c>
      <c r="Y162" s="11">
        <v>36.463000000000001</v>
      </c>
      <c r="Z162" s="11">
        <v>14.388</v>
      </c>
      <c r="AA162" s="11">
        <v>13.715999999999999</v>
      </c>
      <c r="AB162" s="11">
        <v>36.463000000000001</v>
      </c>
      <c r="AC162" s="11">
        <v>36.524000000000001</v>
      </c>
      <c r="AD162" s="11">
        <v>11.458</v>
      </c>
      <c r="AE162" s="11">
        <v>10</v>
      </c>
      <c r="AF162" s="11">
        <v>10</v>
      </c>
      <c r="AG162" s="11">
        <v>10</v>
      </c>
      <c r="AH162" s="11">
        <v>10</v>
      </c>
    </row>
    <row r="163" spans="1:34" s="33" customFormat="1" x14ac:dyDescent="0.2">
      <c r="A163" s="11">
        <v>283</v>
      </c>
      <c r="B163" s="11"/>
      <c r="C163" s="11"/>
      <c r="D163" s="11"/>
      <c r="E163" s="11"/>
      <c r="F163" s="11" t="s">
        <v>62</v>
      </c>
      <c r="G163" s="11" t="s">
        <v>63</v>
      </c>
      <c r="H163" s="56" t="str">
        <f>VLOOKUP(Table6[[#This Row],[ICD Code]],ICD_summary!$I$3:$M$38,5,0)</f>
        <v>PD</v>
      </c>
      <c r="I163" s="12">
        <v>67.7</v>
      </c>
      <c r="J1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3" s="11" t="s">
        <v>52</v>
      </c>
      <c r="L163" s="11"/>
      <c r="M163" s="11"/>
      <c r="N163" s="11">
        <v>47.543999999999997</v>
      </c>
      <c r="O163" s="11">
        <v>50.076000000000001</v>
      </c>
      <c r="P163" s="11">
        <v>97.257000000000005</v>
      </c>
      <c r="Q163" s="11">
        <v>98.352999999999994</v>
      </c>
      <c r="R163" s="11">
        <v>86.355000000000004</v>
      </c>
      <c r="S163" s="11">
        <v>87.471999999999994</v>
      </c>
      <c r="T163" s="11">
        <v>105.97499999999999</v>
      </c>
      <c r="U163" s="11">
        <v>105.944</v>
      </c>
      <c r="V163" s="11">
        <v>63.783999999999999</v>
      </c>
      <c r="W163" s="11">
        <v>66.352999999999994</v>
      </c>
      <c r="X163" s="11">
        <v>36.216000000000001</v>
      </c>
      <c r="Y163" s="11">
        <v>33.646999999999998</v>
      </c>
      <c r="Z163" s="11">
        <v>13.691000000000001</v>
      </c>
      <c r="AA163" s="11">
        <v>16.7</v>
      </c>
      <c r="AB163" s="11">
        <v>33.646999999999998</v>
      </c>
      <c r="AC163" s="11">
        <v>36.216000000000001</v>
      </c>
      <c r="AD163" s="11">
        <v>8.4960000000000004</v>
      </c>
      <c r="AE163" s="11">
        <v>13</v>
      </c>
      <c r="AF163" s="11">
        <v>12</v>
      </c>
      <c r="AG163" s="11">
        <v>12</v>
      </c>
      <c r="AH163" s="11">
        <v>12</v>
      </c>
    </row>
    <row r="164" spans="1:34" s="33" customFormat="1" x14ac:dyDescent="0.2">
      <c r="A164" s="11">
        <v>284</v>
      </c>
      <c r="B164" s="11"/>
      <c r="C164" s="11"/>
      <c r="D164" s="11"/>
      <c r="E164" s="11"/>
      <c r="F164" s="11" t="s">
        <v>62</v>
      </c>
      <c r="G164" s="11" t="s">
        <v>63</v>
      </c>
      <c r="H164" s="56" t="str">
        <f>VLOOKUP(Table6[[#This Row],[ICD Code]],ICD_summary!$I$3:$M$38,5,0)</f>
        <v>PD</v>
      </c>
      <c r="I164" s="12">
        <v>69.7</v>
      </c>
      <c r="J1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4" s="11" t="s">
        <v>55</v>
      </c>
      <c r="L164" s="11"/>
      <c r="M164" s="11"/>
      <c r="N164" s="11">
        <v>44.484999999999999</v>
      </c>
      <c r="O164" s="11">
        <v>52.901000000000003</v>
      </c>
      <c r="P164" s="11">
        <v>97.570999999999998</v>
      </c>
      <c r="Q164" s="11">
        <v>97.542000000000002</v>
      </c>
      <c r="R164" s="11">
        <v>79.748000000000005</v>
      </c>
      <c r="S164" s="11">
        <v>79.744</v>
      </c>
      <c r="T164" s="11">
        <v>98.192999999999998</v>
      </c>
      <c r="U164" s="11">
        <v>97.638000000000005</v>
      </c>
      <c r="V164" s="11">
        <v>65.742999999999995</v>
      </c>
      <c r="W164" s="11">
        <v>65.429000000000002</v>
      </c>
      <c r="X164" s="11">
        <v>34.256999999999998</v>
      </c>
      <c r="Y164" s="11">
        <v>34.570999999999998</v>
      </c>
      <c r="Z164" s="11">
        <v>18.038</v>
      </c>
      <c r="AA164" s="11">
        <v>13.715</v>
      </c>
      <c r="AB164" s="11">
        <v>34.570999999999998</v>
      </c>
      <c r="AC164" s="11">
        <v>34.256999999999998</v>
      </c>
      <c r="AD164" s="11">
        <v>8.9499999999999993</v>
      </c>
      <c r="AE164" s="11">
        <v>12</v>
      </c>
      <c r="AF164" s="11">
        <v>12</v>
      </c>
      <c r="AG164" s="11">
        <v>12</v>
      </c>
      <c r="AH164" s="11">
        <v>12</v>
      </c>
    </row>
    <row r="165" spans="1:34" s="33" customFormat="1" x14ac:dyDescent="0.2">
      <c r="A165" s="11">
        <v>285</v>
      </c>
      <c r="B165" s="11"/>
      <c r="C165" s="11"/>
      <c r="D165" s="11"/>
      <c r="E165" s="11"/>
      <c r="F165" s="11" t="s">
        <v>51</v>
      </c>
      <c r="G165" s="11" t="s">
        <v>51</v>
      </c>
      <c r="H165" s="56" t="str">
        <f>VLOOKUP(Table6[[#This Row],[ICD Code]],ICD_summary!$I$3:$M$38,5,0)</f>
        <v>Misc/Other</v>
      </c>
      <c r="I165" s="12">
        <v>999</v>
      </c>
      <c r="J1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5" s="11" t="s">
        <v>51</v>
      </c>
      <c r="L165" s="11"/>
      <c r="M165" s="11"/>
      <c r="N165" s="11">
        <v>46.691000000000003</v>
      </c>
      <c r="O165" s="11">
        <v>50.555999999999997</v>
      </c>
      <c r="P165" s="11">
        <v>97.647000000000006</v>
      </c>
      <c r="Q165" s="11">
        <v>97.555999999999997</v>
      </c>
      <c r="R165" s="11">
        <v>86.841999999999999</v>
      </c>
      <c r="S165" s="11">
        <v>86.438000000000002</v>
      </c>
      <c r="T165" s="11">
        <v>106.496</v>
      </c>
      <c r="U165" s="11">
        <v>105.96599999999999</v>
      </c>
      <c r="V165" s="11">
        <v>62.289000000000001</v>
      </c>
      <c r="W165" s="11">
        <v>61.957999999999998</v>
      </c>
      <c r="X165" s="11">
        <v>37.710999999999999</v>
      </c>
      <c r="Y165" s="11">
        <v>38.042000000000002</v>
      </c>
      <c r="Z165" s="11">
        <v>11.189</v>
      </c>
      <c r="AA165" s="11">
        <v>13.836</v>
      </c>
      <c r="AB165" s="11">
        <v>38.042000000000002</v>
      </c>
      <c r="AC165" s="11">
        <v>37.710999999999999</v>
      </c>
      <c r="AD165" s="11">
        <v>7.98</v>
      </c>
      <c r="AE165" s="11">
        <v>13</v>
      </c>
      <c r="AF165" s="11">
        <v>12</v>
      </c>
      <c r="AG165" s="11">
        <v>12</v>
      </c>
      <c r="AH165" s="11">
        <v>12</v>
      </c>
    </row>
    <row r="166" spans="1:34" s="33" customFormat="1" x14ac:dyDescent="0.2">
      <c r="A166" s="11">
        <v>286</v>
      </c>
      <c r="B166" s="11"/>
      <c r="C166" s="11"/>
      <c r="D166" s="11"/>
      <c r="E166" s="11"/>
      <c r="F166" s="11" t="s">
        <v>62</v>
      </c>
      <c r="G166" s="11" t="s">
        <v>63</v>
      </c>
      <c r="H166" s="56" t="str">
        <f>VLOOKUP(Table6[[#This Row],[ICD Code]],ICD_summary!$I$3:$M$38,5,0)</f>
        <v>PD</v>
      </c>
      <c r="I166" s="12">
        <v>71.3</v>
      </c>
      <c r="J1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66" s="11" t="s">
        <v>52</v>
      </c>
      <c r="L166" s="11"/>
      <c r="M166" s="11"/>
      <c r="N166" s="11">
        <v>54.417000000000002</v>
      </c>
      <c r="O166" s="11">
        <v>52.408999999999999</v>
      </c>
      <c r="P166" s="11">
        <v>104.80800000000001</v>
      </c>
      <c r="Q166" s="11">
        <v>104.384</v>
      </c>
      <c r="R166" s="11">
        <v>85.397000000000006</v>
      </c>
      <c r="S166" s="11">
        <v>86.013999999999996</v>
      </c>
      <c r="T166" s="11">
        <v>98.72</v>
      </c>
      <c r="U166" s="11">
        <v>100.586</v>
      </c>
      <c r="V166" s="11">
        <v>63.276000000000003</v>
      </c>
      <c r="W166" s="11">
        <v>63.173000000000002</v>
      </c>
      <c r="X166" s="11">
        <v>36.723999999999997</v>
      </c>
      <c r="Y166" s="11">
        <v>36.826999999999998</v>
      </c>
      <c r="Z166" s="11">
        <v>13.871</v>
      </c>
      <c r="AA166" s="11">
        <v>13.994</v>
      </c>
      <c r="AB166" s="11">
        <v>36.826999999999998</v>
      </c>
      <c r="AC166" s="11">
        <v>36.723999999999997</v>
      </c>
      <c r="AD166" s="11">
        <v>12.901999999999999</v>
      </c>
      <c r="AE166" s="11">
        <v>12</v>
      </c>
      <c r="AF166" s="11">
        <v>12</v>
      </c>
      <c r="AG166" s="11">
        <v>12</v>
      </c>
      <c r="AH166" s="11">
        <v>12</v>
      </c>
    </row>
    <row r="167" spans="1:34" s="33" customFormat="1" x14ac:dyDescent="0.2">
      <c r="A167" s="11">
        <v>287</v>
      </c>
      <c r="B167" s="11"/>
      <c r="C167" s="11"/>
      <c r="D167" s="11"/>
      <c r="E167" s="11"/>
      <c r="F167" s="11" t="s">
        <v>62</v>
      </c>
      <c r="G167" s="11" t="s">
        <v>63</v>
      </c>
      <c r="H167" s="56" t="str">
        <f>VLOOKUP(Table6[[#This Row],[ICD Code]],ICD_summary!$I$3:$M$38,5,0)</f>
        <v>PD</v>
      </c>
      <c r="I167" s="12">
        <v>72.3</v>
      </c>
      <c r="J1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67" s="11" t="s">
        <v>52</v>
      </c>
      <c r="L167" s="11"/>
      <c r="M167" s="11"/>
      <c r="N167" s="11">
        <v>44.685000000000002</v>
      </c>
      <c r="O167" s="11">
        <v>46.509</v>
      </c>
      <c r="P167" s="11">
        <v>91.412999999999997</v>
      </c>
      <c r="Q167" s="11">
        <v>90.978999999999999</v>
      </c>
      <c r="R167" s="11">
        <v>88.147000000000006</v>
      </c>
      <c r="S167" s="11">
        <v>87.808999999999997</v>
      </c>
      <c r="T167" s="11">
        <v>115.35299999999999</v>
      </c>
      <c r="U167" s="11">
        <v>115.697</v>
      </c>
      <c r="V167" s="11">
        <v>62.732999999999997</v>
      </c>
      <c r="W167" s="11">
        <v>63.226999999999997</v>
      </c>
      <c r="X167" s="11">
        <v>37.267000000000003</v>
      </c>
      <c r="Y167" s="11">
        <v>36.773000000000003</v>
      </c>
      <c r="Z167" s="11">
        <v>11.057</v>
      </c>
      <c r="AA167" s="11">
        <v>14.974</v>
      </c>
      <c r="AB167" s="11">
        <v>36.773000000000003</v>
      </c>
      <c r="AC167" s="11">
        <v>37.267000000000003</v>
      </c>
      <c r="AD167" s="11">
        <v>10.757999999999999</v>
      </c>
      <c r="AE167" s="11">
        <v>15</v>
      </c>
      <c r="AF167" s="11">
        <v>14</v>
      </c>
      <c r="AG167" s="11">
        <v>14</v>
      </c>
      <c r="AH167" s="11">
        <v>14</v>
      </c>
    </row>
    <row r="168" spans="1:34" s="33" customFormat="1" x14ac:dyDescent="0.2">
      <c r="A168" s="11">
        <v>288</v>
      </c>
      <c r="B168" s="11"/>
      <c r="C168" s="11"/>
      <c r="D168" s="11"/>
      <c r="E168" s="11"/>
      <c r="F168" s="11" t="s">
        <v>62</v>
      </c>
      <c r="G168" s="11" t="s">
        <v>63</v>
      </c>
      <c r="H168" s="56" t="str">
        <f>VLOOKUP(Table6[[#This Row],[ICD Code]],ICD_summary!$I$3:$M$38,5,0)</f>
        <v>PD</v>
      </c>
      <c r="I168" s="12">
        <v>55.8</v>
      </c>
      <c r="J1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68" s="11" t="s">
        <v>52</v>
      </c>
      <c r="L168" s="11"/>
      <c r="M168" s="11"/>
      <c r="N168" s="11">
        <v>70.784000000000006</v>
      </c>
      <c r="O168" s="11">
        <v>71.668999999999997</v>
      </c>
      <c r="P168" s="11">
        <v>141.61199999999999</v>
      </c>
      <c r="Q168" s="11">
        <v>143.66999999999999</v>
      </c>
      <c r="R168" s="11">
        <v>156.78800000000001</v>
      </c>
      <c r="S168" s="11">
        <v>160.221</v>
      </c>
      <c r="T168" s="11">
        <v>131.97300000000001</v>
      </c>
      <c r="U168" s="11">
        <v>132.673</v>
      </c>
      <c r="V168" s="11">
        <v>59.601999999999997</v>
      </c>
      <c r="W168" s="11">
        <v>57.939</v>
      </c>
      <c r="X168" s="11">
        <v>40.398000000000003</v>
      </c>
      <c r="Y168" s="11">
        <v>42.061</v>
      </c>
      <c r="Z168" s="11">
        <v>8.6820000000000004</v>
      </c>
      <c r="AA168" s="11">
        <v>8.7769999999999992</v>
      </c>
      <c r="AB168" s="11">
        <v>42.061</v>
      </c>
      <c r="AC168" s="11">
        <v>40.398000000000003</v>
      </c>
      <c r="AD168" s="11">
        <v>8.34</v>
      </c>
      <c r="AE168" s="11">
        <v>8</v>
      </c>
      <c r="AF168" s="11">
        <v>7</v>
      </c>
      <c r="AG168" s="11">
        <v>7</v>
      </c>
      <c r="AH168" s="11">
        <v>7</v>
      </c>
    </row>
    <row r="169" spans="1:34" s="33" customFormat="1" x14ac:dyDescent="0.2">
      <c r="A169" s="11">
        <v>289</v>
      </c>
      <c r="B169" s="11"/>
      <c r="C169" s="11"/>
      <c r="D169" s="11"/>
      <c r="E169" s="11"/>
      <c r="F169" s="11" t="s">
        <v>76</v>
      </c>
      <c r="G169" s="11" t="s">
        <v>77</v>
      </c>
      <c r="H169" s="56" t="str">
        <f>VLOOKUP(Table6[[#This Row],[ICD Code]],ICD_summary!$I$3:$M$38,5,0)</f>
        <v>Dystonia, other</v>
      </c>
      <c r="I169" s="12">
        <v>65.2</v>
      </c>
      <c r="J1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9" s="11" t="s">
        <v>52</v>
      </c>
      <c r="L169" s="11"/>
      <c r="M169" s="11"/>
      <c r="N169" s="11">
        <v>52.765999999999998</v>
      </c>
      <c r="O169" s="11">
        <v>49.656999999999996</v>
      </c>
      <c r="P169" s="11">
        <v>102.072</v>
      </c>
      <c r="Q169" s="11">
        <v>103.20399999999999</v>
      </c>
      <c r="R169" s="11">
        <v>78.436000000000007</v>
      </c>
      <c r="S169" s="11">
        <v>78.730999999999995</v>
      </c>
      <c r="T169" s="11">
        <v>91.989000000000004</v>
      </c>
      <c r="U169" s="11">
        <v>91.447000000000003</v>
      </c>
      <c r="V169" s="11">
        <v>66.295000000000002</v>
      </c>
      <c r="W169" s="11">
        <v>65.498000000000005</v>
      </c>
      <c r="X169" s="11">
        <v>33.704999999999998</v>
      </c>
      <c r="Y169" s="11">
        <v>34.502000000000002</v>
      </c>
      <c r="Z169" s="11">
        <v>17.558</v>
      </c>
      <c r="AA169" s="11">
        <v>14.404</v>
      </c>
      <c r="AB169" s="11">
        <v>34.502000000000002</v>
      </c>
      <c r="AC169" s="11">
        <v>33.704999999999998</v>
      </c>
      <c r="AD169" s="11">
        <v>22.423999999999999</v>
      </c>
      <c r="AE169" s="11">
        <v>13</v>
      </c>
      <c r="AF169" s="11">
        <v>12</v>
      </c>
      <c r="AG169" s="11">
        <v>12</v>
      </c>
      <c r="AH169" s="11">
        <v>12</v>
      </c>
    </row>
    <row r="170" spans="1:34" s="33" customFormat="1" x14ac:dyDescent="0.2">
      <c r="A170" s="11">
        <v>290</v>
      </c>
      <c r="B170" s="11"/>
      <c r="C170" s="11"/>
      <c r="D170" s="11"/>
      <c r="E170" s="11"/>
      <c r="F170" s="11" t="s">
        <v>72</v>
      </c>
      <c r="G170" s="11" t="s">
        <v>73</v>
      </c>
      <c r="H170" s="56" t="str">
        <f>VLOOKUP(Table6[[#This Row],[ICD Code]],ICD_summary!$I$3:$M$38,5,0)</f>
        <v>Tremor, other</v>
      </c>
      <c r="I170" s="12">
        <v>59.7</v>
      </c>
      <c r="J1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70" s="11" t="s">
        <v>55</v>
      </c>
      <c r="L170" s="11"/>
      <c r="M170" s="11"/>
      <c r="N170" s="11">
        <v>47.543999999999997</v>
      </c>
      <c r="O170" s="11">
        <v>50.076000000000001</v>
      </c>
      <c r="P170" s="11">
        <v>97.257000000000005</v>
      </c>
      <c r="Q170" s="11">
        <v>98.352999999999994</v>
      </c>
      <c r="R170" s="11">
        <v>86.355000000000004</v>
      </c>
      <c r="S170" s="11">
        <v>87.471999999999994</v>
      </c>
      <c r="T170" s="11">
        <v>105.97499999999999</v>
      </c>
      <c r="U170" s="11">
        <v>105.944</v>
      </c>
      <c r="V170" s="11">
        <v>63.783999999999999</v>
      </c>
      <c r="W170" s="11">
        <v>66.352999999999994</v>
      </c>
      <c r="X170" s="11">
        <v>36.216000000000001</v>
      </c>
      <c r="Y170" s="11">
        <v>33.646999999999998</v>
      </c>
      <c r="Z170" s="11">
        <v>13.691000000000001</v>
      </c>
      <c r="AA170" s="11">
        <v>16.7</v>
      </c>
      <c r="AB170" s="11">
        <v>33.646999999999998</v>
      </c>
      <c r="AC170" s="11">
        <v>36.216000000000001</v>
      </c>
      <c r="AD170" s="11">
        <v>8.4960000000000004</v>
      </c>
      <c r="AE170" s="11">
        <v>13</v>
      </c>
      <c r="AF170" s="11">
        <v>12</v>
      </c>
      <c r="AG170" s="11">
        <v>12</v>
      </c>
      <c r="AH170" s="11">
        <v>12</v>
      </c>
    </row>
    <row r="171" spans="1:34" s="33" customFormat="1" x14ac:dyDescent="0.2">
      <c r="A171" s="11">
        <v>291</v>
      </c>
      <c r="B171" s="11"/>
      <c r="C171" s="11"/>
      <c r="D171" s="11"/>
      <c r="E171" s="11"/>
      <c r="F171" s="11" t="s">
        <v>51</v>
      </c>
      <c r="G171" s="11" t="s">
        <v>51</v>
      </c>
      <c r="H171" s="56" t="str">
        <f>VLOOKUP(Table6[[#This Row],[ICD Code]],ICD_summary!$I$3:$M$38,5,0)</f>
        <v>Misc/Other</v>
      </c>
      <c r="I171" s="12">
        <v>999</v>
      </c>
      <c r="J1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71" s="11" t="s">
        <v>51</v>
      </c>
      <c r="L171" s="11"/>
      <c r="M171" s="11"/>
      <c r="N171" s="11">
        <v>56.35</v>
      </c>
      <c r="O171" s="11">
        <v>58.164999999999999</v>
      </c>
      <c r="P171" s="11">
        <v>115.405</v>
      </c>
      <c r="Q171" s="11">
        <v>114.473</v>
      </c>
      <c r="R171" s="11">
        <v>107.27800000000001</v>
      </c>
      <c r="S171" s="11">
        <v>106.935</v>
      </c>
      <c r="T171" s="11">
        <v>111.48099999999999</v>
      </c>
      <c r="U171" s="11">
        <v>112.07599999999999</v>
      </c>
      <c r="V171" s="11">
        <v>62.618000000000002</v>
      </c>
      <c r="W171" s="11">
        <v>64.433000000000007</v>
      </c>
      <c r="X171" s="11">
        <v>37.381999999999998</v>
      </c>
      <c r="Y171" s="11">
        <v>35.566000000000003</v>
      </c>
      <c r="Z171" s="11">
        <v>13.622999999999999</v>
      </c>
      <c r="AA171" s="11">
        <v>13.766</v>
      </c>
      <c r="AB171" s="11">
        <v>35.566000000000003</v>
      </c>
      <c r="AC171" s="11">
        <v>37.381999999999998</v>
      </c>
      <c r="AD171" s="11">
        <v>12.038</v>
      </c>
      <c r="AE171" s="11">
        <v>10</v>
      </c>
      <c r="AF171" s="11">
        <v>10</v>
      </c>
      <c r="AG171" s="11">
        <v>10</v>
      </c>
      <c r="AH171" s="11">
        <v>10</v>
      </c>
    </row>
    <row r="172" spans="1:34" s="33" customFormat="1" x14ac:dyDescent="0.2">
      <c r="A172" s="11">
        <v>292</v>
      </c>
      <c r="B172" s="11"/>
      <c r="C172" s="11"/>
      <c r="D172" s="11"/>
      <c r="E172" s="11"/>
      <c r="F172" s="11" t="s">
        <v>62</v>
      </c>
      <c r="G172" s="11" t="s">
        <v>63</v>
      </c>
      <c r="H172" s="56" t="str">
        <f>VLOOKUP(Table6[[#This Row],[ICD Code]],ICD_summary!$I$3:$M$38,5,0)</f>
        <v>PD</v>
      </c>
      <c r="I172" s="12">
        <v>61.1</v>
      </c>
      <c r="J1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2" s="11" t="s">
        <v>52</v>
      </c>
      <c r="L172" s="11"/>
      <c r="M172" s="11"/>
      <c r="N172" s="11">
        <v>75.474000000000004</v>
      </c>
      <c r="O172" s="11">
        <v>73.900000000000006</v>
      </c>
      <c r="P172" s="11">
        <v>148.916</v>
      </c>
      <c r="Q172" s="11">
        <v>149.87700000000001</v>
      </c>
      <c r="R172" s="11">
        <v>141.185</v>
      </c>
      <c r="S172" s="11">
        <v>143.929</v>
      </c>
      <c r="T172" s="11">
        <v>113.108</v>
      </c>
      <c r="U172" s="11">
        <v>114.498</v>
      </c>
      <c r="V172" s="11">
        <v>60.341000000000001</v>
      </c>
      <c r="W172" s="11">
        <v>59.012999999999998</v>
      </c>
      <c r="X172" s="11">
        <v>39.658999999999999</v>
      </c>
      <c r="Y172" s="11">
        <v>40.987000000000002</v>
      </c>
      <c r="Z172" s="11">
        <v>8.8230000000000004</v>
      </c>
      <c r="AA172" s="11">
        <v>10.879</v>
      </c>
      <c r="AB172" s="11">
        <v>40.987000000000002</v>
      </c>
      <c r="AC172" s="11">
        <v>39.658999999999999</v>
      </c>
      <c r="AD172" s="11">
        <v>12.974</v>
      </c>
      <c r="AE172" s="11">
        <v>8</v>
      </c>
      <c r="AF172" s="11">
        <v>7</v>
      </c>
      <c r="AG172" s="11">
        <v>7</v>
      </c>
      <c r="AH172" s="11">
        <v>7</v>
      </c>
    </row>
    <row r="173" spans="1:34" s="33" customFormat="1" x14ac:dyDescent="0.2">
      <c r="A173" s="11">
        <v>293</v>
      </c>
      <c r="B173" s="11"/>
      <c r="C173" s="11"/>
      <c r="D173" s="11"/>
      <c r="E173" s="11"/>
      <c r="F173" s="11" t="s">
        <v>68</v>
      </c>
      <c r="G173" s="11" t="s">
        <v>69</v>
      </c>
      <c r="H173" s="56" t="str">
        <f>VLOOKUP(Table6[[#This Row],[ICD Code]],ICD_summary!$I$3:$M$38,5,0)</f>
        <v>Tremor, essential tremor</v>
      </c>
      <c r="I173" s="12">
        <v>81</v>
      </c>
      <c r="J1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73" s="11" t="s">
        <v>52</v>
      </c>
      <c r="L173" s="11"/>
      <c r="M173" s="11"/>
      <c r="N173" s="11">
        <v>55.567999999999998</v>
      </c>
      <c r="O173" s="11">
        <v>56.401000000000003</v>
      </c>
      <c r="P173" s="11">
        <v>112.38800000000001</v>
      </c>
      <c r="Q173" s="11">
        <v>111.583</v>
      </c>
      <c r="R173" s="11">
        <v>106.73099999999999</v>
      </c>
      <c r="S173" s="11">
        <v>105.315</v>
      </c>
      <c r="T173" s="11">
        <v>113.43300000000001</v>
      </c>
      <c r="U173" s="11">
        <v>112.467</v>
      </c>
      <c r="V173" s="11">
        <v>63.152999999999999</v>
      </c>
      <c r="W173" s="11">
        <v>62.01</v>
      </c>
      <c r="X173" s="11">
        <v>36.847000000000001</v>
      </c>
      <c r="Y173" s="11">
        <v>37.99</v>
      </c>
      <c r="Z173" s="11">
        <v>13.08</v>
      </c>
      <c r="AA173" s="11">
        <v>12.172000000000001</v>
      </c>
      <c r="AB173" s="11">
        <v>37.99</v>
      </c>
      <c r="AC173" s="11">
        <v>36.847000000000001</v>
      </c>
      <c r="AD173" s="11">
        <v>15.396000000000001</v>
      </c>
      <c r="AE173" s="11">
        <v>10</v>
      </c>
      <c r="AF173" s="11">
        <v>12</v>
      </c>
      <c r="AG173" s="11">
        <v>10</v>
      </c>
      <c r="AH173" s="11">
        <v>10</v>
      </c>
    </row>
    <row r="174" spans="1:34" s="33" customFormat="1" x14ac:dyDescent="0.2">
      <c r="A174" s="11">
        <v>294</v>
      </c>
      <c r="B174" s="11"/>
      <c r="C174" s="11"/>
      <c r="D174" s="11"/>
      <c r="E174" s="11"/>
      <c r="F174" s="11" t="s">
        <v>62</v>
      </c>
      <c r="G174" s="11" t="s">
        <v>63</v>
      </c>
      <c r="H174" s="56" t="str">
        <f>VLOOKUP(Table6[[#This Row],[ICD Code]],ICD_summary!$I$3:$M$38,5,0)</f>
        <v>PD</v>
      </c>
      <c r="I174" s="12">
        <v>61.3</v>
      </c>
      <c r="J1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4" s="11" t="s">
        <v>55</v>
      </c>
      <c r="L174" s="11"/>
      <c r="M174" s="11"/>
      <c r="N174" s="11">
        <v>56.14</v>
      </c>
      <c r="O174" s="11">
        <v>54.112000000000002</v>
      </c>
      <c r="P174" s="11">
        <v>110.005</v>
      </c>
      <c r="Q174" s="11">
        <v>111.90900000000001</v>
      </c>
      <c r="R174" s="11">
        <v>100.925</v>
      </c>
      <c r="S174" s="11">
        <v>102.458</v>
      </c>
      <c r="T174" s="11">
        <v>109.456</v>
      </c>
      <c r="U174" s="11">
        <v>108.821</v>
      </c>
      <c r="V174" s="11">
        <v>65.459999999999994</v>
      </c>
      <c r="W174" s="11">
        <v>62.463000000000001</v>
      </c>
      <c r="X174" s="11">
        <v>34.54</v>
      </c>
      <c r="Y174" s="11">
        <v>37.536000000000001</v>
      </c>
      <c r="Z174" s="11">
        <v>12.635999999999999</v>
      </c>
      <c r="AA174" s="11">
        <v>15.7</v>
      </c>
      <c r="AB174" s="11">
        <v>37.536000000000001</v>
      </c>
      <c r="AC174" s="11">
        <v>34.54</v>
      </c>
      <c r="AD174" s="11">
        <v>6.4020000000000001</v>
      </c>
      <c r="AE174" s="11">
        <v>11</v>
      </c>
      <c r="AF174" s="11">
        <v>10</v>
      </c>
      <c r="AG174" s="11">
        <v>10</v>
      </c>
      <c r="AH174" s="11">
        <v>10</v>
      </c>
    </row>
    <row r="175" spans="1:34" s="33" customFormat="1" x14ac:dyDescent="0.2">
      <c r="A175" s="11">
        <v>295</v>
      </c>
      <c r="B175" s="11"/>
      <c r="C175" s="11"/>
      <c r="D175" s="11"/>
      <c r="E175" s="11"/>
      <c r="F175" s="11" t="s">
        <v>62</v>
      </c>
      <c r="G175" s="11" t="s">
        <v>63</v>
      </c>
      <c r="H175" s="56" t="str">
        <f>VLOOKUP(Table6[[#This Row],[ICD Code]],ICD_summary!$I$3:$M$38,5,0)</f>
        <v>PD</v>
      </c>
      <c r="I175" s="12">
        <v>65.7</v>
      </c>
      <c r="J1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5" s="11" t="s">
        <v>55</v>
      </c>
      <c r="L175" s="11"/>
      <c r="M175" s="11"/>
      <c r="N175" s="11">
        <v>57.186999999999998</v>
      </c>
      <c r="O175" s="11">
        <v>52.944000000000003</v>
      </c>
      <c r="P175" s="11">
        <v>110.413</v>
      </c>
      <c r="Q175" s="11">
        <v>110.39700000000001</v>
      </c>
      <c r="R175" s="11">
        <v>114.872</v>
      </c>
      <c r="S175" s="11">
        <v>115.38200000000001</v>
      </c>
      <c r="T175" s="11">
        <v>124.179</v>
      </c>
      <c r="U175" s="11">
        <v>125.349</v>
      </c>
      <c r="V175" s="11">
        <v>63.798999999999999</v>
      </c>
      <c r="W175" s="11">
        <v>63.027000000000001</v>
      </c>
      <c r="X175" s="11">
        <v>36.201000000000001</v>
      </c>
      <c r="Y175" s="11">
        <v>36.972999999999999</v>
      </c>
      <c r="Z175" s="11">
        <v>11.515000000000001</v>
      </c>
      <c r="AA175" s="11">
        <v>15.214</v>
      </c>
      <c r="AB175" s="11">
        <v>36.972999999999999</v>
      </c>
      <c r="AC175" s="11">
        <v>36.201000000000001</v>
      </c>
      <c r="AD175" s="11">
        <v>9.5</v>
      </c>
      <c r="AE175" s="11">
        <v>11</v>
      </c>
      <c r="AF175" s="11">
        <v>14</v>
      </c>
      <c r="AG175" s="11">
        <v>11</v>
      </c>
      <c r="AH175" s="11">
        <v>11</v>
      </c>
    </row>
    <row r="176" spans="1:34" s="33" customFormat="1" x14ac:dyDescent="0.2">
      <c r="A176" s="11">
        <v>296</v>
      </c>
      <c r="B176" s="11"/>
      <c r="C176" s="11"/>
      <c r="D176" s="11"/>
      <c r="E176" s="11"/>
      <c r="F176" s="11" t="s">
        <v>76</v>
      </c>
      <c r="G176" s="11" t="s">
        <v>77</v>
      </c>
      <c r="H176" s="56" t="str">
        <f>VLOOKUP(Table6[[#This Row],[ICD Code]],ICD_summary!$I$3:$M$38,5,0)</f>
        <v>Dystonia, other</v>
      </c>
      <c r="I176" s="12">
        <v>41</v>
      </c>
      <c r="J1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76" s="11" t="s">
        <v>52</v>
      </c>
      <c r="L176" s="11"/>
      <c r="M176" s="11"/>
      <c r="N176" s="11" t="s">
        <v>51</v>
      </c>
      <c r="O176" s="11" t="s">
        <v>51</v>
      </c>
      <c r="P176" s="11" t="s">
        <v>51</v>
      </c>
      <c r="Q176" s="11" t="s">
        <v>51</v>
      </c>
      <c r="R176" s="11" t="s">
        <v>51</v>
      </c>
      <c r="S176" s="11" t="s">
        <v>51</v>
      </c>
      <c r="T176" s="11" t="s">
        <v>51</v>
      </c>
      <c r="U176" s="11" t="s">
        <v>51</v>
      </c>
      <c r="V176" s="11" t="s">
        <v>51</v>
      </c>
      <c r="W176" s="11" t="s">
        <v>51</v>
      </c>
      <c r="X176" s="11" t="s">
        <v>51</v>
      </c>
      <c r="Y176" s="11" t="s">
        <v>51</v>
      </c>
      <c r="Z176" s="11" t="s">
        <v>51</v>
      </c>
      <c r="AA176" s="11" t="s">
        <v>51</v>
      </c>
      <c r="AB176" s="11" t="s">
        <v>51</v>
      </c>
      <c r="AC176" s="11" t="s">
        <v>51</v>
      </c>
      <c r="AD176" s="11" t="s">
        <v>51</v>
      </c>
      <c r="AE176" s="11" t="s">
        <v>51</v>
      </c>
      <c r="AF176" s="11" t="s">
        <v>51</v>
      </c>
      <c r="AG176" s="11" t="s">
        <v>51</v>
      </c>
      <c r="AH176" s="11" t="s">
        <v>51</v>
      </c>
    </row>
    <row r="177" spans="1:34" s="33" customFormat="1" x14ac:dyDescent="0.2">
      <c r="A177" s="11">
        <v>297</v>
      </c>
      <c r="B177" s="11"/>
      <c r="C177" s="11"/>
      <c r="D177" s="11"/>
      <c r="E177" s="11"/>
      <c r="F177" s="11" t="s">
        <v>72</v>
      </c>
      <c r="G177" s="11" t="s">
        <v>73</v>
      </c>
      <c r="H177" s="56" t="str">
        <f>VLOOKUP(Table6[[#This Row],[ICD Code]],ICD_summary!$I$3:$M$38,5,0)</f>
        <v>Tremor, other</v>
      </c>
      <c r="I177" s="12">
        <v>67.8</v>
      </c>
      <c r="J1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7" s="11" t="s">
        <v>52</v>
      </c>
      <c r="L177" s="11"/>
      <c r="M177" s="11"/>
      <c r="N177" s="11">
        <v>59.908000000000001</v>
      </c>
      <c r="O177" s="11">
        <v>55.228999999999999</v>
      </c>
      <c r="P177" s="11">
        <v>116.74299999999999</v>
      </c>
      <c r="Q177" s="11">
        <v>113.23399999999999</v>
      </c>
      <c r="R177" s="11">
        <v>120.36799999999999</v>
      </c>
      <c r="S177" s="11">
        <v>117.178</v>
      </c>
      <c r="T177" s="11">
        <v>122.905</v>
      </c>
      <c r="U177" s="11">
        <v>122.657</v>
      </c>
      <c r="V177" s="11">
        <v>61.183999999999997</v>
      </c>
      <c r="W177" s="11">
        <v>62.305</v>
      </c>
      <c r="X177" s="11">
        <v>38.816000000000003</v>
      </c>
      <c r="Y177" s="11">
        <v>37.695</v>
      </c>
      <c r="Z177" s="11">
        <v>10.829000000000001</v>
      </c>
      <c r="AA177" s="11">
        <v>11.983000000000001</v>
      </c>
      <c r="AB177" s="11">
        <v>37.695</v>
      </c>
      <c r="AC177" s="11">
        <v>38.816000000000003</v>
      </c>
      <c r="AD177" s="11">
        <v>8.8320000000000007</v>
      </c>
      <c r="AE177" s="11">
        <v>10</v>
      </c>
      <c r="AF177" s="11">
        <v>10</v>
      </c>
      <c r="AG177" s="11">
        <v>10</v>
      </c>
      <c r="AH177" s="11">
        <v>10</v>
      </c>
    </row>
    <row r="178" spans="1:34" s="33" customFormat="1" x14ac:dyDescent="0.2">
      <c r="A178" s="11">
        <v>298</v>
      </c>
      <c r="B178" s="11"/>
      <c r="C178" s="11"/>
      <c r="D178" s="11"/>
      <c r="E178" s="11"/>
      <c r="F178" s="11" t="s">
        <v>62</v>
      </c>
      <c r="G178" s="11" t="s">
        <v>63</v>
      </c>
      <c r="H178" s="56" t="str">
        <f>VLOOKUP(Table6[[#This Row],[ICD Code]],ICD_summary!$I$3:$M$38,5,0)</f>
        <v>PD</v>
      </c>
      <c r="I178" s="12">
        <v>76.2</v>
      </c>
      <c r="J1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78" s="11" t="s">
        <v>52</v>
      </c>
      <c r="L178" s="11"/>
      <c r="M178" s="11"/>
      <c r="N178" s="11">
        <v>53.915999999999997</v>
      </c>
      <c r="O178" s="11">
        <v>51.982999999999997</v>
      </c>
      <c r="P178" s="11">
        <v>105.392</v>
      </c>
      <c r="Q178" s="11">
        <v>106.85</v>
      </c>
      <c r="R178" s="11">
        <v>94.936000000000007</v>
      </c>
      <c r="S178" s="11">
        <v>96.578999999999994</v>
      </c>
      <c r="T178" s="11">
        <v>107.57599999999999</v>
      </c>
      <c r="U178" s="11">
        <v>108.015</v>
      </c>
      <c r="V178" s="11">
        <v>64.153999999999996</v>
      </c>
      <c r="W178" s="11">
        <v>63.997999999999998</v>
      </c>
      <c r="X178" s="11">
        <v>35.845999999999997</v>
      </c>
      <c r="Y178" s="11">
        <v>36.002000000000002</v>
      </c>
      <c r="Z178" s="11">
        <v>14.114000000000001</v>
      </c>
      <c r="AA178" s="11">
        <v>13.831</v>
      </c>
      <c r="AB178" s="11">
        <v>36.002000000000002</v>
      </c>
      <c r="AC178" s="11">
        <v>35.845999999999997</v>
      </c>
      <c r="AD178" s="11">
        <v>14.38</v>
      </c>
      <c r="AE178" s="11">
        <v>10</v>
      </c>
      <c r="AF178" s="11">
        <v>9</v>
      </c>
      <c r="AG178" s="11">
        <v>9</v>
      </c>
      <c r="AH178" s="11">
        <v>9</v>
      </c>
    </row>
    <row r="179" spans="1:34" s="33" customFormat="1" x14ac:dyDescent="0.2">
      <c r="A179" s="11">
        <v>299</v>
      </c>
      <c r="B179" s="11"/>
      <c r="C179" s="11"/>
      <c r="D179" s="11"/>
      <c r="E179" s="11"/>
      <c r="F179" s="11" t="s">
        <v>51</v>
      </c>
      <c r="G179" s="11" t="s">
        <v>51</v>
      </c>
      <c r="H179" s="56" t="str">
        <f>VLOOKUP(Table6[[#This Row],[ICD Code]],ICD_summary!$I$3:$M$38,5,0)</f>
        <v>Misc/Other</v>
      </c>
      <c r="I179" s="12">
        <v>999</v>
      </c>
      <c r="J1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79" s="11" t="s">
        <v>51</v>
      </c>
      <c r="L179" s="11"/>
      <c r="M179" s="11"/>
      <c r="N179" s="11">
        <v>52.515999999999998</v>
      </c>
      <c r="O179" s="11">
        <v>52.832999999999998</v>
      </c>
      <c r="P179" s="11">
        <v>105.40600000000001</v>
      </c>
      <c r="Q179" s="11">
        <v>105.235</v>
      </c>
      <c r="R179" s="11">
        <v>101.07599999999999</v>
      </c>
      <c r="S179" s="11">
        <v>101.001</v>
      </c>
      <c r="T179" s="11">
        <v>114.619</v>
      </c>
      <c r="U179" s="11">
        <v>114.925</v>
      </c>
      <c r="V179" s="11">
        <v>63.396999999999998</v>
      </c>
      <c r="W179" s="11">
        <v>65.33</v>
      </c>
      <c r="X179" s="11">
        <v>36.601999999999997</v>
      </c>
      <c r="Y179" s="11">
        <v>34.67</v>
      </c>
      <c r="Z179" s="11">
        <v>15.246</v>
      </c>
      <c r="AA179" s="11">
        <v>13.766</v>
      </c>
      <c r="AB179" s="11">
        <v>34.67</v>
      </c>
      <c r="AC179" s="11">
        <v>36.601999999999997</v>
      </c>
      <c r="AD179" s="11">
        <v>9.9580000000000002</v>
      </c>
      <c r="AE179" s="11">
        <v>12</v>
      </c>
      <c r="AF179" s="11">
        <v>11</v>
      </c>
      <c r="AG179" s="11">
        <v>11</v>
      </c>
      <c r="AH179" s="11">
        <v>11</v>
      </c>
    </row>
    <row r="180" spans="1:34" s="33" customFormat="1" x14ac:dyDescent="0.2">
      <c r="A180" s="11">
        <v>300</v>
      </c>
      <c r="B180" s="11"/>
      <c r="C180" s="11"/>
      <c r="D180" s="11"/>
      <c r="E180" s="11"/>
      <c r="F180" s="11" t="s">
        <v>72</v>
      </c>
      <c r="G180" s="11" t="s">
        <v>73</v>
      </c>
      <c r="H180" s="56" t="str">
        <f>VLOOKUP(Table6[[#This Row],[ICD Code]],ICD_summary!$I$3:$M$38,5,0)</f>
        <v>Tremor, other</v>
      </c>
      <c r="I180" s="12">
        <v>44.2</v>
      </c>
      <c r="J1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80" s="11" t="s">
        <v>52</v>
      </c>
      <c r="L180" s="11"/>
      <c r="M180" s="11"/>
      <c r="N180" s="11">
        <v>64.902000000000001</v>
      </c>
      <c r="O180" s="11">
        <v>63.411000000000001</v>
      </c>
      <c r="P180" s="11">
        <v>128.22999999999999</v>
      </c>
      <c r="Q180" s="11">
        <v>127.852</v>
      </c>
      <c r="R180" s="11">
        <v>135.46299999999999</v>
      </c>
      <c r="S180" s="11">
        <v>135.542</v>
      </c>
      <c r="T180" s="11">
        <v>126.642</v>
      </c>
      <c r="U180" s="11">
        <v>126.88500000000001</v>
      </c>
      <c r="V180" s="11">
        <v>61.552999999999997</v>
      </c>
      <c r="W180" s="11">
        <v>61.497999999999998</v>
      </c>
      <c r="X180" s="11">
        <v>38.447000000000003</v>
      </c>
      <c r="Y180" s="11">
        <v>38.502000000000002</v>
      </c>
      <c r="Z180" s="11">
        <v>12.231999999999999</v>
      </c>
      <c r="AA180" s="11">
        <v>11.188000000000001</v>
      </c>
      <c r="AB180" s="11">
        <v>38.502000000000002</v>
      </c>
      <c r="AC180" s="11">
        <v>38.447000000000003</v>
      </c>
      <c r="AD180" s="11">
        <v>16.207999999999998</v>
      </c>
      <c r="AE180" s="11">
        <v>11</v>
      </c>
      <c r="AF180" s="11">
        <v>10</v>
      </c>
      <c r="AG180" s="11">
        <v>10</v>
      </c>
      <c r="AH180" s="11">
        <v>10</v>
      </c>
    </row>
    <row r="181" spans="1:34" s="33" customFormat="1" x14ac:dyDescent="0.2">
      <c r="A181" s="11">
        <v>301</v>
      </c>
      <c r="B181" s="11"/>
      <c r="C181" s="11"/>
      <c r="D181" s="11"/>
      <c r="E181" s="11"/>
      <c r="F181" s="11" t="s">
        <v>68</v>
      </c>
      <c r="G181" s="11" t="s">
        <v>69</v>
      </c>
      <c r="H181" s="56" t="str">
        <f>VLOOKUP(Table6[[#This Row],[ICD Code]],ICD_summary!$I$3:$M$38,5,0)</f>
        <v>Tremor, essential tremor</v>
      </c>
      <c r="I181" s="12">
        <v>68.900000000000006</v>
      </c>
      <c r="J1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1" s="11" t="s">
        <v>52</v>
      </c>
      <c r="L181" s="11"/>
      <c r="M181" s="11"/>
      <c r="N181" s="11">
        <v>59.579000000000001</v>
      </c>
      <c r="O181" s="11">
        <v>55.091999999999999</v>
      </c>
      <c r="P181" s="11">
        <v>114.233</v>
      </c>
      <c r="Q181" s="11">
        <v>114.629</v>
      </c>
      <c r="R181" s="11">
        <v>107.04</v>
      </c>
      <c r="S181" s="11">
        <v>107.425</v>
      </c>
      <c r="T181" s="11">
        <v>112.26300000000001</v>
      </c>
      <c r="U181" s="11">
        <v>111.94199999999999</v>
      </c>
      <c r="V181" s="11">
        <v>61.887999999999998</v>
      </c>
      <c r="W181" s="11">
        <v>63.570999999999998</v>
      </c>
      <c r="X181" s="11">
        <v>38.112000000000002</v>
      </c>
      <c r="Y181" s="11">
        <v>36.429000000000002</v>
      </c>
      <c r="Z181" s="11">
        <v>12.189</v>
      </c>
      <c r="AA181" s="11">
        <v>12.976000000000001</v>
      </c>
      <c r="AB181" s="11">
        <v>36.429000000000002</v>
      </c>
      <c r="AC181" s="11">
        <v>38.112000000000002</v>
      </c>
      <c r="AD181" s="11">
        <v>11.314</v>
      </c>
      <c r="AE181" s="11">
        <v>12</v>
      </c>
      <c r="AF181" s="11">
        <v>10</v>
      </c>
      <c r="AG181" s="11">
        <v>10</v>
      </c>
      <c r="AH181" s="11">
        <v>10</v>
      </c>
    </row>
    <row r="182" spans="1:34" s="33" customFormat="1" x14ac:dyDescent="0.2">
      <c r="A182" s="11">
        <v>302</v>
      </c>
      <c r="B182" s="11"/>
      <c r="C182" s="11"/>
      <c r="D182" s="11"/>
      <c r="E182" s="11"/>
      <c r="F182" s="11" t="s">
        <v>72</v>
      </c>
      <c r="G182" s="11" t="s">
        <v>73</v>
      </c>
      <c r="H182" s="56" t="str">
        <f>VLOOKUP(Table6[[#This Row],[ICD Code]],ICD_summary!$I$3:$M$38,5,0)</f>
        <v>Tremor, other</v>
      </c>
      <c r="I182" s="12">
        <v>39.700000000000003</v>
      </c>
      <c r="J1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182" s="11" t="s">
        <v>55</v>
      </c>
      <c r="L182" s="11"/>
      <c r="M182" s="11"/>
      <c r="N182" s="11">
        <v>62.954000000000001</v>
      </c>
      <c r="O182" s="11">
        <v>59.182000000000002</v>
      </c>
      <c r="P182" s="11">
        <v>122.63800000000001</v>
      </c>
      <c r="Q182" s="11">
        <v>121.62</v>
      </c>
      <c r="R182" s="11">
        <v>139.93</v>
      </c>
      <c r="S182" s="11">
        <v>138.47</v>
      </c>
      <c r="T182" s="11">
        <v>136.26400000000001</v>
      </c>
      <c r="U182" s="11">
        <v>136.185</v>
      </c>
      <c r="V182" s="11">
        <v>59.982999999999997</v>
      </c>
      <c r="W182" s="11">
        <v>60.018999999999998</v>
      </c>
      <c r="X182" s="11">
        <v>40.017000000000003</v>
      </c>
      <c r="Y182" s="11">
        <v>39.981000000000002</v>
      </c>
      <c r="Z182" s="11">
        <v>11.167999999999999</v>
      </c>
      <c r="AA182" s="11">
        <v>9.5299999999999994</v>
      </c>
      <c r="AB182" s="11">
        <v>39.981000000000002</v>
      </c>
      <c r="AC182" s="11">
        <v>40.017000000000003</v>
      </c>
      <c r="AD182" s="11">
        <v>7.5</v>
      </c>
      <c r="AE182" s="11">
        <v>10</v>
      </c>
      <c r="AF182" s="11">
        <v>10</v>
      </c>
      <c r="AG182" s="11">
        <v>10</v>
      </c>
      <c r="AH182" s="11">
        <v>10</v>
      </c>
    </row>
    <row r="183" spans="1:34" s="33" customFormat="1" x14ac:dyDescent="0.2">
      <c r="A183" s="11">
        <v>303</v>
      </c>
      <c r="B183" s="11"/>
      <c r="C183" s="11"/>
      <c r="D183" s="11"/>
      <c r="E183" s="11"/>
      <c r="F183" s="11" t="s">
        <v>62</v>
      </c>
      <c r="G183" s="11" t="s">
        <v>63</v>
      </c>
      <c r="H183" s="56" t="str">
        <f>VLOOKUP(Table6[[#This Row],[ICD Code]],ICD_summary!$I$3:$M$38,5,0)</f>
        <v>PD</v>
      </c>
      <c r="I183" s="12">
        <v>73.400000000000006</v>
      </c>
      <c r="J1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83" s="11" t="s">
        <v>55</v>
      </c>
      <c r="L183" s="11"/>
      <c r="M183" s="11"/>
      <c r="N183" s="11">
        <v>47.889000000000003</v>
      </c>
      <c r="O183" s="11">
        <v>44.587000000000003</v>
      </c>
      <c r="P183" s="11">
        <v>91.563000000000002</v>
      </c>
      <c r="Q183" s="11">
        <v>92.58</v>
      </c>
      <c r="R183" s="11">
        <v>57.817999999999998</v>
      </c>
      <c r="S183" s="11">
        <v>58.511000000000003</v>
      </c>
      <c r="T183" s="11">
        <v>75.403000000000006</v>
      </c>
      <c r="U183" s="11">
        <v>75.495999999999995</v>
      </c>
      <c r="V183" s="11">
        <v>64.614999999999995</v>
      </c>
      <c r="W183" s="11">
        <v>65.19</v>
      </c>
      <c r="X183" s="11">
        <v>35.384999999999998</v>
      </c>
      <c r="Y183" s="11">
        <v>34.81</v>
      </c>
      <c r="Z183" s="11">
        <v>14.21</v>
      </c>
      <c r="AA183" s="11">
        <v>15.794</v>
      </c>
      <c r="AB183" s="11">
        <v>34.81</v>
      </c>
      <c r="AC183" s="11">
        <v>35.384999999999998</v>
      </c>
      <c r="AD183" s="11">
        <v>11.367000000000001</v>
      </c>
      <c r="AE183" s="11">
        <v>8</v>
      </c>
      <c r="AF183" s="11">
        <v>9</v>
      </c>
      <c r="AG183" s="11">
        <v>8</v>
      </c>
      <c r="AH183" s="11">
        <v>8</v>
      </c>
    </row>
    <row r="184" spans="1:34" s="33" customFormat="1" x14ac:dyDescent="0.2">
      <c r="A184" s="11">
        <v>304</v>
      </c>
      <c r="B184" s="11"/>
      <c r="C184" s="11"/>
      <c r="D184" s="11"/>
      <c r="E184" s="11"/>
      <c r="F184" s="11" t="s">
        <v>68</v>
      </c>
      <c r="G184" s="11" t="s">
        <v>69</v>
      </c>
      <c r="H184" s="56" t="str">
        <f>VLOOKUP(Table6[[#This Row],[ICD Code]],ICD_summary!$I$3:$M$38,5,0)</f>
        <v>Tremor, essential tremor</v>
      </c>
      <c r="I184" s="12">
        <v>74.2</v>
      </c>
      <c r="J1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84" s="11" t="s">
        <v>55</v>
      </c>
      <c r="L184" s="11"/>
      <c r="M184" s="11"/>
      <c r="N184" s="11" t="s">
        <v>51</v>
      </c>
      <c r="O184" s="11" t="s">
        <v>51</v>
      </c>
      <c r="P184" s="11" t="s">
        <v>51</v>
      </c>
      <c r="Q184" s="11" t="s">
        <v>51</v>
      </c>
      <c r="R184" s="11" t="s">
        <v>51</v>
      </c>
      <c r="S184" s="11" t="s">
        <v>51</v>
      </c>
      <c r="T184" s="11" t="s">
        <v>51</v>
      </c>
      <c r="U184" s="11" t="s">
        <v>51</v>
      </c>
      <c r="V184" s="11" t="s">
        <v>51</v>
      </c>
      <c r="W184" s="11" t="s">
        <v>51</v>
      </c>
      <c r="X184" s="11" t="s">
        <v>51</v>
      </c>
      <c r="Y184" s="11" t="s">
        <v>51</v>
      </c>
      <c r="Z184" s="11" t="s">
        <v>51</v>
      </c>
      <c r="AA184" s="11" t="s">
        <v>51</v>
      </c>
      <c r="AB184" s="11" t="s">
        <v>51</v>
      </c>
      <c r="AC184" s="11" t="s">
        <v>51</v>
      </c>
      <c r="AD184" s="11" t="s">
        <v>51</v>
      </c>
      <c r="AE184" s="11" t="s">
        <v>51</v>
      </c>
      <c r="AF184" s="11" t="s">
        <v>51</v>
      </c>
      <c r="AG184" s="11" t="s">
        <v>51</v>
      </c>
      <c r="AH184" s="11" t="s">
        <v>51</v>
      </c>
    </row>
    <row r="185" spans="1:34" s="33" customFormat="1" x14ac:dyDescent="0.2">
      <c r="A185" s="11">
        <v>305</v>
      </c>
      <c r="B185" s="11"/>
      <c r="C185" s="11"/>
      <c r="D185" s="11"/>
      <c r="E185" s="11"/>
      <c r="F185" s="11" t="s">
        <v>62</v>
      </c>
      <c r="G185" s="11" t="s">
        <v>63</v>
      </c>
      <c r="H185" s="56" t="str">
        <f>VLOOKUP(Table6[[#This Row],[ICD Code]],ICD_summary!$I$3:$M$38,5,0)</f>
        <v>PD</v>
      </c>
      <c r="I185" s="12">
        <v>68.8</v>
      </c>
      <c r="J1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5" s="11" t="s">
        <v>52</v>
      </c>
      <c r="L185" s="11"/>
      <c r="M185" s="11"/>
      <c r="N185" s="11">
        <v>56.576000000000001</v>
      </c>
      <c r="O185" s="11">
        <v>63.593000000000004</v>
      </c>
      <c r="P185" s="11">
        <v>120.164</v>
      </c>
      <c r="Q185" s="11">
        <v>121.31</v>
      </c>
      <c r="R185" s="11">
        <v>91.289000000000001</v>
      </c>
      <c r="S185" s="11">
        <v>91.710999999999999</v>
      </c>
      <c r="T185" s="11">
        <v>90.772999999999996</v>
      </c>
      <c r="U185" s="11">
        <v>90.603999999999999</v>
      </c>
      <c r="V185" s="11">
        <v>61.24</v>
      </c>
      <c r="W185" s="11">
        <v>63.064999999999998</v>
      </c>
      <c r="X185" s="11">
        <v>38.76</v>
      </c>
      <c r="Y185" s="11">
        <v>36.935000000000002</v>
      </c>
      <c r="Z185" s="11">
        <v>13.305999999999999</v>
      </c>
      <c r="AA185" s="11">
        <v>11.092000000000001</v>
      </c>
      <c r="AB185" s="11">
        <v>36.935000000000002</v>
      </c>
      <c r="AC185" s="11">
        <v>38.76</v>
      </c>
      <c r="AD185" s="11">
        <v>6.008</v>
      </c>
      <c r="AE185" s="11">
        <v>11</v>
      </c>
      <c r="AF185" s="11">
        <v>11</v>
      </c>
      <c r="AG185" s="11">
        <v>11</v>
      </c>
      <c r="AH185" s="11">
        <v>11</v>
      </c>
    </row>
    <row r="186" spans="1:34" s="33" customFormat="1" x14ac:dyDescent="0.2">
      <c r="A186" s="11">
        <v>306</v>
      </c>
      <c r="B186" s="11"/>
      <c r="C186" s="11"/>
      <c r="D186" s="11"/>
      <c r="E186" s="11"/>
      <c r="F186" s="11" t="s">
        <v>80</v>
      </c>
      <c r="G186" s="11" t="s">
        <v>81</v>
      </c>
      <c r="H186" s="56" t="str">
        <f>VLOOKUP(Table6[[#This Row],[ICD Code]],ICD_summary!$I$3:$M$38,5,0)</f>
        <v>Dystonia, cervical</v>
      </c>
      <c r="I186" s="12">
        <v>66.3</v>
      </c>
      <c r="J1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6" s="11" t="s">
        <v>55</v>
      </c>
      <c r="L186" s="11"/>
      <c r="M186" s="11"/>
      <c r="N186" s="11">
        <v>31.059000000000001</v>
      </c>
      <c r="O186" s="11">
        <v>22.317</v>
      </c>
      <c r="P186" s="11">
        <v>53.073</v>
      </c>
      <c r="Q186" s="11">
        <v>53.654000000000003</v>
      </c>
      <c r="R186" s="11">
        <v>38.128</v>
      </c>
      <c r="S186" s="11">
        <v>38.453000000000003</v>
      </c>
      <c r="T186" s="11">
        <v>86.864999999999995</v>
      </c>
      <c r="U186" s="11">
        <v>86.498999999999995</v>
      </c>
      <c r="V186" s="11">
        <v>72.177000000000007</v>
      </c>
      <c r="W186" s="11">
        <v>69.509</v>
      </c>
      <c r="X186" s="11">
        <v>27.823</v>
      </c>
      <c r="Y186" s="11">
        <v>30.491</v>
      </c>
      <c r="Z186" s="11">
        <v>19.975000000000001</v>
      </c>
      <c r="AA186" s="11">
        <v>22.053000000000001</v>
      </c>
      <c r="AB186" s="11">
        <v>30.491</v>
      </c>
      <c r="AC186" s="11">
        <v>27.823</v>
      </c>
      <c r="AD186" s="11">
        <v>12.557</v>
      </c>
      <c r="AE186" s="11">
        <v>11</v>
      </c>
      <c r="AF186" s="11">
        <v>12</v>
      </c>
      <c r="AG186" s="11">
        <v>11</v>
      </c>
      <c r="AH186" s="11">
        <v>11</v>
      </c>
    </row>
    <row r="187" spans="1:34" s="33" customFormat="1" x14ac:dyDescent="0.2">
      <c r="A187" s="11">
        <v>307</v>
      </c>
      <c r="B187" s="11"/>
      <c r="C187" s="11"/>
      <c r="D187" s="11"/>
      <c r="E187" s="11"/>
      <c r="F187" s="11" t="s">
        <v>68</v>
      </c>
      <c r="G187" s="11" t="s">
        <v>69</v>
      </c>
      <c r="H187" s="56" t="str">
        <f>VLOOKUP(Table6[[#This Row],[ICD Code]],ICD_summary!$I$3:$M$38,5,0)</f>
        <v>Tremor, essential tremor</v>
      </c>
      <c r="I187" s="12">
        <v>54.2</v>
      </c>
      <c r="J1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87" s="11" t="s">
        <v>52</v>
      </c>
      <c r="L187" s="11"/>
      <c r="M187" s="11"/>
      <c r="N187" s="11">
        <v>73.123000000000005</v>
      </c>
      <c r="O187" s="11">
        <v>69.225999999999999</v>
      </c>
      <c r="P187" s="11">
        <v>143.012</v>
      </c>
      <c r="Q187" s="11">
        <v>142.34899999999999</v>
      </c>
      <c r="R187" s="11">
        <v>131.452</v>
      </c>
      <c r="S187" s="11">
        <v>130.41200000000001</v>
      </c>
      <c r="T187" s="11">
        <v>109.944</v>
      </c>
      <c r="U187" s="11">
        <v>109.956</v>
      </c>
      <c r="V187" s="11">
        <v>61.822000000000003</v>
      </c>
      <c r="W187" s="11">
        <v>61.448</v>
      </c>
      <c r="X187" s="11">
        <v>38.177999999999997</v>
      </c>
      <c r="Y187" s="11">
        <v>38.552</v>
      </c>
      <c r="Z187" s="11">
        <v>12.207000000000001</v>
      </c>
      <c r="AA187" s="11">
        <v>11.525</v>
      </c>
      <c r="AB187" s="11">
        <v>38.552</v>
      </c>
      <c r="AC187" s="11">
        <v>38.177999999999997</v>
      </c>
      <c r="AD187" s="11">
        <v>11.74</v>
      </c>
      <c r="AE187" s="11">
        <v>5</v>
      </c>
      <c r="AF187" s="11">
        <v>10</v>
      </c>
      <c r="AG187" s="11">
        <v>5</v>
      </c>
      <c r="AH187" s="11">
        <v>5</v>
      </c>
    </row>
    <row r="188" spans="1:34" s="33" customFormat="1" x14ac:dyDescent="0.2">
      <c r="A188" s="11">
        <v>308</v>
      </c>
      <c r="B188" s="11"/>
      <c r="C188" s="11"/>
      <c r="D188" s="11"/>
      <c r="E188" s="11"/>
      <c r="F188" s="11" t="s">
        <v>62</v>
      </c>
      <c r="G188" s="11" t="s">
        <v>63</v>
      </c>
      <c r="H188" s="56" t="str">
        <f>VLOOKUP(Table6[[#This Row],[ICD Code]],ICD_summary!$I$3:$M$38,5,0)</f>
        <v>PD</v>
      </c>
      <c r="I188" s="12">
        <v>67.599999999999994</v>
      </c>
      <c r="J1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8" s="11" t="s">
        <v>52</v>
      </c>
      <c r="L188" s="11"/>
      <c r="M188" s="11"/>
      <c r="N188" s="11">
        <v>52.698999999999998</v>
      </c>
      <c r="O188" s="11">
        <v>46.73</v>
      </c>
      <c r="P188" s="11">
        <v>100.813</v>
      </c>
      <c r="Q188" s="11">
        <v>98.451999999999998</v>
      </c>
      <c r="R188" s="11">
        <v>97.045000000000002</v>
      </c>
      <c r="S188" s="11">
        <v>95.471999999999994</v>
      </c>
      <c r="T188" s="11">
        <v>115.22799999999999</v>
      </c>
      <c r="U188" s="11">
        <v>114.973</v>
      </c>
      <c r="V188" s="11">
        <v>61.613</v>
      </c>
      <c r="W188" s="11">
        <v>63.411000000000001</v>
      </c>
      <c r="X188" s="11">
        <v>38.387</v>
      </c>
      <c r="Y188" s="11">
        <v>36.588000000000001</v>
      </c>
      <c r="Z188" s="11">
        <v>12.000999999999999</v>
      </c>
      <c r="AA188" s="11">
        <v>13.38</v>
      </c>
      <c r="AB188" s="11">
        <v>36.588000000000001</v>
      </c>
      <c r="AC188" s="11">
        <v>38.387</v>
      </c>
      <c r="AD188" s="11">
        <v>9.0350000000000001</v>
      </c>
      <c r="AE188" s="11">
        <v>9</v>
      </c>
      <c r="AF188" s="11">
        <v>9</v>
      </c>
      <c r="AG188" s="11">
        <v>9</v>
      </c>
      <c r="AH188" s="11">
        <v>9</v>
      </c>
    </row>
    <row r="189" spans="1:34" s="33" customFormat="1" x14ac:dyDescent="0.2">
      <c r="A189" s="11">
        <v>309</v>
      </c>
      <c r="B189" s="11"/>
      <c r="C189" s="11"/>
      <c r="D189" s="11"/>
      <c r="E189" s="11"/>
      <c r="F189" s="11" t="s">
        <v>62</v>
      </c>
      <c r="G189" s="11" t="s">
        <v>63</v>
      </c>
      <c r="H189" s="56" t="str">
        <f>VLOOKUP(Table6[[#This Row],[ICD Code]],ICD_summary!$I$3:$M$38,5,0)</f>
        <v>PD</v>
      </c>
      <c r="I189" s="12">
        <v>67.7</v>
      </c>
      <c r="J1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9" s="11" t="s">
        <v>52</v>
      </c>
      <c r="L189" s="11"/>
      <c r="M189" s="11"/>
      <c r="N189" s="11">
        <v>58.978000000000002</v>
      </c>
      <c r="O189" s="11">
        <v>61.125</v>
      </c>
      <c r="P189" s="11">
        <v>118.714</v>
      </c>
      <c r="Q189" s="11">
        <v>121.44199999999999</v>
      </c>
      <c r="R189" s="11">
        <v>107.149</v>
      </c>
      <c r="S189" s="11">
        <v>109.97499999999999</v>
      </c>
      <c r="T189" s="11">
        <v>107.541</v>
      </c>
      <c r="U189" s="11">
        <v>107.486</v>
      </c>
      <c r="V189" s="11">
        <v>59.506</v>
      </c>
      <c r="W189" s="11">
        <v>62.673000000000002</v>
      </c>
      <c r="X189" s="11">
        <v>40.494</v>
      </c>
      <c r="Y189" s="11">
        <v>37.326999999999998</v>
      </c>
      <c r="Z189" s="11">
        <v>10.044</v>
      </c>
      <c r="AA189" s="11">
        <v>11.895</v>
      </c>
      <c r="AB189" s="11">
        <v>37.326999999999998</v>
      </c>
      <c r="AC189" s="11">
        <v>40.494</v>
      </c>
      <c r="AD189" s="11">
        <v>13.284000000000001</v>
      </c>
      <c r="AE189" s="11">
        <v>9</v>
      </c>
      <c r="AF189" s="11">
        <v>9</v>
      </c>
      <c r="AG189" s="11">
        <v>9</v>
      </c>
      <c r="AH189" s="11">
        <v>9</v>
      </c>
    </row>
    <row r="190" spans="1:34" s="33" customFormat="1" x14ac:dyDescent="0.2">
      <c r="A190" s="11">
        <v>310</v>
      </c>
      <c r="B190" s="11"/>
      <c r="C190" s="11"/>
      <c r="D190" s="11"/>
      <c r="E190" s="11"/>
      <c r="F190" s="11" t="s">
        <v>51</v>
      </c>
      <c r="G190" s="11" t="s">
        <v>51</v>
      </c>
      <c r="H190" s="56" t="str">
        <f>VLOOKUP(Table6[[#This Row],[ICD Code]],ICD_summary!$I$3:$M$38,5,0)</f>
        <v>Misc/Other</v>
      </c>
      <c r="I190" s="12">
        <v>999</v>
      </c>
      <c r="J1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0" s="11" t="s">
        <v>51</v>
      </c>
      <c r="L190" s="11"/>
      <c r="M190" s="11"/>
      <c r="N190" s="11">
        <v>52.814999999999998</v>
      </c>
      <c r="O190" s="11">
        <v>55.356999999999999</v>
      </c>
      <c r="P190" s="11">
        <v>108.53400000000001</v>
      </c>
      <c r="Q190" s="11">
        <v>108.12</v>
      </c>
      <c r="R190" s="11">
        <v>97.6</v>
      </c>
      <c r="S190" s="11">
        <v>97.623999999999995</v>
      </c>
      <c r="T190" s="11">
        <v>107.947</v>
      </c>
      <c r="U190" s="11">
        <v>107.831</v>
      </c>
      <c r="V190" s="11">
        <v>62.95</v>
      </c>
      <c r="W190" s="11">
        <v>63.316000000000003</v>
      </c>
      <c r="X190" s="11">
        <v>37.049999999999997</v>
      </c>
      <c r="Y190" s="11">
        <v>36.683999999999997</v>
      </c>
      <c r="Z190" s="11">
        <v>13.005000000000001</v>
      </c>
      <c r="AA190" s="11">
        <v>13.095000000000001</v>
      </c>
      <c r="AB190" s="11">
        <v>36.683999999999997</v>
      </c>
      <c r="AC190" s="11">
        <v>37.049999999999997</v>
      </c>
      <c r="AD190" s="11">
        <v>6.65</v>
      </c>
      <c r="AE190" s="11">
        <v>11</v>
      </c>
      <c r="AF190" s="11">
        <v>10</v>
      </c>
      <c r="AG190" s="11">
        <v>10</v>
      </c>
      <c r="AH190" s="11">
        <v>10</v>
      </c>
    </row>
    <row r="191" spans="1:34" s="33" customFormat="1" x14ac:dyDescent="0.2">
      <c r="A191" s="11">
        <v>311</v>
      </c>
      <c r="B191" s="11"/>
      <c r="C191" s="11"/>
      <c r="D191" s="11"/>
      <c r="E191" s="11"/>
      <c r="F191" s="11" t="s">
        <v>51</v>
      </c>
      <c r="G191" s="11" t="s">
        <v>51</v>
      </c>
      <c r="H191" s="56" t="str">
        <f>VLOOKUP(Table6[[#This Row],[ICD Code]],ICD_summary!$I$3:$M$38,5,0)</f>
        <v>Misc/Other</v>
      </c>
      <c r="I191" s="12">
        <v>999</v>
      </c>
      <c r="J1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1" s="11" t="s">
        <v>51</v>
      </c>
      <c r="L191" s="11"/>
      <c r="M191" s="11"/>
      <c r="N191" s="11">
        <v>27.768000000000001</v>
      </c>
      <c r="O191" s="11">
        <v>29.474</v>
      </c>
      <c r="P191" s="11">
        <v>56.64</v>
      </c>
      <c r="Q191" s="11">
        <v>58.100999999999999</v>
      </c>
      <c r="R191" s="11">
        <v>62.442999999999998</v>
      </c>
      <c r="S191" s="11">
        <v>64.177999999999997</v>
      </c>
      <c r="T191" s="11">
        <v>130.71700000000001</v>
      </c>
      <c r="U191" s="11">
        <v>131.36500000000001</v>
      </c>
      <c r="V191" s="11">
        <v>60.957999999999998</v>
      </c>
      <c r="W191" s="11">
        <v>68.263000000000005</v>
      </c>
      <c r="X191" s="11">
        <v>39.042000000000002</v>
      </c>
      <c r="Y191" s="11">
        <v>31.736999999999998</v>
      </c>
      <c r="Z191" s="11">
        <v>12.41</v>
      </c>
      <c r="AA191" s="11">
        <v>17.309000000000001</v>
      </c>
      <c r="AB191" s="11">
        <v>31.736999999999998</v>
      </c>
      <c r="AC191" s="11">
        <v>39.042000000000002</v>
      </c>
      <c r="AD191" s="11">
        <v>9.9529999999999994</v>
      </c>
      <c r="AE191" s="11">
        <v>10</v>
      </c>
      <c r="AF191" s="11">
        <v>10</v>
      </c>
      <c r="AG191" s="11">
        <v>10</v>
      </c>
      <c r="AH191" s="11">
        <v>10</v>
      </c>
    </row>
    <row r="192" spans="1:34" s="33" customFormat="1" x14ac:dyDescent="0.2">
      <c r="A192" s="11">
        <v>312</v>
      </c>
      <c r="B192" s="11"/>
      <c r="C192" s="11"/>
      <c r="D192" s="11"/>
      <c r="E192" s="11"/>
      <c r="F192" s="11" t="s">
        <v>51</v>
      </c>
      <c r="G192" s="11" t="s">
        <v>51</v>
      </c>
      <c r="H192" s="56" t="str">
        <f>VLOOKUP(Table6[[#This Row],[ICD Code]],ICD_summary!$I$3:$M$38,5,0)</f>
        <v>Misc/Other</v>
      </c>
      <c r="I192" s="12">
        <v>999</v>
      </c>
      <c r="J1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2" s="11" t="s">
        <v>51</v>
      </c>
      <c r="L192" s="11"/>
      <c r="M192" s="11"/>
      <c r="N192" s="11">
        <v>67.454999999999998</v>
      </c>
      <c r="O192" s="11">
        <v>65.067999999999998</v>
      </c>
      <c r="P192" s="11">
        <v>132.721</v>
      </c>
      <c r="Q192" s="11">
        <v>132.27799999999999</v>
      </c>
      <c r="R192" s="11">
        <v>136.244</v>
      </c>
      <c r="S192" s="11">
        <v>135.953</v>
      </c>
      <c r="T192" s="11">
        <v>122.85299999999999</v>
      </c>
      <c r="U192" s="11">
        <v>122.637</v>
      </c>
      <c r="V192" s="11">
        <v>61.046999999999997</v>
      </c>
      <c r="W192" s="11">
        <v>63.381</v>
      </c>
      <c r="X192" s="11">
        <v>38.953000000000003</v>
      </c>
      <c r="Y192" s="11">
        <v>36.619</v>
      </c>
      <c r="Z192" s="11">
        <v>13.077999999999999</v>
      </c>
      <c r="AA192" s="11">
        <v>12.281000000000001</v>
      </c>
      <c r="AB192" s="11">
        <v>36.619</v>
      </c>
      <c r="AC192" s="11">
        <v>38.953000000000003</v>
      </c>
      <c r="AD192" s="11">
        <v>16.436</v>
      </c>
      <c r="AE192" s="11">
        <v>9</v>
      </c>
      <c r="AF192" s="11">
        <v>7</v>
      </c>
      <c r="AG192" s="11">
        <v>7</v>
      </c>
      <c r="AH192" s="11">
        <v>7</v>
      </c>
    </row>
    <row r="193" spans="1:34" s="33" customFormat="1" x14ac:dyDescent="0.2">
      <c r="A193" s="11">
        <v>313</v>
      </c>
      <c r="B193" s="11"/>
      <c r="C193" s="11"/>
      <c r="D193" s="11"/>
      <c r="E193" s="11"/>
      <c r="F193" s="11" t="s">
        <v>62</v>
      </c>
      <c r="G193" s="11" t="s">
        <v>63</v>
      </c>
      <c r="H193" s="56" t="str">
        <f>VLOOKUP(Table6[[#This Row],[ICD Code]],ICD_summary!$I$3:$M$38,5,0)</f>
        <v>PD</v>
      </c>
      <c r="I193" s="12">
        <v>69.599999999999994</v>
      </c>
      <c r="J1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3" s="11" t="s">
        <v>52</v>
      </c>
      <c r="L193" s="11"/>
      <c r="M193" s="11"/>
      <c r="N193" s="11" t="s">
        <v>51</v>
      </c>
      <c r="O193" s="11" t="s">
        <v>51</v>
      </c>
      <c r="P193" s="11" t="s">
        <v>51</v>
      </c>
      <c r="Q193" s="11" t="s">
        <v>51</v>
      </c>
      <c r="R193" s="11" t="s">
        <v>51</v>
      </c>
      <c r="S193" s="11" t="s">
        <v>51</v>
      </c>
      <c r="T193" s="11" t="s">
        <v>51</v>
      </c>
      <c r="U193" s="11" t="s">
        <v>51</v>
      </c>
      <c r="V193" s="11" t="s">
        <v>51</v>
      </c>
      <c r="W193" s="11" t="s">
        <v>51</v>
      </c>
      <c r="X193" s="11" t="s">
        <v>51</v>
      </c>
      <c r="Y193" s="11" t="s">
        <v>51</v>
      </c>
      <c r="Z193" s="11" t="s">
        <v>51</v>
      </c>
      <c r="AA193" s="11" t="s">
        <v>51</v>
      </c>
      <c r="AB193" s="11" t="s">
        <v>51</v>
      </c>
      <c r="AC193" s="11" t="s">
        <v>51</v>
      </c>
      <c r="AD193" s="11" t="s">
        <v>51</v>
      </c>
      <c r="AE193" s="11" t="s">
        <v>51</v>
      </c>
      <c r="AF193" s="11" t="s">
        <v>51</v>
      </c>
      <c r="AG193" s="11" t="s">
        <v>51</v>
      </c>
      <c r="AH193" s="11" t="s">
        <v>51</v>
      </c>
    </row>
    <row r="194" spans="1:34" s="33" customFormat="1" x14ac:dyDescent="0.2">
      <c r="A194" s="11">
        <v>314</v>
      </c>
      <c r="B194" s="11"/>
      <c r="C194" s="11"/>
      <c r="D194" s="11"/>
      <c r="E194" s="11"/>
      <c r="F194" s="11" t="s">
        <v>51</v>
      </c>
      <c r="G194" s="11" t="s">
        <v>51</v>
      </c>
      <c r="H194" s="56" t="str">
        <f>VLOOKUP(Table6[[#This Row],[ICD Code]],ICD_summary!$I$3:$M$38,5,0)</f>
        <v>Misc/Other</v>
      </c>
      <c r="I194" s="12">
        <v>999</v>
      </c>
      <c r="J1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4" s="11" t="s">
        <v>51</v>
      </c>
      <c r="L194" s="11"/>
      <c r="M194" s="11"/>
      <c r="N194" s="11">
        <v>31.23</v>
      </c>
      <c r="O194" s="11">
        <v>23.835000000000001</v>
      </c>
      <c r="P194" s="11">
        <v>55.104999999999997</v>
      </c>
      <c r="Q194" s="11">
        <v>55.49</v>
      </c>
      <c r="R194" s="11">
        <v>39.460999999999999</v>
      </c>
      <c r="S194" s="11">
        <v>39.845999999999997</v>
      </c>
      <c r="T194" s="11">
        <v>86.031000000000006</v>
      </c>
      <c r="U194" s="11">
        <v>85.555999999999997</v>
      </c>
      <c r="V194" s="11">
        <v>70.655000000000001</v>
      </c>
      <c r="W194" s="11">
        <v>73.715000000000003</v>
      </c>
      <c r="X194" s="11">
        <v>29.344999999999999</v>
      </c>
      <c r="Y194" s="11">
        <v>26.285</v>
      </c>
      <c r="Z194" s="11">
        <v>20.645</v>
      </c>
      <c r="AA194" s="11">
        <v>23.49</v>
      </c>
      <c r="AB194" s="11">
        <v>26.285</v>
      </c>
      <c r="AC194" s="11">
        <v>29.344999999999999</v>
      </c>
      <c r="AD194" s="11">
        <v>11.927</v>
      </c>
      <c r="AE194" s="11">
        <v>15</v>
      </c>
      <c r="AF194" s="11">
        <v>15</v>
      </c>
      <c r="AG194" s="11">
        <v>15</v>
      </c>
      <c r="AH194" s="11">
        <v>15</v>
      </c>
    </row>
    <row r="195" spans="1:34" s="33" customFormat="1" x14ac:dyDescent="0.2">
      <c r="A195" s="11">
        <v>315</v>
      </c>
      <c r="B195" s="11"/>
      <c r="C195" s="11"/>
      <c r="D195" s="11"/>
      <c r="E195" s="11"/>
      <c r="F195" s="11" t="s">
        <v>51</v>
      </c>
      <c r="G195" s="11" t="s">
        <v>51</v>
      </c>
      <c r="H195" s="56" t="str">
        <f>VLOOKUP(Table6[[#This Row],[ICD Code]],ICD_summary!$I$3:$M$38,5,0)</f>
        <v>Misc/Other</v>
      </c>
      <c r="I195" s="12">
        <v>999</v>
      </c>
      <c r="J1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5" s="11" t="s">
        <v>51</v>
      </c>
      <c r="L195" s="11"/>
      <c r="M195" s="11"/>
      <c r="N195" s="11">
        <v>59.912999999999997</v>
      </c>
      <c r="O195" s="11">
        <v>56.59</v>
      </c>
      <c r="P195" s="11">
        <v>117.34</v>
      </c>
      <c r="Q195" s="11">
        <v>116.227</v>
      </c>
      <c r="R195" s="11">
        <v>108.068</v>
      </c>
      <c r="S195" s="11">
        <v>107.172</v>
      </c>
      <c r="T195" s="11">
        <v>109.824</v>
      </c>
      <c r="U195" s="11">
        <v>109.497</v>
      </c>
      <c r="V195" s="11">
        <v>62.585000000000001</v>
      </c>
      <c r="W195" s="11">
        <v>61.814999999999998</v>
      </c>
      <c r="X195" s="11">
        <v>37.414999999999999</v>
      </c>
      <c r="Y195" s="11">
        <v>38.185000000000002</v>
      </c>
      <c r="Z195" s="11">
        <v>12.198</v>
      </c>
      <c r="AA195" s="11">
        <v>12.631</v>
      </c>
      <c r="AB195" s="11">
        <v>38.185000000000002</v>
      </c>
      <c r="AC195" s="11">
        <v>37.414999999999999</v>
      </c>
      <c r="AD195" s="11">
        <v>11.112</v>
      </c>
      <c r="AE195" s="11">
        <v>10</v>
      </c>
      <c r="AF195" s="11">
        <v>11</v>
      </c>
      <c r="AG195" s="11">
        <v>10</v>
      </c>
      <c r="AH195" s="11">
        <v>10</v>
      </c>
    </row>
    <row r="196" spans="1:34" s="33" customFormat="1" x14ac:dyDescent="0.2">
      <c r="A196" s="11">
        <v>316</v>
      </c>
      <c r="B196" s="11"/>
      <c r="C196" s="11"/>
      <c r="D196" s="11"/>
      <c r="E196" s="11"/>
      <c r="F196" s="11" t="s">
        <v>68</v>
      </c>
      <c r="G196" s="11" t="s">
        <v>69</v>
      </c>
      <c r="H196" s="56" t="str">
        <f>VLOOKUP(Table6[[#This Row],[ICD Code]],ICD_summary!$I$3:$M$38,5,0)</f>
        <v>Tremor, essential tremor</v>
      </c>
      <c r="I196" s="12">
        <v>75.599999999999994</v>
      </c>
      <c r="J1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96" s="11" t="s">
        <v>55</v>
      </c>
      <c r="L196" s="11"/>
      <c r="M196" s="11"/>
      <c r="N196" s="11">
        <v>62.558</v>
      </c>
      <c r="O196" s="11">
        <v>62.603000000000002</v>
      </c>
      <c r="P196" s="11">
        <v>124.863</v>
      </c>
      <c r="Q196" s="11">
        <v>125.39100000000001</v>
      </c>
      <c r="R196" s="11">
        <v>125.33</v>
      </c>
      <c r="S196" s="11">
        <v>125.101</v>
      </c>
      <c r="T196" s="11">
        <v>119.47799999999999</v>
      </c>
      <c r="U196" s="11">
        <v>119.494</v>
      </c>
      <c r="V196" s="11">
        <v>60.652000000000001</v>
      </c>
      <c r="W196" s="11">
        <v>60.183</v>
      </c>
      <c r="X196" s="11">
        <v>39.347999999999999</v>
      </c>
      <c r="Y196" s="11">
        <v>39.817</v>
      </c>
      <c r="Z196" s="11">
        <v>10.593</v>
      </c>
      <c r="AA196" s="11">
        <v>10.318</v>
      </c>
      <c r="AB196" s="11">
        <v>39.817</v>
      </c>
      <c r="AC196" s="11">
        <v>39.347999999999999</v>
      </c>
      <c r="AD196" s="11">
        <v>7.0460000000000003</v>
      </c>
      <c r="AE196" s="11">
        <v>9</v>
      </c>
      <c r="AF196" s="11">
        <v>9</v>
      </c>
      <c r="AG196" s="11">
        <v>9</v>
      </c>
      <c r="AH196" s="11">
        <v>9</v>
      </c>
    </row>
    <row r="197" spans="1:34" s="33" customFormat="1" x14ac:dyDescent="0.2">
      <c r="A197" s="11">
        <v>317</v>
      </c>
      <c r="B197" s="11"/>
      <c r="C197" s="11"/>
      <c r="D197" s="11"/>
      <c r="E197" s="11"/>
      <c r="F197" s="11" t="s">
        <v>68</v>
      </c>
      <c r="G197" s="11" t="s">
        <v>69</v>
      </c>
      <c r="H197" s="56" t="str">
        <f>VLOOKUP(Table6[[#This Row],[ICD Code]],ICD_summary!$I$3:$M$38,5,0)</f>
        <v>Tremor, essential tremor</v>
      </c>
      <c r="I197" s="12">
        <v>50.2</v>
      </c>
      <c r="J1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97" s="11" t="s">
        <v>52</v>
      </c>
      <c r="L197" s="11"/>
      <c r="M197" s="11"/>
      <c r="N197" s="11">
        <v>67.021000000000001</v>
      </c>
      <c r="O197" s="11">
        <v>64.103999999999999</v>
      </c>
      <c r="P197" s="11">
        <v>130.78</v>
      </c>
      <c r="Q197" s="11">
        <v>131.09</v>
      </c>
      <c r="R197" s="11">
        <v>107.38500000000001</v>
      </c>
      <c r="S197" s="11">
        <v>107.616</v>
      </c>
      <c r="T197" s="11">
        <v>98.423000000000002</v>
      </c>
      <c r="U197" s="11">
        <v>98.537000000000006</v>
      </c>
      <c r="V197" s="11">
        <v>63.268000000000001</v>
      </c>
      <c r="W197" s="11">
        <v>62.369</v>
      </c>
      <c r="X197" s="11">
        <v>36.731999999999999</v>
      </c>
      <c r="Y197" s="11">
        <v>37.631</v>
      </c>
      <c r="Z197" s="11">
        <v>12.617000000000001</v>
      </c>
      <c r="AA197" s="11">
        <v>12.577</v>
      </c>
      <c r="AB197" s="11">
        <v>37.631</v>
      </c>
      <c r="AC197" s="11">
        <v>36.731999999999999</v>
      </c>
      <c r="AD197" s="11">
        <v>6.0979999999999999</v>
      </c>
      <c r="AE197" s="11">
        <v>8</v>
      </c>
      <c r="AF197" s="11">
        <v>10</v>
      </c>
      <c r="AG197" s="11">
        <v>8</v>
      </c>
      <c r="AH197" s="11">
        <v>8</v>
      </c>
    </row>
    <row r="198" spans="1:34" s="33" customFormat="1" x14ac:dyDescent="0.2">
      <c r="A198" s="11">
        <v>318</v>
      </c>
      <c r="B198" s="11"/>
      <c r="C198" s="11"/>
      <c r="D198" s="11"/>
      <c r="E198" s="11"/>
      <c r="F198" s="11" t="s">
        <v>68</v>
      </c>
      <c r="G198" s="11" t="s">
        <v>69</v>
      </c>
      <c r="H198" s="56" t="str">
        <f>VLOOKUP(Table6[[#This Row],[ICD Code]],ICD_summary!$I$3:$M$38,5,0)</f>
        <v>Tremor, essential tremor</v>
      </c>
      <c r="I198" s="12">
        <v>65</v>
      </c>
      <c r="J1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8" s="11" t="s">
        <v>52</v>
      </c>
      <c r="L198" s="11"/>
      <c r="M198" s="11"/>
      <c r="N198" s="11">
        <v>66.760999999999996</v>
      </c>
      <c r="O198" s="11">
        <v>61.744999999999997</v>
      </c>
      <c r="P198" s="11">
        <v>129.20500000000001</v>
      </c>
      <c r="Q198" s="11">
        <v>128.28200000000001</v>
      </c>
      <c r="R198" s="11">
        <v>123.373</v>
      </c>
      <c r="S198" s="11">
        <v>123.399</v>
      </c>
      <c r="T198" s="11">
        <v>114.11499999999999</v>
      </c>
      <c r="U198" s="11">
        <v>114.643</v>
      </c>
      <c r="V198" s="11">
        <v>62.07</v>
      </c>
      <c r="W198" s="11">
        <v>62.152000000000001</v>
      </c>
      <c r="X198" s="11">
        <v>37.93</v>
      </c>
      <c r="Y198" s="11">
        <v>37.847999999999999</v>
      </c>
      <c r="Z198" s="11">
        <v>14.318</v>
      </c>
      <c r="AA198" s="11">
        <v>10.996</v>
      </c>
      <c r="AB198" s="11">
        <v>37.847999999999999</v>
      </c>
      <c r="AC198" s="11">
        <v>37.93</v>
      </c>
      <c r="AD198" s="11">
        <v>10.19</v>
      </c>
      <c r="AE198" s="11">
        <v>11</v>
      </c>
      <c r="AF198" s="11">
        <v>11</v>
      </c>
      <c r="AG198" s="11">
        <v>11</v>
      </c>
      <c r="AH198" s="11">
        <v>11</v>
      </c>
    </row>
    <row r="199" spans="1:34" s="33" customFormat="1" x14ac:dyDescent="0.2">
      <c r="A199" s="11">
        <v>319</v>
      </c>
      <c r="B199" s="11"/>
      <c r="C199" s="11"/>
      <c r="D199" s="11"/>
      <c r="E199" s="11"/>
      <c r="F199" s="11" t="s">
        <v>51</v>
      </c>
      <c r="G199" s="11" t="s">
        <v>51</v>
      </c>
      <c r="H199" s="56" t="str">
        <f>VLOOKUP(Table6[[#This Row],[ICD Code]],ICD_summary!$I$3:$M$38,5,0)</f>
        <v>Misc/Other</v>
      </c>
      <c r="I199" s="12">
        <v>999</v>
      </c>
      <c r="J1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9" s="11" t="s">
        <v>51</v>
      </c>
      <c r="L199" s="11"/>
      <c r="M199" s="11"/>
      <c r="N199" s="11">
        <v>62.673000000000002</v>
      </c>
      <c r="O199" s="11">
        <v>55.119</v>
      </c>
      <c r="P199" s="11">
        <v>117.914</v>
      </c>
      <c r="Q199" s="11">
        <v>117.77800000000001</v>
      </c>
      <c r="R199" s="11">
        <v>107.04300000000001</v>
      </c>
      <c r="S199" s="11">
        <v>106.81</v>
      </c>
      <c r="T199" s="11">
        <v>108.30200000000001</v>
      </c>
      <c r="U199" s="11">
        <v>108.19499999999999</v>
      </c>
      <c r="V199" s="11">
        <v>62.728999999999999</v>
      </c>
      <c r="W199" s="11">
        <v>61.27</v>
      </c>
      <c r="X199" s="11">
        <v>37.271000000000001</v>
      </c>
      <c r="Y199" s="11">
        <v>38.729999999999997</v>
      </c>
      <c r="Z199" s="11">
        <v>10.132999999999999</v>
      </c>
      <c r="AA199" s="11">
        <v>13.891999999999999</v>
      </c>
      <c r="AB199" s="11">
        <v>38.729999999999997</v>
      </c>
      <c r="AC199" s="11">
        <v>37.271000000000001</v>
      </c>
      <c r="AD199" s="11">
        <v>15.502000000000001</v>
      </c>
      <c r="AE199" s="11">
        <v>10</v>
      </c>
      <c r="AF199" s="11">
        <v>10</v>
      </c>
      <c r="AG199" s="11">
        <v>10</v>
      </c>
      <c r="AH199" s="11">
        <v>10</v>
      </c>
    </row>
    <row r="200" spans="1:34" s="33" customFormat="1" x14ac:dyDescent="0.2">
      <c r="A200" s="11">
        <v>320</v>
      </c>
      <c r="B200" s="11"/>
      <c r="C200" s="11"/>
      <c r="D200" s="11"/>
      <c r="E200" s="11"/>
      <c r="F200" s="11" t="s">
        <v>51</v>
      </c>
      <c r="G200" s="11" t="s">
        <v>51</v>
      </c>
      <c r="H200" s="56" t="str">
        <f>VLOOKUP(Table6[[#This Row],[ICD Code]],ICD_summary!$I$3:$M$38,5,0)</f>
        <v>Misc/Other</v>
      </c>
      <c r="I200" s="12">
        <v>44.2</v>
      </c>
      <c r="J2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00" s="11" t="s">
        <v>52</v>
      </c>
      <c r="L200" s="11"/>
      <c r="M200" s="11"/>
      <c r="N200" s="11" t="s">
        <v>51</v>
      </c>
      <c r="O200" s="11" t="s">
        <v>51</v>
      </c>
      <c r="P200" s="11" t="s">
        <v>51</v>
      </c>
      <c r="Q200" s="11" t="s">
        <v>51</v>
      </c>
      <c r="R200" s="11" t="s">
        <v>51</v>
      </c>
      <c r="S200" s="11" t="s">
        <v>51</v>
      </c>
      <c r="T200" s="11" t="s">
        <v>51</v>
      </c>
      <c r="U200" s="11" t="s">
        <v>51</v>
      </c>
      <c r="V200" s="11" t="s">
        <v>51</v>
      </c>
      <c r="W200" s="11" t="s">
        <v>51</v>
      </c>
      <c r="X200" s="11" t="s">
        <v>51</v>
      </c>
      <c r="Y200" s="11" t="s">
        <v>51</v>
      </c>
      <c r="Z200" s="11" t="s">
        <v>51</v>
      </c>
      <c r="AA200" s="11" t="s">
        <v>51</v>
      </c>
      <c r="AB200" s="11" t="s">
        <v>51</v>
      </c>
      <c r="AC200" s="11" t="s">
        <v>51</v>
      </c>
      <c r="AD200" s="11" t="s">
        <v>51</v>
      </c>
      <c r="AE200" s="11" t="s">
        <v>51</v>
      </c>
      <c r="AF200" s="11" t="s">
        <v>51</v>
      </c>
      <c r="AG200" s="11" t="s">
        <v>51</v>
      </c>
      <c r="AH200" s="11" t="s">
        <v>51</v>
      </c>
    </row>
    <row r="201" spans="1:34" s="33" customFormat="1" x14ac:dyDescent="0.2">
      <c r="A201" s="11">
        <v>321</v>
      </c>
      <c r="B201" s="11"/>
      <c r="C201" s="11"/>
      <c r="D201" s="11"/>
      <c r="E201" s="11"/>
      <c r="F201" s="11" t="s">
        <v>51</v>
      </c>
      <c r="G201" s="11" t="s">
        <v>51</v>
      </c>
      <c r="H201" s="56" t="str">
        <f>VLOOKUP(Table6[[#This Row],[ICD Code]],ICD_summary!$I$3:$M$38,5,0)</f>
        <v>Misc/Other</v>
      </c>
      <c r="I201" s="12">
        <v>999</v>
      </c>
      <c r="J2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01" s="11" t="s">
        <v>51</v>
      </c>
      <c r="L201" s="11"/>
      <c r="M201" s="11"/>
      <c r="N201" s="11" t="s">
        <v>51</v>
      </c>
      <c r="O201" s="11" t="s">
        <v>51</v>
      </c>
      <c r="P201" s="11" t="s">
        <v>51</v>
      </c>
      <c r="Q201" s="11" t="s">
        <v>51</v>
      </c>
      <c r="R201" s="11" t="s">
        <v>51</v>
      </c>
      <c r="S201" s="11" t="s">
        <v>51</v>
      </c>
      <c r="T201" s="11" t="s">
        <v>51</v>
      </c>
      <c r="U201" s="11" t="s">
        <v>51</v>
      </c>
      <c r="V201" s="11" t="s">
        <v>51</v>
      </c>
      <c r="W201" s="11" t="s">
        <v>51</v>
      </c>
      <c r="X201" s="11" t="s">
        <v>51</v>
      </c>
      <c r="Y201" s="11" t="s">
        <v>51</v>
      </c>
      <c r="Z201" s="11" t="s">
        <v>51</v>
      </c>
      <c r="AA201" s="11" t="s">
        <v>51</v>
      </c>
      <c r="AB201" s="11" t="s">
        <v>51</v>
      </c>
      <c r="AC201" s="11" t="s">
        <v>51</v>
      </c>
      <c r="AD201" s="11" t="s">
        <v>51</v>
      </c>
      <c r="AE201" s="11" t="s">
        <v>51</v>
      </c>
      <c r="AF201" s="11" t="s">
        <v>51</v>
      </c>
      <c r="AG201" s="11" t="s">
        <v>51</v>
      </c>
      <c r="AH201" s="11" t="s">
        <v>51</v>
      </c>
    </row>
    <row r="202" spans="1:34" s="33" customFormat="1" x14ac:dyDescent="0.2">
      <c r="A202" s="11">
        <v>322</v>
      </c>
      <c r="B202" s="11"/>
      <c r="C202" s="11"/>
      <c r="D202" s="11"/>
      <c r="E202" s="11"/>
      <c r="F202" s="11" t="s">
        <v>62</v>
      </c>
      <c r="G202" s="11" t="s">
        <v>63</v>
      </c>
      <c r="H202" s="56" t="str">
        <f>VLOOKUP(Table6[[#This Row],[ICD Code]],ICD_summary!$I$3:$M$38,5,0)</f>
        <v>PD</v>
      </c>
      <c r="I202" s="12">
        <v>75</v>
      </c>
      <c r="J2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2" s="11" t="s">
        <v>52</v>
      </c>
      <c r="L202" s="11"/>
      <c r="M202" s="11"/>
      <c r="N202" s="11">
        <v>40.909999999999997</v>
      </c>
      <c r="O202" s="11">
        <v>37.569000000000003</v>
      </c>
      <c r="P202" s="11">
        <v>79.010999999999996</v>
      </c>
      <c r="Q202" s="11">
        <v>77.370999999999995</v>
      </c>
      <c r="R202" s="11">
        <v>77.668000000000006</v>
      </c>
      <c r="S202" s="11">
        <v>76.521000000000001</v>
      </c>
      <c r="T202" s="11">
        <v>118.67700000000001</v>
      </c>
      <c r="U202" s="11">
        <v>118.04900000000001</v>
      </c>
      <c r="V202" s="11">
        <v>66.168000000000006</v>
      </c>
      <c r="W202" s="11">
        <v>64.768000000000001</v>
      </c>
      <c r="X202" s="11">
        <v>33.832000000000001</v>
      </c>
      <c r="Y202" s="11">
        <v>35.231999999999999</v>
      </c>
      <c r="Z202" s="11">
        <v>12.222</v>
      </c>
      <c r="AA202" s="11">
        <v>18.059000000000001</v>
      </c>
      <c r="AB202" s="11">
        <v>35.231999999999999</v>
      </c>
      <c r="AC202" s="11">
        <v>33.832000000000001</v>
      </c>
      <c r="AD202" s="11">
        <v>16.745000000000001</v>
      </c>
      <c r="AE202" s="11">
        <v>13</v>
      </c>
      <c r="AF202" s="11">
        <v>14</v>
      </c>
      <c r="AG202" s="11">
        <v>13</v>
      </c>
      <c r="AH202" s="11">
        <v>13</v>
      </c>
    </row>
    <row r="203" spans="1:34" s="33" customFormat="1" x14ac:dyDescent="0.2">
      <c r="A203" s="11">
        <v>323</v>
      </c>
      <c r="B203" s="11"/>
      <c r="C203" s="11"/>
      <c r="D203" s="11"/>
      <c r="E203" s="11"/>
      <c r="F203" s="11" t="s">
        <v>62</v>
      </c>
      <c r="G203" s="11" t="s">
        <v>63</v>
      </c>
      <c r="H203" s="56" t="str">
        <f>VLOOKUP(Table6[[#This Row],[ICD Code]],ICD_summary!$I$3:$M$38,5,0)</f>
        <v>PD</v>
      </c>
      <c r="I203" s="12">
        <v>71.3</v>
      </c>
      <c r="J2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3" s="11" t="s">
        <v>52</v>
      </c>
      <c r="L203" s="11"/>
      <c r="M203" s="11"/>
      <c r="N203" s="11">
        <v>53.371000000000002</v>
      </c>
      <c r="O203" s="11">
        <v>55.128</v>
      </c>
      <c r="P203" s="11">
        <v>109.157</v>
      </c>
      <c r="Q203" s="11">
        <v>108.521</v>
      </c>
      <c r="R203" s="11">
        <v>84.364999999999995</v>
      </c>
      <c r="S203" s="11">
        <v>84.679000000000002</v>
      </c>
      <c r="T203" s="11">
        <v>92.841999999999999</v>
      </c>
      <c r="U203" s="11">
        <v>93.650999999999996</v>
      </c>
      <c r="V203" s="11">
        <v>63.673000000000002</v>
      </c>
      <c r="W203" s="11">
        <v>63.354999999999997</v>
      </c>
      <c r="X203" s="11">
        <v>36.326999999999998</v>
      </c>
      <c r="Y203" s="11">
        <v>36.645000000000003</v>
      </c>
      <c r="Z203" s="11">
        <v>14.273999999999999</v>
      </c>
      <c r="AA203" s="11">
        <v>13.24</v>
      </c>
      <c r="AB203" s="11">
        <v>36.645000000000003</v>
      </c>
      <c r="AC203" s="11">
        <v>36.326999999999998</v>
      </c>
      <c r="AD203" s="11">
        <v>10.526</v>
      </c>
      <c r="AE203" s="11">
        <v>12</v>
      </c>
      <c r="AF203" s="11">
        <v>11</v>
      </c>
      <c r="AG203" s="11">
        <v>11</v>
      </c>
      <c r="AH203" s="11">
        <v>11</v>
      </c>
    </row>
    <row r="204" spans="1:34" s="33" customFormat="1" x14ac:dyDescent="0.2">
      <c r="A204" s="11">
        <v>324</v>
      </c>
      <c r="B204" s="11"/>
      <c r="C204" s="11"/>
      <c r="D204" s="11"/>
      <c r="E204" s="11"/>
      <c r="F204" s="11" t="s">
        <v>51</v>
      </c>
      <c r="G204" s="11" t="s">
        <v>51</v>
      </c>
      <c r="H204" s="56" t="str">
        <f>VLOOKUP(Table6[[#This Row],[ICD Code]],ICD_summary!$I$3:$M$38,5,0)</f>
        <v>Misc/Other</v>
      </c>
      <c r="I204" s="12">
        <v>71.7</v>
      </c>
      <c r="J2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4" s="11" t="s">
        <v>52</v>
      </c>
      <c r="L204" s="11"/>
      <c r="M204" s="11"/>
      <c r="N204" s="11" t="s">
        <v>51</v>
      </c>
      <c r="O204" s="11" t="s">
        <v>51</v>
      </c>
      <c r="P204" s="11" t="s">
        <v>51</v>
      </c>
      <c r="Q204" s="11" t="s">
        <v>51</v>
      </c>
      <c r="R204" s="11" t="s">
        <v>51</v>
      </c>
      <c r="S204" s="11" t="s">
        <v>51</v>
      </c>
      <c r="T204" s="11" t="s">
        <v>51</v>
      </c>
      <c r="U204" s="11" t="s">
        <v>51</v>
      </c>
      <c r="V204" s="11" t="s">
        <v>51</v>
      </c>
      <c r="W204" s="11" t="s">
        <v>51</v>
      </c>
      <c r="X204" s="11" t="s">
        <v>51</v>
      </c>
      <c r="Y204" s="11" t="s">
        <v>51</v>
      </c>
      <c r="Z204" s="11" t="s">
        <v>51</v>
      </c>
      <c r="AA204" s="11" t="s">
        <v>51</v>
      </c>
      <c r="AB204" s="11" t="s">
        <v>51</v>
      </c>
      <c r="AC204" s="11" t="s">
        <v>51</v>
      </c>
      <c r="AD204" s="11" t="s">
        <v>51</v>
      </c>
      <c r="AE204" s="11" t="s">
        <v>51</v>
      </c>
      <c r="AF204" s="11" t="s">
        <v>51</v>
      </c>
      <c r="AG204" s="11" t="s">
        <v>51</v>
      </c>
      <c r="AH204" s="11" t="s">
        <v>51</v>
      </c>
    </row>
    <row r="205" spans="1:34" s="33" customFormat="1" x14ac:dyDescent="0.2">
      <c r="A205" s="11">
        <v>325</v>
      </c>
      <c r="B205" s="11"/>
      <c r="C205" s="11"/>
      <c r="D205" s="11"/>
      <c r="E205" s="11"/>
      <c r="F205" s="11" t="s">
        <v>68</v>
      </c>
      <c r="G205" s="11" t="s">
        <v>69</v>
      </c>
      <c r="H205" s="56" t="str">
        <f>VLOOKUP(Table6[[#This Row],[ICD Code]],ICD_summary!$I$3:$M$38,5,0)</f>
        <v>Tremor, essential tremor</v>
      </c>
      <c r="I205" s="12">
        <v>78.400000000000006</v>
      </c>
      <c r="J2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5" s="11" t="s">
        <v>55</v>
      </c>
      <c r="L205" s="11"/>
      <c r="M205" s="11"/>
      <c r="N205" s="11">
        <v>47.603000000000002</v>
      </c>
      <c r="O205" s="11">
        <v>48.305</v>
      </c>
      <c r="P205" s="11">
        <v>96.623999999999995</v>
      </c>
      <c r="Q205" s="11">
        <v>95.74</v>
      </c>
      <c r="R205" s="11">
        <v>94.378</v>
      </c>
      <c r="S205" s="11">
        <v>93.463999999999999</v>
      </c>
      <c r="T205" s="11">
        <v>116.872</v>
      </c>
      <c r="U205" s="11">
        <v>116.837</v>
      </c>
      <c r="V205" s="11">
        <v>64.792000000000002</v>
      </c>
      <c r="W205" s="11">
        <v>63.905000000000001</v>
      </c>
      <c r="X205" s="11">
        <v>35.207999999999998</v>
      </c>
      <c r="Y205" s="11">
        <v>36.094000000000001</v>
      </c>
      <c r="Z205" s="11">
        <v>14.106999999999999</v>
      </c>
      <c r="AA205" s="11">
        <v>14.659000000000001</v>
      </c>
      <c r="AB205" s="11">
        <v>36.094000000000001</v>
      </c>
      <c r="AC205" s="11">
        <v>35.207999999999998</v>
      </c>
      <c r="AD205" s="11">
        <v>11.294</v>
      </c>
      <c r="AE205" s="11">
        <v>13</v>
      </c>
      <c r="AF205" s="11">
        <v>14</v>
      </c>
      <c r="AG205" s="11">
        <v>13</v>
      </c>
      <c r="AH205" s="11">
        <v>13</v>
      </c>
    </row>
    <row r="206" spans="1:34" s="33" customFormat="1" x14ac:dyDescent="0.2">
      <c r="A206" s="11">
        <v>326</v>
      </c>
      <c r="B206" s="11"/>
      <c r="C206" s="11"/>
      <c r="D206" s="11"/>
      <c r="E206" s="11"/>
      <c r="F206" s="11" t="s">
        <v>62</v>
      </c>
      <c r="G206" s="11" t="s">
        <v>63</v>
      </c>
      <c r="H206" s="56" t="str">
        <f>VLOOKUP(Table6[[#This Row],[ICD Code]],ICD_summary!$I$3:$M$38,5,0)</f>
        <v>PD</v>
      </c>
      <c r="I206" s="12">
        <v>75.2</v>
      </c>
      <c r="J2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6" s="11" t="s">
        <v>55</v>
      </c>
      <c r="L206" s="11"/>
      <c r="M206" s="11"/>
      <c r="N206" s="11">
        <v>30.745000000000001</v>
      </c>
      <c r="O206" s="11">
        <v>35.854999999999997</v>
      </c>
      <c r="P206" s="11">
        <v>67.768000000000001</v>
      </c>
      <c r="Q206" s="11">
        <v>66.424999999999997</v>
      </c>
      <c r="R206" s="11">
        <v>53.93</v>
      </c>
      <c r="S206" s="11">
        <v>53.055999999999997</v>
      </c>
      <c r="T206" s="11">
        <v>94.554000000000002</v>
      </c>
      <c r="U206" s="11">
        <v>94.804000000000002</v>
      </c>
      <c r="V206" s="11">
        <v>66.105000000000004</v>
      </c>
      <c r="W206" s="11">
        <v>66.096999999999994</v>
      </c>
      <c r="X206" s="11">
        <v>33.895000000000003</v>
      </c>
      <c r="Y206" s="11">
        <v>33.902999999999999</v>
      </c>
      <c r="Z206" s="11">
        <v>16.802</v>
      </c>
      <c r="AA206" s="11">
        <v>15.481</v>
      </c>
      <c r="AB206" s="11">
        <v>33.902999999999999</v>
      </c>
      <c r="AC206" s="11">
        <v>33.895000000000003</v>
      </c>
      <c r="AD206" s="11">
        <v>11.727</v>
      </c>
      <c r="AE206" s="11">
        <v>17</v>
      </c>
      <c r="AF206" s="11">
        <v>18</v>
      </c>
      <c r="AG206" s="11">
        <v>17</v>
      </c>
      <c r="AH206" s="11">
        <v>17</v>
      </c>
    </row>
    <row r="207" spans="1:34" s="33" customFormat="1" x14ac:dyDescent="0.2">
      <c r="A207" s="11">
        <v>327</v>
      </c>
      <c r="B207" s="11"/>
      <c r="C207" s="11"/>
      <c r="D207" s="11"/>
      <c r="E207" s="11"/>
      <c r="F207" s="11" t="s">
        <v>62</v>
      </c>
      <c r="G207" s="11" t="s">
        <v>63</v>
      </c>
      <c r="H207" s="56" t="str">
        <f>VLOOKUP(Table6[[#This Row],[ICD Code]],ICD_summary!$I$3:$M$38,5,0)</f>
        <v>PD</v>
      </c>
      <c r="I207" s="12">
        <v>64.2</v>
      </c>
      <c r="J2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07" s="11" t="s">
        <v>52</v>
      </c>
      <c r="L207" s="11"/>
      <c r="M207" s="11"/>
      <c r="N207" s="11">
        <v>58.164000000000001</v>
      </c>
      <c r="O207" s="11">
        <v>62.371000000000002</v>
      </c>
      <c r="P207" s="11">
        <v>121.79300000000001</v>
      </c>
      <c r="Q207" s="11">
        <v>120.55800000000001</v>
      </c>
      <c r="R207" s="11">
        <v>131.80600000000001</v>
      </c>
      <c r="S207" s="11">
        <v>130.941</v>
      </c>
      <c r="T207" s="11">
        <v>129.774</v>
      </c>
      <c r="U207" s="11">
        <v>129.88999999999999</v>
      </c>
      <c r="V207" s="11">
        <v>61.98</v>
      </c>
      <c r="W207" s="11">
        <v>62.55</v>
      </c>
      <c r="X207" s="11">
        <v>38.020000000000003</v>
      </c>
      <c r="Y207" s="11">
        <v>37.450000000000003</v>
      </c>
      <c r="Z207" s="11">
        <v>12.345000000000001</v>
      </c>
      <c r="AA207" s="11">
        <v>12.54</v>
      </c>
      <c r="AB207" s="11">
        <v>37.450000000000003</v>
      </c>
      <c r="AC207" s="11">
        <v>38.020000000000003</v>
      </c>
      <c r="AD207" s="11">
        <v>13.385999999999999</v>
      </c>
      <c r="AE207" s="11">
        <v>10</v>
      </c>
      <c r="AF207" s="11">
        <v>11</v>
      </c>
      <c r="AG207" s="11">
        <v>10</v>
      </c>
      <c r="AH207" s="11">
        <v>10</v>
      </c>
    </row>
    <row r="208" spans="1:34" s="33" customFormat="1" x14ac:dyDescent="0.2">
      <c r="A208" s="11">
        <v>328</v>
      </c>
      <c r="B208" s="11"/>
      <c r="C208" s="11"/>
      <c r="D208" s="11"/>
      <c r="E208" s="11"/>
      <c r="F208" s="11" t="s">
        <v>62</v>
      </c>
      <c r="G208" s="11" t="s">
        <v>63</v>
      </c>
      <c r="H208" s="56" t="str">
        <f>VLOOKUP(Table6[[#This Row],[ICD Code]],ICD_summary!$I$3:$M$38,5,0)</f>
        <v>PD</v>
      </c>
      <c r="I208" s="12">
        <v>60.6</v>
      </c>
      <c r="J2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08" s="11" t="s">
        <v>52</v>
      </c>
      <c r="L208" s="11"/>
      <c r="M208" s="11"/>
      <c r="N208" s="11">
        <v>62.658999999999999</v>
      </c>
      <c r="O208" s="11">
        <v>60.554000000000002</v>
      </c>
      <c r="P208" s="11">
        <v>123.696</v>
      </c>
      <c r="Q208" s="11">
        <v>123.908</v>
      </c>
      <c r="R208" s="11">
        <v>124.16200000000001</v>
      </c>
      <c r="S208" s="11">
        <v>124.73099999999999</v>
      </c>
      <c r="T208" s="11">
        <v>119.919</v>
      </c>
      <c r="U208" s="11">
        <v>119.13800000000001</v>
      </c>
      <c r="V208" s="11">
        <v>59.451999999999998</v>
      </c>
      <c r="W208" s="11">
        <v>61.534999999999997</v>
      </c>
      <c r="X208" s="11">
        <v>40.548000000000002</v>
      </c>
      <c r="Y208" s="11">
        <v>38.465000000000003</v>
      </c>
      <c r="Z208" s="11">
        <v>10.746</v>
      </c>
      <c r="AA208" s="11">
        <v>11.087</v>
      </c>
      <c r="AB208" s="11">
        <v>38.465000000000003</v>
      </c>
      <c r="AC208" s="11">
        <v>40.548000000000002</v>
      </c>
      <c r="AD208" s="11">
        <v>12.327999999999999</v>
      </c>
      <c r="AE208" s="11">
        <v>10</v>
      </c>
      <c r="AF208" s="11">
        <v>10</v>
      </c>
      <c r="AG208" s="11">
        <v>10</v>
      </c>
      <c r="AH208" s="11">
        <v>10</v>
      </c>
    </row>
    <row r="209" spans="1:34" s="33" customFormat="1" x14ac:dyDescent="0.2">
      <c r="A209" s="11">
        <v>329</v>
      </c>
      <c r="B209" s="11"/>
      <c r="C209" s="11"/>
      <c r="D209" s="11"/>
      <c r="E209" s="11"/>
      <c r="F209" s="11" t="s">
        <v>51</v>
      </c>
      <c r="G209" s="11" t="s">
        <v>51</v>
      </c>
      <c r="H209" s="56" t="str">
        <f>VLOOKUP(Table6[[#This Row],[ICD Code]],ICD_summary!$I$3:$M$38,5,0)</f>
        <v>Misc/Other</v>
      </c>
      <c r="I209" s="12">
        <v>999</v>
      </c>
      <c r="J2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09" s="11" t="s">
        <v>51</v>
      </c>
      <c r="L209" s="11"/>
      <c r="M209" s="11"/>
      <c r="N209" s="11">
        <v>26.963000000000001</v>
      </c>
      <c r="O209" s="11">
        <v>29.355</v>
      </c>
      <c r="P209" s="11">
        <v>56.378</v>
      </c>
      <c r="Q209" s="11">
        <v>56.287999999999997</v>
      </c>
      <c r="R209" s="11">
        <v>50.043999999999997</v>
      </c>
      <c r="S209" s="11">
        <v>49.673999999999999</v>
      </c>
      <c r="T209" s="11">
        <v>106.242</v>
      </c>
      <c r="U209" s="11">
        <v>105.54300000000001</v>
      </c>
      <c r="V209" s="11">
        <v>66.643000000000001</v>
      </c>
      <c r="W209" s="11">
        <v>71.578000000000003</v>
      </c>
      <c r="X209" s="11">
        <v>33.356999999999999</v>
      </c>
      <c r="Y209" s="11">
        <v>28.422000000000001</v>
      </c>
      <c r="Z209" s="11">
        <v>18.658999999999999</v>
      </c>
      <c r="AA209" s="11">
        <v>20.391999999999999</v>
      </c>
      <c r="AB209" s="11">
        <v>28.422000000000001</v>
      </c>
      <c r="AC209" s="11">
        <v>33.356999999999999</v>
      </c>
      <c r="AD209" s="11">
        <v>24.605</v>
      </c>
      <c r="AE209" s="11">
        <v>19</v>
      </c>
      <c r="AF209" s="11">
        <v>18</v>
      </c>
      <c r="AG209" s="11">
        <v>18</v>
      </c>
      <c r="AH209" s="11">
        <v>18</v>
      </c>
    </row>
    <row r="210" spans="1:34" s="33" customFormat="1" x14ac:dyDescent="0.2">
      <c r="A210" s="11">
        <v>330</v>
      </c>
      <c r="B210" s="11"/>
      <c r="C210" s="11"/>
      <c r="D210" s="11"/>
      <c r="E210" s="11"/>
      <c r="F210" s="11" t="s">
        <v>51</v>
      </c>
      <c r="G210" s="11" t="s">
        <v>51</v>
      </c>
      <c r="H210" s="56" t="str">
        <f>VLOOKUP(Table6[[#This Row],[ICD Code]],ICD_summary!$I$3:$M$38,5,0)</f>
        <v>Misc/Other</v>
      </c>
      <c r="I210" s="12">
        <v>999</v>
      </c>
      <c r="J2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0" s="11" t="s">
        <v>51</v>
      </c>
      <c r="L210" s="11"/>
      <c r="M210" s="11"/>
      <c r="N210" s="11">
        <v>48.512</v>
      </c>
      <c r="O210" s="11">
        <v>43.128999999999998</v>
      </c>
      <c r="P210" s="11">
        <v>92.391999999999996</v>
      </c>
      <c r="Q210" s="11">
        <v>91.659000000000006</v>
      </c>
      <c r="R210" s="11">
        <v>73.043000000000006</v>
      </c>
      <c r="S210" s="11">
        <v>73.548000000000002</v>
      </c>
      <c r="T210" s="11">
        <v>95.177999999999997</v>
      </c>
      <c r="U210" s="11">
        <v>95.787999999999997</v>
      </c>
      <c r="V210" s="11">
        <v>64.894999999999996</v>
      </c>
      <c r="W210" s="11">
        <v>67.429000000000002</v>
      </c>
      <c r="X210" s="11">
        <v>35.104999999999997</v>
      </c>
      <c r="Y210" s="11">
        <v>32.570999999999998</v>
      </c>
      <c r="Z210" s="11">
        <v>15.084</v>
      </c>
      <c r="AA210" s="11">
        <v>17.422999999999998</v>
      </c>
      <c r="AB210" s="11">
        <v>32.570999999999998</v>
      </c>
      <c r="AC210" s="11">
        <v>35.104999999999997</v>
      </c>
      <c r="AD210" s="11">
        <v>16.693999999999999</v>
      </c>
      <c r="AE210" s="11">
        <v>14</v>
      </c>
      <c r="AF210" s="11">
        <v>14</v>
      </c>
      <c r="AG210" s="11">
        <v>14</v>
      </c>
      <c r="AH210" s="11">
        <v>14</v>
      </c>
    </row>
    <row r="211" spans="1:34" s="33" customFormat="1" x14ac:dyDescent="0.2">
      <c r="A211" s="11">
        <v>331</v>
      </c>
      <c r="B211" s="11"/>
      <c r="C211" s="11"/>
      <c r="D211" s="11"/>
      <c r="E211" s="11"/>
      <c r="F211" s="11" t="s">
        <v>51</v>
      </c>
      <c r="G211" s="11" t="s">
        <v>51</v>
      </c>
      <c r="H211" s="56" t="str">
        <f>VLOOKUP(Table6[[#This Row],[ICD Code]],ICD_summary!$I$3:$M$38,5,0)</f>
        <v>Misc/Other</v>
      </c>
      <c r="I211" s="12">
        <v>67.3</v>
      </c>
      <c r="J2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1" s="11" t="s">
        <v>55</v>
      </c>
      <c r="L211" s="11"/>
      <c r="M211" s="11"/>
      <c r="N211" s="11" t="s">
        <v>51</v>
      </c>
      <c r="O211" s="11" t="s">
        <v>51</v>
      </c>
      <c r="P211" s="11" t="s">
        <v>51</v>
      </c>
      <c r="Q211" s="11" t="s">
        <v>51</v>
      </c>
      <c r="R211" s="11" t="s">
        <v>51</v>
      </c>
      <c r="S211" s="11" t="s">
        <v>51</v>
      </c>
      <c r="T211" s="11" t="s">
        <v>51</v>
      </c>
      <c r="U211" s="11" t="s">
        <v>51</v>
      </c>
      <c r="V211" s="11" t="s">
        <v>51</v>
      </c>
      <c r="W211" s="11" t="s">
        <v>51</v>
      </c>
      <c r="X211" s="11" t="s">
        <v>51</v>
      </c>
      <c r="Y211" s="11" t="s">
        <v>51</v>
      </c>
      <c r="Z211" s="11" t="s">
        <v>51</v>
      </c>
      <c r="AA211" s="11" t="s">
        <v>51</v>
      </c>
      <c r="AB211" s="11" t="s">
        <v>51</v>
      </c>
      <c r="AC211" s="11" t="s">
        <v>51</v>
      </c>
      <c r="AD211" s="11" t="s">
        <v>51</v>
      </c>
      <c r="AE211" s="11" t="s">
        <v>51</v>
      </c>
      <c r="AF211" s="11" t="s">
        <v>51</v>
      </c>
      <c r="AG211" s="11" t="s">
        <v>51</v>
      </c>
      <c r="AH211" s="11" t="s">
        <v>51</v>
      </c>
    </row>
    <row r="212" spans="1:34" s="33" customFormat="1" x14ac:dyDescent="0.2">
      <c r="A212" s="11">
        <v>332</v>
      </c>
      <c r="B212" s="11"/>
      <c r="C212" s="11"/>
      <c r="D212" s="11"/>
      <c r="E212" s="11"/>
      <c r="F212" s="11" t="s">
        <v>62</v>
      </c>
      <c r="G212" s="11" t="s">
        <v>63</v>
      </c>
      <c r="H212" s="56" t="str">
        <f>VLOOKUP(Table6[[#This Row],[ICD Code]],ICD_summary!$I$3:$M$38,5,0)</f>
        <v>PD</v>
      </c>
      <c r="I212" s="12">
        <v>61.6</v>
      </c>
      <c r="J2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2" s="11" t="s">
        <v>55</v>
      </c>
      <c r="L212" s="11"/>
      <c r="M212" s="11"/>
      <c r="N212" s="11">
        <v>40.738999999999997</v>
      </c>
      <c r="O212" s="11">
        <v>44.137999999999998</v>
      </c>
      <c r="P212" s="11">
        <v>84.683999999999997</v>
      </c>
      <c r="Q212" s="11">
        <v>84.817999999999998</v>
      </c>
      <c r="R212" s="11">
        <v>72.358000000000004</v>
      </c>
      <c r="S212" s="11">
        <v>73.126000000000005</v>
      </c>
      <c r="T212" s="11">
        <v>103.255</v>
      </c>
      <c r="U212" s="11">
        <v>103.76900000000001</v>
      </c>
      <c r="V212" s="11">
        <v>64.19</v>
      </c>
      <c r="W212" s="11">
        <v>67.290000000000006</v>
      </c>
      <c r="X212" s="11">
        <v>35.81</v>
      </c>
      <c r="Y212" s="11">
        <v>32.71</v>
      </c>
      <c r="Z212" s="11">
        <v>15.949</v>
      </c>
      <c r="AA212" s="11">
        <v>15.236000000000001</v>
      </c>
      <c r="AB212" s="11">
        <v>32.71</v>
      </c>
      <c r="AC212" s="11">
        <v>35.81</v>
      </c>
      <c r="AD212" s="11">
        <v>11.215</v>
      </c>
      <c r="AE212" s="11">
        <v>11</v>
      </c>
      <c r="AF212" s="11">
        <v>11</v>
      </c>
      <c r="AG212" s="11">
        <v>11</v>
      </c>
      <c r="AH212" s="11">
        <v>11</v>
      </c>
    </row>
    <row r="213" spans="1:34" s="33" customFormat="1" x14ac:dyDescent="0.2">
      <c r="A213" s="11">
        <v>333</v>
      </c>
      <c r="B213" s="11"/>
      <c r="C213" s="11"/>
      <c r="D213" s="11"/>
      <c r="E213" s="11"/>
      <c r="F213" s="11" t="s">
        <v>51</v>
      </c>
      <c r="G213" s="11" t="s">
        <v>51</v>
      </c>
      <c r="H213" s="56" t="str">
        <f>VLOOKUP(Table6[[#This Row],[ICD Code]],ICD_summary!$I$3:$M$38,5,0)</f>
        <v>Misc/Other</v>
      </c>
      <c r="I213" s="12">
        <v>999</v>
      </c>
      <c r="J2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3" s="11" t="s">
        <v>51</v>
      </c>
      <c r="L213" s="11"/>
      <c r="M213" s="11"/>
      <c r="N213" s="11" t="s">
        <v>51</v>
      </c>
      <c r="O213" s="11" t="s">
        <v>51</v>
      </c>
      <c r="P213" s="11" t="s">
        <v>51</v>
      </c>
      <c r="Q213" s="11" t="s">
        <v>51</v>
      </c>
      <c r="R213" s="11" t="s">
        <v>51</v>
      </c>
      <c r="S213" s="11" t="s">
        <v>51</v>
      </c>
      <c r="T213" s="11" t="s">
        <v>51</v>
      </c>
      <c r="U213" s="11" t="s">
        <v>51</v>
      </c>
      <c r="V213" s="11" t="s">
        <v>51</v>
      </c>
      <c r="W213" s="11" t="s">
        <v>51</v>
      </c>
      <c r="X213" s="11" t="s">
        <v>51</v>
      </c>
      <c r="Y213" s="11" t="s">
        <v>51</v>
      </c>
      <c r="Z213" s="11" t="s">
        <v>51</v>
      </c>
      <c r="AA213" s="11" t="s">
        <v>51</v>
      </c>
      <c r="AB213" s="11" t="s">
        <v>51</v>
      </c>
      <c r="AC213" s="11" t="s">
        <v>51</v>
      </c>
      <c r="AD213" s="11" t="s">
        <v>51</v>
      </c>
      <c r="AE213" s="11" t="s">
        <v>51</v>
      </c>
      <c r="AF213" s="11" t="s">
        <v>51</v>
      </c>
      <c r="AG213" s="11" t="s">
        <v>51</v>
      </c>
      <c r="AH213" s="11" t="s">
        <v>51</v>
      </c>
    </row>
    <row r="214" spans="1:34" s="33" customFormat="1" x14ac:dyDescent="0.2">
      <c r="A214" s="11">
        <v>334</v>
      </c>
      <c r="B214" s="11"/>
      <c r="C214" s="11"/>
      <c r="D214" s="11"/>
      <c r="E214" s="11"/>
      <c r="F214" s="11" t="s">
        <v>51</v>
      </c>
      <c r="G214" s="11" t="s">
        <v>51</v>
      </c>
      <c r="H214" s="56" t="str">
        <f>VLOOKUP(Table6[[#This Row],[ICD Code]],ICD_summary!$I$3:$M$38,5,0)</f>
        <v>Misc/Other</v>
      </c>
      <c r="I214" s="12">
        <v>999</v>
      </c>
      <c r="J2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4" s="11" t="s">
        <v>51</v>
      </c>
      <c r="L214" s="11"/>
      <c r="M214" s="11"/>
      <c r="N214" s="11">
        <v>40.375</v>
      </c>
      <c r="O214" s="11">
        <v>29.242999999999999</v>
      </c>
      <c r="P214" s="11">
        <v>67.269000000000005</v>
      </c>
      <c r="Q214" s="11">
        <v>67.608999999999995</v>
      </c>
      <c r="R214" s="11">
        <v>78.103999999999999</v>
      </c>
      <c r="S214" s="11">
        <v>79.504000000000005</v>
      </c>
      <c r="T214" s="11">
        <v>161.87899999999999</v>
      </c>
      <c r="U214" s="11">
        <v>161.553</v>
      </c>
      <c r="V214" s="11">
        <v>67.165000000000006</v>
      </c>
      <c r="W214" s="11">
        <v>60.152000000000001</v>
      </c>
      <c r="X214" s="11">
        <v>32.835000000000001</v>
      </c>
      <c r="Y214" s="11">
        <v>39.847999999999999</v>
      </c>
      <c r="Z214" s="11">
        <v>14.849</v>
      </c>
      <c r="AA214" s="11">
        <v>13.472</v>
      </c>
      <c r="AB214" s="11">
        <v>39.847999999999999</v>
      </c>
      <c r="AC214" s="11">
        <v>32.835000000000001</v>
      </c>
      <c r="AD214" s="11">
        <v>17.603000000000002</v>
      </c>
      <c r="AE214" s="11">
        <v>24</v>
      </c>
      <c r="AF214" s="11">
        <v>24</v>
      </c>
      <c r="AG214" s="11">
        <v>24</v>
      </c>
      <c r="AH214" s="11">
        <v>24</v>
      </c>
    </row>
    <row r="215" spans="1:34" s="33" customFormat="1" x14ac:dyDescent="0.2">
      <c r="A215" s="11">
        <v>335</v>
      </c>
      <c r="B215" s="11"/>
      <c r="C215" s="11"/>
      <c r="D215" s="11"/>
      <c r="E215" s="11"/>
      <c r="F215" s="11" t="s">
        <v>72</v>
      </c>
      <c r="G215" s="11" t="s">
        <v>73</v>
      </c>
      <c r="H215" s="56" t="str">
        <f>VLOOKUP(Table6[[#This Row],[ICD Code]],ICD_summary!$I$3:$M$38,5,0)</f>
        <v>Tremor, other</v>
      </c>
      <c r="I215" s="12">
        <v>77.8</v>
      </c>
      <c r="J2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15" s="11" t="s">
        <v>52</v>
      </c>
      <c r="L215" s="11"/>
      <c r="M215" s="11"/>
      <c r="N215" s="11">
        <v>68.855000000000004</v>
      </c>
      <c r="O215" s="11">
        <v>65.814999999999998</v>
      </c>
      <c r="P215" s="11">
        <v>134.822</v>
      </c>
      <c r="Q215" s="11">
        <v>135.05799999999999</v>
      </c>
      <c r="R215" s="11">
        <v>121.075</v>
      </c>
      <c r="S215" s="11">
        <v>120.9</v>
      </c>
      <c r="T215" s="11">
        <v>107.248</v>
      </c>
      <c r="U215" s="11">
        <v>107.282</v>
      </c>
      <c r="V215" s="11">
        <v>62.442</v>
      </c>
      <c r="W215" s="11">
        <v>62.52</v>
      </c>
      <c r="X215" s="11">
        <v>37.558</v>
      </c>
      <c r="Y215" s="11">
        <v>37.479999999999997</v>
      </c>
      <c r="Z215" s="11">
        <v>13.725</v>
      </c>
      <c r="AA215" s="11">
        <v>11.833</v>
      </c>
      <c r="AB215" s="11">
        <v>37.479999999999997</v>
      </c>
      <c r="AC215" s="11">
        <v>37.558</v>
      </c>
      <c r="AD215" s="11">
        <v>6.9249999999999998</v>
      </c>
      <c r="AE215" s="11">
        <v>11</v>
      </c>
      <c r="AF215" s="11">
        <v>12</v>
      </c>
      <c r="AG215" s="11">
        <v>11</v>
      </c>
      <c r="AH215" s="11">
        <v>11</v>
      </c>
    </row>
    <row r="216" spans="1:34" s="33" customFormat="1" x14ac:dyDescent="0.2">
      <c r="A216" s="11">
        <v>336</v>
      </c>
      <c r="B216" s="11"/>
      <c r="C216" s="11"/>
      <c r="D216" s="11"/>
      <c r="E216" s="11"/>
      <c r="F216" s="11" t="s">
        <v>51</v>
      </c>
      <c r="G216" s="11" t="s">
        <v>51</v>
      </c>
      <c r="H216" s="56" t="str">
        <f>VLOOKUP(Table6[[#This Row],[ICD Code]],ICD_summary!$I$3:$M$38,5,0)</f>
        <v>Misc/Other</v>
      </c>
      <c r="I216" s="12">
        <v>90.8</v>
      </c>
      <c r="J2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K216" s="11" t="s">
        <v>55</v>
      </c>
      <c r="L216" s="11"/>
      <c r="M216" s="11"/>
      <c r="N216" s="11" t="s">
        <v>51</v>
      </c>
      <c r="O216" s="11" t="s">
        <v>51</v>
      </c>
      <c r="P216" s="11" t="s">
        <v>51</v>
      </c>
      <c r="Q216" s="11" t="s">
        <v>51</v>
      </c>
      <c r="R216" s="11" t="s">
        <v>51</v>
      </c>
      <c r="S216" s="11" t="s">
        <v>51</v>
      </c>
      <c r="T216" s="11" t="s">
        <v>51</v>
      </c>
      <c r="U216" s="11" t="s">
        <v>51</v>
      </c>
      <c r="V216" s="11" t="s">
        <v>51</v>
      </c>
      <c r="W216" s="11" t="s">
        <v>51</v>
      </c>
      <c r="X216" s="11" t="s">
        <v>51</v>
      </c>
      <c r="Y216" s="11" t="s">
        <v>51</v>
      </c>
      <c r="Z216" s="11" t="s">
        <v>51</v>
      </c>
      <c r="AA216" s="11" t="s">
        <v>51</v>
      </c>
      <c r="AB216" s="11" t="s">
        <v>51</v>
      </c>
      <c r="AC216" s="11" t="s">
        <v>51</v>
      </c>
      <c r="AD216" s="11" t="s">
        <v>51</v>
      </c>
      <c r="AE216" s="11" t="s">
        <v>51</v>
      </c>
      <c r="AF216" s="11" t="s">
        <v>51</v>
      </c>
      <c r="AG216" s="11" t="s">
        <v>51</v>
      </c>
      <c r="AH216" s="11" t="s">
        <v>51</v>
      </c>
    </row>
    <row r="217" spans="1:34" s="33" customFormat="1" x14ac:dyDescent="0.2">
      <c r="A217" s="11">
        <v>337</v>
      </c>
      <c r="B217" s="11"/>
      <c r="C217" s="11"/>
      <c r="D217" s="11"/>
      <c r="E217" s="11"/>
      <c r="F217" s="11" t="s">
        <v>62</v>
      </c>
      <c r="G217" s="11" t="s">
        <v>63</v>
      </c>
      <c r="H217" s="56" t="str">
        <f>VLOOKUP(Table6[[#This Row],[ICD Code]],ICD_summary!$I$3:$M$38,5,0)</f>
        <v>PD</v>
      </c>
      <c r="I217" s="12">
        <v>65.099999999999994</v>
      </c>
      <c r="J2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7" s="11" t="s">
        <v>55</v>
      </c>
      <c r="L217" s="11"/>
      <c r="M217" s="11"/>
      <c r="N217" s="11">
        <v>35.271999999999998</v>
      </c>
      <c r="O217" s="11">
        <v>38.273000000000003</v>
      </c>
      <c r="P217" s="11">
        <v>74.153999999999996</v>
      </c>
      <c r="Q217" s="11">
        <v>73.126999999999995</v>
      </c>
      <c r="R217" s="11">
        <v>60.265999999999998</v>
      </c>
      <c r="S217" s="11">
        <v>60.161999999999999</v>
      </c>
      <c r="T217" s="11">
        <v>97</v>
      </c>
      <c r="U217" s="11">
        <v>97.046999999999997</v>
      </c>
      <c r="V217" s="11">
        <v>67.019000000000005</v>
      </c>
      <c r="W217" s="11">
        <v>64.341999999999999</v>
      </c>
      <c r="X217" s="11">
        <v>32.981000000000002</v>
      </c>
      <c r="Y217" s="11">
        <v>35.658000000000001</v>
      </c>
      <c r="Z217" s="11">
        <v>11.079000000000001</v>
      </c>
      <c r="AA217" s="11">
        <v>20.561</v>
      </c>
      <c r="AB217" s="11">
        <v>35.658000000000001</v>
      </c>
      <c r="AC217" s="11">
        <v>32.981000000000002</v>
      </c>
      <c r="AD217" s="11">
        <v>10.263</v>
      </c>
      <c r="AE217" s="11">
        <v>18</v>
      </c>
      <c r="AF217" s="11">
        <v>19</v>
      </c>
      <c r="AG217" s="11">
        <v>18</v>
      </c>
      <c r="AH217" s="11">
        <v>18</v>
      </c>
    </row>
    <row r="218" spans="1:34" s="33" customFormat="1" x14ac:dyDescent="0.2">
      <c r="A218" s="11">
        <v>338</v>
      </c>
      <c r="B218" s="11"/>
      <c r="C218" s="11"/>
      <c r="D218" s="11"/>
      <c r="E218" s="11"/>
      <c r="F218" s="11" t="s">
        <v>51</v>
      </c>
      <c r="G218" s="11" t="s">
        <v>51</v>
      </c>
      <c r="H218" s="56" t="str">
        <f>VLOOKUP(Table6[[#This Row],[ICD Code]],ICD_summary!$I$3:$M$38,5,0)</f>
        <v>Misc/Other</v>
      </c>
      <c r="I218" s="12">
        <v>999</v>
      </c>
      <c r="J2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8" s="11" t="s">
        <v>51</v>
      </c>
      <c r="L218" s="11"/>
      <c r="M218" s="11"/>
      <c r="N218" s="11">
        <v>60.994999999999997</v>
      </c>
      <c r="O218" s="11">
        <v>63.988</v>
      </c>
      <c r="P218" s="11">
        <v>125.33499999999999</v>
      </c>
      <c r="Q218" s="11">
        <v>125.19799999999999</v>
      </c>
      <c r="R218" s="11">
        <v>117.80200000000001</v>
      </c>
      <c r="S218" s="11">
        <v>117.62</v>
      </c>
      <c r="T218" s="11">
        <v>112.196</v>
      </c>
      <c r="U218" s="11">
        <v>112.01900000000001</v>
      </c>
      <c r="V218" s="11">
        <v>61.765999999999998</v>
      </c>
      <c r="W218" s="11">
        <v>63.06</v>
      </c>
      <c r="X218" s="11">
        <v>38.234000000000002</v>
      </c>
      <c r="Y218" s="11">
        <v>36.94</v>
      </c>
      <c r="Z218" s="11">
        <v>12.769</v>
      </c>
      <c r="AA218" s="11">
        <v>12.198</v>
      </c>
      <c r="AB218" s="11">
        <v>36.94</v>
      </c>
      <c r="AC218" s="11">
        <v>38.234000000000002</v>
      </c>
      <c r="AD218" s="11">
        <v>11.182</v>
      </c>
      <c r="AE218" s="11">
        <v>10</v>
      </c>
      <c r="AF218" s="11">
        <v>10</v>
      </c>
      <c r="AG218" s="11">
        <v>10</v>
      </c>
      <c r="AH218" s="11">
        <v>10</v>
      </c>
    </row>
    <row r="219" spans="1:34" s="33" customFormat="1" x14ac:dyDescent="0.2">
      <c r="A219" s="11">
        <v>339</v>
      </c>
      <c r="B219" s="11"/>
      <c r="C219" s="11"/>
      <c r="D219" s="11"/>
      <c r="E219" s="11"/>
      <c r="F219" s="11" t="s">
        <v>51</v>
      </c>
      <c r="G219" s="11" t="s">
        <v>51</v>
      </c>
      <c r="H219" s="56" t="str">
        <f>VLOOKUP(Table6[[#This Row],[ICD Code]],ICD_summary!$I$3:$M$38,5,0)</f>
        <v>Misc/Other</v>
      </c>
      <c r="I219" s="12">
        <v>50.8</v>
      </c>
      <c r="J2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19" s="11" t="s">
        <v>55</v>
      </c>
      <c r="L219" s="11"/>
      <c r="M219" s="11"/>
      <c r="N219" s="11" t="s">
        <v>51</v>
      </c>
      <c r="O219" s="11" t="s">
        <v>51</v>
      </c>
      <c r="P219" s="11" t="s">
        <v>51</v>
      </c>
      <c r="Q219" s="11" t="s">
        <v>51</v>
      </c>
      <c r="R219" s="11" t="s">
        <v>51</v>
      </c>
      <c r="S219" s="11" t="s">
        <v>51</v>
      </c>
      <c r="T219" s="11" t="s">
        <v>51</v>
      </c>
      <c r="U219" s="11" t="s">
        <v>51</v>
      </c>
      <c r="V219" s="11" t="s">
        <v>51</v>
      </c>
      <c r="W219" s="11" t="s">
        <v>51</v>
      </c>
      <c r="X219" s="11" t="s">
        <v>51</v>
      </c>
      <c r="Y219" s="11" t="s">
        <v>51</v>
      </c>
      <c r="Z219" s="11" t="s">
        <v>51</v>
      </c>
      <c r="AA219" s="11" t="s">
        <v>51</v>
      </c>
      <c r="AB219" s="11" t="s">
        <v>51</v>
      </c>
      <c r="AC219" s="11" t="s">
        <v>51</v>
      </c>
      <c r="AD219" s="11" t="s">
        <v>51</v>
      </c>
      <c r="AE219" s="11" t="s">
        <v>51</v>
      </c>
      <c r="AF219" s="11" t="s">
        <v>51</v>
      </c>
      <c r="AG219" s="11" t="s">
        <v>51</v>
      </c>
      <c r="AH219" s="11" t="s">
        <v>51</v>
      </c>
    </row>
    <row r="220" spans="1:34" s="33" customFormat="1" x14ac:dyDescent="0.2">
      <c r="A220" s="11">
        <v>340</v>
      </c>
      <c r="B220" s="11"/>
      <c r="C220" s="11"/>
      <c r="D220" s="11"/>
      <c r="E220" s="11"/>
      <c r="F220" s="11" t="s">
        <v>51</v>
      </c>
      <c r="G220" s="11" t="s">
        <v>51</v>
      </c>
      <c r="H220" s="56" t="str">
        <f>VLOOKUP(Table6[[#This Row],[ICD Code]],ICD_summary!$I$3:$M$38,5,0)</f>
        <v>Misc/Other</v>
      </c>
      <c r="I220" s="12">
        <v>999</v>
      </c>
      <c r="J2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0" s="11" t="s">
        <v>51</v>
      </c>
      <c r="L220" s="11"/>
      <c r="M220" s="11"/>
      <c r="N220" s="11">
        <v>52.334000000000003</v>
      </c>
      <c r="O220" s="11">
        <v>49.465000000000003</v>
      </c>
      <c r="P220" s="11">
        <v>102.033</v>
      </c>
      <c r="Q220" s="11">
        <v>101.583</v>
      </c>
      <c r="R220" s="11">
        <v>99.88</v>
      </c>
      <c r="S220" s="11">
        <v>99.114000000000004</v>
      </c>
      <c r="T220" s="11">
        <v>116.95099999999999</v>
      </c>
      <c r="U220" s="11">
        <v>115.712</v>
      </c>
      <c r="V220" s="11">
        <v>64.248999999999995</v>
      </c>
      <c r="W220" s="11">
        <v>62.384999999999998</v>
      </c>
      <c r="X220" s="11">
        <v>35.750999999999998</v>
      </c>
      <c r="Y220" s="11">
        <v>37.615000000000002</v>
      </c>
      <c r="Z220" s="11">
        <v>12.423</v>
      </c>
      <c r="AA220" s="11">
        <v>15.063000000000001</v>
      </c>
      <c r="AB220" s="11">
        <v>37.615000000000002</v>
      </c>
      <c r="AC220" s="11">
        <v>35.750999999999998</v>
      </c>
      <c r="AD220" s="11">
        <v>17.27</v>
      </c>
      <c r="AE220" s="11">
        <v>13</v>
      </c>
      <c r="AF220" s="11">
        <v>12</v>
      </c>
      <c r="AG220" s="11">
        <v>12</v>
      </c>
      <c r="AH220" s="11">
        <v>12</v>
      </c>
    </row>
    <row r="221" spans="1:34" s="33" customFormat="1" x14ac:dyDescent="0.2">
      <c r="A221" s="11">
        <v>341</v>
      </c>
      <c r="B221" s="11"/>
      <c r="C221" s="11"/>
      <c r="D221" s="11"/>
      <c r="E221" s="11"/>
      <c r="F221" s="11" t="s">
        <v>62</v>
      </c>
      <c r="G221" s="11" t="s">
        <v>63</v>
      </c>
      <c r="H221" s="56" t="str">
        <f>VLOOKUP(Table6[[#This Row],[ICD Code]],ICD_summary!$I$3:$M$38,5,0)</f>
        <v>PD</v>
      </c>
      <c r="I221" s="12">
        <v>78.900000000000006</v>
      </c>
      <c r="J2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1" s="11" t="s">
        <v>55</v>
      </c>
      <c r="L221" s="11"/>
      <c r="M221" s="11"/>
      <c r="N221" s="11">
        <v>45.478000000000002</v>
      </c>
      <c r="O221" s="11">
        <v>50.95</v>
      </c>
      <c r="P221" s="11">
        <v>96.884</v>
      </c>
      <c r="Q221" s="11">
        <v>96.433000000000007</v>
      </c>
      <c r="R221" s="11">
        <v>86.462999999999994</v>
      </c>
      <c r="S221" s="11">
        <v>86.031000000000006</v>
      </c>
      <c r="T221" s="11">
        <v>106.14</v>
      </c>
      <c r="U221" s="11">
        <v>106.193</v>
      </c>
      <c r="V221" s="11">
        <v>64.843000000000004</v>
      </c>
      <c r="W221" s="11">
        <v>63.662999999999997</v>
      </c>
      <c r="X221" s="11">
        <v>35.156999999999996</v>
      </c>
      <c r="Y221" s="11">
        <v>36.337000000000003</v>
      </c>
      <c r="Z221" s="11">
        <v>15.198</v>
      </c>
      <c r="AA221" s="11">
        <v>13.742000000000001</v>
      </c>
      <c r="AB221" s="11">
        <v>36.337000000000003</v>
      </c>
      <c r="AC221" s="11">
        <v>35.156999999999996</v>
      </c>
      <c r="AD221" s="11">
        <v>12.704000000000001</v>
      </c>
      <c r="AE221" s="11">
        <v>11</v>
      </c>
      <c r="AF221" s="11">
        <v>14</v>
      </c>
      <c r="AG221" s="11">
        <v>11</v>
      </c>
      <c r="AH221" s="11">
        <v>11</v>
      </c>
    </row>
    <row r="222" spans="1:34" s="33" customFormat="1" x14ac:dyDescent="0.2">
      <c r="A222" s="11">
        <v>342</v>
      </c>
      <c r="B222" s="11"/>
      <c r="C222" s="11"/>
      <c r="D222" s="11"/>
      <c r="E222" s="11"/>
      <c r="F222" s="11" t="s">
        <v>62</v>
      </c>
      <c r="G222" s="11" t="s">
        <v>63</v>
      </c>
      <c r="H222" s="56" t="str">
        <f>VLOOKUP(Table6[[#This Row],[ICD Code]],ICD_summary!$I$3:$M$38,5,0)</f>
        <v>PD</v>
      </c>
      <c r="I222" s="12">
        <v>63.3</v>
      </c>
      <c r="J2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2" s="11" t="s">
        <v>52</v>
      </c>
      <c r="L222" s="11"/>
      <c r="M222" s="11"/>
      <c r="N222" s="11" t="s">
        <v>51</v>
      </c>
      <c r="O222" s="11" t="s">
        <v>51</v>
      </c>
      <c r="P222" s="11" t="s">
        <v>51</v>
      </c>
      <c r="Q222" s="11" t="s">
        <v>51</v>
      </c>
      <c r="R222" s="11" t="s">
        <v>51</v>
      </c>
      <c r="S222" s="11" t="s">
        <v>51</v>
      </c>
      <c r="T222" s="11" t="s">
        <v>51</v>
      </c>
      <c r="U222" s="11" t="s">
        <v>51</v>
      </c>
      <c r="V222" s="11" t="s">
        <v>51</v>
      </c>
      <c r="W222" s="11" t="s">
        <v>51</v>
      </c>
      <c r="X222" s="11" t="s">
        <v>51</v>
      </c>
      <c r="Y222" s="11" t="s">
        <v>51</v>
      </c>
      <c r="Z222" s="11" t="s">
        <v>51</v>
      </c>
      <c r="AA222" s="11" t="s">
        <v>51</v>
      </c>
      <c r="AB222" s="11" t="s">
        <v>51</v>
      </c>
      <c r="AC222" s="11" t="s">
        <v>51</v>
      </c>
      <c r="AD222" s="11" t="s">
        <v>51</v>
      </c>
      <c r="AE222" s="11" t="s">
        <v>51</v>
      </c>
      <c r="AF222" s="11" t="s">
        <v>51</v>
      </c>
      <c r="AG222" s="11" t="s">
        <v>51</v>
      </c>
      <c r="AH222" s="11" t="s">
        <v>51</v>
      </c>
    </row>
    <row r="223" spans="1:34" s="33" customFormat="1" x14ac:dyDescent="0.2">
      <c r="A223" s="11">
        <v>344</v>
      </c>
      <c r="B223" s="11"/>
      <c r="C223" s="11"/>
      <c r="D223" s="11"/>
      <c r="E223" s="11"/>
      <c r="F223" s="11" t="s">
        <v>72</v>
      </c>
      <c r="G223" s="11" t="s">
        <v>73</v>
      </c>
      <c r="H223" s="56" t="str">
        <f>VLOOKUP(Table6[[#This Row],[ICD Code]],ICD_summary!$I$3:$M$38,5,0)</f>
        <v>Tremor, other</v>
      </c>
      <c r="I223" s="12">
        <v>75.8</v>
      </c>
      <c r="J2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3" s="11" t="s">
        <v>52</v>
      </c>
      <c r="L223" s="11"/>
      <c r="M223" s="11"/>
      <c r="N223" s="11">
        <v>64.942999999999998</v>
      </c>
      <c r="O223" s="11">
        <v>65.760000000000005</v>
      </c>
      <c r="P223" s="11">
        <v>130.483</v>
      </c>
      <c r="Q223" s="11">
        <v>131.29</v>
      </c>
      <c r="R223" s="11">
        <v>120.46599999999999</v>
      </c>
      <c r="S223" s="11">
        <v>121.19799999999999</v>
      </c>
      <c r="T223" s="11">
        <v>110.089</v>
      </c>
      <c r="U223" s="11">
        <v>110.28</v>
      </c>
      <c r="V223" s="11">
        <v>61.844999999999999</v>
      </c>
      <c r="W223" s="11">
        <v>62.478999999999999</v>
      </c>
      <c r="X223" s="11">
        <v>38.155000000000001</v>
      </c>
      <c r="Y223" s="11">
        <v>37.521000000000001</v>
      </c>
      <c r="Z223" s="11">
        <v>11.116</v>
      </c>
      <c r="AA223" s="11">
        <v>13.472</v>
      </c>
      <c r="AB223" s="11">
        <v>37.521000000000001</v>
      </c>
      <c r="AC223" s="11">
        <v>38.155000000000001</v>
      </c>
      <c r="AD223" s="11">
        <v>8.0519999999999996</v>
      </c>
      <c r="AE223" s="11">
        <v>11</v>
      </c>
      <c r="AF223" s="11">
        <v>10</v>
      </c>
      <c r="AG223" s="11">
        <v>10</v>
      </c>
      <c r="AH223" s="11">
        <v>10</v>
      </c>
    </row>
    <row r="224" spans="1:34" s="33" customFormat="1" x14ac:dyDescent="0.2">
      <c r="A224" s="11">
        <v>345</v>
      </c>
      <c r="B224" s="11"/>
      <c r="C224" s="11"/>
      <c r="D224" s="11"/>
      <c r="E224" s="11"/>
      <c r="F224" s="11" t="s">
        <v>51</v>
      </c>
      <c r="G224" s="11" t="s">
        <v>51</v>
      </c>
      <c r="H224" s="56" t="str">
        <f>VLOOKUP(Table6[[#This Row],[ICD Code]],ICD_summary!$I$3:$M$38,5,0)</f>
        <v>Misc/Other</v>
      </c>
      <c r="I224" s="12">
        <v>999</v>
      </c>
      <c r="J2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4" s="11" t="s">
        <v>51</v>
      </c>
      <c r="L224" s="11"/>
      <c r="M224" s="11"/>
      <c r="N224" s="11">
        <v>37.042999999999999</v>
      </c>
      <c r="O224" s="11">
        <v>35.332000000000001</v>
      </c>
      <c r="P224" s="11">
        <v>73.739999999999995</v>
      </c>
      <c r="Q224" s="11">
        <v>73.197000000000003</v>
      </c>
      <c r="R224" s="11">
        <v>53.246000000000002</v>
      </c>
      <c r="S224" s="11">
        <v>52.991</v>
      </c>
      <c r="T224" s="11">
        <v>87.844999999999999</v>
      </c>
      <c r="U224" s="11">
        <v>86.915000000000006</v>
      </c>
      <c r="V224" s="11">
        <v>65.409000000000006</v>
      </c>
      <c r="W224" s="11">
        <v>64.13</v>
      </c>
      <c r="X224" s="11">
        <v>34.591000000000001</v>
      </c>
      <c r="Y224" s="11">
        <v>35.869999999999997</v>
      </c>
      <c r="Z224" s="11">
        <v>15.839</v>
      </c>
      <c r="AA224" s="11">
        <v>14.76</v>
      </c>
      <c r="AB224" s="11">
        <v>35.869999999999997</v>
      </c>
      <c r="AC224" s="11">
        <v>34.591000000000001</v>
      </c>
      <c r="AD224" s="11">
        <v>10.936</v>
      </c>
      <c r="AE224" s="11">
        <v>13</v>
      </c>
      <c r="AF224" s="11">
        <v>13</v>
      </c>
      <c r="AG224" s="11">
        <v>13</v>
      </c>
      <c r="AH224" s="11">
        <v>13</v>
      </c>
    </row>
    <row r="225" spans="1:34" s="33" customFormat="1" x14ac:dyDescent="0.2">
      <c r="A225" s="11">
        <v>346</v>
      </c>
      <c r="B225" s="11"/>
      <c r="C225" s="11"/>
      <c r="D225" s="11"/>
      <c r="E225" s="11"/>
      <c r="F225" s="11" t="s">
        <v>51</v>
      </c>
      <c r="G225" s="11" t="s">
        <v>51</v>
      </c>
      <c r="H225" s="56" t="str">
        <f>VLOOKUP(Table6[[#This Row],[ICD Code]],ICD_summary!$I$3:$M$38,5,0)</f>
        <v>Misc/Other</v>
      </c>
      <c r="I225" s="12">
        <v>999</v>
      </c>
      <c r="J2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5" s="11" t="s">
        <v>51</v>
      </c>
      <c r="L225" s="11"/>
      <c r="M225" s="11"/>
      <c r="N225" s="11" t="s">
        <v>51</v>
      </c>
      <c r="O225" s="11" t="s">
        <v>51</v>
      </c>
      <c r="P225" s="11" t="s">
        <v>51</v>
      </c>
      <c r="Q225" s="11" t="s">
        <v>51</v>
      </c>
      <c r="R225" s="11" t="s">
        <v>51</v>
      </c>
      <c r="S225" s="11" t="s">
        <v>51</v>
      </c>
      <c r="T225" s="11" t="s">
        <v>51</v>
      </c>
      <c r="U225" s="11" t="s">
        <v>51</v>
      </c>
      <c r="V225" s="11" t="s">
        <v>51</v>
      </c>
      <c r="W225" s="11" t="s">
        <v>51</v>
      </c>
      <c r="X225" s="11" t="s">
        <v>51</v>
      </c>
      <c r="Y225" s="11" t="s">
        <v>51</v>
      </c>
      <c r="Z225" s="11" t="s">
        <v>51</v>
      </c>
      <c r="AA225" s="11" t="s">
        <v>51</v>
      </c>
      <c r="AB225" s="11" t="s">
        <v>51</v>
      </c>
      <c r="AC225" s="11" t="s">
        <v>51</v>
      </c>
      <c r="AD225" s="11" t="s">
        <v>51</v>
      </c>
      <c r="AE225" s="11" t="s">
        <v>51</v>
      </c>
      <c r="AF225" s="11" t="s">
        <v>51</v>
      </c>
      <c r="AG225" s="11" t="s">
        <v>51</v>
      </c>
      <c r="AH225" s="11" t="s">
        <v>51</v>
      </c>
    </row>
    <row r="226" spans="1:34" s="33" customFormat="1" x14ac:dyDescent="0.2">
      <c r="A226" s="11">
        <v>347</v>
      </c>
      <c r="B226" s="11"/>
      <c r="C226" s="11"/>
      <c r="D226" s="11"/>
      <c r="E226" s="11"/>
      <c r="F226" s="11" t="s">
        <v>62</v>
      </c>
      <c r="G226" s="11" t="s">
        <v>63</v>
      </c>
      <c r="H226" s="56" t="str">
        <f>VLOOKUP(Table6[[#This Row],[ICD Code]],ICD_summary!$I$3:$M$38,5,0)</f>
        <v>PD</v>
      </c>
      <c r="I226" s="12">
        <v>69.2</v>
      </c>
      <c r="J2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6" s="11" t="s">
        <v>52</v>
      </c>
      <c r="L226" s="11"/>
      <c r="M226" s="11"/>
      <c r="N226" s="11">
        <v>39.529000000000003</v>
      </c>
      <c r="O226" s="11">
        <v>39.811</v>
      </c>
      <c r="P226" s="11">
        <v>79.162999999999997</v>
      </c>
      <c r="Q226" s="11">
        <v>78.861999999999995</v>
      </c>
      <c r="R226" s="11">
        <v>66.262</v>
      </c>
      <c r="S226" s="11">
        <v>66.322000000000003</v>
      </c>
      <c r="T226" s="11">
        <v>99.837000000000003</v>
      </c>
      <c r="U226" s="11">
        <v>100.98699999999999</v>
      </c>
      <c r="V226" s="11">
        <v>70.052000000000007</v>
      </c>
      <c r="W226" s="11">
        <v>67.477999999999994</v>
      </c>
      <c r="X226" s="11">
        <v>29.948</v>
      </c>
      <c r="Y226" s="11">
        <v>32.521999999999998</v>
      </c>
      <c r="Z226" s="11">
        <v>18.39</v>
      </c>
      <c r="AA226" s="11">
        <v>19.989000000000001</v>
      </c>
      <c r="AB226" s="11">
        <v>32.521999999999998</v>
      </c>
      <c r="AC226" s="11">
        <v>29.948</v>
      </c>
      <c r="AD226" s="11">
        <v>13.243</v>
      </c>
      <c r="AE226" s="11">
        <v>11</v>
      </c>
      <c r="AF226" s="11">
        <v>12</v>
      </c>
      <c r="AG226" s="11">
        <v>11</v>
      </c>
      <c r="AH226" s="11">
        <v>11</v>
      </c>
    </row>
    <row r="227" spans="1:34" s="33" customFormat="1" x14ac:dyDescent="0.2">
      <c r="A227" s="11">
        <v>348</v>
      </c>
      <c r="B227" s="11"/>
      <c r="C227" s="11"/>
      <c r="D227" s="11"/>
      <c r="E227" s="11"/>
      <c r="F227" s="11" t="s">
        <v>51</v>
      </c>
      <c r="G227" s="11" t="s">
        <v>51</v>
      </c>
      <c r="H227" s="56" t="str">
        <f>VLOOKUP(Table6[[#This Row],[ICD Code]],ICD_summary!$I$3:$M$38,5,0)</f>
        <v>Misc/Other</v>
      </c>
      <c r="I227" s="12">
        <v>999</v>
      </c>
      <c r="J2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7" s="11" t="s">
        <v>51</v>
      </c>
      <c r="L227" s="11"/>
      <c r="M227" s="11"/>
      <c r="N227" s="11" t="s">
        <v>51</v>
      </c>
      <c r="O227" s="11" t="s">
        <v>51</v>
      </c>
      <c r="P227" s="11" t="s">
        <v>51</v>
      </c>
      <c r="Q227" s="11" t="s">
        <v>51</v>
      </c>
      <c r="R227" s="11" t="s">
        <v>51</v>
      </c>
      <c r="S227" s="11" t="s">
        <v>51</v>
      </c>
      <c r="T227" s="11" t="s">
        <v>51</v>
      </c>
      <c r="U227" s="11" t="s">
        <v>51</v>
      </c>
      <c r="V227" s="11" t="s">
        <v>51</v>
      </c>
      <c r="W227" s="11" t="s">
        <v>51</v>
      </c>
      <c r="X227" s="11" t="s">
        <v>51</v>
      </c>
      <c r="Y227" s="11" t="s">
        <v>51</v>
      </c>
      <c r="Z227" s="11" t="s">
        <v>51</v>
      </c>
      <c r="AA227" s="11" t="s">
        <v>51</v>
      </c>
      <c r="AB227" s="11" t="s">
        <v>51</v>
      </c>
      <c r="AC227" s="11" t="s">
        <v>51</v>
      </c>
      <c r="AD227" s="11" t="s">
        <v>51</v>
      </c>
      <c r="AE227" s="11" t="s">
        <v>51</v>
      </c>
      <c r="AF227" s="11" t="s">
        <v>51</v>
      </c>
      <c r="AG227" s="11" t="s">
        <v>51</v>
      </c>
      <c r="AH227" s="11" t="s">
        <v>51</v>
      </c>
    </row>
    <row r="228" spans="1:34" s="33" customFormat="1" x14ac:dyDescent="0.2">
      <c r="A228" s="11">
        <v>349</v>
      </c>
      <c r="B228" s="11"/>
      <c r="C228" s="11"/>
      <c r="D228" s="11"/>
      <c r="E228" s="11"/>
      <c r="F228" s="11" t="s">
        <v>51</v>
      </c>
      <c r="G228" s="11" t="s">
        <v>51</v>
      </c>
      <c r="H228" s="56" t="str">
        <f>VLOOKUP(Table6[[#This Row],[ICD Code]],ICD_summary!$I$3:$M$38,5,0)</f>
        <v>Misc/Other</v>
      </c>
      <c r="I228" s="12">
        <v>74.5</v>
      </c>
      <c r="J2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8" s="11" t="s">
        <v>52</v>
      </c>
      <c r="L228" s="11"/>
      <c r="M228" s="11"/>
      <c r="N228" s="11" t="s">
        <v>51</v>
      </c>
      <c r="O228" s="11" t="s">
        <v>51</v>
      </c>
      <c r="P228" s="11" t="s">
        <v>51</v>
      </c>
      <c r="Q228" s="11" t="s">
        <v>51</v>
      </c>
      <c r="R228" s="11" t="s">
        <v>51</v>
      </c>
      <c r="S228" s="11" t="s">
        <v>51</v>
      </c>
      <c r="T228" s="11" t="s">
        <v>51</v>
      </c>
      <c r="U228" s="11" t="s">
        <v>51</v>
      </c>
      <c r="V228" s="11" t="s">
        <v>51</v>
      </c>
      <c r="W228" s="11" t="s">
        <v>51</v>
      </c>
      <c r="X228" s="11" t="s">
        <v>51</v>
      </c>
      <c r="Y228" s="11" t="s">
        <v>51</v>
      </c>
      <c r="Z228" s="11" t="s">
        <v>51</v>
      </c>
      <c r="AA228" s="11" t="s">
        <v>51</v>
      </c>
      <c r="AB228" s="11" t="s">
        <v>51</v>
      </c>
      <c r="AC228" s="11" t="s">
        <v>51</v>
      </c>
      <c r="AD228" s="11" t="s">
        <v>51</v>
      </c>
      <c r="AE228" s="11" t="s">
        <v>51</v>
      </c>
      <c r="AF228" s="11" t="s">
        <v>51</v>
      </c>
      <c r="AG228" s="11" t="s">
        <v>51</v>
      </c>
      <c r="AH228" s="11" t="s">
        <v>51</v>
      </c>
    </row>
    <row r="229" spans="1:34" s="33" customFormat="1" x14ac:dyDescent="0.2">
      <c r="A229" s="11">
        <v>350</v>
      </c>
      <c r="B229" s="11"/>
      <c r="C229" s="11"/>
      <c r="D229" s="11"/>
      <c r="E229" s="11"/>
      <c r="F229" s="11" t="s">
        <v>62</v>
      </c>
      <c r="G229" s="11" t="s">
        <v>63</v>
      </c>
      <c r="H229" s="56" t="str">
        <f>VLOOKUP(Table6[[#This Row],[ICD Code]],ICD_summary!$I$3:$M$38,5,0)</f>
        <v>PD</v>
      </c>
      <c r="I229" s="12">
        <v>65.5</v>
      </c>
      <c r="J2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9" s="11" t="s">
        <v>52</v>
      </c>
      <c r="L229" s="11"/>
      <c r="M229" s="11"/>
      <c r="N229" s="11">
        <v>60.305999999999997</v>
      </c>
      <c r="O229" s="11">
        <v>57.56</v>
      </c>
      <c r="P229" s="11">
        <v>117.961</v>
      </c>
      <c r="Q229" s="11">
        <v>117.343</v>
      </c>
      <c r="R229" s="11">
        <v>112.86199999999999</v>
      </c>
      <c r="S229" s="11">
        <v>113.899</v>
      </c>
      <c r="T229" s="11">
        <v>114.386</v>
      </c>
      <c r="U229" s="11">
        <v>115.093</v>
      </c>
      <c r="V229" s="11">
        <v>62.987000000000002</v>
      </c>
      <c r="W229" s="11">
        <v>64.075999999999993</v>
      </c>
      <c r="X229" s="11">
        <v>37.012999999999998</v>
      </c>
      <c r="Y229" s="11">
        <v>35.923999999999999</v>
      </c>
      <c r="Z229" s="11">
        <v>14.648999999999999</v>
      </c>
      <c r="AA229" s="11">
        <v>12.420999999999999</v>
      </c>
      <c r="AB229" s="11">
        <v>35.923999999999999</v>
      </c>
      <c r="AC229" s="11">
        <v>37.012999999999998</v>
      </c>
      <c r="AD229" s="11">
        <v>7.88</v>
      </c>
      <c r="AE229" s="11">
        <v>11</v>
      </c>
      <c r="AF229" s="11">
        <v>10</v>
      </c>
      <c r="AG229" s="11">
        <v>10</v>
      </c>
      <c r="AH229" s="11">
        <v>10</v>
      </c>
    </row>
    <row r="230" spans="1:34" s="33" customFormat="1" x14ac:dyDescent="0.2">
      <c r="A230" s="11">
        <v>351</v>
      </c>
      <c r="B230" s="11"/>
      <c r="C230" s="11"/>
      <c r="D230" s="11"/>
      <c r="E230" s="11"/>
      <c r="F230" s="11" t="s">
        <v>68</v>
      </c>
      <c r="G230" s="11" t="s">
        <v>69</v>
      </c>
      <c r="H230" s="56" t="str">
        <f>VLOOKUP(Table6[[#This Row],[ICD Code]],ICD_summary!$I$3:$M$38,5,0)</f>
        <v>Tremor, essential tremor</v>
      </c>
      <c r="I230" s="12">
        <v>63.7</v>
      </c>
      <c r="J2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0" s="11" t="s">
        <v>52</v>
      </c>
      <c r="L230" s="11"/>
      <c r="M230" s="11"/>
      <c r="N230" s="11">
        <v>63.402999999999999</v>
      </c>
      <c r="O230" s="11">
        <v>65.8</v>
      </c>
      <c r="P230" s="11">
        <v>130.05799999999999</v>
      </c>
      <c r="Q230" s="11">
        <v>129.14699999999999</v>
      </c>
      <c r="R230" s="11">
        <v>104.669</v>
      </c>
      <c r="S230" s="11">
        <v>104.39700000000001</v>
      </c>
      <c r="T230" s="11">
        <v>96.033000000000001</v>
      </c>
      <c r="U230" s="11">
        <v>96.668000000000006</v>
      </c>
      <c r="V230" s="11">
        <v>62.128999999999998</v>
      </c>
      <c r="W230" s="11">
        <v>61.161000000000001</v>
      </c>
      <c r="X230" s="11">
        <v>37.871000000000002</v>
      </c>
      <c r="Y230" s="11">
        <v>38.838999999999999</v>
      </c>
      <c r="Z230" s="11">
        <v>11.964</v>
      </c>
      <c r="AA230" s="11">
        <v>11.945</v>
      </c>
      <c r="AB230" s="11">
        <v>38.838999999999999</v>
      </c>
      <c r="AC230" s="11">
        <v>37.871000000000002</v>
      </c>
      <c r="AD230" s="11">
        <v>8.73</v>
      </c>
      <c r="AE230" s="11">
        <v>10</v>
      </c>
      <c r="AF230" s="11">
        <v>11</v>
      </c>
      <c r="AG230" s="11">
        <v>10</v>
      </c>
      <c r="AH230" s="11">
        <v>10</v>
      </c>
    </row>
    <row r="231" spans="1:34" s="33" customFormat="1" x14ac:dyDescent="0.2">
      <c r="A231" s="11">
        <v>352</v>
      </c>
      <c r="B231" s="11"/>
      <c r="C231" s="11"/>
      <c r="D231" s="11"/>
      <c r="E231" s="11"/>
      <c r="F231" s="11" t="s">
        <v>51</v>
      </c>
      <c r="G231" s="11" t="s">
        <v>51</v>
      </c>
      <c r="H231" s="56" t="str">
        <f>VLOOKUP(Table6[[#This Row],[ICD Code]],ICD_summary!$I$3:$M$38,5,0)</f>
        <v>Misc/Other</v>
      </c>
      <c r="I231" s="12">
        <v>999</v>
      </c>
      <c r="J2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1" s="11" t="s">
        <v>51</v>
      </c>
      <c r="L231" s="11"/>
      <c r="M231" s="11"/>
      <c r="N231" s="11">
        <v>50.064</v>
      </c>
      <c r="O231" s="11">
        <v>50.698</v>
      </c>
      <c r="P231" s="11">
        <v>100.64400000000001</v>
      </c>
      <c r="Q231" s="11">
        <v>101.502</v>
      </c>
      <c r="R231" s="11">
        <v>90.545000000000002</v>
      </c>
      <c r="S231" s="11">
        <v>91.191999999999993</v>
      </c>
      <c r="T231" s="11">
        <v>107.408</v>
      </c>
      <c r="U231" s="11">
        <v>107.46299999999999</v>
      </c>
      <c r="V231" s="11">
        <v>64.238</v>
      </c>
      <c r="W231" s="11">
        <v>62.701000000000001</v>
      </c>
      <c r="X231" s="11">
        <v>35.762</v>
      </c>
      <c r="Y231" s="11">
        <v>37.298999999999999</v>
      </c>
      <c r="Z231" s="11">
        <v>13.407</v>
      </c>
      <c r="AA231" s="11">
        <v>14.23</v>
      </c>
      <c r="AB231" s="11">
        <v>37.298999999999999</v>
      </c>
      <c r="AC231" s="11">
        <v>35.762</v>
      </c>
      <c r="AD231" s="11">
        <v>14.602</v>
      </c>
      <c r="AE231" s="11">
        <v>12</v>
      </c>
      <c r="AF231" s="11">
        <v>11</v>
      </c>
      <c r="AG231" s="11">
        <v>11</v>
      </c>
      <c r="AH231" s="11">
        <v>11</v>
      </c>
    </row>
    <row r="232" spans="1:34" s="33" customFormat="1" x14ac:dyDescent="0.2">
      <c r="A232" s="11">
        <v>353</v>
      </c>
      <c r="B232" s="11"/>
      <c r="C232" s="11"/>
      <c r="D232" s="11"/>
      <c r="E232" s="11"/>
      <c r="F232" s="11" t="s">
        <v>68</v>
      </c>
      <c r="G232" s="11" t="s">
        <v>69</v>
      </c>
      <c r="H232" s="56" t="str">
        <f>VLOOKUP(Table6[[#This Row],[ICD Code]],ICD_summary!$I$3:$M$38,5,0)</f>
        <v>Tremor, essential tremor</v>
      </c>
      <c r="I232" s="12">
        <v>65.2</v>
      </c>
      <c r="J2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2" s="11" t="s">
        <v>55</v>
      </c>
      <c r="L232" s="11"/>
      <c r="M232" s="11"/>
      <c r="N232" s="11">
        <v>61.146999999999998</v>
      </c>
      <c r="O232" s="11">
        <v>58.521999999999998</v>
      </c>
      <c r="P232" s="11">
        <v>119.917</v>
      </c>
      <c r="Q232" s="11">
        <v>118.982</v>
      </c>
      <c r="R232" s="11">
        <v>129.06899999999999</v>
      </c>
      <c r="S232" s="11">
        <v>127.696</v>
      </c>
      <c r="T232" s="11">
        <v>128.99700000000001</v>
      </c>
      <c r="U232" s="11">
        <v>127.876</v>
      </c>
      <c r="V232" s="11">
        <v>61.487000000000002</v>
      </c>
      <c r="W232" s="11">
        <v>61.048000000000002</v>
      </c>
      <c r="X232" s="11">
        <v>38.512999999999998</v>
      </c>
      <c r="Y232" s="11">
        <v>38.951999999999998</v>
      </c>
      <c r="Z232" s="11">
        <v>11.186</v>
      </c>
      <c r="AA232" s="11">
        <v>11.817</v>
      </c>
      <c r="AB232" s="11">
        <v>38.951999999999998</v>
      </c>
      <c r="AC232" s="11">
        <v>38.512999999999998</v>
      </c>
      <c r="AD232" s="11">
        <v>9.85</v>
      </c>
      <c r="AE232" s="11">
        <v>10</v>
      </c>
      <c r="AF232" s="11">
        <v>9</v>
      </c>
      <c r="AG232" s="11">
        <v>9</v>
      </c>
      <c r="AH232" s="11">
        <v>9</v>
      </c>
    </row>
    <row r="233" spans="1:34" s="33" customFormat="1" x14ac:dyDescent="0.2">
      <c r="A233" s="11">
        <v>354</v>
      </c>
      <c r="B233" s="11"/>
      <c r="C233" s="11"/>
      <c r="D233" s="11"/>
      <c r="E233" s="11"/>
      <c r="F233" s="11" t="s">
        <v>51</v>
      </c>
      <c r="G233" s="11" t="s">
        <v>51</v>
      </c>
      <c r="H233" s="56" t="str">
        <f>VLOOKUP(Table6[[#This Row],[ICD Code]],ICD_summary!$I$3:$M$38,5,0)</f>
        <v>Misc/Other</v>
      </c>
      <c r="I233" s="12">
        <v>999</v>
      </c>
      <c r="J2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3" s="11" t="s">
        <v>51</v>
      </c>
      <c r="L233" s="11"/>
      <c r="M233" s="11"/>
      <c r="N233" s="11" t="s">
        <v>51</v>
      </c>
      <c r="O233" s="11" t="s">
        <v>51</v>
      </c>
      <c r="P233" s="11" t="s">
        <v>51</v>
      </c>
      <c r="Q233" s="11" t="s">
        <v>51</v>
      </c>
      <c r="R233" s="11" t="s">
        <v>51</v>
      </c>
      <c r="S233" s="11" t="s">
        <v>51</v>
      </c>
      <c r="T233" s="11" t="s">
        <v>51</v>
      </c>
      <c r="U233" s="11" t="s">
        <v>51</v>
      </c>
      <c r="V233" s="11" t="s">
        <v>51</v>
      </c>
      <c r="W233" s="11" t="s">
        <v>51</v>
      </c>
      <c r="X233" s="11" t="s">
        <v>51</v>
      </c>
      <c r="Y233" s="11" t="s">
        <v>51</v>
      </c>
      <c r="Z233" s="11" t="s">
        <v>51</v>
      </c>
      <c r="AA233" s="11" t="s">
        <v>51</v>
      </c>
      <c r="AB233" s="11" t="s">
        <v>51</v>
      </c>
      <c r="AC233" s="11" t="s">
        <v>51</v>
      </c>
      <c r="AD233" s="11" t="s">
        <v>51</v>
      </c>
      <c r="AE233" s="11" t="s">
        <v>51</v>
      </c>
      <c r="AF233" s="11" t="s">
        <v>51</v>
      </c>
      <c r="AG233" s="11" t="s">
        <v>51</v>
      </c>
      <c r="AH233" s="11" t="s">
        <v>51</v>
      </c>
    </row>
    <row r="234" spans="1:34" s="33" customFormat="1" x14ac:dyDescent="0.2">
      <c r="A234" s="11">
        <v>355</v>
      </c>
      <c r="B234" s="11"/>
      <c r="C234" s="11"/>
      <c r="D234" s="11"/>
      <c r="E234" s="11"/>
      <c r="F234" s="11" t="s">
        <v>51</v>
      </c>
      <c r="G234" s="11" t="s">
        <v>51</v>
      </c>
      <c r="H234" s="56" t="str">
        <f>VLOOKUP(Table6[[#This Row],[ICD Code]],ICD_summary!$I$3:$M$38,5,0)</f>
        <v>Misc/Other</v>
      </c>
      <c r="I234" s="12">
        <v>53.5</v>
      </c>
      <c r="J2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4" s="11" t="s">
        <v>52</v>
      </c>
      <c r="L234" s="11"/>
      <c r="M234" s="11"/>
      <c r="N234" s="11" t="s">
        <v>51</v>
      </c>
      <c r="O234" s="11" t="s">
        <v>51</v>
      </c>
      <c r="P234" s="11" t="s">
        <v>51</v>
      </c>
      <c r="Q234" s="11" t="s">
        <v>51</v>
      </c>
      <c r="R234" s="11" t="s">
        <v>51</v>
      </c>
      <c r="S234" s="11" t="s">
        <v>51</v>
      </c>
      <c r="T234" s="11" t="s">
        <v>51</v>
      </c>
      <c r="U234" s="11" t="s">
        <v>51</v>
      </c>
      <c r="V234" s="11" t="s">
        <v>51</v>
      </c>
      <c r="W234" s="11" t="s">
        <v>51</v>
      </c>
      <c r="X234" s="11" t="s">
        <v>51</v>
      </c>
      <c r="Y234" s="11" t="s">
        <v>51</v>
      </c>
      <c r="Z234" s="11" t="s">
        <v>51</v>
      </c>
      <c r="AA234" s="11" t="s">
        <v>51</v>
      </c>
      <c r="AB234" s="11" t="s">
        <v>51</v>
      </c>
      <c r="AC234" s="11" t="s">
        <v>51</v>
      </c>
      <c r="AD234" s="11" t="s">
        <v>51</v>
      </c>
      <c r="AE234" s="11" t="s">
        <v>51</v>
      </c>
      <c r="AF234" s="11" t="s">
        <v>51</v>
      </c>
      <c r="AG234" s="11" t="s">
        <v>51</v>
      </c>
      <c r="AH234" s="11" t="s">
        <v>51</v>
      </c>
    </row>
    <row r="235" spans="1:34" s="33" customFormat="1" x14ac:dyDescent="0.2">
      <c r="A235" s="11">
        <v>356</v>
      </c>
      <c r="B235" s="11"/>
      <c r="C235" s="11"/>
      <c r="D235" s="11"/>
      <c r="E235" s="11"/>
      <c r="F235" s="11" t="s">
        <v>62</v>
      </c>
      <c r="G235" s="11" t="s">
        <v>63</v>
      </c>
      <c r="H235" s="56" t="str">
        <f>VLOOKUP(Table6[[#This Row],[ICD Code]],ICD_summary!$I$3:$M$38,5,0)</f>
        <v>PD</v>
      </c>
      <c r="I235" s="12">
        <v>71.099999999999994</v>
      </c>
      <c r="J2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35" s="11" t="s">
        <v>55</v>
      </c>
      <c r="L235" s="11"/>
      <c r="M235" s="11"/>
      <c r="N235" s="11">
        <v>41.005000000000003</v>
      </c>
      <c r="O235" s="11">
        <v>38.698999999999998</v>
      </c>
      <c r="P235" s="11">
        <v>79.613</v>
      </c>
      <c r="Q235" s="11">
        <v>79.701999999999998</v>
      </c>
      <c r="R235" s="11">
        <v>57.293999999999997</v>
      </c>
      <c r="S235" s="11">
        <v>57.784999999999997</v>
      </c>
      <c r="T235" s="11">
        <v>86.32</v>
      </c>
      <c r="U235" s="11">
        <v>86.980999999999995</v>
      </c>
      <c r="V235" s="11">
        <v>68.03</v>
      </c>
      <c r="W235" s="11">
        <v>69.641000000000005</v>
      </c>
      <c r="X235" s="11">
        <v>31.97</v>
      </c>
      <c r="Y235" s="11">
        <v>30.359000000000002</v>
      </c>
      <c r="Z235" s="11">
        <v>16.728000000000002</v>
      </c>
      <c r="AA235" s="11">
        <v>20.870999999999999</v>
      </c>
      <c r="AB235" s="11">
        <v>30.359000000000002</v>
      </c>
      <c r="AC235" s="11">
        <v>31.97</v>
      </c>
      <c r="AD235" s="11">
        <v>15.795</v>
      </c>
      <c r="AE235" s="11">
        <v>12</v>
      </c>
      <c r="AF235" s="11">
        <v>12</v>
      </c>
      <c r="AG235" s="11">
        <v>12</v>
      </c>
      <c r="AH235" s="11">
        <v>12</v>
      </c>
    </row>
    <row r="236" spans="1:34" s="33" customFormat="1" x14ac:dyDescent="0.2">
      <c r="A236" s="11">
        <v>357</v>
      </c>
      <c r="B236" s="11"/>
      <c r="C236" s="11"/>
      <c r="D236" s="11"/>
      <c r="E236" s="11"/>
      <c r="F236" s="11" t="s">
        <v>51</v>
      </c>
      <c r="G236" s="11" t="s">
        <v>51</v>
      </c>
      <c r="H236" s="56" t="str">
        <f>VLOOKUP(Table6[[#This Row],[ICD Code]],ICD_summary!$I$3:$M$38,5,0)</f>
        <v>Misc/Other</v>
      </c>
      <c r="I236" s="12">
        <v>999</v>
      </c>
      <c r="J2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6" s="11" t="s">
        <v>51</v>
      </c>
      <c r="L236" s="11"/>
      <c r="M236" s="11"/>
      <c r="N236" s="11" t="s">
        <v>51</v>
      </c>
      <c r="O236" s="11" t="s">
        <v>51</v>
      </c>
      <c r="P236" s="11" t="s">
        <v>51</v>
      </c>
      <c r="Q236" s="11" t="s">
        <v>51</v>
      </c>
      <c r="R236" s="11" t="s">
        <v>51</v>
      </c>
      <c r="S236" s="11" t="s">
        <v>51</v>
      </c>
      <c r="T236" s="11" t="s">
        <v>51</v>
      </c>
      <c r="U236" s="11" t="s">
        <v>51</v>
      </c>
      <c r="V236" s="11" t="s">
        <v>51</v>
      </c>
      <c r="W236" s="11" t="s">
        <v>51</v>
      </c>
      <c r="X236" s="11" t="s">
        <v>51</v>
      </c>
      <c r="Y236" s="11" t="s">
        <v>51</v>
      </c>
      <c r="Z236" s="11" t="s">
        <v>51</v>
      </c>
      <c r="AA236" s="11" t="s">
        <v>51</v>
      </c>
      <c r="AB236" s="11" t="s">
        <v>51</v>
      </c>
      <c r="AC236" s="11" t="s">
        <v>51</v>
      </c>
      <c r="AD236" s="11" t="s">
        <v>51</v>
      </c>
      <c r="AE236" s="11" t="s">
        <v>51</v>
      </c>
      <c r="AF236" s="11" t="s">
        <v>51</v>
      </c>
      <c r="AG236" s="11" t="s">
        <v>51</v>
      </c>
      <c r="AH236" s="11" t="s">
        <v>51</v>
      </c>
    </row>
    <row r="237" spans="1:34" s="33" customFormat="1" x14ac:dyDescent="0.2">
      <c r="A237" s="11">
        <v>358</v>
      </c>
      <c r="B237" s="11"/>
      <c r="C237" s="11"/>
      <c r="D237" s="11"/>
      <c r="E237" s="11"/>
      <c r="F237" s="11" t="s">
        <v>62</v>
      </c>
      <c r="G237" s="11" t="s">
        <v>63</v>
      </c>
      <c r="H237" s="56" t="str">
        <f>VLOOKUP(Table6[[#This Row],[ICD Code]],ICD_summary!$I$3:$M$38,5,0)</f>
        <v>PD</v>
      </c>
      <c r="I237" s="12">
        <v>67.900000000000006</v>
      </c>
      <c r="J2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7" s="11" t="s">
        <v>55</v>
      </c>
      <c r="L237" s="11"/>
      <c r="M237" s="11"/>
      <c r="N237" s="11">
        <v>6.1070000000000002</v>
      </c>
      <c r="O237" s="11">
        <v>19.991</v>
      </c>
      <c r="P237" s="11">
        <v>26.994</v>
      </c>
      <c r="Q237" s="11">
        <v>27.387</v>
      </c>
      <c r="R237" s="11">
        <v>13.618</v>
      </c>
      <c r="S237" s="11">
        <v>13.891999999999999</v>
      </c>
      <c r="T237" s="11">
        <v>76.882999999999996</v>
      </c>
      <c r="U237" s="11">
        <v>61.985999999999997</v>
      </c>
      <c r="V237" s="11">
        <v>81.290000000000006</v>
      </c>
      <c r="W237" s="11">
        <v>78.057000000000002</v>
      </c>
      <c r="X237" s="11">
        <v>18.71</v>
      </c>
      <c r="Y237" s="11">
        <v>21.943000000000001</v>
      </c>
      <c r="Z237" s="11">
        <v>28.231999999999999</v>
      </c>
      <c r="AA237" s="11">
        <v>32.375999999999998</v>
      </c>
      <c r="AB237" s="11">
        <v>21.943000000000001</v>
      </c>
      <c r="AC237" s="11">
        <v>18.71</v>
      </c>
      <c r="AD237" s="11">
        <v>10.388</v>
      </c>
      <c r="AE237" s="11">
        <v>10</v>
      </c>
      <c r="AF237" s="11">
        <v>8</v>
      </c>
      <c r="AG237" s="11">
        <v>8</v>
      </c>
      <c r="AH237" s="11">
        <v>8</v>
      </c>
    </row>
    <row r="238" spans="1:34" s="33" customFormat="1" x14ac:dyDescent="0.2">
      <c r="A238" s="11">
        <v>359</v>
      </c>
      <c r="B238" s="11"/>
      <c r="C238" s="11"/>
      <c r="D238" s="11"/>
      <c r="E238" s="11"/>
      <c r="F238" s="11" t="s">
        <v>51</v>
      </c>
      <c r="G238" s="11" t="s">
        <v>51</v>
      </c>
      <c r="H238" s="56" t="str">
        <f>VLOOKUP(Table6[[#This Row],[ICD Code]],ICD_summary!$I$3:$M$38,5,0)</f>
        <v>Misc/Other</v>
      </c>
      <c r="I238" s="12">
        <v>59.4</v>
      </c>
      <c r="J2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8" s="11" t="s">
        <v>52</v>
      </c>
      <c r="L238" s="11"/>
      <c r="M238" s="11"/>
      <c r="N238" s="11" t="s">
        <v>51</v>
      </c>
      <c r="O238" s="11" t="s">
        <v>51</v>
      </c>
      <c r="P238" s="11" t="s">
        <v>51</v>
      </c>
      <c r="Q238" s="11" t="s">
        <v>51</v>
      </c>
      <c r="R238" s="11" t="s">
        <v>51</v>
      </c>
      <c r="S238" s="11" t="s">
        <v>51</v>
      </c>
      <c r="T238" s="11" t="s">
        <v>51</v>
      </c>
      <c r="U238" s="11" t="s">
        <v>51</v>
      </c>
      <c r="V238" s="11" t="s">
        <v>51</v>
      </c>
      <c r="W238" s="11" t="s">
        <v>51</v>
      </c>
      <c r="X238" s="11" t="s">
        <v>51</v>
      </c>
      <c r="Y238" s="11" t="s">
        <v>51</v>
      </c>
      <c r="Z238" s="11" t="s">
        <v>51</v>
      </c>
      <c r="AA238" s="11" t="s">
        <v>51</v>
      </c>
      <c r="AB238" s="11" t="s">
        <v>51</v>
      </c>
      <c r="AC238" s="11" t="s">
        <v>51</v>
      </c>
      <c r="AD238" s="11" t="s">
        <v>51</v>
      </c>
      <c r="AE238" s="11" t="s">
        <v>51</v>
      </c>
      <c r="AF238" s="11" t="s">
        <v>51</v>
      </c>
      <c r="AG238" s="11" t="s">
        <v>51</v>
      </c>
      <c r="AH238" s="11" t="s">
        <v>51</v>
      </c>
    </row>
    <row r="239" spans="1:34" s="33" customFormat="1" x14ac:dyDescent="0.2">
      <c r="A239" s="11">
        <v>360</v>
      </c>
      <c r="B239" s="11"/>
      <c r="C239" s="11"/>
      <c r="D239" s="11"/>
      <c r="E239" s="11"/>
      <c r="F239" s="11" t="s">
        <v>82</v>
      </c>
      <c r="G239" s="11" t="s">
        <v>83</v>
      </c>
      <c r="H239" s="56" t="str">
        <f>VLOOKUP(Table6[[#This Row],[ICD Code]],ICD_summary!$I$3:$M$38,5,0)</f>
        <v>Misc/Other</v>
      </c>
      <c r="I239" s="12">
        <v>40</v>
      </c>
      <c r="J2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39" s="11" t="s">
        <v>52</v>
      </c>
      <c r="L239" s="11"/>
      <c r="M239" s="11"/>
      <c r="N239" s="11">
        <v>66.614999999999995</v>
      </c>
      <c r="O239" s="11">
        <v>62.994999999999997</v>
      </c>
      <c r="P239" s="11">
        <v>130.102</v>
      </c>
      <c r="Q239" s="11">
        <v>128.62200000000001</v>
      </c>
      <c r="R239" s="11">
        <v>123.57599999999999</v>
      </c>
      <c r="S239" s="11">
        <v>123.67400000000001</v>
      </c>
      <c r="T239" s="11">
        <v>113.687</v>
      </c>
      <c r="U239" s="11">
        <v>115.14700000000001</v>
      </c>
      <c r="V239" s="11">
        <v>62.119</v>
      </c>
      <c r="W239" s="11">
        <v>62.521999999999998</v>
      </c>
      <c r="X239" s="11">
        <v>37.881</v>
      </c>
      <c r="Y239" s="11">
        <v>37.478000000000002</v>
      </c>
      <c r="Z239" s="11">
        <v>12.625999999999999</v>
      </c>
      <c r="AA239" s="11">
        <v>11.722</v>
      </c>
      <c r="AB239" s="11">
        <v>37.478000000000002</v>
      </c>
      <c r="AC239" s="11">
        <v>37.881</v>
      </c>
      <c r="AD239" s="11">
        <v>10.302</v>
      </c>
      <c r="AE239" s="11">
        <v>10</v>
      </c>
      <c r="AF239" s="11">
        <v>9</v>
      </c>
      <c r="AG239" s="11">
        <v>9</v>
      </c>
      <c r="AH239" s="11">
        <v>9</v>
      </c>
    </row>
    <row r="240" spans="1:34" s="33" customFormat="1" x14ac:dyDescent="0.2">
      <c r="A240" s="11">
        <v>361</v>
      </c>
      <c r="B240" s="11"/>
      <c r="C240" s="11"/>
      <c r="D240" s="11"/>
      <c r="E240" s="11"/>
      <c r="F240" s="11" t="s">
        <v>51</v>
      </c>
      <c r="G240" s="11" t="s">
        <v>51</v>
      </c>
      <c r="H240" s="56" t="str">
        <f>VLOOKUP(Table6[[#This Row],[ICD Code]],ICD_summary!$I$3:$M$38,5,0)</f>
        <v>Misc/Other</v>
      </c>
      <c r="I240" s="12">
        <v>67.099999999999994</v>
      </c>
      <c r="J2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0" s="11" t="s">
        <v>52</v>
      </c>
      <c r="L240" s="11"/>
      <c r="M240" s="11"/>
      <c r="N240" s="11" t="s">
        <v>51</v>
      </c>
      <c r="O240" s="11" t="s">
        <v>51</v>
      </c>
      <c r="P240" s="11" t="s">
        <v>51</v>
      </c>
      <c r="Q240" s="11" t="s">
        <v>51</v>
      </c>
      <c r="R240" s="11" t="s">
        <v>51</v>
      </c>
      <c r="S240" s="11" t="s">
        <v>51</v>
      </c>
      <c r="T240" s="11" t="s">
        <v>51</v>
      </c>
      <c r="U240" s="11" t="s">
        <v>51</v>
      </c>
      <c r="V240" s="11" t="s">
        <v>51</v>
      </c>
      <c r="W240" s="11" t="s">
        <v>51</v>
      </c>
      <c r="X240" s="11" t="s">
        <v>51</v>
      </c>
      <c r="Y240" s="11" t="s">
        <v>51</v>
      </c>
      <c r="Z240" s="11" t="s">
        <v>51</v>
      </c>
      <c r="AA240" s="11" t="s">
        <v>51</v>
      </c>
      <c r="AB240" s="11" t="s">
        <v>51</v>
      </c>
      <c r="AC240" s="11" t="s">
        <v>51</v>
      </c>
      <c r="AD240" s="11" t="s">
        <v>51</v>
      </c>
      <c r="AE240" s="11" t="s">
        <v>51</v>
      </c>
      <c r="AF240" s="11" t="s">
        <v>51</v>
      </c>
      <c r="AG240" s="11" t="s">
        <v>51</v>
      </c>
      <c r="AH240" s="11" t="s">
        <v>51</v>
      </c>
    </row>
    <row r="241" spans="1:34" s="33" customFormat="1" x14ac:dyDescent="0.2">
      <c r="A241" s="11">
        <v>362</v>
      </c>
      <c r="B241" s="11"/>
      <c r="C241" s="11"/>
      <c r="D241" s="11"/>
      <c r="E241" s="11"/>
      <c r="F241" s="11" t="s">
        <v>51</v>
      </c>
      <c r="G241" s="11" t="s">
        <v>51</v>
      </c>
      <c r="H241" s="56" t="str">
        <f>VLOOKUP(Table6[[#This Row],[ICD Code]],ICD_summary!$I$3:$M$38,5,0)</f>
        <v>Misc/Other</v>
      </c>
      <c r="I241" s="12">
        <v>68.8</v>
      </c>
      <c r="J2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1" s="11" t="s">
        <v>52</v>
      </c>
      <c r="L241" s="11"/>
      <c r="M241" s="11"/>
      <c r="N241" s="11" t="s">
        <v>51</v>
      </c>
      <c r="O241" s="11" t="s">
        <v>51</v>
      </c>
      <c r="P241" s="11" t="s">
        <v>51</v>
      </c>
      <c r="Q241" s="11" t="s">
        <v>51</v>
      </c>
      <c r="R241" s="11" t="s">
        <v>51</v>
      </c>
      <c r="S241" s="11" t="s">
        <v>51</v>
      </c>
      <c r="T241" s="11" t="s">
        <v>51</v>
      </c>
      <c r="U241" s="11" t="s">
        <v>51</v>
      </c>
      <c r="V241" s="11" t="s">
        <v>51</v>
      </c>
      <c r="W241" s="11" t="s">
        <v>51</v>
      </c>
      <c r="X241" s="11" t="s">
        <v>51</v>
      </c>
      <c r="Y241" s="11" t="s">
        <v>51</v>
      </c>
      <c r="Z241" s="11" t="s">
        <v>51</v>
      </c>
      <c r="AA241" s="11" t="s">
        <v>51</v>
      </c>
      <c r="AB241" s="11" t="s">
        <v>51</v>
      </c>
      <c r="AC241" s="11" t="s">
        <v>51</v>
      </c>
      <c r="AD241" s="11" t="s">
        <v>51</v>
      </c>
      <c r="AE241" s="11" t="s">
        <v>51</v>
      </c>
      <c r="AF241" s="11" t="s">
        <v>51</v>
      </c>
      <c r="AG241" s="11" t="s">
        <v>51</v>
      </c>
      <c r="AH241" s="11" t="s">
        <v>51</v>
      </c>
    </row>
    <row r="242" spans="1:34" s="33" customFormat="1" x14ac:dyDescent="0.2">
      <c r="A242" s="11">
        <v>363</v>
      </c>
      <c r="B242" s="11"/>
      <c r="C242" s="11"/>
      <c r="D242" s="11"/>
      <c r="E242" s="11"/>
      <c r="F242" s="11" t="s">
        <v>51</v>
      </c>
      <c r="G242" s="11" t="s">
        <v>51</v>
      </c>
      <c r="H242" s="56" t="str">
        <f>VLOOKUP(Table6[[#This Row],[ICD Code]],ICD_summary!$I$3:$M$38,5,0)</f>
        <v>Misc/Other</v>
      </c>
      <c r="I242" s="12">
        <v>999</v>
      </c>
      <c r="J2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2" s="11" t="s">
        <v>51</v>
      </c>
      <c r="L242" s="11"/>
      <c r="M242" s="11"/>
      <c r="N242" s="11">
        <v>39.085999999999999</v>
      </c>
      <c r="O242" s="11">
        <v>33.558999999999997</v>
      </c>
      <c r="P242" s="11">
        <v>72.528000000000006</v>
      </c>
      <c r="Q242" s="11">
        <v>73.043000000000006</v>
      </c>
      <c r="R242" s="11">
        <v>52.933</v>
      </c>
      <c r="S242" s="11">
        <v>53.378</v>
      </c>
      <c r="T242" s="11">
        <v>88.188000000000002</v>
      </c>
      <c r="U242" s="11">
        <v>88.49</v>
      </c>
      <c r="V242" s="11">
        <v>66.649000000000001</v>
      </c>
      <c r="W242" s="11">
        <v>66.748000000000005</v>
      </c>
      <c r="X242" s="11">
        <v>33.350999999999999</v>
      </c>
      <c r="Y242" s="11">
        <v>33.252000000000002</v>
      </c>
      <c r="Z242" s="11">
        <v>17.081</v>
      </c>
      <c r="AA242" s="11">
        <v>16.811</v>
      </c>
      <c r="AB242" s="11">
        <v>33.252000000000002</v>
      </c>
      <c r="AC242" s="11">
        <v>33.350999999999999</v>
      </c>
      <c r="AD242" s="11">
        <v>13.138</v>
      </c>
      <c r="AE242" s="11">
        <v>13</v>
      </c>
      <c r="AF242" s="11">
        <v>13</v>
      </c>
      <c r="AG242" s="11">
        <v>13</v>
      </c>
      <c r="AH242" s="11">
        <v>13</v>
      </c>
    </row>
    <row r="243" spans="1:34" s="33" customFormat="1" x14ac:dyDescent="0.2">
      <c r="A243" s="11">
        <v>364</v>
      </c>
      <c r="B243" s="11"/>
      <c r="C243" s="11"/>
      <c r="D243" s="11"/>
      <c r="E243" s="11"/>
      <c r="F243" s="11" t="s">
        <v>80</v>
      </c>
      <c r="G243" s="11" t="s">
        <v>81</v>
      </c>
      <c r="H243" s="56" t="str">
        <f>VLOOKUP(Table6[[#This Row],[ICD Code]],ICD_summary!$I$3:$M$38,5,0)</f>
        <v>Dystonia, cervical</v>
      </c>
      <c r="I243" s="12">
        <v>63</v>
      </c>
      <c r="J2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3" s="11" t="s">
        <v>55</v>
      </c>
      <c r="L243" s="11"/>
      <c r="M243" s="11"/>
      <c r="N243" s="11">
        <v>54.252000000000002</v>
      </c>
      <c r="O243" s="11">
        <v>50.918999999999997</v>
      </c>
      <c r="P243" s="11">
        <v>105.931</v>
      </c>
      <c r="Q243" s="11">
        <v>105.035</v>
      </c>
      <c r="R243" s="11">
        <v>93.736000000000004</v>
      </c>
      <c r="S243" s="11">
        <v>92.421000000000006</v>
      </c>
      <c r="T243" s="11">
        <v>105.746</v>
      </c>
      <c r="U243" s="11">
        <v>105.533</v>
      </c>
      <c r="V243" s="11">
        <v>62.493000000000002</v>
      </c>
      <c r="W243" s="11">
        <v>63.179000000000002</v>
      </c>
      <c r="X243" s="11">
        <v>37.506999999999998</v>
      </c>
      <c r="Y243" s="11">
        <v>36.820999999999998</v>
      </c>
      <c r="Z243" s="11">
        <v>13.987</v>
      </c>
      <c r="AA243" s="11">
        <v>11.538</v>
      </c>
      <c r="AB243" s="11">
        <v>36.820999999999998</v>
      </c>
      <c r="AC243" s="11">
        <v>37.506999999999998</v>
      </c>
      <c r="AD243" s="11">
        <v>7.6120000000000001</v>
      </c>
      <c r="AE243" s="11">
        <v>12</v>
      </c>
      <c r="AF243" s="11">
        <v>12</v>
      </c>
      <c r="AG243" s="11">
        <v>12</v>
      </c>
      <c r="AH243" s="11">
        <v>12</v>
      </c>
    </row>
    <row r="244" spans="1:34" s="33" customFormat="1" x14ac:dyDescent="0.2">
      <c r="A244" s="11">
        <v>365</v>
      </c>
      <c r="B244" s="11"/>
      <c r="C244" s="11"/>
      <c r="D244" s="11"/>
      <c r="E244" s="11"/>
      <c r="F244" s="11" t="s">
        <v>51</v>
      </c>
      <c r="G244" s="11" t="s">
        <v>51</v>
      </c>
      <c r="H244" s="56" t="str">
        <f>VLOOKUP(Table6[[#This Row],[ICD Code]],ICD_summary!$I$3:$M$38,5,0)</f>
        <v>Misc/Other</v>
      </c>
      <c r="I244" s="12">
        <v>999</v>
      </c>
      <c r="J2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4" s="11" t="s">
        <v>55</v>
      </c>
      <c r="L244" s="11"/>
      <c r="M244" s="11"/>
      <c r="N244" s="11">
        <v>52.481000000000002</v>
      </c>
      <c r="O244" s="11">
        <v>49.832999999999998</v>
      </c>
      <c r="P244" s="11">
        <v>102.871</v>
      </c>
      <c r="Q244" s="11">
        <v>102.804</v>
      </c>
      <c r="R244" s="11">
        <v>91.421000000000006</v>
      </c>
      <c r="S244" s="11">
        <v>91.927000000000007</v>
      </c>
      <c r="T244" s="11">
        <v>106.51600000000001</v>
      </c>
      <c r="U244" s="11">
        <v>107.2</v>
      </c>
      <c r="V244" s="11">
        <v>63.904000000000003</v>
      </c>
      <c r="W244" s="11">
        <v>63.850999999999999</v>
      </c>
      <c r="X244" s="11">
        <v>36.095999999999997</v>
      </c>
      <c r="Y244" s="11">
        <v>36.149000000000001</v>
      </c>
      <c r="Z244" s="11">
        <v>14.282999999999999</v>
      </c>
      <c r="AA244" s="11">
        <v>13.833</v>
      </c>
      <c r="AB244" s="11">
        <v>36.149000000000001</v>
      </c>
      <c r="AC244" s="11">
        <v>36.095999999999997</v>
      </c>
      <c r="AD244" s="11">
        <v>13.103999999999999</v>
      </c>
      <c r="AE244" s="11">
        <v>12</v>
      </c>
      <c r="AF244" s="11">
        <v>15</v>
      </c>
      <c r="AG244" s="11">
        <v>12</v>
      </c>
      <c r="AH244" s="11">
        <v>12</v>
      </c>
    </row>
    <row r="245" spans="1:34" s="33" customFormat="1" x14ac:dyDescent="0.2">
      <c r="A245" s="11">
        <v>366</v>
      </c>
      <c r="B245" s="11"/>
      <c r="C245" s="11"/>
      <c r="D245" s="11"/>
      <c r="E245" s="11"/>
      <c r="F245" s="11" t="s">
        <v>51</v>
      </c>
      <c r="G245" s="11" t="s">
        <v>51</v>
      </c>
      <c r="H245" s="56" t="str">
        <f>VLOOKUP(Table6[[#This Row],[ICD Code]],ICD_summary!$I$3:$M$38,5,0)</f>
        <v>Misc/Other</v>
      </c>
      <c r="I245" s="12">
        <v>999</v>
      </c>
      <c r="J2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5" s="11" t="s">
        <v>51</v>
      </c>
      <c r="L245" s="11"/>
      <c r="M245" s="11"/>
      <c r="N245" s="11">
        <v>60.796999999999997</v>
      </c>
      <c r="O245" s="11">
        <v>61.481999999999999</v>
      </c>
      <c r="P245" s="11">
        <v>123.19799999999999</v>
      </c>
      <c r="Q245" s="11">
        <v>122.11199999999999</v>
      </c>
      <c r="R245" s="11">
        <v>95.942999999999998</v>
      </c>
      <c r="S245" s="11">
        <v>96.018000000000001</v>
      </c>
      <c r="T245" s="11">
        <v>93.111999999999995</v>
      </c>
      <c r="U245" s="11">
        <v>93.552999999999997</v>
      </c>
      <c r="V245" s="11">
        <v>63.36</v>
      </c>
      <c r="W245" s="11">
        <v>62.005000000000003</v>
      </c>
      <c r="X245" s="11">
        <v>36.64</v>
      </c>
      <c r="Y245" s="11">
        <v>37.994999999999997</v>
      </c>
      <c r="Z245" s="11">
        <v>13.904</v>
      </c>
      <c r="AA245" s="11">
        <v>11.951000000000001</v>
      </c>
      <c r="AB245" s="11">
        <v>37.994999999999997</v>
      </c>
      <c r="AC245" s="11">
        <v>36.64</v>
      </c>
      <c r="AD245" s="11">
        <v>16.812000000000001</v>
      </c>
      <c r="AE245" s="11">
        <v>10</v>
      </c>
      <c r="AF245" s="11">
        <v>10</v>
      </c>
      <c r="AG245" s="11">
        <v>10</v>
      </c>
      <c r="AH245" s="11">
        <v>10</v>
      </c>
    </row>
    <row r="246" spans="1:34" s="33" customFormat="1" x14ac:dyDescent="0.2">
      <c r="A246" s="11">
        <v>367</v>
      </c>
      <c r="B246" s="11"/>
      <c r="C246" s="11"/>
      <c r="D246" s="11"/>
      <c r="E246" s="11"/>
      <c r="F246" s="11" t="s">
        <v>68</v>
      </c>
      <c r="G246" s="11" t="s">
        <v>69</v>
      </c>
      <c r="H246" s="56" t="str">
        <f>VLOOKUP(Table6[[#This Row],[ICD Code]],ICD_summary!$I$3:$M$38,5,0)</f>
        <v>Tremor, essential tremor</v>
      </c>
      <c r="I246" s="12">
        <v>69.2</v>
      </c>
      <c r="J2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6" s="11" t="s">
        <v>55</v>
      </c>
      <c r="L246" s="11"/>
      <c r="M246" s="11"/>
      <c r="N246" s="11">
        <v>35.83</v>
      </c>
      <c r="O246" s="11">
        <v>37.936</v>
      </c>
      <c r="P246" s="11">
        <v>74.132000000000005</v>
      </c>
      <c r="Q246" s="11">
        <v>73.980999999999995</v>
      </c>
      <c r="R246" s="11">
        <v>59.588000000000001</v>
      </c>
      <c r="S246" s="11">
        <v>60.738</v>
      </c>
      <c r="T246" s="11">
        <v>96.323999999999998</v>
      </c>
      <c r="U246" s="11">
        <v>98.081999999999994</v>
      </c>
      <c r="V246" s="11">
        <v>70.283000000000001</v>
      </c>
      <c r="W246" s="11">
        <v>69.484999999999999</v>
      </c>
      <c r="X246" s="11">
        <v>29.716999999999999</v>
      </c>
      <c r="Y246" s="11">
        <v>30.515000000000001</v>
      </c>
      <c r="Z246" s="11">
        <v>21.085000000000001</v>
      </c>
      <c r="AA246" s="11">
        <v>18.989999999999998</v>
      </c>
      <c r="AB246" s="11">
        <v>30.515000000000001</v>
      </c>
      <c r="AC246" s="11">
        <v>29.716999999999999</v>
      </c>
      <c r="AD246" s="11">
        <v>7.82</v>
      </c>
      <c r="AE246" s="11">
        <v>15</v>
      </c>
      <c r="AF246" s="11">
        <v>17</v>
      </c>
      <c r="AG246" s="11">
        <v>15</v>
      </c>
      <c r="AH246" s="11">
        <v>15</v>
      </c>
    </row>
    <row r="247" spans="1:34" s="33" customFormat="1" x14ac:dyDescent="0.2">
      <c r="A247" s="11">
        <v>368</v>
      </c>
      <c r="B247" s="11"/>
      <c r="C247" s="11"/>
      <c r="D247" s="11"/>
      <c r="E247" s="11"/>
      <c r="F247" s="11" t="s">
        <v>68</v>
      </c>
      <c r="G247" s="11" t="s">
        <v>69</v>
      </c>
      <c r="H247" s="56" t="str">
        <f>VLOOKUP(Table6[[#This Row],[ICD Code]],ICD_summary!$I$3:$M$38,5,0)</f>
        <v>Tremor, essential tremor</v>
      </c>
      <c r="I247" s="12">
        <v>38.9</v>
      </c>
      <c r="J2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247" s="11" t="s">
        <v>52</v>
      </c>
      <c r="L247" s="11"/>
      <c r="M247" s="11"/>
      <c r="N247" s="11">
        <v>66.183999999999997</v>
      </c>
      <c r="O247" s="11">
        <v>66.388000000000005</v>
      </c>
      <c r="P247" s="11">
        <v>132.46100000000001</v>
      </c>
      <c r="Q247" s="11">
        <v>133.108</v>
      </c>
      <c r="R247" s="11">
        <v>110.488</v>
      </c>
      <c r="S247" s="11">
        <v>110.351</v>
      </c>
      <c r="T247" s="11">
        <v>99.19</v>
      </c>
      <c r="U247" s="11">
        <v>99.013999999999996</v>
      </c>
      <c r="V247" s="11">
        <v>62.573</v>
      </c>
      <c r="W247" s="11">
        <v>62.405000000000001</v>
      </c>
      <c r="X247" s="11">
        <v>37.427</v>
      </c>
      <c r="Y247" s="11">
        <v>37.594999999999999</v>
      </c>
      <c r="Z247" s="11">
        <v>12.688000000000001</v>
      </c>
      <c r="AA247" s="11">
        <v>12.026</v>
      </c>
      <c r="AB247" s="11">
        <v>37.594999999999999</v>
      </c>
      <c r="AC247" s="11">
        <v>37.427</v>
      </c>
      <c r="AD247" s="11">
        <v>11.912000000000001</v>
      </c>
      <c r="AE247" s="11">
        <v>9</v>
      </c>
      <c r="AF247" s="11">
        <v>10</v>
      </c>
      <c r="AG247" s="11">
        <v>9</v>
      </c>
      <c r="AH247" s="11">
        <v>9</v>
      </c>
    </row>
    <row r="248" spans="1:34" s="33" customFormat="1" x14ac:dyDescent="0.2">
      <c r="A248" s="11">
        <v>369</v>
      </c>
      <c r="B248" s="11"/>
      <c r="C248" s="11"/>
      <c r="D248" s="11"/>
      <c r="E248" s="11"/>
      <c r="F248" s="11" t="s">
        <v>80</v>
      </c>
      <c r="G248" s="11" t="s">
        <v>81</v>
      </c>
      <c r="H248" s="56" t="str">
        <f>VLOOKUP(Table6[[#This Row],[ICD Code]],ICD_summary!$I$3:$M$38,5,0)</f>
        <v>Dystonia, cervical</v>
      </c>
      <c r="I248" s="12">
        <v>59.7</v>
      </c>
      <c r="J2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48" s="11" t="s">
        <v>55</v>
      </c>
      <c r="L248" s="11"/>
      <c r="M248" s="11"/>
      <c r="N248" s="11">
        <v>47.06</v>
      </c>
      <c r="O248" s="11">
        <v>47.387</v>
      </c>
      <c r="P248" s="11">
        <v>94.367000000000004</v>
      </c>
      <c r="Q248" s="11">
        <v>94.802000000000007</v>
      </c>
      <c r="R248" s="11">
        <v>82.510999999999996</v>
      </c>
      <c r="S248" s="11">
        <v>82.826999999999998</v>
      </c>
      <c r="T248" s="11">
        <v>104.532</v>
      </c>
      <c r="U248" s="11">
        <v>103.687</v>
      </c>
      <c r="V248" s="11">
        <v>64.593000000000004</v>
      </c>
      <c r="W248" s="11">
        <v>62.322000000000003</v>
      </c>
      <c r="X248" s="11">
        <v>35.406999999999996</v>
      </c>
      <c r="Y248" s="11">
        <v>37.677999999999997</v>
      </c>
      <c r="Z248" s="11">
        <v>13.888999999999999</v>
      </c>
      <c r="AA248" s="11">
        <v>12.95</v>
      </c>
      <c r="AB248" s="11">
        <v>37.677999999999997</v>
      </c>
      <c r="AC248" s="11">
        <v>35.406999999999996</v>
      </c>
      <c r="AD248" s="11">
        <v>7.008</v>
      </c>
      <c r="AE248" s="11">
        <v>15</v>
      </c>
      <c r="AF248" s="11">
        <v>13</v>
      </c>
      <c r="AG248" s="11">
        <v>13</v>
      </c>
      <c r="AH248" s="11">
        <v>13</v>
      </c>
    </row>
    <row r="249" spans="1:34" s="33" customFormat="1" x14ac:dyDescent="0.2">
      <c r="A249" s="11">
        <v>370</v>
      </c>
      <c r="B249" s="11"/>
      <c r="C249" s="11"/>
      <c r="D249" s="11"/>
      <c r="E249" s="11"/>
      <c r="F249" s="11" t="s">
        <v>84</v>
      </c>
      <c r="G249" s="11" t="s">
        <v>85</v>
      </c>
      <c r="H249" s="56" t="str">
        <f>VLOOKUP(Table6[[#This Row],[ICD Code]],ICD_summary!$I$3:$M$38,5,0)</f>
        <v>Dyskinesia/Blepharospasm</v>
      </c>
      <c r="I249" s="12">
        <v>36</v>
      </c>
      <c r="J2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249" s="11" t="s">
        <v>55</v>
      </c>
      <c r="L249" s="11"/>
      <c r="M249" s="11"/>
      <c r="N249" s="11">
        <v>60.222999999999999</v>
      </c>
      <c r="O249" s="11">
        <v>55.392000000000003</v>
      </c>
      <c r="P249" s="11">
        <v>114.712</v>
      </c>
      <c r="Q249" s="11">
        <v>117.70399999999999</v>
      </c>
      <c r="R249" s="11">
        <v>111.42</v>
      </c>
      <c r="S249" s="11">
        <v>113.56100000000001</v>
      </c>
      <c r="T249" s="11">
        <v>118.28100000000001</v>
      </c>
      <c r="U249" s="11">
        <v>116.29</v>
      </c>
      <c r="V249" s="11">
        <v>62.344999999999999</v>
      </c>
      <c r="W249" s="11">
        <v>60.994</v>
      </c>
      <c r="X249" s="11">
        <v>37.655000000000001</v>
      </c>
      <c r="Y249" s="11">
        <v>39.006</v>
      </c>
      <c r="Z249" s="11">
        <v>12.839</v>
      </c>
      <c r="AA249" s="11">
        <v>10.263</v>
      </c>
      <c r="AB249" s="11">
        <v>39.006</v>
      </c>
      <c r="AC249" s="11">
        <v>37.655000000000001</v>
      </c>
      <c r="AD249" s="11">
        <v>10.314</v>
      </c>
      <c r="AE249" s="11">
        <v>12</v>
      </c>
      <c r="AF249" s="11">
        <v>10</v>
      </c>
      <c r="AG249" s="11">
        <v>10</v>
      </c>
      <c r="AH249" s="11">
        <v>10</v>
      </c>
    </row>
    <row r="250" spans="1:34" s="33" customFormat="1" x14ac:dyDescent="0.2">
      <c r="A250" s="11">
        <v>371</v>
      </c>
      <c r="B250" s="11"/>
      <c r="C250" s="11"/>
      <c r="D250" s="11"/>
      <c r="E250" s="11"/>
      <c r="F250" s="11" t="s">
        <v>62</v>
      </c>
      <c r="G250" s="11" t="s">
        <v>63</v>
      </c>
      <c r="H250" s="56" t="str">
        <f>VLOOKUP(Table6[[#This Row],[ICD Code]],ICD_summary!$I$3:$M$38,5,0)</f>
        <v>PD</v>
      </c>
      <c r="I250" s="12">
        <v>71.099999999999994</v>
      </c>
      <c r="J2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50" s="11" t="s">
        <v>52</v>
      </c>
      <c r="L250" s="11"/>
      <c r="M250" s="11"/>
      <c r="N250" s="11">
        <v>58.756</v>
      </c>
      <c r="O250" s="11">
        <v>60.148000000000003</v>
      </c>
      <c r="P250" s="11">
        <v>118.86799999999999</v>
      </c>
      <c r="Q250" s="11">
        <v>119.51300000000001</v>
      </c>
      <c r="R250" s="11">
        <v>109.42700000000001</v>
      </c>
      <c r="S250" s="11">
        <v>109.828</v>
      </c>
      <c r="T250" s="11">
        <v>110.366</v>
      </c>
      <c r="U250" s="11">
        <v>110.139</v>
      </c>
      <c r="V250" s="11">
        <v>63.067999999999998</v>
      </c>
      <c r="W250" s="11">
        <v>62.923000000000002</v>
      </c>
      <c r="X250" s="11">
        <v>36.932000000000002</v>
      </c>
      <c r="Y250" s="11">
        <v>37.076999999999998</v>
      </c>
      <c r="Z250" s="11">
        <v>12.566000000000001</v>
      </c>
      <c r="AA250" s="11">
        <v>13.677</v>
      </c>
      <c r="AB250" s="11">
        <v>37.076999999999998</v>
      </c>
      <c r="AC250" s="11">
        <v>36.932000000000002</v>
      </c>
      <c r="AD250" s="11">
        <v>7.532</v>
      </c>
      <c r="AE250" s="11">
        <v>10</v>
      </c>
      <c r="AF250" s="11">
        <v>10</v>
      </c>
      <c r="AG250" s="11">
        <v>10</v>
      </c>
      <c r="AH250" s="11">
        <v>10</v>
      </c>
    </row>
    <row r="251" spans="1:34" s="33" customFormat="1" x14ac:dyDescent="0.2">
      <c r="A251" s="11">
        <v>372</v>
      </c>
      <c r="B251" s="11"/>
      <c r="C251" s="11"/>
      <c r="D251" s="11"/>
      <c r="E251" s="11"/>
      <c r="F251" s="11" t="s">
        <v>51</v>
      </c>
      <c r="G251" s="11" t="s">
        <v>51</v>
      </c>
      <c r="H251" s="56" t="str">
        <f>VLOOKUP(Table6[[#This Row],[ICD Code]],ICD_summary!$I$3:$M$38,5,0)</f>
        <v>Misc/Other</v>
      </c>
      <c r="I251" s="12">
        <v>999</v>
      </c>
      <c r="J2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1" s="11" t="s">
        <v>51</v>
      </c>
      <c r="L251" s="11"/>
      <c r="M251" s="11"/>
      <c r="N251" s="11">
        <v>54.817</v>
      </c>
      <c r="O251" s="11">
        <v>58.741</v>
      </c>
      <c r="P251" s="11">
        <v>112.95</v>
      </c>
      <c r="Q251" s="11">
        <v>113.64700000000001</v>
      </c>
      <c r="R251" s="11">
        <v>104.935</v>
      </c>
      <c r="S251" s="11">
        <v>107.501</v>
      </c>
      <c r="T251" s="11">
        <v>113.07599999999999</v>
      </c>
      <c r="U251" s="11">
        <v>114.45399999999999</v>
      </c>
      <c r="V251" s="11">
        <v>63.429000000000002</v>
      </c>
      <c r="W251" s="11">
        <v>60.875999999999998</v>
      </c>
      <c r="X251" s="11">
        <v>36.570999999999998</v>
      </c>
      <c r="Y251" s="11">
        <v>39.124000000000002</v>
      </c>
      <c r="Z251" s="11">
        <v>10.361000000000001</v>
      </c>
      <c r="AA251" s="11">
        <v>14.269</v>
      </c>
      <c r="AB251" s="11">
        <v>39.124000000000002</v>
      </c>
      <c r="AC251" s="11">
        <v>36.570999999999998</v>
      </c>
      <c r="AD251" s="11">
        <v>10.067</v>
      </c>
      <c r="AE251" s="11">
        <v>5</v>
      </c>
      <c r="AF251" s="11">
        <v>4</v>
      </c>
      <c r="AG251" s="11">
        <v>4</v>
      </c>
      <c r="AH251" s="11">
        <v>4</v>
      </c>
    </row>
    <row r="252" spans="1:34" s="33" customFormat="1" x14ac:dyDescent="0.2">
      <c r="A252" s="11">
        <v>373</v>
      </c>
      <c r="B252" s="11"/>
      <c r="C252" s="11"/>
      <c r="D252" s="11"/>
      <c r="E252" s="11"/>
      <c r="F252" s="11" t="s">
        <v>51</v>
      </c>
      <c r="G252" s="11" t="s">
        <v>51</v>
      </c>
      <c r="H252" s="56" t="str">
        <f>VLOOKUP(Table6[[#This Row],[ICD Code]],ICD_summary!$I$3:$M$38,5,0)</f>
        <v>Misc/Other</v>
      </c>
      <c r="I252" s="12">
        <v>999</v>
      </c>
      <c r="J2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2" s="11" t="s">
        <v>51</v>
      </c>
      <c r="L252" s="11"/>
      <c r="M252" s="11"/>
      <c r="N252" s="11">
        <v>53.366999999999997</v>
      </c>
      <c r="O252" s="11">
        <v>58.768999999999998</v>
      </c>
      <c r="P252" s="11">
        <v>114.477</v>
      </c>
      <c r="Q252" s="11">
        <v>110.76300000000001</v>
      </c>
      <c r="R252" s="11">
        <v>101.828</v>
      </c>
      <c r="S252" s="11">
        <v>101.128</v>
      </c>
      <c r="T252" s="11">
        <v>109.4</v>
      </c>
      <c r="U252" s="11">
        <v>110.05</v>
      </c>
      <c r="V252" s="11">
        <v>61.442</v>
      </c>
      <c r="W252" s="11">
        <v>62.308999999999997</v>
      </c>
      <c r="X252" s="11">
        <v>38.558</v>
      </c>
      <c r="Y252" s="11">
        <v>37.691000000000003</v>
      </c>
      <c r="Z252" s="11">
        <v>13.244</v>
      </c>
      <c r="AA252" s="11">
        <v>11.852</v>
      </c>
      <c r="AB252" s="11">
        <v>37.691000000000003</v>
      </c>
      <c r="AC252" s="11">
        <v>38.558</v>
      </c>
      <c r="AD252" s="11">
        <v>11.154999999999999</v>
      </c>
      <c r="AE252" s="11">
        <v>10</v>
      </c>
      <c r="AF252" s="11">
        <v>11</v>
      </c>
      <c r="AG252" s="11">
        <v>10</v>
      </c>
      <c r="AH252" s="11">
        <v>10</v>
      </c>
    </row>
    <row r="253" spans="1:34" s="33" customFormat="1" x14ac:dyDescent="0.2">
      <c r="A253" s="11">
        <v>374</v>
      </c>
      <c r="B253" s="11"/>
      <c r="C253" s="11"/>
      <c r="D253" s="11"/>
      <c r="E253" s="11"/>
      <c r="F253" s="11" t="s">
        <v>51</v>
      </c>
      <c r="G253" s="11" t="s">
        <v>51</v>
      </c>
      <c r="H253" s="56" t="str">
        <f>VLOOKUP(Table6[[#This Row],[ICD Code]],ICD_summary!$I$3:$M$38,5,0)</f>
        <v>Misc/Other</v>
      </c>
      <c r="I253" s="12">
        <v>66.7</v>
      </c>
      <c r="J2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53" s="11" t="s">
        <v>55</v>
      </c>
      <c r="L253" s="11"/>
      <c r="M253" s="11"/>
      <c r="N253" s="11">
        <v>61.774999999999999</v>
      </c>
      <c r="O253" s="11">
        <v>57.604999999999997</v>
      </c>
      <c r="P253" s="11">
        <v>119.134</v>
      </c>
      <c r="Q253" s="11">
        <v>120.89400000000001</v>
      </c>
      <c r="R253" s="11">
        <v>100.7</v>
      </c>
      <c r="S253" s="11">
        <v>102.831</v>
      </c>
      <c r="T253" s="11">
        <v>102.273</v>
      </c>
      <c r="U253" s="11">
        <v>103.453</v>
      </c>
      <c r="V253" s="11">
        <v>61.164000000000001</v>
      </c>
      <c r="W253" s="11">
        <v>63.506</v>
      </c>
      <c r="X253" s="11">
        <v>38.835999999999999</v>
      </c>
      <c r="Y253" s="11">
        <v>36.494</v>
      </c>
      <c r="Z253" s="11">
        <v>12.638999999999999</v>
      </c>
      <c r="AA253" s="11">
        <v>12.785</v>
      </c>
      <c r="AB253" s="11">
        <v>36.494</v>
      </c>
      <c r="AC253" s="11">
        <v>38.835999999999999</v>
      </c>
      <c r="AD253" s="11">
        <v>12.557</v>
      </c>
      <c r="AE253" s="11">
        <v>7</v>
      </c>
      <c r="AF253" s="11">
        <v>6</v>
      </c>
      <c r="AG253" s="11">
        <v>5</v>
      </c>
      <c r="AH253" s="11">
        <v>5</v>
      </c>
    </row>
    <row r="254" spans="1:34" s="33" customFormat="1" x14ac:dyDescent="0.2">
      <c r="A254" s="11">
        <v>375</v>
      </c>
      <c r="B254" s="11"/>
      <c r="C254" s="11"/>
      <c r="D254" s="11"/>
      <c r="E254" s="11"/>
      <c r="F254" s="11" t="s">
        <v>51</v>
      </c>
      <c r="G254" s="11" t="s">
        <v>51</v>
      </c>
      <c r="H254" s="56" t="str">
        <f>VLOOKUP(Table6[[#This Row],[ICD Code]],ICD_summary!$I$3:$M$38,5,0)</f>
        <v>Misc/Other</v>
      </c>
      <c r="I254" s="12">
        <v>999</v>
      </c>
      <c r="J2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4" s="11" t="s">
        <v>51</v>
      </c>
      <c r="L254" s="11"/>
      <c r="M254" s="11"/>
      <c r="N254" s="11" t="s">
        <v>51</v>
      </c>
      <c r="O254" s="11" t="s">
        <v>51</v>
      </c>
      <c r="P254" s="11" t="s">
        <v>51</v>
      </c>
      <c r="Q254" s="11" t="s">
        <v>51</v>
      </c>
      <c r="R254" s="11" t="s">
        <v>51</v>
      </c>
      <c r="S254" s="11" t="s">
        <v>51</v>
      </c>
      <c r="T254" s="11" t="s">
        <v>51</v>
      </c>
      <c r="U254" s="11" t="s">
        <v>51</v>
      </c>
      <c r="V254" s="11" t="s">
        <v>51</v>
      </c>
      <c r="W254" s="11" t="s">
        <v>51</v>
      </c>
      <c r="X254" s="11" t="s">
        <v>51</v>
      </c>
      <c r="Y254" s="11" t="s">
        <v>51</v>
      </c>
      <c r="Z254" s="11" t="s">
        <v>51</v>
      </c>
      <c r="AA254" s="11" t="s">
        <v>51</v>
      </c>
      <c r="AB254" s="11" t="s">
        <v>51</v>
      </c>
      <c r="AC254" s="11" t="s">
        <v>51</v>
      </c>
      <c r="AD254" s="11" t="s">
        <v>51</v>
      </c>
      <c r="AE254" s="11" t="s">
        <v>51</v>
      </c>
      <c r="AF254" s="11" t="s">
        <v>51</v>
      </c>
      <c r="AG254" s="11" t="s">
        <v>51</v>
      </c>
      <c r="AH254" s="11" t="s">
        <v>51</v>
      </c>
    </row>
    <row r="255" spans="1:34" s="33" customFormat="1" x14ac:dyDescent="0.2">
      <c r="A255" s="11">
        <v>376</v>
      </c>
      <c r="B255" s="11"/>
      <c r="C255" s="11"/>
      <c r="D255" s="11"/>
      <c r="E255" s="11"/>
      <c r="F255" s="11" t="s">
        <v>51</v>
      </c>
      <c r="G255" s="11" t="s">
        <v>51</v>
      </c>
      <c r="H255" s="56" t="str">
        <f>VLOOKUP(Table6[[#This Row],[ICD Code]],ICD_summary!$I$3:$M$38,5,0)</f>
        <v>Misc/Other</v>
      </c>
      <c r="I255" s="12">
        <v>999</v>
      </c>
      <c r="J2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5" s="11" t="s">
        <v>51</v>
      </c>
      <c r="L255" s="11"/>
      <c r="M255" s="11"/>
      <c r="N255" s="11" t="s">
        <v>51</v>
      </c>
      <c r="O255" s="11" t="s">
        <v>51</v>
      </c>
      <c r="P255" s="11" t="s">
        <v>51</v>
      </c>
      <c r="Q255" s="11" t="s">
        <v>51</v>
      </c>
      <c r="R255" s="11" t="s">
        <v>51</v>
      </c>
      <c r="S255" s="11" t="s">
        <v>51</v>
      </c>
      <c r="T255" s="11" t="s">
        <v>51</v>
      </c>
      <c r="U255" s="11" t="s">
        <v>51</v>
      </c>
      <c r="V255" s="11" t="s">
        <v>51</v>
      </c>
      <c r="W255" s="11" t="s">
        <v>51</v>
      </c>
      <c r="X255" s="11" t="s">
        <v>51</v>
      </c>
      <c r="Y255" s="11" t="s">
        <v>51</v>
      </c>
      <c r="Z255" s="11" t="s">
        <v>51</v>
      </c>
      <c r="AA255" s="11" t="s">
        <v>51</v>
      </c>
      <c r="AB255" s="11" t="s">
        <v>51</v>
      </c>
      <c r="AC255" s="11" t="s">
        <v>51</v>
      </c>
      <c r="AD255" s="11" t="s">
        <v>51</v>
      </c>
      <c r="AE255" s="11" t="s">
        <v>51</v>
      </c>
      <c r="AF255" s="11" t="s">
        <v>51</v>
      </c>
      <c r="AG255" s="11" t="s">
        <v>51</v>
      </c>
      <c r="AH255" s="11" t="s">
        <v>51</v>
      </c>
    </row>
    <row r="256" spans="1:34" s="33" customFormat="1" x14ac:dyDescent="0.2">
      <c r="A256" s="11">
        <v>377</v>
      </c>
      <c r="B256" s="11"/>
      <c r="C256" s="11"/>
      <c r="D256" s="11"/>
      <c r="E256" s="11"/>
      <c r="F256" s="11" t="s">
        <v>51</v>
      </c>
      <c r="G256" s="11" t="s">
        <v>51</v>
      </c>
      <c r="H256" s="56" t="str">
        <f>VLOOKUP(Table6[[#This Row],[ICD Code]],ICD_summary!$I$3:$M$38,5,0)</f>
        <v>Misc/Other</v>
      </c>
      <c r="I256" s="12">
        <v>999</v>
      </c>
      <c r="J2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6" s="11" t="s">
        <v>51</v>
      </c>
      <c r="L256" s="11"/>
      <c r="M256" s="11"/>
      <c r="N256" s="11">
        <v>28.815999999999999</v>
      </c>
      <c r="O256" s="11">
        <v>36.088999999999999</v>
      </c>
      <c r="P256" s="11">
        <v>64.805999999999997</v>
      </c>
      <c r="Q256" s="11">
        <v>64.477999999999994</v>
      </c>
      <c r="R256" s="11">
        <v>52.634999999999998</v>
      </c>
      <c r="S256" s="11">
        <v>51.832999999999998</v>
      </c>
      <c r="T256" s="11">
        <v>97.093000000000004</v>
      </c>
      <c r="U256" s="11">
        <v>96.716999999999999</v>
      </c>
      <c r="V256" s="11">
        <v>65.108999999999995</v>
      </c>
      <c r="W256" s="11">
        <v>64.971000000000004</v>
      </c>
      <c r="X256" s="11">
        <v>34.890999999999998</v>
      </c>
      <c r="Y256" s="11">
        <v>35.029000000000003</v>
      </c>
      <c r="Z256" s="11">
        <v>16.106000000000002</v>
      </c>
      <c r="AA256" s="11">
        <v>14.507999999999999</v>
      </c>
      <c r="AB256" s="11">
        <v>35.029000000000003</v>
      </c>
      <c r="AC256" s="11">
        <v>34.890999999999998</v>
      </c>
      <c r="AD256" s="11">
        <v>18.728000000000002</v>
      </c>
      <c r="AE256" s="11">
        <v>13</v>
      </c>
      <c r="AF256" s="11">
        <v>14</v>
      </c>
      <c r="AG256" s="11">
        <v>13</v>
      </c>
      <c r="AH256" s="11">
        <v>13</v>
      </c>
    </row>
    <row r="257" spans="1:34" s="33" customFormat="1" x14ac:dyDescent="0.2">
      <c r="A257" s="11">
        <v>378</v>
      </c>
      <c r="B257" s="11"/>
      <c r="C257" s="11"/>
      <c r="D257" s="11"/>
      <c r="E257" s="11"/>
      <c r="F257" s="11" t="s">
        <v>51</v>
      </c>
      <c r="G257" s="11" t="s">
        <v>51</v>
      </c>
      <c r="H257" s="56" t="str">
        <f>VLOOKUP(Table6[[#This Row],[ICD Code]],ICD_summary!$I$3:$M$38,5,0)</f>
        <v>Misc/Other</v>
      </c>
      <c r="I257" s="12">
        <v>999</v>
      </c>
      <c r="J2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7" s="11" t="s">
        <v>51</v>
      </c>
      <c r="L257" s="11"/>
      <c r="M257" s="11"/>
      <c r="N257" s="11">
        <v>56.456000000000003</v>
      </c>
      <c r="O257" s="11">
        <v>55.637999999999998</v>
      </c>
      <c r="P257" s="11">
        <v>111.986</v>
      </c>
      <c r="Q257" s="11">
        <v>112.501</v>
      </c>
      <c r="R257" s="11">
        <v>82.531000000000006</v>
      </c>
      <c r="S257" s="11">
        <v>83.382000000000005</v>
      </c>
      <c r="T257" s="11">
        <v>87.631</v>
      </c>
      <c r="U257" s="11">
        <v>89.001000000000005</v>
      </c>
      <c r="V257" s="11">
        <v>61.752000000000002</v>
      </c>
      <c r="W257" s="11">
        <v>63.698999999999998</v>
      </c>
      <c r="X257" s="11">
        <v>38.247999999999998</v>
      </c>
      <c r="Y257" s="11">
        <v>36.301000000000002</v>
      </c>
      <c r="Z257" s="11">
        <v>13.648999999999999</v>
      </c>
      <c r="AA257" s="11">
        <v>12.394</v>
      </c>
      <c r="AB257" s="11">
        <v>36.301000000000002</v>
      </c>
      <c r="AC257" s="11">
        <v>38.247999999999998</v>
      </c>
      <c r="AD257" s="11">
        <v>19.984000000000002</v>
      </c>
      <c r="AE257" s="11">
        <v>9</v>
      </c>
      <c r="AF257" s="11">
        <v>14</v>
      </c>
      <c r="AG257" s="11">
        <v>9</v>
      </c>
      <c r="AH257" s="11">
        <v>9</v>
      </c>
    </row>
    <row r="258" spans="1:34" s="33" customFormat="1" x14ac:dyDescent="0.2">
      <c r="A258" s="11">
        <v>379</v>
      </c>
      <c r="B258" s="11"/>
      <c r="C258" s="11"/>
      <c r="D258" s="11"/>
      <c r="E258" s="11"/>
      <c r="F258" s="11" t="s">
        <v>51</v>
      </c>
      <c r="G258" s="11" t="s">
        <v>51</v>
      </c>
      <c r="H258" s="56" t="str">
        <f>VLOOKUP(Table6[[#This Row],[ICD Code]],ICD_summary!$I$3:$M$38,5,0)</f>
        <v>Misc/Other</v>
      </c>
      <c r="I258" s="12">
        <v>57.4</v>
      </c>
      <c r="J2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58" s="11" t="s">
        <v>52</v>
      </c>
      <c r="L258" s="11"/>
      <c r="M258" s="11"/>
      <c r="N258" s="11" t="s">
        <v>51</v>
      </c>
      <c r="O258" s="11" t="s">
        <v>51</v>
      </c>
      <c r="P258" s="11" t="s">
        <v>51</v>
      </c>
      <c r="Q258" s="11" t="s">
        <v>51</v>
      </c>
      <c r="R258" s="11" t="s">
        <v>51</v>
      </c>
      <c r="S258" s="11" t="s">
        <v>51</v>
      </c>
      <c r="T258" s="11" t="s">
        <v>51</v>
      </c>
      <c r="U258" s="11" t="s">
        <v>51</v>
      </c>
      <c r="V258" s="11" t="s">
        <v>51</v>
      </c>
      <c r="W258" s="11" t="s">
        <v>51</v>
      </c>
      <c r="X258" s="11" t="s">
        <v>51</v>
      </c>
      <c r="Y258" s="11" t="s">
        <v>51</v>
      </c>
      <c r="Z258" s="11" t="s">
        <v>51</v>
      </c>
      <c r="AA258" s="11" t="s">
        <v>51</v>
      </c>
      <c r="AB258" s="11" t="s">
        <v>51</v>
      </c>
      <c r="AC258" s="11" t="s">
        <v>51</v>
      </c>
      <c r="AD258" s="11" t="s">
        <v>51</v>
      </c>
      <c r="AE258" s="11" t="s">
        <v>51</v>
      </c>
      <c r="AF258" s="11" t="s">
        <v>51</v>
      </c>
      <c r="AG258" s="11" t="s">
        <v>51</v>
      </c>
      <c r="AH258" s="11" t="s">
        <v>51</v>
      </c>
    </row>
    <row r="259" spans="1:34" s="33" customFormat="1" x14ac:dyDescent="0.2">
      <c r="A259" s="11">
        <v>380</v>
      </c>
      <c r="B259" s="11"/>
      <c r="C259" s="11"/>
      <c r="D259" s="11"/>
      <c r="E259" s="11"/>
      <c r="F259" s="11" t="s">
        <v>51</v>
      </c>
      <c r="G259" s="11" t="s">
        <v>51</v>
      </c>
      <c r="H259" s="56" t="str">
        <f>VLOOKUP(Table6[[#This Row],[ICD Code]],ICD_summary!$I$3:$M$38,5,0)</f>
        <v>Misc/Other</v>
      </c>
      <c r="I259" s="12">
        <v>999</v>
      </c>
      <c r="J2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9" s="11" t="s">
        <v>51</v>
      </c>
      <c r="L259" s="11"/>
      <c r="M259" s="11"/>
      <c r="N259" s="11">
        <v>59.517000000000003</v>
      </c>
      <c r="O259" s="11">
        <v>58.305</v>
      </c>
      <c r="P259" s="11">
        <v>117.947</v>
      </c>
      <c r="Q259" s="11">
        <v>118.346</v>
      </c>
      <c r="R259" s="11">
        <v>112.53400000000001</v>
      </c>
      <c r="S259" s="11">
        <v>111.441</v>
      </c>
      <c r="T259" s="11">
        <v>114.133</v>
      </c>
      <c r="U259" s="11">
        <v>113.959</v>
      </c>
      <c r="V259" s="11">
        <v>60.05</v>
      </c>
      <c r="W259" s="11">
        <v>60.822000000000003</v>
      </c>
      <c r="X259" s="11">
        <v>39.950000000000003</v>
      </c>
      <c r="Y259" s="11">
        <v>39.177999999999997</v>
      </c>
      <c r="Z259" s="11">
        <v>10.496</v>
      </c>
      <c r="AA259" s="11">
        <v>11.138</v>
      </c>
      <c r="AB259" s="11">
        <v>39.177999999999997</v>
      </c>
      <c r="AC259" s="11">
        <v>39.950000000000003</v>
      </c>
      <c r="AD259" s="11">
        <v>10.93</v>
      </c>
      <c r="AE259" s="11">
        <v>7</v>
      </c>
      <c r="AF259" s="11">
        <v>7</v>
      </c>
      <c r="AG259" s="11">
        <v>7</v>
      </c>
      <c r="AH259" s="11">
        <v>7</v>
      </c>
    </row>
    <row r="260" spans="1:34" s="33" customFormat="1" x14ac:dyDescent="0.2">
      <c r="A260" s="11">
        <v>381</v>
      </c>
      <c r="B260" s="11"/>
      <c r="C260" s="11"/>
      <c r="D260" s="11"/>
      <c r="E260" s="11"/>
      <c r="F260" s="11" t="s">
        <v>51</v>
      </c>
      <c r="G260" s="11" t="s">
        <v>51</v>
      </c>
      <c r="H260" s="56" t="str">
        <f>VLOOKUP(Table6[[#This Row],[ICD Code]],ICD_summary!$I$3:$M$38,5,0)</f>
        <v>Misc/Other</v>
      </c>
      <c r="I260" s="12">
        <v>999</v>
      </c>
      <c r="J2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0" s="11" t="s">
        <v>51</v>
      </c>
      <c r="L260" s="11"/>
      <c r="M260" s="11"/>
      <c r="N260" s="11">
        <v>65.873000000000005</v>
      </c>
      <c r="O260" s="11">
        <v>70.754000000000005</v>
      </c>
      <c r="P260" s="11">
        <v>136.589</v>
      </c>
      <c r="Q260" s="11">
        <v>134.85300000000001</v>
      </c>
      <c r="R260" s="11">
        <v>105.504</v>
      </c>
      <c r="S260" s="11">
        <v>107.654</v>
      </c>
      <c r="T260" s="11">
        <v>93.430999999999997</v>
      </c>
      <c r="U260" s="11">
        <v>95.379000000000005</v>
      </c>
      <c r="V260" s="11">
        <v>62.121000000000002</v>
      </c>
      <c r="W260" s="11">
        <v>62.421999999999997</v>
      </c>
      <c r="X260" s="11">
        <v>37.878999999999998</v>
      </c>
      <c r="Y260" s="11">
        <v>37.578000000000003</v>
      </c>
      <c r="Z260" s="11">
        <v>12.393000000000001</v>
      </c>
      <c r="AA260" s="11">
        <v>10.754</v>
      </c>
      <c r="AB260" s="11">
        <v>37.578000000000003</v>
      </c>
      <c r="AC260" s="11">
        <v>37.878999999999998</v>
      </c>
      <c r="AD260" s="11">
        <v>13.987</v>
      </c>
      <c r="AE260" s="11">
        <v>7</v>
      </c>
      <c r="AF260" s="11">
        <v>4</v>
      </c>
      <c r="AG260" s="11">
        <v>4</v>
      </c>
      <c r="AH260" s="11">
        <v>4</v>
      </c>
    </row>
    <row r="261" spans="1:34" s="33" customFormat="1" x14ac:dyDescent="0.2">
      <c r="A261" s="11">
        <v>382</v>
      </c>
      <c r="B261" s="11"/>
      <c r="C261" s="11"/>
      <c r="D261" s="11"/>
      <c r="E261" s="11"/>
      <c r="F261" s="11" t="s">
        <v>51</v>
      </c>
      <c r="G261" s="11" t="s">
        <v>51</v>
      </c>
      <c r="H261" s="56" t="str">
        <f>VLOOKUP(Table6[[#This Row],[ICD Code]],ICD_summary!$I$3:$M$38,5,0)</f>
        <v>Misc/Other</v>
      </c>
      <c r="I261" s="12">
        <v>999</v>
      </c>
      <c r="J2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1" s="11" t="s">
        <v>51</v>
      </c>
      <c r="L261" s="11"/>
      <c r="M261" s="11"/>
      <c r="N261" s="11" t="s">
        <v>51</v>
      </c>
      <c r="O261" s="11" t="s">
        <v>51</v>
      </c>
      <c r="P261" s="11" t="s">
        <v>51</v>
      </c>
      <c r="Q261" s="11" t="s">
        <v>51</v>
      </c>
      <c r="R261" s="11" t="s">
        <v>51</v>
      </c>
      <c r="S261" s="11" t="s">
        <v>51</v>
      </c>
      <c r="T261" s="11" t="s">
        <v>51</v>
      </c>
      <c r="U261" s="11" t="s">
        <v>51</v>
      </c>
      <c r="V261" s="11" t="s">
        <v>51</v>
      </c>
      <c r="W261" s="11" t="s">
        <v>51</v>
      </c>
      <c r="X261" s="11" t="s">
        <v>51</v>
      </c>
      <c r="Y261" s="11" t="s">
        <v>51</v>
      </c>
      <c r="Z261" s="11" t="s">
        <v>51</v>
      </c>
      <c r="AA261" s="11" t="s">
        <v>51</v>
      </c>
      <c r="AB261" s="11" t="s">
        <v>51</v>
      </c>
      <c r="AC261" s="11" t="s">
        <v>51</v>
      </c>
      <c r="AD261" s="11" t="s">
        <v>51</v>
      </c>
      <c r="AE261" s="11" t="s">
        <v>51</v>
      </c>
      <c r="AF261" s="11" t="s">
        <v>51</v>
      </c>
      <c r="AG261" s="11" t="s">
        <v>51</v>
      </c>
      <c r="AH261" s="11" t="s">
        <v>51</v>
      </c>
    </row>
    <row r="262" spans="1:34" s="33" customFormat="1" x14ac:dyDescent="0.2">
      <c r="A262" s="11">
        <v>383</v>
      </c>
      <c r="B262" s="11"/>
      <c r="C262" s="11"/>
      <c r="D262" s="11"/>
      <c r="E262" s="11"/>
      <c r="F262" s="11" t="s">
        <v>51</v>
      </c>
      <c r="G262" s="11" t="s">
        <v>51</v>
      </c>
      <c r="H262" s="56" t="str">
        <f>VLOOKUP(Table6[[#This Row],[ICD Code]],ICD_summary!$I$3:$M$38,5,0)</f>
        <v>Misc/Other</v>
      </c>
      <c r="I262" s="12">
        <v>999</v>
      </c>
      <c r="J2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2" s="11" t="s">
        <v>51</v>
      </c>
      <c r="L262" s="11"/>
      <c r="M262" s="11"/>
      <c r="N262" s="11">
        <v>34.802999999999997</v>
      </c>
      <c r="O262" s="11">
        <v>40.481999999999999</v>
      </c>
      <c r="P262" s="11">
        <v>75.721999999999994</v>
      </c>
      <c r="Q262" s="11">
        <v>76.564999999999998</v>
      </c>
      <c r="R262" s="11">
        <v>80.394999999999996</v>
      </c>
      <c r="S262" s="11">
        <v>79.236999999999995</v>
      </c>
      <c r="T262" s="11">
        <v>126.09399999999999</v>
      </c>
      <c r="U262" s="11">
        <v>126.114</v>
      </c>
      <c r="V262" s="11">
        <v>61.44</v>
      </c>
      <c r="W262" s="11">
        <v>64.962000000000003</v>
      </c>
      <c r="X262" s="11">
        <v>38.56</v>
      </c>
      <c r="Y262" s="11">
        <v>35.037999999999997</v>
      </c>
      <c r="Z262" s="11">
        <v>13.922000000000001</v>
      </c>
      <c r="AA262" s="11">
        <v>12.676</v>
      </c>
      <c r="AB262" s="11">
        <v>35.037999999999997</v>
      </c>
      <c r="AC262" s="11">
        <v>38.56</v>
      </c>
      <c r="AD262" s="11">
        <v>17.504000000000001</v>
      </c>
      <c r="AE262" s="11">
        <v>19</v>
      </c>
      <c r="AF262" s="11">
        <v>20</v>
      </c>
      <c r="AG262" s="11">
        <v>19</v>
      </c>
      <c r="AH262" s="11">
        <v>19</v>
      </c>
    </row>
    <row r="263" spans="1:34" s="33" customFormat="1" x14ac:dyDescent="0.2">
      <c r="A263" s="11">
        <v>384</v>
      </c>
      <c r="B263" s="11"/>
      <c r="C263" s="11"/>
      <c r="D263" s="11"/>
      <c r="E263" s="11"/>
      <c r="F263" s="11" t="s">
        <v>51</v>
      </c>
      <c r="G263" s="11" t="s">
        <v>51</v>
      </c>
      <c r="H263" s="56" t="str">
        <f>VLOOKUP(Table6[[#This Row],[ICD Code]],ICD_summary!$I$3:$M$38,5,0)</f>
        <v>Misc/Other</v>
      </c>
      <c r="I263" s="12">
        <v>999</v>
      </c>
      <c r="J2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3" s="11" t="s">
        <v>51</v>
      </c>
      <c r="L263" s="11"/>
      <c r="M263" s="11"/>
      <c r="N263" s="11" t="s">
        <v>51</v>
      </c>
      <c r="O263" s="11" t="s">
        <v>51</v>
      </c>
      <c r="P263" s="11" t="s">
        <v>51</v>
      </c>
      <c r="Q263" s="11" t="s">
        <v>51</v>
      </c>
      <c r="R263" s="11" t="s">
        <v>51</v>
      </c>
      <c r="S263" s="11" t="s">
        <v>51</v>
      </c>
      <c r="T263" s="11" t="s">
        <v>51</v>
      </c>
      <c r="U263" s="11" t="s">
        <v>51</v>
      </c>
      <c r="V263" s="11" t="s">
        <v>51</v>
      </c>
      <c r="W263" s="11" t="s">
        <v>51</v>
      </c>
      <c r="X263" s="11" t="s">
        <v>51</v>
      </c>
      <c r="Y263" s="11" t="s">
        <v>51</v>
      </c>
      <c r="Z263" s="11" t="s">
        <v>51</v>
      </c>
      <c r="AA263" s="11" t="s">
        <v>51</v>
      </c>
      <c r="AB263" s="11" t="s">
        <v>51</v>
      </c>
      <c r="AC263" s="11" t="s">
        <v>51</v>
      </c>
      <c r="AD263" s="11" t="s">
        <v>51</v>
      </c>
      <c r="AE263" s="11" t="s">
        <v>51</v>
      </c>
      <c r="AF263" s="11" t="s">
        <v>51</v>
      </c>
      <c r="AG263" s="11" t="s">
        <v>51</v>
      </c>
      <c r="AH263" s="11" t="s">
        <v>51</v>
      </c>
    </row>
    <row r="264" spans="1:34" s="33" customFormat="1" x14ac:dyDescent="0.2">
      <c r="A264" s="11">
        <v>385</v>
      </c>
      <c r="B264" s="11"/>
      <c r="C264" s="11"/>
      <c r="D264" s="11"/>
      <c r="E264" s="11"/>
      <c r="F264" s="11" t="s">
        <v>51</v>
      </c>
      <c r="G264" s="11" t="s">
        <v>51</v>
      </c>
      <c r="H264" s="56" t="str">
        <f>VLOOKUP(Table6[[#This Row],[ICD Code]],ICD_summary!$I$3:$M$38,5,0)</f>
        <v>Misc/Other</v>
      </c>
      <c r="I264" s="12">
        <v>999</v>
      </c>
      <c r="J2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4" s="11" t="s">
        <v>51</v>
      </c>
      <c r="L264" s="11"/>
      <c r="M264" s="11"/>
      <c r="N264" s="11">
        <v>26.631</v>
      </c>
      <c r="O264" s="11">
        <v>32.095999999999997</v>
      </c>
      <c r="P264" s="11">
        <v>57.134999999999998</v>
      </c>
      <c r="Q264" s="11">
        <v>58.991</v>
      </c>
      <c r="R264" s="11">
        <v>45.213000000000001</v>
      </c>
      <c r="S264" s="11">
        <v>45.183999999999997</v>
      </c>
      <c r="T264" s="11">
        <v>94.742000000000004</v>
      </c>
      <c r="U264" s="11">
        <v>93.66</v>
      </c>
      <c r="V264" s="11">
        <v>66.191000000000003</v>
      </c>
      <c r="W264" s="11">
        <v>64.054000000000002</v>
      </c>
      <c r="X264" s="11">
        <v>33.808999999999997</v>
      </c>
      <c r="Y264" s="11">
        <v>35.945999999999998</v>
      </c>
      <c r="Z264" s="11">
        <v>14.146000000000001</v>
      </c>
      <c r="AA264" s="11">
        <v>16.247</v>
      </c>
      <c r="AB264" s="11">
        <v>35.945999999999998</v>
      </c>
      <c r="AC264" s="11">
        <v>33.808999999999997</v>
      </c>
      <c r="AD264" s="11">
        <v>16.172000000000001</v>
      </c>
      <c r="AE264" s="11">
        <v>26</v>
      </c>
      <c r="AF264" s="11">
        <v>25</v>
      </c>
      <c r="AG264" s="11">
        <v>25</v>
      </c>
      <c r="AH264" s="11">
        <v>25</v>
      </c>
    </row>
    <row r="265" spans="1:34" s="33" customFormat="1" x14ac:dyDescent="0.2">
      <c r="A265" s="11">
        <v>386</v>
      </c>
      <c r="B265" s="11"/>
      <c r="C265" s="11"/>
      <c r="D265" s="11"/>
      <c r="E265" s="11"/>
      <c r="F265" s="11" t="s">
        <v>51</v>
      </c>
      <c r="G265" s="11" t="s">
        <v>51</v>
      </c>
      <c r="H265" s="56" t="str">
        <f>VLOOKUP(Table6[[#This Row],[ICD Code]],ICD_summary!$I$3:$M$38,5,0)</f>
        <v>Misc/Other</v>
      </c>
      <c r="I265" s="12">
        <v>999</v>
      </c>
      <c r="J2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5" s="11" t="s">
        <v>51</v>
      </c>
      <c r="L265" s="11"/>
      <c r="M265" s="11"/>
      <c r="N265" s="11">
        <v>55.884</v>
      </c>
      <c r="O265" s="11">
        <v>56.972999999999999</v>
      </c>
      <c r="P265" s="11">
        <v>112.899</v>
      </c>
      <c r="Q265" s="11">
        <v>112.497</v>
      </c>
      <c r="R265" s="11">
        <v>118.675</v>
      </c>
      <c r="S265" s="11">
        <v>117.428</v>
      </c>
      <c r="T265" s="11">
        <v>127.64400000000001</v>
      </c>
      <c r="U265" s="11">
        <v>126.542</v>
      </c>
      <c r="V265" s="11">
        <v>61.243000000000002</v>
      </c>
      <c r="W265" s="11">
        <v>57.674999999999997</v>
      </c>
      <c r="X265" s="11">
        <v>38.756999999999998</v>
      </c>
      <c r="Y265" s="11">
        <v>42.325000000000003</v>
      </c>
      <c r="Z265" s="11">
        <v>10.148999999999999</v>
      </c>
      <c r="AA265" s="11">
        <v>9.0730000000000004</v>
      </c>
      <c r="AB265" s="11">
        <v>42.325000000000003</v>
      </c>
      <c r="AC265" s="11">
        <v>38.756999999999998</v>
      </c>
      <c r="AD265" s="11">
        <v>13.034000000000001</v>
      </c>
      <c r="AE265" s="11">
        <v>13</v>
      </c>
      <c r="AF265" s="11">
        <v>15</v>
      </c>
      <c r="AG265" s="11">
        <v>13</v>
      </c>
      <c r="AH265" s="11">
        <v>13</v>
      </c>
    </row>
    <row r="266" spans="1:34" s="33" customFormat="1" x14ac:dyDescent="0.2">
      <c r="A266" s="11">
        <v>387</v>
      </c>
      <c r="B266" s="11"/>
      <c r="C266" s="11"/>
      <c r="D266" s="11"/>
      <c r="E266" s="11"/>
      <c r="F266" s="11" t="s">
        <v>51</v>
      </c>
      <c r="G266" s="11" t="s">
        <v>51</v>
      </c>
      <c r="H266" s="56" t="str">
        <f>VLOOKUP(Table6[[#This Row],[ICD Code]],ICD_summary!$I$3:$M$38,5,0)</f>
        <v>Misc/Other</v>
      </c>
      <c r="I266" s="12">
        <v>999</v>
      </c>
      <c r="J2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6" s="11" t="s">
        <v>51</v>
      </c>
      <c r="L266" s="11"/>
      <c r="M266" s="11"/>
      <c r="N266" s="11">
        <v>26.811</v>
      </c>
      <c r="O266" s="11">
        <v>26.486000000000001</v>
      </c>
      <c r="P266" s="11">
        <v>53.392000000000003</v>
      </c>
      <c r="Q266" s="11">
        <v>53.35</v>
      </c>
      <c r="R266" s="11">
        <v>50.289000000000001</v>
      </c>
      <c r="S266" s="11">
        <v>50.454999999999998</v>
      </c>
      <c r="T266" s="11">
        <v>112.273</v>
      </c>
      <c r="U266" s="11">
        <v>112.178</v>
      </c>
      <c r="V266" s="11">
        <v>65.921000000000006</v>
      </c>
      <c r="W266" s="11">
        <v>65.397000000000006</v>
      </c>
      <c r="X266" s="11">
        <v>34.079000000000001</v>
      </c>
      <c r="Y266" s="11">
        <v>34.603000000000002</v>
      </c>
      <c r="Z266" s="11">
        <v>15.717000000000001</v>
      </c>
      <c r="AA266" s="11">
        <v>16.044</v>
      </c>
      <c r="AB266" s="11">
        <v>34.603000000000002</v>
      </c>
      <c r="AC266" s="11">
        <v>34.079000000000001</v>
      </c>
      <c r="AD266" s="11">
        <v>13.494</v>
      </c>
      <c r="AE266" s="11">
        <v>21</v>
      </c>
      <c r="AF266" s="11">
        <v>18</v>
      </c>
      <c r="AG266" s="11">
        <v>18</v>
      </c>
      <c r="AH266" s="11">
        <v>18</v>
      </c>
    </row>
    <row r="267" spans="1:34" s="33" customFormat="1" x14ac:dyDescent="0.2">
      <c r="A267" s="11">
        <v>388</v>
      </c>
      <c r="B267" s="11"/>
      <c r="C267" s="11"/>
      <c r="D267" s="11"/>
      <c r="E267" s="11"/>
      <c r="F267" s="11" t="s">
        <v>51</v>
      </c>
      <c r="G267" s="11" t="s">
        <v>51</v>
      </c>
      <c r="H267" s="56" t="str">
        <f>VLOOKUP(Table6[[#This Row],[ICD Code]],ICD_summary!$I$3:$M$38,5,0)</f>
        <v>Misc/Other</v>
      </c>
      <c r="I267" s="12">
        <v>999</v>
      </c>
      <c r="J2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7" s="11" t="s">
        <v>51</v>
      </c>
      <c r="L267" s="11"/>
      <c r="M267" s="11"/>
      <c r="N267" s="11" t="s">
        <v>51</v>
      </c>
      <c r="O267" s="11" t="s">
        <v>51</v>
      </c>
      <c r="P267" s="11" t="s">
        <v>51</v>
      </c>
      <c r="Q267" s="11" t="s">
        <v>51</v>
      </c>
      <c r="R267" s="11" t="s">
        <v>51</v>
      </c>
      <c r="S267" s="11" t="s">
        <v>51</v>
      </c>
      <c r="T267" s="11" t="s">
        <v>51</v>
      </c>
      <c r="U267" s="11" t="s">
        <v>51</v>
      </c>
      <c r="V267" s="11" t="s">
        <v>51</v>
      </c>
      <c r="W267" s="11" t="s">
        <v>51</v>
      </c>
      <c r="X267" s="11" t="s">
        <v>51</v>
      </c>
      <c r="Y267" s="11" t="s">
        <v>51</v>
      </c>
      <c r="Z267" s="11" t="s">
        <v>51</v>
      </c>
      <c r="AA267" s="11" t="s">
        <v>51</v>
      </c>
      <c r="AB267" s="11" t="s">
        <v>51</v>
      </c>
      <c r="AC267" s="11" t="s">
        <v>51</v>
      </c>
      <c r="AD267" s="11" t="s">
        <v>51</v>
      </c>
      <c r="AE267" s="11" t="s">
        <v>51</v>
      </c>
      <c r="AF267" s="11" t="s">
        <v>51</v>
      </c>
      <c r="AG267" s="11" t="s">
        <v>51</v>
      </c>
      <c r="AH267" s="11" t="s">
        <v>51</v>
      </c>
    </row>
    <row r="268" spans="1:34" s="33" customFormat="1" x14ac:dyDescent="0.2">
      <c r="A268" s="11">
        <v>389</v>
      </c>
      <c r="B268" s="11"/>
      <c r="C268" s="11"/>
      <c r="D268" s="11"/>
      <c r="E268" s="11"/>
      <c r="F268" s="11" t="s">
        <v>51</v>
      </c>
      <c r="G268" s="11" t="s">
        <v>51</v>
      </c>
      <c r="H268" s="56" t="str">
        <f>VLOOKUP(Table6[[#This Row],[ICD Code]],ICD_summary!$I$3:$M$38,5,0)</f>
        <v>Misc/Other</v>
      </c>
      <c r="I268" s="12">
        <v>999</v>
      </c>
      <c r="J2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8" s="11" t="s">
        <v>51</v>
      </c>
      <c r="L268" s="11"/>
      <c r="M268" s="11"/>
      <c r="N268" s="11">
        <v>65.686000000000007</v>
      </c>
      <c r="O268" s="11">
        <v>63.808999999999997</v>
      </c>
      <c r="P268" s="11">
        <v>132.03899999999999</v>
      </c>
      <c r="Q268" s="11">
        <v>128.29300000000001</v>
      </c>
      <c r="R268" s="11">
        <v>115.438</v>
      </c>
      <c r="S268" s="11">
        <v>112.95</v>
      </c>
      <c r="T268" s="11">
        <v>105.611</v>
      </c>
      <c r="U268" s="11">
        <v>105.574</v>
      </c>
      <c r="V268" s="11">
        <v>59.884999999999998</v>
      </c>
      <c r="W268" s="11">
        <v>62.036999999999999</v>
      </c>
      <c r="X268" s="11">
        <v>40.115000000000002</v>
      </c>
      <c r="Y268" s="11">
        <v>37.963000000000001</v>
      </c>
      <c r="Z268" s="11">
        <v>11.396000000000001</v>
      </c>
      <c r="AA268" s="11">
        <v>10.840999999999999</v>
      </c>
      <c r="AB268" s="11">
        <v>37.963000000000001</v>
      </c>
      <c r="AC268" s="11">
        <v>40.115000000000002</v>
      </c>
      <c r="AD268" s="11">
        <v>11.651</v>
      </c>
      <c r="AE268" s="11">
        <v>11</v>
      </c>
      <c r="AF268" s="11">
        <v>10</v>
      </c>
      <c r="AG268" s="11">
        <v>10</v>
      </c>
      <c r="AH268" s="11">
        <v>10</v>
      </c>
    </row>
    <row r="269" spans="1:34" s="33" customFormat="1" x14ac:dyDescent="0.2">
      <c r="A269" s="11">
        <v>390</v>
      </c>
      <c r="B269" s="11"/>
      <c r="C269" s="11"/>
      <c r="D269" s="11"/>
      <c r="E269" s="11"/>
      <c r="F269" s="11" t="s">
        <v>51</v>
      </c>
      <c r="G269" s="11" t="s">
        <v>51</v>
      </c>
      <c r="H269" s="56" t="str">
        <f>VLOOKUP(Table6[[#This Row],[ICD Code]],ICD_summary!$I$3:$M$38,5,0)</f>
        <v>Misc/Other</v>
      </c>
      <c r="I269" s="12">
        <v>999</v>
      </c>
      <c r="J2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9" s="11" t="s">
        <v>51</v>
      </c>
      <c r="L269" s="11"/>
      <c r="M269" s="11"/>
      <c r="N269" s="11" t="s">
        <v>51</v>
      </c>
      <c r="O269" s="11" t="s">
        <v>51</v>
      </c>
      <c r="P269" s="11" t="s">
        <v>51</v>
      </c>
      <c r="Q269" s="11" t="s">
        <v>51</v>
      </c>
      <c r="R269" s="11" t="s">
        <v>51</v>
      </c>
      <c r="S269" s="11" t="s">
        <v>51</v>
      </c>
      <c r="T269" s="11" t="s">
        <v>51</v>
      </c>
      <c r="U269" s="11" t="s">
        <v>51</v>
      </c>
      <c r="V269" s="11" t="s">
        <v>51</v>
      </c>
      <c r="W269" s="11" t="s">
        <v>51</v>
      </c>
      <c r="X269" s="11" t="s">
        <v>51</v>
      </c>
      <c r="Y269" s="11" t="s">
        <v>51</v>
      </c>
      <c r="Z269" s="11" t="s">
        <v>51</v>
      </c>
      <c r="AA269" s="11" t="s">
        <v>51</v>
      </c>
      <c r="AB269" s="11" t="s">
        <v>51</v>
      </c>
      <c r="AC269" s="11" t="s">
        <v>51</v>
      </c>
      <c r="AD269" s="11" t="s">
        <v>51</v>
      </c>
      <c r="AE269" s="11" t="s">
        <v>51</v>
      </c>
      <c r="AF269" s="11" t="s">
        <v>51</v>
      </c>
      <c r="AG269" s="11" t="s">
        <v>51</v>
      </c>
      <c r="AH269" s="11" t="s">
        <v>51</v>
      </c>
    </row>
    <row r="270" spans="1:34" s="33" customFormat="1" x14ac:dyDescent="0.2">
      <c r="A270" s="11">
        <v>391</v>
      </c>
      <c r="B270" s="11"/>
      <c r="C270" s="11"/>
      <c r="D270" s="11"/>
      <c r="E270" s="11"/>
      <c r="F270" s="11" t="s">
        <v>51</v>
      </c>
      <c r="G270" s="11" t="s">
        <v>51</v>
      </c>
      <c r="H270" s="56" t="str">
        <f>VLOOKUP(Table6[[#This Row],[ICD Code]],ICD_summary!$I$3:$M$38,5,0)</f>
        <v>Misc/Other</v>
      </c>
      <c r="I270" s="12">
        <v>999</v>
      </c>
      <c r="J2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0" s="11" t="s">
        <v>51</v>
      </c>
      <c r="L270" s="11"/>
      <c r="M270" s="11"/>
      <c r="N270" s="11">
        <v>70.438999999999993</v>
      </c>
      <c r="O270" s="11">
        <v>70.625</v>
      </c>
      <c r="P270" s="11">
        <v>141.25700000000001</v>
      </c>
      <c r="Q270" s="11">
        <v>142.52500000000001</v>
      </c>
      <c r="R270" s="11">
        <v>138.59700000000001</v>
      </c>
      <c r="S270" s="11">
        <v>141.779</v>
      </c>
      <c r="T270" s="11">
        <v>117.377</v>
      </c>
      <c r="U270" s="11">
        <v>119.548</v>
      </c>
      <c r="V270" s="11">
        <v>60.506999999999998</v>
      </c>
      <c r="W270" s="11">
        <v>60.917999999999999</v>
      </c>
      <c r="X270" s="11">
        <v>39.493000000000002</v>
      </c>
      <c r="Y270" s="11">
        <v>39.082000000000001</v>
      </c>
      <c r="Z270" s="11">
        <v>10.79</v>
      </c>
      <c r="AA270" s="11">
        <v>10.987</v>
      </c>
      <c r="AB270" s="11">
        <v>39.082000000000001</v>
      </c>
      <c r="AC270" s="11">
        <v>39.493000000000002</v>
      </c>
      <c r="AD270" s="11">
        <v>15.372999999999999</v>
      </c>
      <c r="AE270" s="11">
        <v>18</v>
      </c>
      <c r="AF270" s="11">
        <v>12</v>
      </c>
      <c r="AG270" s="11">
        <v>12</v>
      </c>
      <c r="AH270" s="11">
        <v>12</v>
      </c>
    </row>
    <row r="271" spans="1:34" s="33" customFormat="1" x14ac:dyDescent="0.2">
      <c r="A271" s="11">
        <v>392</v>
      </c>
      <c r="B271" s="11"/>
      <c r="C271" s="11"/>
      <c r="D271" s="11"/>
      <c r="E271" s="11"/>
      <c r="F271" s="11" t="s">
        <v>51</v>
      </c>
      <c r="G271" s="11" t="s">
        <v>51</v>
      </c>
      <c r="H271" s="56" t="str">
        <f>VLOOKUP(Table6[[#This Row],[ICD Code]],ICD_summary!$I$3:$M$38,5,0)</f>
        <v>Misc/Other</v>
      </c>
      <c r="I271" s="12">
        <v>999</v>
      </c>
      <c r="J2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1" s="11" t="s">
        <v>51</v>
      </c>
      <c r="L271" s="11"/>
      <c r="M271" s="11"/>
      <c r="N271" s="11">
        <v>43.866</v>
      </c>
      <c r="O271" s="11">
        <v>47.631</v>
      </c>
      <c r="P271" s="11">
        <v>92.179000000000002</v>
      </c>
      <c r="Q271" s="11">
        <v>91.685000000000002</v>
      </c>
      <c r="R271" s="11">
        <v>71.337999999999994</v>
      </c>
      <c r="S271" s="11">
        <v>71.05</v>
      </c>
      <c r="T271" s="11">
        <v>91.641000000000005</v>
      </c>
      <c r="U271" s="11">
        <v>92.543000000000006</v>
      </c>
      <c r="V271" s="11">
        <v>65.257999999999996</v>
      </c>
      <c r="W271" s="11">
        <v>61.121000000000002</v>
      </c>
      <c r="X271" s="11">
        <v>34.741999999999997</v>
      </c>
      <c r="Y271" s="11">
        <v>38.878999999999998</v>
      </c>
      <c r="Z271" s="11">
        <v>12.013999999999999</v>
      </c>
      <c r="AA271" s="11">
        <v>14.824</v>
      </c>
      <c r="AB271" s="11">
        <v>38.878999999999998</v>
      </c>
      <c r="AC271" s="11">
        <v>34.741999999999997</v>
      </c>
      <c r="AD271" s="11">
        <v>12.163</v>
      </c>
      <c r="AE271" s="11">
        <v>8</v>
      </c>
      <c r="AF271" s="11">
        <v>9</v>
      </c>
      <c r="AG271" s="11">
        <v>8</v>
      </c>
      <c r="AH271" s="11">
        <v>8</v>
      </c>
    </row>
    <row r="272" spans="1:34" s="33" customFormat="1" x14ac:dyDescent="0.2">
      <c r="A272" s="11">
        <v>393</v>
      </c>
      <c r="B272" s="11"/>
      <c r="C272" s="11"/>
      <c r="D272" s="11"/>
      <c r="E272" s="11"/>
      <c r="F272" s="11" t="s">
        <v>51</v>
      </c>
      <c r="G272" s="11" t="s">
        <v>51</v>
      </c>
      <c r="H272" s="56" t="str">
        <f>VLOOKUP(Table6[[#This Row],[ICD Code]],ICD_summary!$I$3:$M$38,5,0)</f>
        <v>Misc/Other</v>
      </c>
      <c r="I272" s="12">
        <v>999</v>
      </c>
      <c r="J2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2" s="11" t="s">
        <v>51</v>
      </c>
      <c r="L272" s="11"/>
      <c r="M272" s="11"/>
      <c r="N272" s="11">
        <v>42.996000000000002</v>
      </c>
      <c r="O272" s="11">
        <v>45.512</v>
      </c>
      <c r="P272" s="11">
        <v>89.096000000000004</v>
      </c>
      <c r="Q272" s="11">
        <v>88.07</v>
      </c>
      <c r="R272" s="11">
        <v>87.731999999999999</v>
      </c>
      <c r="S272" s="11">
        <v>87.363</v>
      </c>
      <c r="T272" s="11">
        <v>119.221</v>
      </c>
      <c r="U272" s="11">
        <v>118.83499999999999</v>
      </c>
      <c r="V272" s="11">
        <v>61.735999999999997</v>
      </c>
      <c r="W272" s="11">
        <v>62.874000000000002</v>
      </c>
      <c r="X272" s="11">
        <v>38.264000000000003</v>
      </c>
      <c r="Y272" s="11">
        <v>37.125999999999998</v>
      </c>
      <c r="Z272" s="11">
        <v>13.842000000000001</v>
      </c>
      <c r="AA272" s="11">
        <v>10.68</v>
      </c>
      <c r="AB272" s="11">
        <v>37.125999999999998</v>
      </c>
      <c r="AC272" s="11">
        <v>38.264000000000003</v>
      </c>
      <c r="AD272" s="11">
        <v>28.026</v>
      </c>
      <c r="AE272" s="11">
        <v>22</v>
      </c>
      <c r="AF272" s="11">
        <v>21</v>
      </c>
      <c r="AG272" s="11">
        <v>21</v>
      </c>
      <c r="AH272" s="11">
        <v>21</v>
      </c>
    </row>
    <row r="273" spans="1:34" s="33" customFormat="1" x14ac:dyDescent="0.2">
      <c r="A273" s="11">
        <v>395</v>
      </c>
      <c r="B273" s="11"/>
      <c r="C273" s="11"/>
      <c r="D273" s="11"/>
      <c r="E273" s="11"/>
      <c r="F273" s="11" t="s">
        <v>51</v>
      </c>
      <c r="G273" s="11" t="s">
        <v>51</v>
      </c>
      <c r="H273" s="56" t="str">
        <f>VLOOKUP(Table6[[#This Row],[ICD Code]],ICD_summary!$I$3:$M$38,5,0)</f>
        <v>Misc/Other</v>
      </c>
      <c r="I273" s="12">
        <v>999</v>
      </c>
      <c r="J2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3" s="11" t="s">
        <v>51</v>
      </c>
      <c r="L273" s="11"/>
      <c r="M273" s="11"/>
      <c r="N273" s="11">
        <v>61.162999999999997</v>
      </c>
      <c r="O273" s="11">
        <v>58.853999999999999</v>
      </c>
      <c r="P273" s="11">
        <v>120.148</v>
      </c>
      <c r="Q273" s="11">
        <v>118.288</v>
      </c>
      <c r="R273" s="11">
        <v>130.21899999999999</v>
      </c>
      <c r="S273" s="11">
        <v>132.85300000000001</v>
      </c>
      <c r="T273" s="11">
        <v>132.46199999999999</v>
      </c>
      <c r="U273" s="11">
        <v>134.08500000000001</v>
      </c>
      <c r="V273" s="11">
        <v>58.831000000000003</v>
      </c>
      <c r="W273" s="11">
        <v>59.021999999999998</v>
      </c>
      <c r="X273" s="11">
        <v>41.168999999999997</v>
      </c>
      <c r="Y273" s="11">
        <v>40.978000000000002</v>
      </c>
      <c r="Z273" s="11">
        <v>10.130000000000001</v>
      </c>
      <c r="AA273" s="11">
        <v>8.0009999999999994</v>
      </c>
      <c r="AB273" s="11">
        <v>40.978000000000002</v>
      </c>
      <c r="AC273" s="11">
        <v>41.168999999999997</v>
      </c>
      <c r="AD273" s="11">
        <v>10.727</v>
      </c>
      <c r="AE273" s="11">
        <v>6</v>
      </c>
      <c r="AF273" s="11">
        <v>5</v>
      </c>
      <c r="AG273" s="11">
        <v>5</v>
      </c>
      <c r="AH273" s="11">
        <v>5</v>
      </c>
    </row>
    <row r="274" spans="1:34" s="33" customFormat="1" x14ac:dyDescent="0.2">
      <c r="A274" s="11">
        <v>396</v>
      </c>
      <c r="B274" s="11"/>
      <c r="C274" s="11"/>
      <c r="D274" s="11"/>
      <c r="E274" s="11"/>
      <c r="F274" s="11" t="s">
        <v>51</v>
      </c>
      <c r="G274" s="11" t="s">
        <v>51</v>
      </c>
      <c r="H274" s="56" t="str">
        <f>VLOOKUP(Table6[[#This Row],[ICD Code]],ICD_summary!$I$3:$M$38,5,0)</f>
        <v>Misc/Other</v>
      </c>
      <c r="I274" s="12">
        <v>999</v>
      </c>
      <c r="J2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4" s="11" t="s">
        <v>51</v>
      </c>
      <c r="L274" s="11"/>
      <c r="M274" s="11"/>
      <c r="N274" s="11">
        <v>25.507000000000001</v>
      </c>
      <c r="O274" s="11">
        <v>24.463000000000001</v>
      </c>
      <c r="P274" s="11">
        <v>51.752000000000002</v>
      </c>
      <c r="Q274" s="11">
        <v>49.732999999999997</v>
      </c>
      <c r="R274" s="11">
        <v>43.563000000000002</v>
      </c>
      <c r="S274" s="11">
        <v>43.332000000000001</v>
      </c>
      <c r="T274" s="11">
        <v>101.861</v>
      </c>
      <c r="U274" s="11">
        <v>102.49299999999999</v>
      </c>
      <c r="V274" s="11">
        <v>63.957999999999998</v>
      </c>
      <c r="W274" s="11">
        <v>66.447000000000003</v>
      </c>
      <c r="X274" s="11">
        <v>36.042000000000002</v>
      </c>
      <c r="Y274" s="11">
        <v>33.552999999999997</v>
      </c>
      <c r="Z274" s="11">
        <v>14.428000000000001</v>
      </c>
      <c r="AA274" s="11">
        <v>16.061</v>
      </c>
      <c r="AB274" s="11">
        <v>33.552999999999997</v>
      </c>
      <c r="AC274" s="11">
        <v>36.042000000000002</v>
      </c>
      <c r="AD274" s="11">
        <v>21.068000000000001</v>
      </c>
      <c r="AE274" s="11">
        <v>20</v>
      </c>
      <c r="AF274" s="11">
        <v>22</v>
      </c>
      <c r="AG274" s="11">
        <v>20</v>
      </c>
      <c r="AH274" s="11">
        <v>20</v>
      </c>
    </row>
    <row r="275" spans="1:34" s="33" customFormat="1" x14ac:dyDescent="0.2">
      <c r="A275" s="11">
        <v>397</v>
      </c>
      <c r="B275" s="11"/>
      <c r="C275" s="11"/>
      <c r="D275" s="11"/>
      <c r="E275" s="11"/>
      <c r="F275" s="11" t="s">
        <v>51</v>
      </c>
      <c r="G275" s="11" t="s">
        <v>51</v>
      </c>
      <c r="H275" s="56" t="str">
        <f>VLOOKUP(Table6[[#This Row],[ICD Code]],ICD_summary!$I$3:$M$38,5,0)</f>
        <v>Misc/Other</v>
      </c>
      <c r="I275" s="12">
        <v>999</v>
      </c>
      <c r="J2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5" s="11" t="s">
        <v>51</v>
      </c>
      <c r="L275" s="11"/>
      <c r="M275" s="11"/>
      <c r="N275" s="11" t="s">
        <v>51</v>
      </c>
      <c r="O275" s="11" t="s">
        <v>51</v>
      </c>
      <c r="P275" s="11" t="s">
        <v>51</v>
      </c>
      <c r="Q275" s="11" t="s">
        <v>51</v>
      </c>
      <c r="R275" s="11" t="s">
        <v>51</v>
      </c>
      <c r="S275" s="11" t="s">
        <v>51</v>
      </c>
      <c r="T275" s="11" t="s">
        <v>51</v>
      </c>
      <c r="U275" s="11" t="s">
        <v>51</v>
      </c>
      <c r="V275" s="11" t="s">
        <v>51</v>
      </c>
      <c r="W275" s="11" t="s">
        <v>51</v>
      </c>
      <c r="X275" s="11" t="s">
        <v>51</v>
      </c>
      <c r="Y275" s="11" t="s">
        <v>51</v>
      </c>
      <c r="Z275" s="11" t="s">
        <v>51</v>
      </c>
      <c r="AA275" s="11" t="s">
        <v>51</v>
      </c>
      <c r="AB275" s="11" t="s">
        <v>51</v>
      </c>
      <c r="AC275" s="11" t="s">
        <v>51</v>
      </c>
      <c r="AD275" s="11" t="s">
        <v>51</v>
      </c>
      <c r="AE275" s="11" t="s">
        <v>51</v>
      </c>
      <c r="AF275" s="11" t="s">
        <v>51</v>
      </c>
      <c r="AG275" s="11" t="s">
        <v>51</v>
      </c>
      <c r="AH275" s="11" t="s">
        <v>51</v>
      </c>
    </row>
    <row r="276" spans="1:34" s="33" customFormat="1" x14ac:dyDescent="0.2">
      <c r="A276" s="11">
        <v>398</v>
      </c>
      <c r="B276" s="11"/>
      <c r="C276" s="11"/>
      <c r="D276" s="11"/>
      <c r="E276" s="11"/>
      <c r="F276" s="11" t="s">
        <v>62</v>
      </c>
      <c r="G276" s="11" t="s">
        <v>63</v>
      </c>
      <c r="H276" s="56" t="str">
        <f>VLOOKUP(Table6[[#This Row],[ICD Code]],ICD_summary!$I$3:$M$38,5,0)</f>
        <v>PD</v>
      </c>
      <c r="I276" s="12">
        <v>59.2</v>
      </c>
      <c r="J2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6" s="11" t="s">
        <v>55</v>
      </c>
      <c r="L276" s="11"/>
      <c r="M276" s="11"/>
      <c r="N276" s="11">
        <v>42.521000000000001</v>
      </c>
      <c r="O276" s="11">
        <v>43.219000000000001</v>
      </c>
      <c r="P276" s="11">
        <v>85.866</v>
      </c>
      <c r="Q276" s="11">
        <v>85.716999999999999</v>
      </c>
      <c r="R276" s="11">
        <v>59.067999999999998</v>
      </c>
      <c r="S276" s="11">
        <v>58.268000000000001</v>
      </c>
      <c r="T276" s="11">
        <v>82.268000000000001</v>
      </c>
      <c r="U276" s="11">
        <v>81.525999999999996</v>
      </c>
      <c r="V276" s="11">
        <v>67.257999999999996</v>
      </c>
      <c r="W276" s="11">
        <v>69.12</v>
      </c>
      <c r="X276" s="11">
        <v>32.741999999999997</v>
      </c>
      <c r="Y276" s="11">
        <v>30.88</v>
      </c>
      <c r="Z276" s="11">
        <v>20.428000000000001</v>
      </c>
      <c r="AA276" s="11">
        <v>16.446000000000002</v>
      </c>
      <c r="AB276" s="11">
        <v>30.88</v>
      </c>
      <c r="AC276" s="11">
        <v>32.741999999999997</v>
      </c>
      <c r="AD276" s="11">
        <v>7.9039999999999999</v>
      </c>
      <c r="AE276" s="11">
        <v>12</v>
      </c>
      <c r="AF276" s="11">
        <v>14</v>
      </c>
      <c r="AG276" s="11">
        <v>12</v>
      </c>
      <c r="AH276" s="11">
        <v>12</v>
      </c>
    </row>
    <row r="277" spans="1:34" s="33" customFormat="1" x14ac:dyDescent="0.2">
      <c r="A277" s="11">
        <v>399</v>
      </c>
      <c r="B277" s="11"/>
      <c r="C277" s="11"/>
      <c r="D277" s="11"/>
      <c r="E277" s="11"/>
      <c r="F277" s="11" t="s">
        <v>72</v>
      </c>
      <c r="G277" s="11" t="s">
        <v>73</v>
      </c>
      <c r="H277" s="56" t="str">
        <f>VLOOKUP(Table6[[#This Row],[ICD Code]],ICD_summary!$I$3:$M$38,5,0)</f>
        <v>Tremor, other</v>
      </c>
      <c r="I277" s="12">
        <v>69.099999999999994</v>
      </c>
      <c r="J2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77" s="11" t="s">
        <v>52</v>
      </c>
      <c r="L277" s="11"/>
      <c r="M277" s="11"/>
      <c r="N277" s="11">
        <v>61.939</v>
      </c>
      <c r="O277" s="11">
        <v>65.14</v>
      </c>
      <c r="P277" s="11">
        <v>126.8</v>
      </c>
      <c r="Q277" s="11">
        <v>127.702</v>
      </c>
      <c r="R277" s="11">
        <v>121.98</v>
      </c>
      <c r="S277" s="11">
        <v>123.29</v>
      </c>
      <c r="T277" s="11">
        <v>114.82299999999999</v>
      </c>
      <c r="U277" s="11">
        <v>115.327</v>
      </c>
      <c r="V277" s="11">
        <v>63.338999999999999</v>
      </c>
      <c r="W277" s="11">
        <v>63.363999999999997</v>
      </c>
      <c r="X277" s="11">
        <v>36.661000000000001</v>
      </c>
      <c r="Y277" s="11">
        <v>36.636000000000003</v>
      </c>
      <c r="Z277" s="11">
        <v>13.553000000000001</v>
      </c>
      <c r="AA277" s="11">
        <v>13.215</v>
      </c>
      <c r="AB277" s="11">
        <v>36.636000000000003</v>
      </c>
      <c r="AC277" s="11">
        <v>36.661000000000001</v>
      </c>
      <c r="AD277" s="11">
        <v>13.834</v>
      </c>
      <c r="AE277" s="11">
        <v>9</v>
      </c>
      <c r="AF277" s="11">
        <v>8</v>
      </c>
      <c r="AG277" s="11">
        <v>8</v>
      </c>
      <c r="AH277" s="11">
        <v>8</v>
      </c>
    </row>
    <row r="278" spans="1:34" s="33" customFormat="1" x14ac:dyDescent="0.2">
      <c r="A278" s="11">
        <v>400</v>
      </c>
      <c r="B278" s="11"/>
      <c r="C278" s="11"/>
      <c r="D278" s="11"/>
      <c r="E278" s="11"/>
      <c r="F278" s="11" t="s">
        <v>62</v>
      </c>
      <c r="G278" s="11" t="s">
        <v>63</v>
      </c>
      <c r="H278" s="56" t="str">
        <f>VLOOKUP(Table6[[#This Row],[ICD Code]],ICD_summary!$I$3:$M$38,5,0)</f>
        <v>PD</v>
      </c>
      <c r="I278" s="12">
        <v>53.6</v>
      </c>
      <c r="J2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8" s="11" t="s">
        <v>52</v>
      </c>
      <c r="L278" s="11"/>
      <c r="M278" s="11"/>
      <c r="N278" s="11">
        <v>57.530999999999999</v>
      </c>
      <c r="O278" s="11">
        <v>55.612000000000002</v>
      </c>
      <c r="P278" s="11">
        <v>111.977</v>
      </c>
      <c r="Q278" s="11">
        <v>114.74</v>
      </c>
      <c r="R278" s="11">
        <v>111.325</v>
      </c>
      <c r="S278" s="11">
        <v>112.932</v>
      </c>
      <c r="T278" s="11">
        <v>118.44</v>
      </c>
      <c r="U278" s="11">
        <v>118.471</v>
      </c>
      <c r="V278" s="11">
        <v>62.676000000000002</v>
      </c>
      <c r="W278" s="11">
        <v>64.590999999999994</v>
      </c>
      <c r="X278" s="11">
        <v>37.323999999999998</v>
      </c>
      <c r="Y278" s="11">
        <v>35.408999999999999</v>
      </c>
      <c r="Z278" s="11">
        <v>13.15</v>
      </c>
      <c r="AA278" s="11">
        <v>14.145</v>
      </c>
      <c r="AB278" s="11">
        <v>35.408999999999999</v>
      </c>
      <c r="AC278" s="11">
        <v>37.323999999999998</v>
      </c>
      <c r="AD278" s="11">
        <v>12.077999999999999</v>
      </c>
      <c r="AE278" s="11">
        <v>9</v>
      </c>
      <c r="AF278" s="11">
        <v>10</v>
      </c>
      <c r="AG278" s="11">
        <v>9</v>
      </c>
      <c r="AH278" s="11">
        <v>9</v>
      </c>
    </row>
    <row r="279" spans="1:34" s="33" customFormat="1" x14ac:dyDescent="0.2">
      <c r="A279" s="11">
        <v>401</v>
      </c>
      <c r="B279" s="11"/>
      <c r="C279" s="11"/>
      <c r="D279" s="11"/>
      <c r="E279" s="11"/>
      <c r="F279" s="11" t="s">
        <v>62</v>
      </c>
      <c r="G279" s="11" t="s">
        <v>63</v>
      </c>
      <c r="H279" s="56" t="str">
        <f>VLOOKUP(Table6[[#This Row],[ICD Code]],ICD_summary!$I$3:$M$38,5,0)</f>
        <v>PD</v>
      </c>
      <c r="I279" s="12">
        <v>57.5</v>
      </c>
      <c r="J2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9" s="11" t="s">
        <v>55</v>
      </c>
      <c r="L279" s="11"/>
      <c r="M279" s="11"/>
      <c r="N279" s="11">
        <v>34.701000000000001</v>
      </c>
      <c r="O279" s="11">
        <v>34.195</v>
      </c>
      <c r="P279" s="11">
        <v>68.966999999999999</v>
      </c>
      <c r="Q279" s="11">
        <v>68.817999999999998</v>
      </c>
      <c r="R279" s="11">
        <v>74.361999999999995</v>
      </c>
      <c r="S279" s="11">
        <v>74.393000000000001</v>
      </c>
      <c r="T279" s="11">
        <v>129.07</v>
      </c>
      <c r="U279" s="11">
        <v>128.51599999999999</v>
      </c>
      <c r="V279" s="11">
        <v>68.549000000000007</v>
      </c>
      <c r="W279" s="11">
        <v>66.084999999999994</v>
      </c>
      <c r="X279" s="11">
        <v>31.451000000000001</v>
      </c>
      <c r="Y279" s="11">
        <v>33.914999999999999</v>
      </c>
      <c r="Z279" s="11">
        <v>17.326000000000001</v>
      </c>
      <c r="AA279" s="11">
        <v>17.504000000000001</v>
      </c>
      <c r="AB279" s="11">
        <v>33.914999999999999</v>
      </c>
      <c r="AC279" s="11">
        <v>31.451000000000001</v>
      </c>
      <c r="AD279" s="11">
        <v>10.912000000000001</v>
      </c>
      <c r="AE279" s="11">
        <v>18</v>
      </c>
      <c r="AF279" s="11">
        <v>15</v>
      </c>
      <c r="AG279" s="11">
        <v>15</v>
      </c>
      <c r="AH279" s="11">
        <v>15</v>
      </c>
    </row>
    <row r="280" spans="1:34" s="33" customFormat="1" x14ac:dyDescent="0.2">
      <c r="A280" s="11">
        <v>402</v>
      </c>
      <c r="B280" s="11"/>
      <c r="C280" s="11"/>
      <c r="D280" s="11"/>
      <c r="E280" s="11"/>
      <c r="F280" s="11" t="s">
        <v>62</v>
      </c>
      <c r="G280" s="11" t="s">
        <v>63</v>
      </c>
      <c r="H280" s="56" t="str">
        <f>VLOOKUP(Table6[[#This Row],[ICD Code]],ICD_summary!$I$3:$M$38,5,0)</f>
        <v>PD</v>
      </c>
      <c r="I280" s="12">
        <v>60.1</v>
      </c>
      <c r="J2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0" s="11" t="s">
        <v>52</v>
      </c>
      <c r="L280" s="11"/>
      <c r="M280" s="11"/>
      <c r="N280" s="11">
        <v>70.468999999999994</v>
      </c>
      <c r="O280" s="11">
        <v>72.506</v>
      </c>
      <c r="P280" s="11">
        <v>143.28700000000001</v>
      </c>
      <c r="Q280" s="11">
        <v>142.71899999999999</v>
      </c>
      <c r="R280" s="11">
        <v>129.78299999999999</v>
      </c>
      <c r="S280" s="11">
        <v>128.215</v>
      </c>
      <c r="T280" s="11">
        <v>108.286</v>
      </c>
      <c r="U280" s="11">
        <v>106.76600000000001</v>
      </c>
      <c r="V280" s="11">
        <v>60.82</v>
      </c>
      <c r="W280" s="11">
        <v>61.901000000000003</v>
      </c>
      <c r="X280" s="11">
        <v>39.18</v>
      </c>
      <c r="Y280" s="11">
        <v>38.098999999999997</v>
      </c>
      <c r="Z280" s="11">
        <v>11.699</v>
      </c>
      <c r="AA280" s="11">
        <v>11.936</v>
      </c>
      <c r="AB280" s="11">
        <v>38.098999999999997</v>
      </c>
      <c r="AC280" s="11">
        <v>39.18</v>
      </c>
      <c r="AD280" s="11">
        <v>12.087</v>
      </c>
      <c r="AE280" s="11">
        <v>9</v>
      </c>
      <c r="AF280" s="11">
        <v>10</v>
      </c>
      <c r="AG280" s="11">
        <v>9</v>
      </c>
      <c r="AH280" s="11">
        <v>9</v>
      </c>
    </row>
    <row r="281" spans="1:34" s="33" customFormat="1" x14ac:dyDescent="0.2">
      <c r="A281" s="11">
        <v>403</v>
      </c>
      <c r="B281" s="11"/>
      <c r="C281" s="11"/>
      <c r="D281" s="11"/>
      <c r="E281" s="11"/>
      <c r="F281" s="11" t="s">
        <v>62</v>
      </c>
      <c r="G281" s="11" t="s">
        <v>63</v>
      </c>
      <c r="H281" s="56" t="str">
        <f>VLOOKUP(Table6[[#This Row],[ICD Code]],ICD_summary!$I$3:$M$38,5,0)</f>
        <v>PD</v>
      </c>
      <c r="I281" s="12">
        <v>68.599999999999994</v>
      </c>
      <c r="J2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1" s="11" t="s">
        <v>52</v>
      </c>
      <c r="L281" s="11"/>
      <c r="M281" s="11"/>
      <c r="N281" s="11" t="s">
        <v>51</v>
      </c>
      <c r="O281" s="11" t="s">
        <v>51</v>
      </c>
      <c r="P281" s="11" t="s">
        <v>51</v>
      </c>
      <c r="Q281" s="11" t="s">
        <v>51</v>
      </c>
      <c r="R281" s="11" t="s">
        <v>51</v>
      </c>
      <c r="S281" s="11" t="s">
        <v>51</v>
      </c>
      <c r="T281" s="11" t="s">
        <v>51</v>
      </c>
      <c r="U281" s="11" t="s">
        <v>51</v>
      </c>
      <c r="V281" s="11" t="s">
        <v>51</v>
      </c>
      <c r="W281" s="11" t="s">
        <v>51</v>
      </c>
      <c r="X281" s="11" t="s">
        <v>51</v>
      </c>
      <c r="Y281" s="11" t="s">
        <v>51</v>
      </c>
      <c r="Z281" s="11" t="s">
        <v>51</v>
      </c>
      <c r="AA281" s="11" t="s">
        <v>51</v>
      </c>
      <c r="AB281" s="11" t="s">
        <v>51</v>
      </c>
      <c r="AC281" s="11" t="s">
        <v>51</v>
      </c>
      <c r="AD281" s="11" t="s">
        <v>51</v>
      </c>
      <c r="AE281" s="11" t="s">
        <v>51</v>
      </c>
      <c r="AF281" s="11" t="s">
        <v>51</v>
      </c>
      <c r="AG281" s="11" t="s">
        <v>51</v>
      </c>
      <c r="AH281" s="11" t="s">
        <v>51</v>
      </c>
    </row>
    <row r="282" spans="1:34" s="33" customFormat="1" x14ac:dyDescent="0.2">
      <c r="A282" s="11">
        <v>404</v>
      </c>
      <c r="B282" s="11"/>
      <c r="C282" s="11"/>
      <c r="D282" s="11"/>
      <c r="E282" s="11"/>
      <c r="F282" s="11" t="s">
        <v>62</v>
      </c>
      <c r="G282" s="11" t="s">
        <v>63</v>
      </c>
      <c r="H282" s="56" t="str">
        <f>VLOOKUP(Table6[[#This Row],[ICD Code]],ICD_summary!$I$3:$M$38,5,0)</f>
        <v>PD</v>
      </c>
      <c r="I282" s="12">
        <v>68.599999999999994</v>
      </c>
      <c r="J2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2" s="11" t="s">
        <v>55</v>
      </c>
      <c r="L282" s="11"/>
      <c r="M282" s="11"/>
      <c r="N282" s="11">
        <v>41.225000000000001</v>
      </c>
      <c r="O282" s="11">
        <v>35.901000000000003</v>
      </c>
      <c r="P282" s="11">
        <v>77.25</v>
      </c>
      <c r="Q282" s="11">
        <v>77.295000000000002</v>
      </c>
      <c r="R282" s="11">
        <v>65.483000000000004</v>
      </c>
      <c r="S282" s="11">
        <v>65.364999999999995</v>
      </c>
      <c r="T282" s="11">
        <v>101.355</v>
      </c>
      <c r="U282" s="11">
        <v>101.432</v>
      </c>
      <c r="V282" s="11">
        <v>65.277000000000001</v>
      </c>
      <c r="W282" s="11">
        <v>65.864999999999995</v>
      </c>
      <c r="X282" s="11">
        <v>34.722999999999999</v>
      </c>
      <c r="Y282" s="11">
        <v>34.134999999999998</v>
      </c>
      <c r="Z282" s="11">
        <v>16.302</v>
      </c>
      <c r="AA282" s="11">
        <v>15.016999999999999</v>
      </c>
      <c r="AB282" s="11">
        <v>34.134999999999998</v>
      </c>
      <c r="AC282" s="11">
        <v>34.722999999999999</v>
      </c>
      <c r="AD282" s="11">
        <v>7.85</v>
      </c>
      <c r="AE282" s="11">
        <v>15</v>
      </c>
      <c r="AF282" s="11">
        <v>15</v>
      </c>
      <c r="AG282" s="11">
        <v>15</v>
      </c>
      <c r="AH282" s="11">
        <v>15</v>
      </c>
    </row>
    <row r="283" spans="1:34" s="33" customFormat="1" x14ac:dyDescent="0.2">
      <c r="A283" s="11">
        <v>405</v>
      </c>
      <c r="B283" s="11"/>
      <c r="C283" s="11"/>
      <c r="D283" s="11"/>
      <c r="E283" s="11"/>
      <c r="F283" s="11" t="s">
        <v>62</v>
      </c>
      <c r="G283" s="11" t="s">
        <v>63</v>
      </c>
      <c r="H283" s="56" t="str">
        <f>VLOOKUP(Table6[[#This Row],[ICD Code]],ICD_summary!$I$3:$M$38,5,0)</f>
        <v>PD</v>
      </c>
      <c r="I283" s="12">
        <v>72.5</v>
      </c>
      <c r="J2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83" s="11" t="s">
        <v>52</v>
      </c>
      <c r="L283" s="11"/>
      <c r="M283" s="11"/>
      <c r="N283" s="11">
        <v>30.213999999999999</v>
      </c>
      <c r="O283" s="11">
        <v>32.226999999999997</v>
      </c>
      <c r="P283" s="11">
        <v>62.886000000000003</v>
      </c>
      <c r="Q283" s="11">
        <v>62.256999999999998</v>
      </c>
      <c r="R283" s="11">
        <v>62.841999999999999</v>
      </c>
      <c r="S283" s="11">
        <v>62.710999999999999</v>
      </c>
      <c r="T283" s="11">
        <v>119.736</v>
      </c>
      <c r="U283" s="11">
        <v>119.876</v>
      </c>
      <c r="V283" s="11">
        <v>62.606000000000002</v>
      </c>
      <c r="W283" s="11">
        <v>64.632000000000005</v>
      </c>
      <c r="X283" s="11">
        <v>37.393999999999998</v>
      </c>
      <c r="Y283" s="11">
        <v>35.368000000000002</v>
      </c>
      <c r="Z283" s="11">
        <v>14.553000000000001</v>
      </c>
      <c r="AA283" s="11">
        <v>12.571</v>
      </c>
      <c r="AB283" s="11">
        <v>35.368000000000002</v>
      </c>
      <c r="AC283" s="11">
        <v>37.393999999999998</v>
      </c>
      <c r="AD283" s="11">
        <v>10.618</v>
      </c>
      <c r="AE283" s="11">
        <v>17</v>
      </c>
      <c r="AF283" s="11">
        <v>18</v>
      </c>
      <c r="AG283" s="11">
        <v>17</v>
      </c>
      <c r="AH283" s="11">
        <v>17</v>
      </c>
    </row>
    <row r="284" spans="1:34" s="33" customFormat="1" x14ac:dyDescent="0.2">
      <c r="A284" s="11">
        <v>406</v>
      </c>
      <c r="B284" s="11"/>
      <c r="C284" s="11"/>
      <c r="D284" s="11"/>
      <c r="E284" s="11"/>
      <c r="F284" s="11" t="s">
        <v>51</v>
      </c>
      <c r="G284" s="11" t="s">
        <v>51</v>
      </c>
      <c r="H284" s="56" t="str">
        <f>VLOOKUP(Table6[[#This Row],[ICD Code]],ICD_summary!$I$3:$M$38,5,0)</f>
        <v>Misc/Other</v>
      </c>
      <c r="I284" s="12">
        <v>999</v>
      </c>
      <c r="J2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84" s="11" t="s">
        <v>51</v>
      </c>
      <c r="L284" s="11"/>
      <c r="M284" s="11"/>
      <c r="N284" s="11">
        <v>55.353999999999999</v>
      </c>
      <c r="O284" s="11">
        <v>61.753</v>
      </c>
      <c r="P284" s="11">
        <v>118.154</v>
      </c>
      <c r="Q284" s="11">
        <v>116.26</v>
      </c>
      <c r="R284" s="11">
        <v>116.346</v>
      </c>
      <c r="S284" s="11">
        <v>114.51300000000001</v>
      </c>
      <c r="T284" s="11">
        <v>118.86199999999999</v>
      </c>
      <c r="U284" s="11">
        <v>117.627</v>
      </c>
      <c r="V284" s="11">
        <v>61.622999999999998</v>
      </c>
      <c r="W284" s="11">
        <v>60.103000000000002</v>
      </c>
      <c r="X284" s="11">
        <v>38.377000000000002</v>
      </c>
      <c r="Y284" s="11">
        <v>39.896999999999998</v>
      </c>
      <c r="Z284" s="11">
        <v>12.292</v>
      </c>
      <c r="AA284" s="11">
        <v>10.446</v>
      </c>
      <c r="AB284" s="11">
        <v>39.896999999999998</v>
      </c>
      <c r="AC284" s="11">
        <v>38.377000000000002</v>
      </c>
      <c r="AD284" s="11">
        <v>13.358000000000001</v>
      </c>
      <c r="AE284" s="11">
        <v>10</v>
      </c>
      <c r="AF284" s="11">
        <v>10</v>
      </c>
      <c r="AG284" s="11">
        <v>10</v>
      </c>
      <c r="AH284" s="11">
        <v>10</v>
      </c>
    </row>
    <row r="285" spans="1:34" s="33" customFormat="1" x14ac:dyDescent="0.2">
      <c r="A285" s="11">
        <v>407</v>
      </c>
      <c r="B285" s="11"/>
      <c r="C285" s="11"/>
      <c r="D285" s="11"/>
      <c r="E285" s="11"/>
      <c r="F285" s="11" t="s">
        <v>74</v>
      </c>
      <c r="G285" s="11" t="s">
        <v>75</v>
      </c>
      <c r="H285" s="56" t="str">
        <f>VLOOKUP(Table6[[#This Row],[ICD Code]],ICD_summary!$I$3:$M$38,5,0)</f>
        <v>Tremor, other</v>
      </c>
      <c r="I285" s="12">
        <v>68.5</v>
      </c>
      <c r="J2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5" s="11" t="s">
        <v>55</v>
      </c>
      <c r="L285" s="11"/>
      <c r="M285" s="11"/>
      <c r="N285" s="11">
        <v>27.305</v>
      </c>
      <c r="O285" s="11">
        <v>33.421999999999997</v>
      </c>
      <c r="P285" s="11">
        <v>62.682000000000002</v>
      </c>
      <c r="Q285" s="11">
        <v>60.728999999999999</v>
      </c>
      <c r="R285" s="11">
        <v>29.472999999999999</v>
      </c>
      <c r="S285" s="11">
        <v>29.143000000000001</v>
      </c>
      <c r="T285" s="11">
        <v>56.781999999999996</v>
      </c>
      <c r="U285" s="11">
        <v>57.691000000000003</v>
      </c>
      <c r="V285" s="11">
        <v>72.63</v>
      </c>
      <c r="W285" s="11">
        <v>74.007999999999996</v>
      </c>
      <c r="X285" s="11">
        <v>27.37</v>
      </c>
      <c r="Y285" s="11">
        <v>25.992000000000001</v>
      </c>
      <c r="Z285" s="11">
        <v>22.885000000000002</v>
      </c>
      <c r="AA285" s="11">
        <v>24.864999999999998</v>
      </c>
      <c r="AB285" s="11">
        <v>25.992000000000001</v>
      </c>
      <c r="AC285" s="11">
        <v>27.37</v>
      </c>
      <c r="AD285" s="11">
        <v>14.77</v>
      </c>
      <c r="AE285" s="11">
        <v>11</v>
      </c>
      <c r="AF285" s="11">
        <v>14</v>
      </c>
      <c r="AG285" s="11">
        <v>11</v>
      </c>
      <c r="AH285" s="11">
        <v>11</v>
      </c>
    </row>
    <row r="286" spans="1:34" s="33" customFormat="1" x14ac:dyDescent="0.2">
      <c r="A286" s="11">
        <v>408</v>
      </c>
      <c r="B286" s="11"/>
      <c r="C286" s="11"/>
      <c r="D286" s="11"/>
      <c r="E286" s="11"/>
      <c r="F286" s="11" t="s">
        <v>72</v>
      </c>
      <c r="G286" s="11" t="s">
        <v>73</v>
      </c>
      <c r="H286" s="56" t="str">
        <f>VLOOKUP(Table6[[#This Row],[ICD Code]],ICD_summary!$I$3:$M$38,5,0)</f>
        <v>Tremor, other</v>
      </c>
      <c r="I286" s="12">
        <v>67.5</v>
      </c>
      <c r="J2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6" s="11" t="s">
        <v>55</v>
      </c>
      <c r="L286" s="11"/>
      <c r="M286" s="11"/>
      <c r="N286" s="11">
        <v>48.164999999999999</v>
      </c>
      <c r="O286" s="11">
        <v>46.731999999999999</v>
      </c>
      <c r="P286" s="11">
        <v>95.221000000000004</v>
      </c>
      <c r="Q286" s="11">
        <v>94.206000000000003</v>
      </c>
      <c r="R286" s="11">
        <v>70.438999999999993</v>
      </c>
      <c r="S286" s="11">
        <v>69.665999999999997</v>
      </c>
      <c r="T286" s="11">
        <v>88.944000000000003</v>
      </c>
      <c r="U286" s="11">
        <v>88.962999999999994</v>
      </c>
      <c r="V286" s="11">
        <v>65.977000000000004</v>
      </c>
      <c r="W286" s="11">
        <v>66.432000000000002</v>
      </c>
      <c r="X286" s="11">
        <v>34.021999999999998</v>
      </c>
      <c r="Y286" s="11">
        <v>33.567999999999998</v>
      </c>
      <c r="Z286" s="11">
        <v>15.962</v>
      </c>
      <c r="AA286" s="11">
        <v>16.951000000000001</v>
      </c>
      <c r="AB286" s="11">
        <v>33.567999999999998</v>
      </c>
      <c r="AC286" s="11">
        <v>34.021999999999998</v>
      </c>
      <c r="AD286" s="11">
        <v>13.04</v>
      </c>
      <c r="AE286" s="11">
        <v>14</v>
      </c>
      <c r="AF286" s="11">
        <v>15</v>
      </c>
      <c r="AG286" s="11">
        <v>14</v>
      </c>
      <c r="AH286" s="11">
        <v>14</v>
      </c>
    </row>
    <row r="287" spans="1:34" s="33" customFormat="1" x14ac:dyDescent="0.2">
      <c r="A287" s="11">
        <v>409</v>
      </c>
      <c r="B287" s="11"/>
      <c r="C287" s="11"/>
      <c r="D287" s="11"/>
      <c r="E287" s="11"/>
      <c r="F287" s="11" t="s">
        <v>62</v>
      </c>
      <c r="G287" s="11" t="s">
        <v>63</v>
      </c>
      <c r="H287" s="56" t="str">
        <f>VLOOKUP(Table6[[#This Row],[ICD Code]],ICD_summary!$I$3:$M$38,5,0)</f>
        <v>PD</v>
      </c>
      <c r="I287" s="12">
        <v>65.099999999999994</v>
      </c>
      <c r="J2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7" s="11" t="s">
        <v>52</v>
      </c>
      <c r="L287" s="11"/>
      <c r="M287" s="11"/>
      <c r="N287" s="11">
        <v>50.204999999999998</v>
      </c>
      <c r="O287" s="11">
        <v>54.366</v>
      </c>
      <c r="P287" s="11">
        <v>104.47199999999999</v>
      </c>
      <c r="Q287" s="11">
        <v>103.99</v>
      </c>
      <c r="R287" s="11">
        <v>89.102000000000004</v>
      </c>
      <c r="S287" s="11">
        <v>89.242999999999995</v>
      </c>
      <c r="T287" s="11">
        <v>102.03</v>
      </c>
      <c r="U287" s="11">
        <v>102.384</v>
      </c>
      <c r="V287" s="11">
        <v>66.346999999999994</v>
      </c>
      <c r="W287" s="11">
        <v>65.320999999999998</v>
      </c>
      <c r="X287" s="11">
        <v>33.652999999999999</v>
      </c>
      <c r="Y287" s="11">
        <v>34.679000000000002</v>
      </c>
      <c r="Z287" s="11">
        <v>18.638000000000002</v>
      </c>
      <c r="AA287" s="11">
        <v>12.571</v>
      </c>
      <c r="AB287" s="11">
        <v>34.679000000000002</v>
      </c>
      <c r="AC287" s="11">
        <v>33.652999999999999</v>
      </c>
      <c r="AD287" s="11">
        <v>10.074</v>
      </c>
      <c r="AE287" s="11">
        <v>12</v>
      </c>
      <c r="AF287" s="11">
        <v>12</v>
      </c>
      <c r="AG287" s="11">
        <v>12</v>
      </c>
      <c r="AH287" s="11">
        <v>12</v>
      </c>
    </row>
    <row r="288" spans="1:34" s="33" customFormat="1" x14ac:dyDescent="0.2">
      <c r="A288" s="11">
        <v>410</v>
      </c>
      <c r="B288" s="11"/>
      <c r="C288" s="11"/>
      <c r="D288" s="11"/>
      <c r="E288" s="11"/>
      <c r="F288" s="11" t="s">
        <v>62</v>
      </c>
      <c r="G288" s="11" t="s">
        <v>63</v>
      </c>
      <c r="H288" s="56" t="str">
        <f>VLOOKUP(Table6[[#This Row],[ICD Code]],ICD_summary!$I$3:$M$38,5,0)</f>
        <v>PD</v>
      </c>
      <c r="I288" s="12">
        <v>69.2</v>
      </c>
      <c r="J2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8" s="11" t="s">
        <v>52</v>
      </c>
      <c r="L288" s="11"/>
      <c r="M288" s="11"/>
      <c r="N288" s="11">
        <v>38.677</v>
      </c>
      <c r="O288" s="11">
        <v>38.069000000000003</v>
      </c>
      <c r="P288" s="11">
        <v>76.959999999999994</v>
      </c>
      <c r="Q288" s="11">
        <v>77.144999999999996</v>
      </c>
      <c r="R288" s="11">
        <v>74.564999999999998</v>
      </c>
      <c r="S288" s="11">
        <v>74.778000000000006</v>
      </c>
      <c r="T288" s="11">
        <v>116.262</v>
      </c>
      <c r="U288" s="11">
        <v>116.911</v>
      </c>
      <c r="V288" s="11">
        <v>65.899000000000001</v>
      </c>
      <c r="W288" s="11">
        <v>65.585999999999999</v>
      </c>
      <c r="X288" s="11">
        <v>34.100999999999999</v>
      </c>
      <c r="Y288" s="11">
        <v>34.414000000000001</v>
      </c>
      <c r="Z288" s="11">
        <v>14.847</v>
      </c>
      <c r="AA288" s="11">
        <v>16.867999999999999</v>
      </c>
      <c r="AB288" s="11">
        <v>34.414000000000001</v>
      </c>
      <c r="AC288" s="11">
        <v>34.100999999999999</v>
      </c>
      <c r="AD288" s="11">
        <v>9.48</v>
      </c>
      <c r="AE288" s="11">
        <v>15</v>
      </c>
      <c r="AF288" s="11">
        <v>15</v>
      </c>
      <c r="AG288" s="11">
        <v>15</v>
      </c>
      <c r="AH288" s="11">
        <v>15</v>
      </c>
    </row>
    <row r="289" spans="1:34" s="33" customFormat="1" x14ac:dyDescent="0.2">
      <c r="A289" s="11">
        <v>411</v>
      </c>
      <c r="B289" s="11"/>
      <c r="C289" s="11"/>
      <c r="D289" s="11"/>
      <c r="E289" s="11"/>
      <c r="F289" s="11" t="s">
        <v>62</v>
      </c>
      <c r="G289" s="11" t="s">
        <v>63</v>
      </c>
      <c r="H289" s="56" t="str">
        <f>VLOOKUP(Table6[[#This Row],[ICD Code]],ICD_summary!$I$3:$M$38,5,0)</f>
        <v>PD</v>
      </c>
      <c r="I289" s="12">
        <v>82</v>
      </c>
      <c r="J2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89" s="11" t="s">
        <v>52</v>
      </c>
      <c r="L289" s="11"/>
      <c r="M289" s="11"/>
      <c r="N289" s="11">
        <v>62.975999999999999</v>
      </c>
      <c r="O289" s="11">
        <v>64.421999999999997</v>
      </c>
      <c r="P289" s="11">
        <v>127.93</v>
      </c>
      <c r="Q289" s="11">
        <v>127.48</v>
      </c>
      <c r="R289" s="11">
        <v>120.554</v>
      </c>
      <c r="S289" s="11">
        <v>120.584</v>
      </c>
      <c r="T289" s="11">
        <v>112.562</v>
      </c>
      <c r="U289" s="11">
        <v>113.152</v>
      </c>
      <c r="V289" s="11">
        <v>63.366</v>
      </c>
      <c r="W289" s="11">
        <v>63.616999999999997</v>
      </c>
      <c r="X289" s="11">
        <v>36.634</v>
      </c>
      <c r="Y289" s="11">
        <v>36.383000000000003</v>
      </c>
      <c r="Z289" s="11">
        <v>13.733000000000001</v>
      </c>
      <c r="AA289" s="11">
        <v>13.347</v>
      </c>
      <c r="AB289" s="11">
        <v>36.383000000000003</v>
      </c>
      <c r="AC289" s="11">
        <v>36.634</v>
      </c>
      <c r="AD289" s="11">
        <v>7.3319999999999999</v>
      </c>
      <c r="AE289" s="11">
        <v>10</v>
      </c>
      <c r="AF289" s="11">
        <v>10</v>
      </c>
      <c r="AG289" s="11">
        <v>10</v>
      </c>
      <c r="AH289" s="11">
        <v>10</v>
      </c>
    </row>
    <row r="290" spans="1:34" s="33" customFormat="1" x14ac:dyDescent="0.2">
      <c r="A290" s="11">
        <v>412</v>
      </c>
      <c r="B290" s="11"/>
      <c r="C290" s="11"/>
      <c r="D290" s="11"/>
      <c r="E290" s="11"/>
      <c r="F290" s="11" t="s">
        <v>68</v>
      </c>
      <c r="G290" s="11" t="s">
        <v>69</v>
      </c>
      <c r="H290" s="56" t="str">
        <f>VLOOKUP(Table6[[#This Row],[ICD Code]],ICD_summary!$I$3:$M$38,5,0)</f>
        <v>Tremor, essential tremor</v>
      </c>
      <c r="I290" s="12">
        <v>80.8</v>
      </c>
      <c r="J2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90" s="11" t="s">
        <v>52</v>
      </c>
      <c r="L290" s="11"/>
      <c r="M290" s="11"/>
      <c r="N290" s="11">
        <v>40.56</v>
      </c>
      <c r="O290" s="11">
        <v>35.549999999999997</v>
      </c>
      <c r="P290" s="11">
        <v>75.835999999999999</v>
      </c>
      <c r="Q290" s="11">
        <v>76.150999999999996</v>
      </c>
      <c r="R290" s="11">
        <v>69.194999999999993</v>
      </c>
      <c r="S290" s="11">
        <v>70.319000000000003</v>
      </c>
      <c r="T290" s="11">
        <v>109.62</v>
      </c>
      <c r="U290" s="11">
        <v>110.797</v>
      </c>
      <c r="V290" s="11">
        <v>65.119</v>
      </c>
      <c r="W290" s="11">
        <v>63.774999999999999</v>
      </c>
      <c r="X290" s="11">
        <v>34.881</v>
      </c>
      <c r="Y290" s="11">
        <v>36.225000000000001</v>
      </c>
      <c r="Z290" s="11">
        <v>15</v>
      </c>
      <c r="AA290" s="11">
        <v>13.88</v>
      </c>
      <c r="AB290" s="11">
        <v>36.225000000000001</v>
      </c>
      <c r="AC290" s="11">
        <v>34.881</v>
      </c>
      <c r="AD290" s="11">
        <v>13.18</v>
      </c>
      <c r="AE290" s="11">
        <v>16</v>
      </c>
      <c r="AF290" s="11">
        <v>19</v>
      </c>
      <c r="AG290" s="11">
        <v>16</v>
      </c>
      <c r="AH290" s="11">
        <v>16</v>
      </c>
    </row>
    <row r="291" spans="1:34" s="33" customFormat="1" x14ac:dyDescent="0.2">
      <c r="A291" s="11">
        <v>413</v>
      </c>
      <c r="B291" s="11"/>
      <c r="C291" s="11"/>
      <c r="D291" s="11"/>
      <c r="E291" s="11"/>
      <c r="F291" s="11" t="s">
        <v>68</v>
      </c>
      <c r="G291" s="11" t="s">
        <v>69</v>
      </c>
      <c r="H291" s="56" t="str">
        <f>VLOOKUP(Table6[[#This Row],[ICD Code]],ICD_summary!$I$3:$M$38,5,0)</f>
        <v>Tremor, essential tremor</v>
      </c>
      <c r="I291" s="12">
        <v>75.5</v>
      </c>
      <c r="J2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1" s="11" t="s">
        <v>52</v>
      </c>
      <c r="L291" s="11"/>
      <c r="M291" s="11"/>
      <c r="N291" s="11">
        <v>39.015999999999998</v>
      </c>
      <c r="O291" s="11">
        <v>35.792000000000002</v>
      </c>
      <c r="P291" s="11">
        <v>74.539000000000001</v>
      </c>
      <c r="Q291" s="11">
        <v>74.878</v>
      </c>
      <c r="R291" s="11">
        <v>57.262</v>
      </c>
      <c r="S291" s="11">
        <v>57.575000000000003</v>
      </c>
      <c r="T291" s="11">
        <v>92.137</v>
      </c>
      <c r="U291" s="11">
        <v>91.947000000000003</v>
      </c>
      <c r="V291" s="11">
        <v>67.984999999999999</v>
      </c>
      <c r="W291" s="11">
        <v>67.84</v>
      </c>
      <c r="X291" s="11">
        <v>32.015000000000001</v>
      </c>
      <c r="Y291" s="11">
        <v>32.159999999999997</v>
      </c>
      <c r="Z291" s="11">
        <v>17.635000000000002</v>
      </c>
      <c r="AA291" s="11">
        <v>18.175000000000001</v>
      </c>
      <c r="AB291" s="11">
        <v>32.159999999999997</v>
      </c>
      <c r="AC291" s="11">
        <v>32.015000000000001</v>
      </c>
      <c r="AD291" s="11">
        <v>20.094999999999999</v>
      </c>
      <c r="AE291" s="11">
        <v>14</v>
      </c>
      <c r="AF291" s="11">
        <v>15</v>
      </c>
      <c r="AG291" s="11">
        <v>14</v>
      </c>
      <c r="AH291" s="11">
        <v>14</v>
      </c>
    </row>
    <row r="292" spans="1:34" s="33" customFormat="1" x14ac:dyDescent="0.2">
      <c r="A292" s="11">
        <v>414</v>
      </c>
      <c r="B292" s="11"/>
      <c r="C292" s="11"/>
      <c r="D292" s="11"/>
      <c r="E292" s="11"/>
      <c r="F292" s="11" t="s">
        <v>62</v>
      </c>
      <c r="G292" s="11" t="s">
        <v>63</v>
      </c>
      <c r="H292" s="56" t="str">
        <f>VLOOKUP(Table6[[#This Row],[ICD Code]],ICD_summary!$I$3:$M$38,5,0)</f>
        <v>PD</v>
      </c>
      <c r="I292" s="12">
        <v>59.7</v>
      </c>
      <c r="J2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2" s="11" t="s">
        <v>52</v>
      </c>
      <c r="L292" s="11"/>
      <c r="M292" s="11"/>
      <c r="N292" s="11" t="s">
        <v>51</v>
      </c>
      <c r="O292" s="11" t="s">
        <v>51</v>
      </c>
      <c r="P292" s="11" t="s">
        <v>51</v>
      </c>
      <c r="Q292" s="11" t="s">
        <v>51</v>
      </c>
      <c r="R292" s="11" t="s">
        <v>51</v>
      </c>
      <c r="S292" s="11" t="s">
        <v>51</v>
      </c>
      <c r="T292" s="11" t="s">
        <v>51</v>
      </c>
      <c r="U292" s="11" t="s">
        <v>51</v>
      </c>
      <c r="V292" s="11" t="s">
        <v>51</v>
      </c>
      <c r="W292" s="11" t="s">
        <v>51</v>
      </c>
      <c r="X292" s="11" t="s">
        <v>51</v>
      </c>
      <c r="Y292" s="11" t="s">
        <v>51</v>
      </c>
      <c r="Z292" s="11" t="s">
        <v>51</v>
      </c>
      <c r="AA292" s="11" t="s">
        <v>51</v>
      </c>
      <c r="AB292" s="11" t="s">
        <v>51</v>
      </c>
      <c r="AC292" s="11" t="s">
        <v>51</v>
      </c>
      <c r="AD292" s="11" t="s">
        <v>51</v>
      </c>
      <c r="AE292" s="11" t="s">
        <v>51</v>
      </c>
      <c r="AF292" s="11" t="s">
        <v>51</v>
      </c>
      <c r="AG292" s="11" t="s">
        <v>51</v>
      </c>
      <c r="AH292" s="11" t="s">
        <v>51</v>
      </c>
    </row>
    <row r="293" spans="1:34" s="33" customFormat="1" x14ac:dyDescent="0.2">
      <c r="A293" s="11">
        <v>415</v>
      </c>
      <c r="B293" s="11"/>
      <c r="C293" s="11"/>
      <c r="D293" s="11"/>
      <c r="E293" s="11"/>
      <c r="F293" s="11" t="s">
        <v>62</v>
      </c>
      <c r="G293" s="11" t="s">
        <v>63</v>
      </c>
      <c r="H293" s="56" t="str">
        <f>VLOOKUP(Table6[[#This Row],[ICD Code]],ICD_summary!$I$3:$M$38,5,0)</f>
        <v>PD</v>
      </c>
      <c r="I293" s="12">
        <v>70.8</v>
      </c>
      <c r="J2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3" s="11" t="s">
        <v>52</v>
      </c>
      <c r="L293" s="11"/>
      <c r="M293" s="11"/>
      <c r="N293" s="11" t="s">
        <v>51</v>
      </c>
      <c r="O293" s="11" t="s">
        <v>51</v>
      </c>
      <c r="P293" s="11" t="s">
        <v>51</v>
      </c>
      <c r="Q293" s="11" t="s">
        <v>51</v>
      </c>
      <c r="R293" s="11" t="s">
        <v>51</v>
      </c>
      <c r="S293" s="11" t="s">
        <v>51</v>
      </c>
      <c r="T293" s="11" t="s">
        <v>51</v>
      </c>
      <c r="U293" s="11" t="s">
        <v>51</v>
      </c>
      <c r="V293" s="11" t="s">
        <v>51</v>
      </c>
      <c r="W293" s="11" t="s">
        <v>51</v>
      </c>
      <c r="X293" s="11" t="s">
        <v>51</v>
      </c>
      <c r="Y293" s="11" t="s">
        <v>51</v>
      </c>
      <c r="Z293" s="11" t="s">
        <v>51</v>
      </c>
      <c r="AA293" s="11" t="s">
        <v>51</v>
      </c>
      <c r="AB293" s="11" t="s">
        <v>51</v>
      </c>
      <c r="AC293" s="11" t="s">
        <v>51</v>
      </c>
      <c r="AD293" s="11" t="s">
        <v>51</v>
      </c>
      <c r="AE293" s="11" t="s">
        <v>51</v>
      </c>
      <c r="AF293" s="11" t="s">
        <v>51</v>
      </c>
      <c r="AG293" s="11" t="s">
        <v>51</v>
      </c>
      <c r="AH293" s="11" t="s">
        <v>51</v>
      </c>
    </row>
    <row r="294" spans="1:34" s="33" customFormat="1" x14ac:dyDescent="0.2">
      <c r="A294" s="11">
        <v>416</v>
      </c>
      <c r="B294" s="11"/>
      <c r="C294" s="11"/>
      <c r="D294" s="11"/>
      <c r="E294" s="11"/>
      <c r="F294" s="11" t="s">
        <v>72</v>
      </c>
      <c r="G294" s="11" t="s">
        <v>73</v>
      </c>
      <c r="H294" s="56" t="str">
        <f>VLOOKUP(Table6[[#This Row],[ICD Code]],ICD_summary!$I$3:$M$38,5,0)</f>
        <v>Tremor, other</v>
      </c>
      <c r="I294" s="12">
        <v>86</v>
      </c>
      <c r="J2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94" s="11" t="s">
        <v>55</v>
      </c>
      <c r="L294" s="11"/>
      <c r="M294" s="11"/>
      <c r="N294" s="11">
        <v>44.226999999999997</v>
      </c>
      <c r="O294" s="11">
        <v>46.366</v>
      </c>
      <c r="P294" s="11">
        <v>90.658000000000001</v>
      </c>
      <c r="Q294" s="11">
        <v>91.5</v>
      </c>
      <c r="R294" s="11">
        <v>73.811999999999998</v>
      </c>
      <c r="S294" s="11">
        <v>73.58</v>
      </c>
      <c r="T294" s="11">
        <v>97.125</v>
      </c>
      <c r="U294" s="11">
        <v>95.623000000000005</v>
      </c>
      <c r="V294" s="11">
        <v>66.129000000000005</v>
      </c>
      <c r="W294" s="11">
        <v>65.137</v>
      </c>
      <c r="X294" s="11">
        <v>33.871000000000002</v>
      </c>
      <c r="Y294" s="11">
        <v>34.863</v>
      </c>
      <c r="Z294" s="11">
        <v>14.835000000000001</v>
      </c>
      <c r="AA294" s="11">
        <v>16.109000000000002</v>
      </c>
      <c r="AB294" s="11">
        <v>34.863</v>
      </c>
      <c r="AC294" s="11">
        <v>33.871000000000002</v>
      </c>
      <c r="AD294" s="11">
        <v>20.774000000000001</v>
      </c>
      <c r="AE294" s="11">
        <v>13</v>
      </c>
      <c r="AF294" s="11">
        <v>12</v>
      </c>
      <c r="AG294" s="11">
        <v>12</v>
      </c>
      <c r="AH294" s="11">
        <v>12</v>
      </c>
    </row>
    <row r="295" spans="1:34" s="33" customFormat="1" x14ac:dyDescent="0.2">
      <c r="A295" s="11">
        <v>417</v>
      </c>
      <c r="B295" s="11"/>
      <c r="C295" s="11"/>
      <c r="D295" s="11"/>
      <c r="E295" s="11"/>
      <c r="F295" s="11" t="s">
        <v>62</v>
      </c>
      <c r="G295" s="11" t="s">
        <v>63</v>
      </c>
      <c r="H295" s="56" t="str">
        <f>VLOOKUP(Table6[[#This Row],[ICD Code]],ICD_summary!$I$3:$M$38,5,0)</f>
        <v>PD</v>
      </c>
      <c r="I295" s="12">
        <v>56.5</v>
      </c>
      <c r="J2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5" s="11" t="s">
        <v>55</v>
      </c>
      <c r="L295" s="11"/>
      <c r="M295" s="11"/>
      <c r="N295" s="11" t="s">
        <v>51</v>
      </c>
      <c r="O295" s="11" t="s">
        <v>51</v>
      </c>
      <c r="P295" s="11" t="s">
        <v>51</v>
      </c>
      <c r="Q295" s="11" t="s">
        <v>51</v>
      </c>
      <c r="R295" s="11" t="s">
        <v>51</v>
      </c>
      <c r="S295" s="11" t="s">
        <v>51</v>
      </c>
      <c r="T295" s="11" t="s">
        <v>51</v>
      </c>
      <c r="U295" s="11" t="s">
        <v>51</v>
      </c>
      <c r="V295" s="11" t="s">
        <v>51</v>
      </c>
      <c r="W295" s="11" t="s">
        <v>51</v>
      </c>
      <c r="X295" s="11" t="s">
        <v>51</v>
      </c>
      <c r="Y295" s="11" t="s">
        <v>51</v>
      </c>
      <c r="Z295" s="11" t="s">
        <v>51</v>
      </c>
      <c r="AA295" s="11" t="s">
        <v>51</v>
      </c>
      <c r="AB295" s="11" t="s">
        <v>51</v>
      </c>
      <c r="AC295" s="11" t="s">
        <v>51</v>
      </c>
      <c r="AD295" s="11" t="s">
        <v>51</v>
      </c>
      <c r="AE295" s="11" t="s">
        <v>51</v>
      </c>
      <c r="AF295" s="11" t="s">
        <v>51</v>
      </c>
      <c r="AG295" s="11" t="s">
        <v>51</v>
      </c>
      <c r="AH295" s="11" t="s">
        <v>51</v>
      </c>
    </row>
    <row r="296" spans="1:34" s="33" customFormat="1" x14ac:dyDescent="0.2">
      <c r="A296" s="11">
        <v>418</v>
      </c>
      <c r="B296" s="11"/>
      <c r="C296" s="11"/>
      <c r="D296" s="11"/>
      <c r="E296" s="11"/>
      <c r="F296" s="11" t="s">
        <v>72</v>
      </c>
      <c r="G296" s="11" t="s">
        <v>73</v>
      </c>
      <c r="H296" s="56" t="str">
        <f>VLOOKUP(Table6[[#This Row],[ICD Code]],ICD_summary!$I$3:$M$38,5,0)</f>
        <v>Tremor, other</v>
      </c>
      <c r="I296" s="12">
        <v>73.900000000000006</v>
      </c>
      <c r="J2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6" s="11" t="s">
        <v>52</v>
      </c>
      <c r="L296" s="11"/>
      <c r="M296" s="11"/>
      <c r="N296" s="11">
        <v>50.7</v>
      </c>
      <c r="O296" s="11">
        <v>48.116999999999997</v>
      </c>
      <c r="P296" s="11">
        <v>98.034000000000006</v>
      </c>
      <c r="Q296" s="11">
        <v>99.084000000000003</v>
      </c>
      <c r="R296" s="11">
        <v>93.125</v>
      </c>
      <c r="S296" s="11">
        <v>94.186000000000007</v>
      </c>
      <c r="T296" s="11">
        <v>113.261</v>
      </c>
      <c r="U296" s="11">
        <v>113.643</v>
      </c>
      <c r="V296" s="11">
        <v>65.641000000000005</v>
      </c>
      <c r="W296" s="11">
        <v>64.144999999999996</v>
      </c>
      <c r="X296" s="11">
        <v>34.359000000000002</v>
      </c>
      <c r="Y296" s="11">
        <v>35.854999999999997</v>
      </c>
      <c r="Z296" s="11">
        <v>15.054</v>
      </c>
      <c r="AA296" s="11">
        <v>14.967000000000001</v>
      </c>
      <c r="AB296" s="11">
        <v>35.854999999999997</v>
      </c>
      <c r="AC296" s="11">
        <v>34.359000000000002</v>
      </c>
      <c r="AD296" s="11">
        <v>16.268000000000001</v>
      </c>
      <c r="AE296" s="11">
        <v>11</v>
      </c>
      <c r="AF296" s="11">
        <v>11</v>
      </c>
      <c r="AG296" s="11">
        <v>11</v>
      </c>
      <c r="AH296" s="11">
        <v>11</v>
      </c>
    </row>
    <row r="297" spans="1:34" s="33" customFormat="1" x14ac:dyDescent="0.2">
      <c r="A297" s="11">
        <v>419</v>
      </c>
      <c r="B297" s="11"/>
      <c r="C297" s="11"/>
      <c r="D297" s="11"/>
      <c r="E297" s="11"/>
      <c r="F297" s="11" t="s">
        <v>62</v>
      </c>
      <c r="G297" s="11" t="s">
        <v>63</v>
      </c>
      <c r="H297" s="56" t="str">
        <f>VLOOKUP(Table6[[#This Row],[ICD Code]],ICD_summary!$I$3:$M$38,5,0)</f>
        <v>PD</v>
      </c>
      <c r="I297" s="12">
        <v>52.7</v>
      </c>
      <c r="J2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7" s="11" t="s">
        <v>52</v>
      </c>
      <c r="L297" s="11"/>
      <c r="M297" s="11"/>
      <c r="N297" s="11">
        <v>58.481999999999999</v>
      </c>
      <c r="O297" s="11">
        <v>64.483000000000004</v>
      </c>
      <c r="P297" s="11">
        <v>123.023</v>
      </c>
      <c r="Q297" s="11">
        <v>123.125</v>
      </c>
      <c r="R297" s="11">
        <v>121.92100000000001</v>
      </c>
      <c r="S297" s="11">
        <v>121.46</v>
      </c>
      <c r="T297" s="11">
        <v>119.35299999999999</v>
      </c>
      <c r="U297" s="11">
        <v>119.681</v>
      </c>
      <c r="V297" s="11">
        <v>59.298999999999999</v>
      </c>
      <c r="W297" s="11">
        <v>62.353999999999999</v>
      </c>
      <c r="X297" s="11">
        <v>40.701000000000001</v>
      </c>
      <c r="Y297" s="11">
        <v>37.646000000000001</v>
      </c>
      <c r="Z297" s="11">
        <v>9.5489999999999995</v>
      </c>
      <c r="AA297" s="11">
        <v>12.366</v>
      </c>
      <c r="AB297" s="11">
        <v>37.646000000000001</v>
      </c>
      <c r="AC297" s="11">
        <v>40.701000000000001</v>
      </c>
      <c r="AD297" s="11">
        <v>17.792000000000002</v>
      </c>
      <c r="AE297" s="11">
        <v>10</v>
      </c>
      <c r="AF297" s="11">
        <v>9</v>
      </c>
      <c r="AG297" s="11">
        <v>9</v>
      </c>
      <c r="AH297" s="11">
        <v>9</v>
      </c>
    </row>
    <row r="298" spans="1:34" s="33" customFormat="1" x14ac:dyDescent="0.2">
      <c r="A298" s="11">
        <v>420</v>
      </c>
      <c r="B298" s="11"/>
      <c r="C298" s="11"/>
      <c r="D298" s="11"/>
      <c r="E298" s="11"/>
      <c r="F298" s="11" t="s">
        <v>62</v>
      </c>
      <c r="G298" s="11" t="s">
        <v>63</v>
      </c>
      <c r="H298" s="56" t="str">
        <f>VLOOKUP(Table6[[#This Row],[ICD Code]],ICD_summary!$I$3:$M$38,5,0)</f>
        <v>PD</v>
      </c>
      <c r="I298" s="12">
        <v>72.3</v>
      </c>
      <c r="J2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8" s="11" t="s">
        <v>52</v>
      </c>
      <c r="L298" s="11"/>
      <c r="M298" s="11"/>
      <c r="N298" s="11">
        <v>62.776000000000003</v>
      </c>
      <c r="O298" s="11">
        <v>64.364999999999995</v>
      </c>
      <c r="P298" s="11">
        <v>126.90300000000001</v>
      </c>
      <c r="Q298" s="11">
        <v>126.91</v>
      </c>
      <c r="R298" s="11">
        <v>118.328</v>
      </c>
      <c r="S298" s="11">
        <v>117.59699999999999</v>
      </c>
      <c r="T298" s="11">
        <v>113.107</v>
      </c>
      <c r="U298" s="11">
        <v>111.366</v>
      </c>
      <c r="V298" s="11">
        <v>63.000999999999998</v>
      </c>
      <c r="W298" s="11">
        <v>61.826999999999998</v>
      </c>
      <c r="X298" s="11">
        <v>36.999000000000002</v>
      </c>
      <c r="Y298" s="11">
        <v>38.173000000000002</v>
      </c>
      <c r="Z298" s="11">
        <v>12.933</v>
      </c>
      <c r="AA298" s="11">
        <v>11.683</v>
      </c>
      <c r="AB298" s="11">
        <v>38.173000000000002</v>
      </c>
      <c r="AC298" s="11">
        <v>36.999000000000002</v>
      </c>
      <c r="AD298" s="11">
        <v>7.7080000000000002</v>
      </c>
      <c r="AE298" s="11">
        <v>10</v>
      </c>
      <c r="AF298" s="11">
        <v>7</v>
      </c>
      <c r="AG298" s="11">
        <v>7</v>
      </c>
      <c r="AH298" s="11">
        <v>7</v>
      </c>
    </row>
    <row r="299" spans="1:34" s="33" customFormat="1" x14ac:dyDescent="0.2">
      <c r="A299" s="11">
        <v>421</v>
      </c>
      <c r="B299" s="11"/>
      <c r="C299" s="11"/>
      <c r="D299" s="11"/>
      <c r="E299" s="11"/>
      <c r="F299" s="11" t="s">
        <v>51</v>
      </c>
      <c r="G299" s="11" t="s">
        <v>51</v>
      </c>
      <c r="H299" s="56" t="str">
        <f>VLOOKUP(Table6[[#This Row],[ICD Code]],ICD_summary!$I$3:$M$38,5,0)</f>
        <v>Misc/Other</v>
      </c>
      <c r="I299" s="12">
        <v>999</v>
      </c>
      <c r="J2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99" s="11" t="s">
        <v>51</v>
      </c>
      <c r="L299" s="11"/>
      <c r="M299" s="11"/>
      <c r="N299" s="11">
        <v>55.722999999999999</v>
      </c>
      <c r="O299" s="11">
        <v>56.7</v>
      </c>
      <c r="P299" s="11">
        <v>111.663</v>
      </c>
      <c r="Q299" s="11">
        <v>112.80800000000001</v>
      </c>
      <c r="R299" s="11">
        <v>94.81</v>
      </c>
      <c r="S299" s="11">
        <v>95.950999999999993</v>
      </c>
      <c r="T299" s="11">
        <v>101.071</v>
      </c>
      <c r="U299" s="11">
        <v>101.777</v>
      </c>
      <c r="V299" s="11">
        <v>63.402999999999999</v>
      </c>
      <c r="W299" s="11">
        <v>65.091999999999999</v>
      </c>
      <c r="X299" s="11">
        <v>36.597000000000001</v>
      </c>
      <c r="Y299" s="11">
        <v>34.908000000000001</v>
      </c>
      <c r="Z299" s="11">
        <v>14.471</v>
      </c>
      <c r="AA299" s="11">
        <v>14.331</v>
      </c>
      <c r="AB299" s="11">
        <v>34.908000000000001</v>
      </c>
      <c r="AC299" s="11">
        <v>36.597000000000001</v>
      </c>
      <c r="AD299" s="11">
        <v>15.71</v>
      </c>
      <c r="AE299" s="11">
        <v>9</v>
      </c>
      <c r="AF299" s="11">
        <v>9</v>
      </c>
      <c r="AG299" s="11">
        <v>9</v>
      </c>
      <c r="AH299" s="11">
        <v>9</v>
      </c>
    </row>
    <row r="300" spans="1:34" s="33" customFormat="1" x14ac:dyDescent="0.2">
      <c r="A300" s="11">
        <v>422</v>
      </c>
      <c r="B300" s="11"/>
      <c r="C300" s="11"/>
      <c r="D300" s="11"/>
      <c r="E300" s="11"/>
      <c r="F300" s="11" t="s">
        <v>51</v>
      </c>
      <c r="G300" s="11" t="s">
        <v>51</v>
      </c>
      <c r="H300" s="56" t="str">
        <f>VLOOKUP(Table6[[#This Row],[ICD Code]],ICD_summary!$I$3:$M$38,5,0)</f>
        <v>Misc/Other</v>
      </c>
      <c r="I300" s="12">
        <v>999</v>
      </c>
      <c r="J3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0" s="11" t="s">
        <v>51</v>
      </c>
      <c r="L300" s="11"/>
      <c r="M300" s="11"/>
      <c r="N300" s="11">
        <v>52.396999999999998</v>
      </c>
      <c r="O300" s="11">
        <v>49.978000000000002</v>
      </c>
      <c r="P300" s="11">
        <v>102.913</v>
      </c>
      <c r="Q300" s="11">
        <v>102.223</v>
      </c>
      <c r="R300" s="11">
        <v>89.879000000000005</v>
      </c>
      <c r="S300" s="11">
        <v>89.236999999999995</v>
      </c>
      <c r="T300" s="11">
        <v>104.03400000000001</v>
      </c>
      <c r="U300" s="11">
        <v>104.494</v>
      </c>
      <c r="V300" s="11">
        <v>64.025000000000006</v>
      </c>
      <c r="W300" s="11">
        <v>62.701000000000001</v>
      </c>
      <c r="X300" s="11">
        <v>35.975000000000001</v>
      </c>
      <c r="Y300" s="11">
        <v>37.298999999999999</v>
      </c>
      <c r="Z300" s="11">
        <v>12.961</v>
      </c>
      <c r="AA300" s="11">
        <v>14.772</v>
      </c>
      <c r="AB300" s="11">
        <v>37.298999999999999</v>
      </c>
      <c r="AC300" s="11">
        <v>35.975000000000001</v>
      </c>
      <c r="AD300" s="11">
        <v>6.1139999999999999</v>
      </c>
      <c r="AE300" s="11">
        <v>10</v>
      </c>
      <c r="AF300" s="11">
        <v>11</v>
      </c>
      <c r="AG300" s="11">
        <v>10</v>
      </c>
      <c r="AH300" s="11">
        <v>10</v>
      </c>
    </row>
    <row r="301" spans="1:34" s="33" customFormat="1" x14ac:dyDescent="0.2">
      <c r="A301" s="11">
        <v>423</v>
      </c>
      <c r="B301" s="11"/>
      <c r="C301" s="11"/>
      <c r="D301" s="11"/>
      <c r="E301" s="11"/>
      <c r="F301" s="11" t="s">
        <v>62</v>
      </c>
      <c r="G301" s="11" t="s">
        <v>63</v>
      </c>
      <c r="H301" s="56" t="str">
        <f>VLOOKUP(Table6[[#This Row],[ICD Code]],ICD_summary!$I$3:$M$38,5,0)</f>
        <v>PD</v>
      </c>
      <c r="I301" s="12">
        <v>69.400000000000006</v>
      </c>
      <c r="J3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1" s="11" t="s">
        <v>52</v>
      </c>
      <c r="L301" s="11"/>
      <c r="M301" s="11"/>
      <c r="N301" s="11">
        <v>43.334000000000003</v>
      </c>
      <c r="O301" s="11">
        <v>35.398000000000003</v>
      </c>
      <c r="P301" s="11">
        <v>78.486999999999995</v>
      </c>
      <c r="Q301" s="11">
        <v>78.772000000000006</v>
      </c>
      <c r="R301" s="11">
        <v>67.41</v>
      </c>
      <c r="S301" s="11">
        <v>67.194000000000003</v>
      </c>
      <c r="T301" s="11">
        <v>102.855</v>
      </c>
      <c r="U301" s="11">
        <v>101.681</v>
      </c>
      <c r="V301" s="11">
        <v>66.405000000000001</v>
      </c>
      <c r="W301" s="11">
        <v>64.727000000000004</v>
      </c>
      <c r="X301" s="11">
        <v>33.594999999999999</v>
      </c>
      <c r="Y301" s="11">
        <v>35.273000000000003</v>
      </c>
      <c r="Z301" s="11">
        <v>16.443000000000001</v>
      </c>
      <c r="AA301" s="11">
        <v>15.337999999999999</v>
      </c>
      <c r="AB301" s="11">
        <v>35.273000000000003</v>
      </c>
      <c r="AC301" s="11">
        <v>33.594999999999999</v>
      </c>
      <c r="AD301" s="11">
        <v>16.734000000000002</v>
      </c>
      <c r="AE301" s="11">
        <v>14</v>
      </c>
      <c r="AF301" s="11">
        <v>12</v>
      </c>
      <c r="AG301" s="11">
        <v>12</v>
      </c>
      <c r="AH301" s="11">
        <v>12</v>
      </c>
    </row>
    <row r="302" spans="1:34" s="33" customFormat="1" x14ac:dyDescent="0.2">
      <c r="A302" s="11">
        <v>424</v>
      </c>
      <c r="B302" s="11"/>
      <c r="C302" s="11"/>
      <c r="D302" s="11"/>
      <c r="E302" s="11"/>
      <c r="F302" s="11" t="s">
        <v>51</v>
      </c>
      <c r="G302" s="11" t="s">
        <v>51</v>
      </c>
      <c r="H302" s="56" t="str">
        <f>VLOOKUP(Table6[[#This Row],[ICD Code]],ICD_summary!$I$3:$M$38,5,0)</f>
        <v>Misc/Other</v>
      </c>
      <c r="I302" s="12">
        <v>999</v>
      </c>
      <c r="J3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2" s="11" t="s">
        <v>51</v>
      </c>
      <c r="L302" s="11"/>
      <c r="M302" s="11"/>
      <c r="N302" s="11">
        <v>53.972000000000001</v>
      </c>
      <c r="O302" s="11">
        <v>55.996000000000002</v>
      </c>
      <c r="P302" s="11">
        <v>110.544</v>
      </c>
      <c r="Q302" s="11">
        <v>109.023</v>
      </c>
      <c r="R302" s="11">
        <v>111.22</v>
      </c>
      <c r="S302" s="11">
        <v>111.363</v>
      </c>
      <c r="T302" s="11">
        <v>120.776</v>
      </c>
      <c r="U302" s="11">
        <v>122.449</v>
      </c>
      <c r="V302" s="11">
        <v>60.896000000000001</v>
      </c>
      <c r="W302" s="11">
        <v>63.124000000000002</v>
      </c>
      <c r="X302" s="11">
        <v>39.103999999999999</v>
      </c>
      <c r="Y302" s="11">
        <v>36.875999999999998</v>
      </c>
      <c r="Z302" s="11">
        <v>12.726000000000001</v>
      </c>
      <c r="AA302" s="11">
        <v>11.55</v>
      </c>
      <c r="AB302" s="11">
        <v>36.875999999999998</v>
      </c>
      <c r="AC302" s="11">
        <v>39.103999999999999</v>
      </c>
      <c r="AD302" s="11">
        <v>10.194000000000001</v>
      </c>
      <c r="AE302" s="11">
        <v>10</v>
      </c>
      <c r="AF302" s="11">
        <v>10</v>
      </c>
      <c r="AG302" s="11">
        <v>10</v>
      </c>
      <c r="AH302" s="11">
        <v>10</v>
      </c>
    </row>
    <row r="303" spans="1:34" s="33" customFormat="1" x14ac:dyDescent="0.2">
      <c r="A303" s="11">
        <v>425</v>
      </c>
      <c r="B303" s="11"/>
      <c r="C303" s="11"/>
      <c r="D303" s="11"/>
      <c r="E303" s="11"/>
      <c r="F303" s="11" t="s">
        <v>62</v>
      </c>
      <c r="G303" s="11" t="s">
        <v>63</v>
      </c>
      <c r="H303" s="56" t="str">
        <f>VLOOKUP(Table6[[#This Row],[ICD Code]],ICD_summary!$I$3:$M$38,5,0)</f>
        <v>PD</v>
      </c>
      <c r="I303" s="12">
        <v>58.9</v>
      </c>
      <c r="J3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03" s="11" t="s">
        <v>55</v>
      </c>
      <c r="L303" s="11"/>
      <c r="M303" s="11"/>
      <c r="N303" s="11">
        <v>26.827999999999999</v>
      </c>
      <c r="O303" s="11">
        <v>27.035</v>
      </c>
      <c r="P303" s="11">
        <v>53.902000000000001</v>
      </c>
      <c r="Q303" s="11">
        <v>53.689</v>
      </c>
      <c r="R303" s="11">
        <v>56.067999999999998</v>
      </c>
      <c r="S303" s="11">
        <v>56.061999999999998</v>
      </c>
      <c r="T303" s="11">
        <v>124.614</v>
      </c>
      <c r="U303" s="11">
        <v>124.733</v>
      </c>
      <c r="V303" s="11">
        <v>68.248999999999995</v>
      </c>
      <c r="W303" s="11">
        <v>67.39</v>
      </c>
      <c r="X303" s="11">
        <v>31.751000000000001</v>
      </c>
      <c r="Y303" s="11">
        <v>32.61</v>
      </c>
      <c r="Z303" s="11">
        <v>17.736999999999998</v>
      </c>
      <c r="AA303" s="11">
        <v>17.806000000000001</v>
      </c>
      <c r="AB303" s="11">
        <v>32.61</v>
      </c>
      <c r="AC303" s="11">
        <v>31.751000000000001</v>
      </c>
      <c r="AD303" s="11">
        <v>23.988</v>
      </c>
      <c r="AE303" s="11">
        <v>19</v>
      </c>
      <c r="AF303" s="11">
        <v>18</v>
      </c>
      <c r="AG303" s="11">
        <v>18</v>
      </c>
      <c r="AH303" s="11">
        <v>18</v>
      </c>
    </row>
    <row r="304" spans="1:34" s="33" customFormat="1" x14ac:dyDescent="0.2">
      <c r="A304" s="11">
        <v>426</v>
      </c>
      <c r="B304" s="11"/>
      <c r="C304" s="11"/>
      <c r="D304" s="11"/>
      <c r="E304" s="11"/>
      <c r="F304" s="11" t="s">
        <v>62</v>
      </c>
      <c r="G304" s="11" t="s">
        <v>63</v>
      </c>
      <c r="H304" s="56" t="str">
        <f>VLOOKUP(Table6[[#This Row],[ICD Code]],ICD_summary!$I$3:$M$38,5,0)</f>
        <v>PD</v>
      </c>
      <c r="I304" s="12">
        <v>57.7</v>
      </c>
      <c r="J3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04" s="11" t="s">
        <v>52</v>
      </c>
      <c r="L304" s="11"/>
      <c r="M304" s="11"/>
      <c r="N304" s="11">
        <v>18.468</v>
      </c>
      <c r="O304" s="11">
        <v>17.003</v>
      </c>
      <c r="P304" s="11">
        <v>35.625999999999998</v>
      </c>
      <c r="Q304" s="11">
        <v>36.19</v>
      </c>
      <c r="R304" s="11">
        <v>36.515000000000001</v>
      </c>
      <c r="S304" s="11">
        <v>37.634</v>
      </c>
      <c r="T304" s="11">
        <v>124.334</v>
      </c>
      <c r="U304" s="11">
        <v>125.039</v>
      </c>
      <c r="V304" s="11">
        <v>70.477999999999994</v>
      </c>
      <c r="W304" s="11">
        <v>70.301000000000002</v>
      </c>
      <c r="X304" s="11">
        <v>29.521999999999998</v>
      </c>
      <c r="Y304" s="11">
        <v>29.699000000000002</v>
      </c>
      <c r="Z304" s="11">
        <v>26.995000000000001</v>
      </c>
      <c r="AA304" s="11">
        <v>15.962</v>
      </c>
      <c r="AB304" s="11">
        <v>29.699000000000002</v>
      </c>
      <c r="AC304" s="11">
        <v>29.521999999999998</v>
      </c>
      <c r="AD304" s="11">
        <v>12.898</v>
      </c>
      <c r="AE304" s="11">
        <v>32</v>
      </c>
      <c r="AF304" s="11">
        <v>30</v>
      </c>
      <c r="AG304" s="11">
        <v>30</v>
      </c>
      <c r="AH304" s="11">
        <v>30</v>
      </c>
    </row>
    <row r="305" spans="1:34" s="33" customFormat="1" x14ac:dyDescent="0.2">
      <c r="A305" s="11">
        <v>427</v>
      </c>
      <c r="B305" s="11"/>
      <c r="C305" s="11"/>
      <c r="D305" s="11"/>
      <c r="E305" s="11"/>
      <c r="F305" s="11" t="s">
        <v>72</v>
      </c>
      <c r="G305" s="11" t="s">
        <v>73</v>
      </c>
      <c r="H305" s="56" t="str">
        <f>VLOOKUP(Table6[[#This Row],[ICD Code]],ICD_summary!$I$3:$M$38,5,0)</f>
        <v>Tremor, other</v>
      </c>
      <c r="I305" s="12">
        <v>63.7</v>
      </c>
      <c r="J3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5" s="11" t="s">
        <v>52</v>
      </c>
      <c r="L305" s="11"/>
      <c r="M305" s="11"/>
      <c r="N305" s="11" t="s">
        <v>51</v>
      </c>
      <c r="O305" s="11" t="s">
        <v>51</v>
      </c>
      <c r="P305" s="11" t="s">
        <v>51</v>
      </c>
      <c r="Q305" s="11" t="s">
        <v>51</v>
      </c>
      <c r="R305" s="11" t="s">
        <v>51</v>
      </c>
      <c r="S305" s="11" t="s">
        <v>51</v>
      </c>
      <c r="T305" s="11" t="s">
        <v>51</v>
      </c>
      <c r="U305" s="11" t="s">
        <v>51</v>
      </c>
      <c r="V305" s="11" t="s">
        <v>51</v>
      </c>
      <c r="W305" s="11" t="s">
        <v>51</v>
      </c>
      <c r="X305" s="11" t="s">
        <v>51</v>
      </c>
      <c r="Y305" s="11" t="s">
        <v>51</v>
      </c>
      <c r="Z305" s="11" t="s">
        <v>51</v>
      </c>
      <c r="AA305" s="11" t="s">
        <v>51</v>
      </c>
      <c r="AB305" s="11" t="s">
        <v>51</v>
      </c>
      <c r="AC305" s="11" t="s">
        <v>51</v>
      </c>
      <c r="AD305" s="11" t="s">
        <v>51</v>
      </c>
      <c r="AE305" s="11" t="s">
        <v>51</v>
      </c>
      <c r="AF305" s="11" t="s">
        <v>51</v>
      </c>
      <c r="AG305" s="11" t="s">
        <v>51</v>
      </c>
      <c r="AH305" s="11" t="s">
        <v>51</v>
      </c>
    </row>
    <row r="306" spans="1:34" s="33" customFormat="1" x14ac:dyDescent="0.2">
      <c r="A306" s="11">
        <v>428</v>
      </c>
      <c r="B306" s="11"/>
      <c r="C306" s="11"/>
      <c r="D306" s="11"/>
      <c r="E306" s="11"/>
      <c r="F306" s="11" t="s">
        <v>68</v>
      </c>
      <c r="G306" s="11" t="s">
        <v>69</v>
      </c>
      <c r="H306" s="56" t="str">
        <f>VLOOKUP(Table6[[#This Row],[ICD Code]],ICD_summary!$I$3:$M$38,5,0)</f>
        <v>Tremor, essential tremor</v>
      </c>
      <c r="I306" s="12">
        <v>70.3</v>
      </c>
      <c r="J3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06" s="11" t="s">
        <v>55</v>
      </c>
      <c r="L306" s="11"/>
      <c r="M306" s="11"/>
      <c r="N306" s="11">
        <v>54.646999999999998</v>
      </c>
      <c r="O306" s="11">
        <v>51.503</v>
      </c>
      <c r="P306" s="11">
        <v>106.843</v>
      </c>
      <c r="Q306" s="11">
        <v>105.593</v>
      </c>
      <c r="R306" s="11">
        <v>91.986999999999995</v>
      </c>
      <c r="S306" s="11">
        <v>91.302999999999997</v>
      </c>
      <c r="T306" s="11">
        <v>103.241</v>
      </c>
      <c r="U306" s="11">
        <v>103.69799999999999</v>
      </c>
      <c r="V306" s="11">
        <v>65.518000000000001</v>
      </c>
      <c r="W306" s="11">
        <v>64.188000000000002</v>
      </c>
      <c r="X306" s="11">
        <v>34.481999999999999</v>
      </c>
      <c r="Y306" s="11">
        <v>35.811999999999998</v>
      </c>
      <c r="Z306" s="11">
        <v>14.536</v>
      </c>
      <c r="AA306" s="11">
        <v>15.031000000000001</v>
      </c>
      <c r="AB306" s="11">
        <v>35.811999999999998</v>
      </c>
      <c r="AC306" s="11">
        <v>34.481999999999999</v>
      </c>
      <c r="AD306" s="11">
        <v>14.3</v>
      </c>
      <c r="AE306" s="11">
        <v>10</v>
      </c>
      <c r="AF306" s="11">
        <v>10</v>
      </c>
      <c r="AG306" s="11">
        <v>10</v>
      </c>
      <c r="AH306" s="11">
        <v>10</v>
      </c>
    </row>
    <row r="307" spans="1:34" s="33" customFormat="1" x14ac:dyDescent="0.2">
      <c r="A307" s="11">
        <v>429</v>
      </c>
      <c r="B307" s="11"/>
      <c r="C307" s="11"/>
      <c r="D307" s="11"/>
      <c r="E307" s="11"/>
      <c r="F307" s="11" t="s">
        <v>51</v>
      </c>
      <c r="G307" s="11" t="s">
        <v>51</v>
      </c>
      <c r="H307" s="56" t="str">
        <f>VLOOKUP(Table6[[#This Row],[ICD Code]],ICD_summary!$I$3:$M$38,5,0)</f>
        <v>Misc/Other</v>
      </c>
      <c r="I307" s="12">
        <v>999</v>
      </c>
      <c r="J3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7" s="11" t="s">
        <v>51</v>
      </c>
      <c r="L307" s="11"/>
      <c r="M307" s="11"/>
      <c r="N307" s="11">
        <v>38.781999999999996</v>
      </c>
      <c r="O307" s="11">
        <v>43.176000000000002</v>
      </c>
      <c r="P307" s="11">
        <v>81.763000000000005</v>
      </c>
      <c r="Q307" s="11">
        <v>81.599999999999994</v>
      </c>
      <c r="R307" s="11">
        <v>76.918000000000006</v>
      </c>
      <c r="S307" s="11">
        <v>77.450999999999993</v>
      </c>
      <c r="T307" s="11">
        <v>113.474</v>
      </c>
      <c r="U307" s="11">
        <v>113.727</v>
      </c>
      <c r="V307" s="11">
        <v>63.463000000000001</v>
      </c>
      <c r="W307" s="11">
        <v>64</v>
      </c>
      <c r="X307" s="11">
        <v>36.536999999999999</v>
      </c>
      <c r="Y307" s="11">
        <v>36</v>
      </c>
      <c r="Z307" s="11">
        <v>15.851000000000001</v>
      </c>
      <c r="AA307" s="11">
        <v>11.664</v>
      </c>
      <c r="AB307" s="11">
        <v>36</v>
      </c>
      <c r="AC307" s="11">
        <v>36.536999999999999</v>
      </c>
      <c r="AD307" s="11">
        <v>14.098000000000001</v>
      </c>
      <c r="AE307" s="11">
        <v>17</v>
      </c>
      <c r="AF307" s="11">
        <v>14</v>
      </c>
      <c r="AG307" s="11">
        <v>14</v>
      </c>
      <c r="AH307" s="11">
        <v>14</v>
      </c>
    </row>
    <row r="308" spans="1:34" s="33" customFormat="1" x14ac:dyDescent="0.2">
      <c r="A308" s="11">
        <v>430</v>
      </c>
      <c r="B308" s="11"/>
      <c r="C308" s="11"/>
      <c r="D308" s="11"/>
      <c r="E308" s="11"/>
      <c r="F308" s="11" t="s">
        <v>68</v>
      </c>
      <c r="G308" s="11" t="s">
        <v>69</v>
      </c>
      <c r="H308" s="56" t="str">
        <f>VLOOKUP(Table6[[#This Row],[ICD Code]],ICD_summary!$I$3:$M$38,5,0)</f>
        <v>Tremor, essential tremor</v>
      </c>
      <c r="I308" s="12">
        <v>81.400000000000006</v>
      </c>
      <c r="J3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308" s="11" t="s">
        <v>52</v>
      </c>
      <c r="L308" s="11"/>
      <c r="M308" s="11"/>
      <c r="N308" s="11">
        <v>55.970999999999997</v>
      </c>
      <c r="O308" s="11">
        <v>60.085000000000001</v>
      </c>
      <c r="P308" s="11">
        <v>116.39100000000001</v>
      </c>
      <c r="Q308" s="11">
        <v>116.40300000000001</v>
      </c>
      <c r="R308" s="11">
        <v>96.218000000000004</v>
      </c>
      <c r="S308" s="11">
        <v>96.703000000000003</v>
      </c>
      <c r="T308" s="11">
        <v>99.188000000000002</v>
      </c>
      <c r="U308" s="11">
        <v>98.942999999999998</v>
      </c>
      <c r="V308" s="11">
        <v>63.75</v>
      </c>
      <c r="W308" s="11">
        <v>62.639000000000003</v>
      </c>
      <c r="X308" s="11">
        <v>36.25</v>
      </c>
      <c r="Y308" s="11">
        <v>37.360999999999997</v>
      </c>
      <c r="Z308" s="11">
        <v>13.351000000000001</v>
      </c>
      <c r="AA308" s="11">
        <v>13.228999999999999</v>
      </c>
      <c r="AB308" s="11">
        <v>37.360999999999997</v>
      </c>
      <c r="AC308" s="11">
        <v>36.25</v>
      </c>
      <c r="AD308" s="11">
        <v>8.6199999999999992</v>
      </c>
      <c r="AE308" s="11">
        <v>9</v>
      </c>
      <c r="AF308" s="11">
        <v>10</v>
      </c>
      <c r="AG308" s="11">
        <v>9</v>
      </c>
      <c r="AH308" s="11">
        <v>9</v>
      </c>
    </row>
    <row r="309" spans="1:34" s="33" customFormat="1" x14ac:dyDescent="0.2">
      <c r="A309" s="11">
        <v>431</v>
      </c>
      <c r="B309" s="11"/>
      <c r="C309" s="11"/>
      <c r="D309" s="11"/>
      <c r="E309" s="11"/>
      <c r="F309" s="11" t="s">
        <v>51</v>
      </c>
      <c r="G309" s="11" t="s">
        <v>51</v>
      </c>
      <c r="H309" s="56" t="str">
        <f>VLOOKUP(Table6[[#This Row],[ICD Code]],ICD_summary!$I$3:$M$38,5,0)</f>
        <v>Misc/Other</v>
      </c>
      <c r="I309" s="12">
        <v>999</v>
      </c>
      <c r="J3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9" s="11" t="s">
        <v>51</v>
      </c>
      <c r="L309" s="11"/>
      <c r="M309" s="11"/>
      <c r="N309" s="11">
        <v>41.545000000000002</v>
      </c>
      <c r="O309" s="11">
        <v>40.229999999999997</v>
      </c>
      <c r="P309" s="11">
        <v>82.116</v>
      </c>
      <c r="Q309" s="11">
        <v>80.384</v>
      </c>
      <c r="R309" s="11">
        <v>64.123999999999995</v>
      </c>
      <c r="S309" s="11">
        <v>63.954999999999998</v>
      </c>
      <c r="T309" s="11">
        <v>94.873000000000005</v>
      </c>
      <c r="U309" s="11">
        <v>95.239000000000004</v>
      </c>
      <c r="V309" s="11">
        <v>65.759</v>
      </c>
      <c r="W309" s="11">
        <v>60.988999999999997</v>
      </c>
      <c r="X309" s="11">
        <v>34.241</v>
      </c>
      <c r="Y309" s="11">
        <v>39.011000000000003</v>
      </c>
      <c r="Z309" s="11">
        <v>15.144</v>
      </c>
      <c r="AA309" s="11">
        <v>12.287000000000001</v>
      </c>
      <c r="AB309" s="11">
        <v>39.011000000000003</v>
      </c>
      <c r="AC309" s="11">
        <v>34.241</v>
      </c>
      <c r="AD309" s="11">
        <v>10.776</v>
      </c>
      <c r="AE309" s="11">
        <v>15</v>
      </c>
      <c r="AF309" s="11">
        <v>15</v>
      </c>
      <c r="AG309" s="11">
        <v>15</v>
      </c>
      <c r="AH309" s="11">
        <v>15</v>
      </c>
    </row>
    <row r="310" spans="1:34" s="33" customFormat="1" x14ac:dyDescent="0.2">
      <c r="A310" s="11">
        <v>432</v>
      </c>
      <c r="B310" s="11"/>
      <c r="C310" s="11"/>
      <c r="D310" s="11"/>
      <c r="E310" s="11"/>
      <c r="F310" s="11" t="s">
        <v>62</v>
      </c>
      <c r="G310" s="11" t="s">
        <v>63</v>
      </c>
      <c r="H310" s="56" t="str">
        <f>VLOOKUP(Table6[[#This Row],[ICD Code]],ICD_summary!$I$3:$M$38,5,0)</f>
        <v>PD</v>
      </c>
      <c r="I310" s="12">
        <v>52.6</v>
      </c>
      <c r="J3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10" s="11" t="s">
        <v>52</v>
      </c>
      <c r="L310" s="11"/>
      <c r="M310" s="11"/>
      <c r="N310" s="11">
        <v>67.918999999999997</v>
      </c>
      <c r="O310" s="11">
        <v>65.198999999999998</v>
      </c>
      <c r="P310" s="11">
        <v>133.55000000000001</v>
      </c>
      <c r="Q310" s="11">
        <v>132.577</v>
      </c>
      <c r="R310" s="11">
        <v>112.947</v>
      </c>
      <c r="S310" s="11">
        <v>112.611</v>
      </c>
      <c r="T310" s="11">
        <v>100.867</v>
      </c>
      <c r="U310" s="11">
        <v>101.187</v>
      </c>
      <c r="V310" s="11">
        <v>62.475000000000001</v>
      </c>
      <c r="W310" s="11">
        <v>62.765999999999998</v>
      </c>
      <c r="X310" s="11">
        <v>37.524999999999999</v>
      </c>
      <c r="Y310" s="11">
        <v>37.234000000000002</v>
      </c>
      <c r="Z310" s="11">
        <v>11.619</v>
      </c>
      <c r="AA310" s="11">
        <v>13.462999999999999</v>
      </c>
      <c r="AB310" s="11">
        <v>37.234000000000002</v>
      </c>
      <c r="AC310" s="11">
        <v>37.524999999999999</v>
      </c>
      <c r="AD310" s="11">
        <v>19.704000000000001</v>
      </c>
      <c r="AE310" s="11">
        <v>10</v>
      </c>
      <c r="AF310" s="11">
        <v>6</v>
      </c>
      <c r="AG310" s="11">
        <v>6</v>
      </c>
      <c r="AH310" s="11">
        <v>6</v>
      </c>
    </row>
    <row r="311" spans="1:34" s="33" customFormat="1" x14ac:dyDescent="0.2">
      <c r="A311" s="11">
        <v>433</v>
      </c>
      <c r="B311" s="11"/>
      <c r="C311" s="11"/>
      <c r="D311" s="11"/>
      <c r="E311" s="11"/>
      <c r="F311" s="11" t="s">
        <v>72</v>
      </c>
      <c r="G311" s="11" t="s">
        <v>73</v>
      </c>
      <c r="H311" s="56" t="str">
        <f>VLOOKUP(Table6[[#This Row],[ICD Code]],ICD_summary!$I$3:$M$38,5,0)</f>
        <v>Tremor, other</v>
      </c>
      <c r="I311" s="12">
        <v>42.3</v>
      </c>
      <c r="J3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311" s="11" t="s">
        <v>52</v>
      </c>
      <c r="L311" s="11"/>
      <c r="M311" s="11"/>
      <c r="N311" s="11">
        <v>66.325999999999993</v>
      </c>
      <c r="O311" s="11">
        <v>66.456000000000003</v>
      </c>
      <c r="P311" s="11">
        <v>133.97900000000001</v>
      </c>
      <c r="Q311" s="11">
        <v>132.28800000000001</v>
      </c>
      <c r="R311" s="11">
        <v>117.53100000000001</v>
      </c>
      <c r="S311" s="11">
        <v>115.39100000000001</v>
      </c>
      <c r="T311" s="11">
        <v>105.16500000000001</v>
      </c>
      <c r="U311" s="11">
        <v>103.714</v>
      </c>
      <c r="V311" s="11">
        <v>61.939</v>
      </c>
      <c r="W311" s="11">
        <v>61.834000000000003</v>
      </c>
      <c r="X311" s="11">
        <v>38.061</v>
      </c>
      <c r="Y311" s="11">
        <v>38.165999999999997</v>
      </c>
      <c r="Z311" s="11">
        <v>12.397</v>
      </c>
      <c r="AA311" s="11">
        <v>11.696999999999999</v>
      </c>
      <c r="AB311" s="11">
        <v>38.165999999999997</v>
      </c>
      <c r="AC311" s="11">
        <v>38.061</v>
      </c>
      <c r="AD311" s="11">
        <v>10.086</v>
      </c>
      <c r="AE311" s="11">
        <v>7</v>
      </c>
      <c r="AF311" s="11">
        <v>8</v>
      </c>
      <c r="AG311" s="11">
        <v>7</v>
      </c>
      <c r="AH311" s="11">
        <v>7</v>
      </c>
    </row>
    <row r="312" spans="1:34" s="33" customFormat="1" x14ac:dyDescent="0.2">
      <c r="A312" s="11">
        <v>434</v>
      </c>
      <c r="B312" s="11"/>
      <c r="C312" s="11"/>
      <c r="D312" s="11"/>
      <c r="E312" s="11"/>
      <c r="F312" s="11" t="s">
        <v>51</v>
      </c>
      <c r="G312" s="11" t="s">
        <v>51</v>
      </c>
      <c r="H312" s="56" t="str">
        <f>VLOOKUP(Table6[[#This Row],[ICD Code]],ICD_summary!$I$3:$M$38,5,0)</f>
        <v>Misc/Other</v>
      </c>
      <c r="I312" s="12">
        <v>999</v>
      </c>
      <c r="J3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2" s="11" t="s">
        <v>51</v>
      </c>
      <c r="L312" s="11"/>
      <c r="M312" s="11"/>
      <c r="N312" s="11">
        <v>38.813000000000002</v>
      </c>
      <c r="O312" s="11">
        <v>31.201000000000001</v>
      </c>
      <c r="P312" s="11">
        <v>69.302999999999997</v>
      </c>
      <c r="Q312" s="11">
        <v>70.457999999999998</v>
      </c>
      <c r="R312" s="11">
        <v>48.921999999999997</v>
      </c>
      <c r="S312" s="11">
        <v>49.552</v>
      </c>
      <c r="T312" s="11">
        <v>83.168999999999997</v>
      </c>
      <c r="U312" s="11">
        <v>83.191999999999993</v>
      </c>
      <c r="V312" s="11">
        <v>71.162000000000006</v>
      </c>
      <c r="W312" s="11">
        <v>66.52</v>
      </c>
      <c r="X312" s="11">
        <v>28.838000000000001</v>
      </c>
      <c r="Y312" s="11">
        <v>33.479999999999997</v>
      </c>
      <c r="Z312" s="11">
        <v>21.626000000000001</v>
      </c>
      <c r="AA312" s="11">
        <v>15.601000000000001</v>
      </c>
      <c r="AB312" s="11">
        <v>33.479999999999997</v>
      </c>
      <c r="AC312" s="11">
        <v>28.838000000000001</v>
      </c>
      <c r="AD312" s="11">
        <v>10.882</v>
      </c>
      <c r="AE312" s="11">
        <v>15</v>
      </c>
      <c r="AF312" s="11">
        <v>15</v>
      </c>
      <c r="AG312" s="11">
        <v>15</v>
      </c>
      <c r="AH312" s="11">
        <v>15</v>
      </c>
    </row>
    <row r="313" spans="1:34" s="33" customFormat="1" x14ac:dyDescent="0.2">
      <c r="A313" s="11">
        <v>435</v>
      </c>
      <c r="B313" s="11"/>
      <c r="C313" s="11"/>
      <c r="D313" s="11"/>
      <c r="E313" s="11"/>
      <c r="F313" s="11" t="s">
        <v>51</v>
      </c>
      <c r="G313" s="11" t="s">
        <v>51</v>
      </c>
      <c r="H313" s="56" t="str">
        <f>VLOOKUP(Table6[[#This Row],[ICD Code]],ICD_summary!$I$3:$M$38,5,0)</f>
        <v>Misc/Other</v>
      </c>
      <c r="I313" s="12">
        <v>999</v>
      </c>
      <c r="J3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3" s="11" t="s">
        <v>51</v>
      </c>
      <c r="L313" s="11"/>
      <c r="M313" s="11"/>
      <c r="N313" s="11">
        <v>57.276000000000003</v>
      </c>
      <c r="O313" s="11">
        <v>49.972000000000001</v>
      </c>
      <c r="P313" s="11">
        <v>108.04900000000001</v>
      </c>
      <c r="Q313" s="11">
        <v>107.379</v>
      </c>
      <c r="R313" s="11">
        <v>105.971</v>
      </c>
      <c r="S313" s="11">
        <v>104.932</v>
      </c>
      <c r="T313" s="11">
        <v>116.57</v>
      </c>
      <c r="U313" s="11">
        <v>117.544</v>
      </c>
      <c r="V313" s="11">
        <v>64.352999999999994</v>
      </c>
      <c r="W313" s="11">
        <v>62.249000000000002</v>
      </c>
      <c r="X313" s="11">
        <v>35.646999999999998</v>
      </c>
      <c r="Y313" s="11">
        <v>37.752000000000002</v>
      </c>
      <c r="Z313" s="11">
        <v>14.407</v>
      </c>
      <c r="AA313" s="11">
        <v>12.561</v>
      </c>
      <c r="AB313" s="11">
        <v>37.752000000000002</v>
      </c>
      <c r="AC313" s="11">
        <v>35.646999999999998</v>
      </c>
      <c r="AD313" s="11">
        <v>17.152000000000001</v>
      </c>
      <c r="AE313" s="11">
        <v>11</v>
      </c>
      <c r="AF313" s="11">
        <v>10</v>
      </c>
      <c r="AG313" s="11">
        <v>10</v>
      </c>
      <c r="AH313" s="11">
        <v>10</v>
      </c>
    </row>
    <row r="314" spans="1:34" s="33" customFormat="1" x14ac:dyDescent="0.2">
      <c r="A314" s="11">
        <v>436</v>
      </c>
      <c r="B314" s="11"/>
      <c r="C314" s="11"/>
      <c r="D314" s="11"/>
      <c r="E314" s="11"/>
      <c r="F314" s="11" t="s">
        <v>68</v>
      </c>
      <c r="G314" s="11" t="s">
        <v>69</v>
      </c>
      <c r="H314" s="56" t="str">
        <f>VLOOKUP(Table6[[#This Row],[ICD Code]],ICD_summary!$I$3:$M$38,5,0)</f>
        <v>Tremor, essential tremor</v>
      </c>
      <c r="I314" s="12">
        <v>72.8</v>
      </c>
      <c r="J3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4" s="11" t="s">
        <v>52</v>
      </c>
      <c r="L314" s="11"/>
      <c r="M314" s="11"/>
      <c r="N314" s="11">
        <v>54.468000000000004</v>
      </c>
      <c r="O314" s="11">
        <v>55.85</v>
      </c>
      <c r="P314" s="11">
        <v>110.313</v>
      </c>
      <c r="Q314" s="11">
        <v>110.77200000000001</v>
      </c>
      <c r="R314" s="11">
        <v>92.563999999999993</v>
      </c>
      <c r="S314" s="11">
        <v>92.207999999999998</v>
      </c>
      <c r="T314" s="11">
        <v>100.432</v>
      </c>
      <c r="U314" s="11">
        <v>100.11499999999999</v>
      </c>
      <c r="V314" s="11">
        <v>64.429000000000002</v>
      </c>
      <c r="W314" s="11">
        <v>62.411999999999999</v>
      </c>
      <c r="X314" s="11">
        <v>35.570999999999998</v>
      </c>
      <c r="Y314" s="11">
        <v>37.588000000000001</v>
      </c>
      <c r="Z314" s="11">
        <v>13.523999999999999</v>
      </c>
      <c r="AA314" s="11">
        <v>13.193</v>
      </c>
      <c r="AB314" s="11">
        <v>37.588000000000001</v>
      </c>
      <c r="AC314" s="11">
        <v>35.570999999999998</v>
      </c>
      <c r="AD314" s="11">
        <v>17.399999999999999</v>
      </c>
      <c r="AE314" s="11">
        <v>10</v>
      </c>
      <c r="AF314" s="11">
        <v>10</v>
      </c>
      <c r="AG314" s="11">
        <v>10</v>
      </c>
      <c r="AH314" s="11">
        <v>10</v>
      </c>
    </row>
    <row r="315" spans="1:34" s="33" customFormat="1" x14ac:dyDescent="0.2">
      <c r="A315" s="11">
        <v>437</v>
      </c>
      <c r="B315" s="11"/>
      <c r="C315" s="11"/>
      <c r="D315" s="11"/>
      <c r="E315" s="11"/>
      <c r="F315" s="11" t="s">
        <v>72</v>
      </c>
      <c r="G315" s="11" t="s">
        <v>73</v>
      </c>
      <c r="H315" s="56" t="str">
        <f>VLOOKUP(Table6[[#This Row],[ICD Code]],ICD_summary!$I$3:$M$38,5,0)</f>
        <v>Tremor, other</v>
      </c>
      <c r="I315" s="12">
        <v>72.400000000000006</v>
      </c>
      <c r="J3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5" s="11" t="s">
        <v>55</v>
      </c>
      <c r="L315" s="11"/>
      <c r="M315" s="11"/>
      <c r="N315" s="11">
        <v>43.554000000000002</v>
      </c>
      <c r="O315" s="11">
        <v>40.975999999999999</v>
      </c>
      <c r="P315" s="11">
        <v>84.456000000000003</v>
      </c>
      <c r="Q315" s="11">
        <v>84.683999999999997</v>
      </c>
      <c r="R315" s="11">
        <v>70.335999999999999</v>
      </c>
      <c r="S315" s="11">
        <v>70.391000000000005</v>
      </c>
      <c r="T315" s="11">
        <v>99.903999999999996</v>
      </c>
      <c r="U315" s="11">
        <v>99.483999999999995</v>
      </c>
      <c r="V315" s="11">
        <v>64.912999999999997</v>
      </c>
      <c r="W315" s="11">
        <v>66.600999999999999</v>
      </c>
      <c r="X315" s="11">
        <v>35.087000000000003</v>
      </c>
      <c r="Y315" s="11">
        <v>33.399000000000001</v>
      </c>
      <c r="Z315" s="11">
        <v>15.888</v>
      </c>
      <c r="AA315" s="11">
        <v>16.254999999999999</v>
      </c>
      <c r="AB315" s="11">
        <v>33.399000000000001</v>
      </c>
      <c r="AC315" s="11">
        <v>35.087000000000003</v>
      </c>
      <c r="AD315" s="11">
        <v>12.172000000000001</v>
      </c>
      <c r="AE315" s="11">
        <v>12</v>
      </c>
      <c r="AF315" s="11">
        <v>11</v>
      </c>
      <c r="AG315" s="11">
        <v>11</v>
      </c>
      <c r="AH315" s="11">
        <v>11</v>
      </c>
    </row>
    <row r="316" spans="1:34" s="33" customFormat="1" x14ac:dyDescent="0.2">
      <c r="A316" s="11">
        <v>438</v>
      </c>
      <c r="B316" s="11"/>
      <c r="C316" s="11"/>
      <c r="D316" s="11"/>
      <c r="E316" s="11"/>
      <c r="F316" s="11" t="s">
        <v>62</v>
      </c>
      <c r="G316" s="11" t="s">
        <v>63</v>
      </c>
      <c r="H316" s="56" t="str">
        <f>VLOOKUP(Table6[[#This Row],[ICD Code]],ICD_summary!$I$3:$M$38,5,0)</f>
        <v>PD</v>
      </c>
      <c r="I316" s="12">
        <v>65.2</v>
      </c>
      <c r="J3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16" s="11" t="s">
        <v>52</v>
      </c>
      <c r="L316" s="11"/>
      <c r="M316" s="11"/>
      <c r="N316" s="11">
        <v>47.317</v>
      </c>
      <c r="O316" s="11">
        <v>44.375999999999998</v>
      </c>
      <c r="P316" s="11">
        <v>91.926000000000002</v>
      </c>
      <c r="Q316" s="11">
        <v>91.700999999999993</v>
      </c>
      <c r="R316" s="11">
        <v>92.912999999999997</v>
      </c>
      <c r="S316" s="11">
        <v>92.65</v>
      </c>
      <c r="T316" s="11">
        <v>121.367</v>
      </c>
      <c r="U316" s="11">
        <v>121.01900000000001</v>
      </c>
      <c r="V316" s="11">
        <v>62.969000000000001</v>
      </c>
      <c r="W316" s="11">
        <v>61.573999999999998</v>
      </c>
      <c r="X316" s="11">
        <v>37.030999999999999</v>
      </c>
      <c r="Y316" s="11">
        <v>38.426000000000002</v>
      </c>
      <c r="Z316" s="11">
        <v>12.308</v>
      </c>
      <c r="AA316" s="11">
        <v>12.46</v>
      </c>
      <c r="AB316" s="11">
        <v>38.426000000000002</v>
      </c>
      <c r="AC316" s="11">
        <v>37.030999999999999</v>
      </c>
      <c r="AD316" s="11">
        <v>9.9719999999999995</v>
      </c>
      <c r="AE316" s="11">
        <v>11</v>
      </c>
      <c r="AF316" s="11">
        <v>14</v>
      </c>
      <c r="AG316" s="11">
        <v>11</v>
      </c>
      <c r="AH316" s="11">
        <v>11</v>
      </c>
    </row>
    <row r="317" spans="1:34" s="33" customFormat="1" x14ac:dyDescent="0.2">
      <c r="A317" s="11">
        <v>439</v>
      </c>
      <c r="B317" s="11"/>
      <c r="C317" s="11"/>
      <c r="D317" s="11"/>
      <c r="E317" s="11"/>
      <c r="F317" s="11" t="s">
        <v>62</v>
      </c>
      <c r="G317" s="11" t="s">
        <v>63</v>
      </c>
      <c r="H317" s="56" t="str">
        <f>VLOOKUP(Table6[[#This Row],[ICD Code]],ICD_summary!$I$3:$M$38,5,0)</f>
        <v>PD</v>
      </c>
      <c r="I317" s="12">
        <v>61.2</v>
      </c>
      <c r="J3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17" s="11" t="s">
        <v>52</v>
      </c>
      <c r="L317" s="11"/>
      <c r="M317" s="11"/>
      <c r="N317" s="11">
        <v>39.972999999999999</v>
      </c>
      <c r="O317" s="11">
        <v>48.183999999999997</v>
      </c>
      <c r="P317" s="11">
        <v>89.102000000000004</v>
      </c>
      <c r="Q317" s="11">
        <v>89.596000000000004</v>
      </c>
      <c r="R317" s="11">
        <v>100.52500000000001</v>
      </c>
      <c r="S317" s="11">
        <v>100.459</v>
      </c>
      <c r="T317" s="11">
        <v>133.43199999999999</v>
      </c>
      <c r="U317" s="11">
        <v>134.047</v>
      </c>
      <c r="V317" s="11">
        <v>64.876999999999995</v>
      </c>
      <c r="W317" s="11">
        <v>61.063000000000002</v>
      </c>
      <c r="X317" s="11">
        <v>35.122999999999998</v>
      </c>
      <c r="Y317" s="11">
        <v>38.936999999999998</v>
      </c>
      <c r="Z317" s="11">
        <v>13.361000000000001</v>
      </c>
      <c r="AA317" s="11">
        <v>13.189</v>
      </c>
      <c r="AB317" s="11">
        <v>38.936999999999998</v>
      </c>
      <c r="AC317" s="11">
        <v>35.122999999999998</v>
      </c>
      <c r="AD317" s="11">
        <v>16.994</v>
      </c>
      <c r="AE317" s="11">
        <v>13</v>
      </c>
      <c r="AF317" s="11">
        <v>13</v>
      </c>
      <c r="AG317" s="11">
        <v>13</v>
      </c>
      <c r="AH317" s="11">
        <v>13</v>
      </c>
    </row>
    <row r="318" spans="1:34" s="33" customFormat="1" x14ac:dyDescent="0.2">
      <c r="A318" s="11">
        <v>440</v>
      </c>
      <c r="B318" s="11"/>
      <c r="C318" s="11"/>
      <c r="D318" s="11"/>
      <c r="E318" s="11"/>
      <c r="F318" s="11" t="s">
        <v>51</v>
      </c>
      <c r="G318" s="11" t="s">
        <v>51</v>
      </c>
      <c r="H318" s="56" t="str">
        <f>VLOOKUP(Table6[[#This Row],[ICD Code]],ICD_summary!$I$3:$M$38,5,0)</f>
        <v>Misc/Other</v>
      </c>
      <c r="I318" s="12">
        <v>999</v>
      </c>
      <c r="J3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8" s="11" t="s">
        <v>51</v>
      </c>
      <c r="L318" s="11"/>
      <c r="M318" s="11"/>
      <c r="N318" s="11" t="s">
        <v>51</v>
      </c>
      <c r="O318" s="11" t="s">
        <v>51</v>
      </c>
      <c r="P318" s="11" t="s">
        <v>51</v>
      </c>
      <c r="Q318" s="11" t="s">
        <v>51</v>
      </c>
      <c r="R318" s="11" t="s">
        <v>51</v>
      </c>
      <c r="S318" s="11" t="s">
        <v>51</v>
      </c>
      <c r="T318" s="11" t="s">
        <v>51</v>
      </c>
      <c r="U318" s="11" t="s">
        <v>51</v>
      </c>
      <c r="V318" s="11" t="s">
        <v>51</v>
      </c>
      <c r="W318" s="11" t="s">
        <v>51</v>
      </c>
      <c r="X318" s="11" t="s">
        <v>51</v>
      </c>
      <c r="Y318" s="11" t="s">
        <v>51</v>
      </c>
      <c r="Z318" s="11" t="s">
        <v>51</v>
      </c>
      <c r="AA318" s="11" t="s">
        <v>51</v>
      </c>
      <c r="AB318" s="11" t="s">
        <v>51</v>
      </c>
      <c r="AC318" s="11" t="s">
        <v>51</v>
      </c>
      <c r="AD318" s="11" t="s">
        <v>51</v>
      </c>
      <c r="AE318" s="11" t="s">
        <v>51</v>
      </c>
      <c r="AF318" s="11" t="s">
        <v>51</v>
      </c>
      <c r="AG318" s="11" t="s">
        <v>51</v>
      </c>
      <c r="AH318" s="11" t="s">
        <v>51</v>
      </c>
    </row>
    <row r="319" spans="1:34" s="33" customFormat="1" x14ac:dyDescent="0.2">
      <c r="A319" s="11">
        <v>441</v>
      </c>
      <c r="B319" s="11"/>
      <c r="C319" s="11"/>
      <c r="D319" s="11"/>
      <c r="E319" s="11"/>
      <c r="F319" s="11" t="s">
        <v>51</v>
      </c>
      <c r="G319" s="11" t="s">
        <v>51</v>
      </c>
      <c r="H319" s="56" t="str">
        <f>VLOOKUP(Table6[[#This Row],[ICD Code]],ICD_summary!$I$3:$M$38,5,0)</f>
        <v>Misc/Other</v>
      </c>
      <c r="I319" s="12">
        <v>999</v>
      </c>
      <c r="J3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9" s="11" t="s">
        <v>51</v>
      </c>
      <c r="L319" s="11"/>
      <c r="M319" s="11"/>
      <c r="N319" s="11">
        <v>45.107999999999997</v>
      </c>
      <c r="O319" s="11">
        <v>51.755000000000003</v>
      </c>
      <c r="P319" s="11">
        <v>96.358000000000004</v>
      </c>
      <c r="Q319" s="11">
        <v>97.106999999999999</v>
      </c>
      <c r="R319" s="11">
        <v>77.281999999999996</v>
      </c>
      <c r="S319" s="11">
        <v>78.403999999999996</v>
      </c>
      <c r="T319" s="11">
        <v>96.438999999999993</v>
      </c>
      <c r="U319" s="11">
        <v>96.483999999999995</v>
      </c>
      <c r="V319" s="11">
        <v>64.646000000000001</v>
      </c>
      <c r="W319" s="11">
        <v>63.438000000000002</v>
      </c>
      <c r="X319" s="11">
        <v>35.353999999999999</v>
      </c>
      <c r="Y319" s="11">
        <v>36.561999999999998</v>
      </c>
      <c r="Z319" s="11">
        <v>14.525</v>
      </c>
      <c r="AA319" s="11">
        <v>13.586</v>
      </c>
      <c r="AB319" s="11">
        <v>36.561999999999998</v>
      </c>
      <c r="AC319" s="11">
        <v>35.353999999999999</v>
      </c>
      <c r="AD319" s="11">
        <v>12.86</v>
      </c>
      <c r="AE319" s="11">
        <v>14</v>
      </c>
      <c r="AF319" s="11">
        <v>13</v>
      </c>
      <c r="AG319" s="11">
        <v>13</v>
      </c>
      <c r="AH319" s="11">
        <v>13</v>
      </c>
    </row>
    <row r="320" spans="1:34" s="33" customFormat="1" x14ac:dyDescent="0.2">
      <c r="A320" s="11">
        <v>442</v>
      </c>
      <c r="B320" s="11"/>
      <c r="C320" s="11"/>
      <c r="D320" s="11"/>
      <c r="E320" s="11"/>
      <c r="F320" s="11" t="s">
        <v>72</v>
      </c>
      <c r="G320" s="11" t="s">
        <v>73</v>
      </c>
      <c r="H320" s="56" t="str">
        <f>VLOOKUP(Table6[[#This Row],[ICD Code]],ICD_summary!$I$3:$M$38,5,0)</f>
        <v>Tremor, other</v>
      </c>
      <c r="I320" s="12">
        <v>62.6</v>
      </c>
      <c r="J3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0" s="11" t="s">
        <v>55</v>
      </c>
      <c r="L320" s="11"/>
      <c r="M320" s="11"/>
      <c r="N320" s="11">
        <v>53.731999999999999</v>
      </c>
      <c r="O320" s="11">
        <v>48.307000000000002</v>
      </c>
      <c r="P320" s="11">
        <v>102.09399999999999</v>
      </c>
      <c r="Q320" s="11">
        <v>101.86</v>
      </c>
      <c r="R320" s="11">
        <v>97.727999999999994</v>
      </c>
      <c r="S320" s="11">
        <v>97.616</v>
      </c>
      <c r="T320" s="11">
        <v>114.218</v>
      </c>
      <c r="U320" s="11">
        <v>113.998</v>
      </c>
      <c r="V320" s="11">
        <v>65.427000000000007</v>
      </c>
      <c r="W320" s="11">
        <v>60.929000000000002</v>
      </c>
      <c r="X320" s="11">
        <v>34.573</v>
      </c>
      <c r="Y320" s="11">
        <v>39.070999999999998</v>
      </c>
      <c r="Z320" s="11">
        <v>14.430999999999999</v>
      </c>
      <c r="AA320" s="11">
        <v>12.516999999999999</v>
      </c>
      <c r="AB320" s="11">
        <v>39.070999999999998</v>
      </c>
      <c r="AC320" s="11">
        <v>34.573</v>
      </c>
      <c r="AD320" s="11">
        <v>10.8</v>
      </c>
      <c r="AE320" s="11">
        <v>10</v>
      </c>
      <c r="AF320" s="11">
        <v>11</v>
      </c>
      <c r="AG320" s="11">
        <v>10</v>
      </c>
      <c r="AH320" s="11">
        <v>10</v>
      </c>
    </row>
    <row r="321" spans="1:34" s="33" customFormat="1" x14ac:dyDescent="0.2">
      <c r="A321" s="11">
        <v>443</v>
      </c>
      <c r="B321" s="11"/>
      <c r="C321" s="11"/>
      <c r="D321" s="11"/>
      <c r="E321" s="11"/>
      <c r="F321" s="11" t="s">
        <v>62</v>
      </c>
      <c r="G321" s="11" t="s">
        <v>63</v>
      </c>
      <c r="H321" s="56" t="str">
        <f>VLOOKUP(Table6[[#This Row],[ICD Code]],ICD_summary!$I$3:$M$38,5,0)</f>
        <v>PD</v>
      </c>
      <c r="I321" s="12">
        <v>65.599999999999994</v>
      </c>
      <c r="J3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1" s="11" t="s">
        <v>52</v>
      </c>
      <c r="L321" s="11"/>
      <c r="M321" s="11"/>
      <c r="N321" s="11">
        <v>64.460999999999999</v>
      </c>
      <c r="O321" s="11">
        <v>73.010000000000005</v>
      </c>
      <c r="P321" s="11">
        <v>138.18299999999999</v>
      </c>
      <c r="Q321" s="11">
        <v>137.70599999999999</v>
      </c>
      <c r="R321" s="11">
        <v>118.751</v>
      </c>
      <c r="S321" s="11">
        <v>118.38800000000001</v>
      </c>
      <c r="T321" s="11">
        <v>102.9</v>
      </c>
      <c r="U321" s="11">
        <v>102.895</v>
      </c>
      <c r="V321" s="11">
        <v>63.587000000000003</v>
      </c>
      <c r="W321" s="11">
        <v>62.851999999999997</v>
      </c>
      <c r="X321" s="11">
        <v>36.412999999999997</v>
      </c>
      <c r="Y321" s="11">
        <v>37.148000000000003</v>
      </c>
      <c r="Z321" s="11">
        <v>12.513</v>
      </c>
      <c r="AA321" s="11">
        <v>13.769</v>
      </c>
      <c r="AB321" s="11">
        <v>37.148000000000003</v>
      </c>
      <c r="AC321" s="11">
        <v>36.412999999999997</v>
      </c>
      <c r="AD321" s="11">
        <v>11.444000000000001</v>
      </c>
      <c r="AE321" s="11">
        <v>10</v>
      </c>
      <c r="AF321" s="11">
        <v>7</v>
      </c>
      <c r="AG321" s="11">
        <v>7</v>
      </c>
      <c r="AH321" s="11">
        <v>7</v>
      </c>
    </row>
    <row r="322" spans="1:34" s="33" customFormat="1" x14ac:dyDescent="0.2">
      <c r="A322" s="11">
        <v>444</v>
      </c>
      <c r="B322" s="11"/>
      <c r="C322" s="11"/>
      <c r="D322" s="11"/>
      <c r="E322" s="11"/>
      <c r="F322" s="11" t="s">
        <v>51</v>
      </c>
      <c r="G322" s="11" t="s">
        <v>51</v>
      </c>
      <c r="H322" s="56" t="str">
        <f>VLOOKUP(Table6[[#This Row],[ICD Code]],ICD_summary!$I$3:$M$38,5,0)</f>
        <v>Misc/Other</v>
      </c>
      <c r="I322" s="12">
        <v>999</v>
      </c>
      <c r="J3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2" s="11" t="s">
        <v>51</v>
      </c>
      <c r="L322" s="11"/>
      <c r="M322" s="11"/>
      <c r="N322" s="11">
        <v>63.942</v>
      </c>
      <c r="O322" s="11">
        <v>61.444000000000003</v>
      </c>
      <c r="P322" s="11">
        <v>126.962</v>
      </c>
      <c r="Q322" s="11">
        <v>124.774</v>
      </c>
      <c r="R322" s="11">
        <v>128.83799999999999</v>
      </c>
      <c r="S322" s="11">
        <v>129.99199999999999</v>
      </c>
      <c r="T322" s="11">
        <v>122.255</v>
      </c>
      <c r="U322" s="11">
        <v>124.973</v>
      </c>
      <c r="V322" s="11">
        <v>59.137999999999998</v>
      </c>
      <c r="W322" s="11">
        <v>61.354999999999997</v>
      </c>
      <c r="X322" s="11">
        <v>40.862000000000002</v>
      </c>
      <c r="Y322" s="11">
        <v>38.645000000000003</v>
      </c>
      <c r="Z322" s="11">
        <v>10.420999999999999</v>
      </c>
      <c r="AA322" s="11">
        <v>11.547000000000001</v>
      </c>
      <c r="AB322" s="11">
        <v>38.645000000000003</v>
      </c>
      <c r="AC322" s="11">
        <v>40.862000000000002</v>
      </c>
      <c r="AD322" s="11">
        <v>13.648</v>
      </c>
      <c r="AE322" s="11">
        <v>7</v>
      </c>
      <c r="AF322" s="11">
        <v>10</v>
      </c>
      <c r="AG322" s="11">
        <v>7</v>
      </c>
      <c r="AH322" s="11">
        <v>7</v>
      </c>
    </row>
    <row r="323" spans="1:34" s="33" customFormat="1" x14ac:dyDescent="0.2">
      <c r="A323" s="11">
        <v>446</v>
      </c>
      <c r="B323" s="11"/>
      <c r="C323" s="11"/>
      <c r="D323" s="11"/>
      <c r="E323" s="11"/>
      <c r="F323" s="11" t="s">
        <v>51</v>
      </c>
      <c r="G323" s="11" t="s">
        <v>51</v>
      </c>
      <c r="H323" s="56" t="str">
        <f>VLOOKUP(Table6[[#This Row],[ICD Code]],ICD_summary!$I$3:$M$38,5,0)</f>
        <v>Misc/Other</v>
      </c>
      <c r="I323" s="12">
        <v>999</v>
      </c>
      <c r="J3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3" s="11" t="s">
        <v>51</v>
      </c>
      <c r="L323" s="11"/>
      <c r="M323" s="11"/>
      <c r="N323" s="11">
        <v>39.267000000000003</v>
      </c>
      <c r="O323" s="11">
        <v>46.362000000000002</v>
      </c>
      <c r="P323" s="11">
        <v>84.313000000000002</v>
      </c>
      <c r="Q323" s="11">
        <v>85.275000000000006</v>
      </c>
      <c r="R323" s="11">
        <v>72.948999999999998</v>
      </c>
      <c r="S323" s="11">
        <v>74.326999999999998</v>
      </c>
      <c r="T323" s="11">
        <v>103.136</v>
      </c>
      <c r="U323" s="11">
        <v>103.77800000000001</v>
      </c>
      <c r="V323" s="11">
        <v>63.615000000000002</v>
      </c>
      <c r="W323" s="11">
        <v>64.796000000000006</v>
      </c>
      <c r="X323" s="11">
        <v>36.384999999999998</v>
      </c>
      <c r="Y323" s="11">
        <v>35.204000000000001</v>
      </c>
      <c r="Z323" s="11">
        <v>15.217000000000001</v>
      </c>
      <c r="AA323" s="11">
        <v>13.763999999999999</v>
      </c>
      <c r="AB323" s="11">
        <v>35.204000000000001</v>
      </c>
      <c r="AC323" s="11">
        <v>36.384999999999998</v>
      </c>
      <c r="AD323" s="11">
        <v>9.2379999999999995</v>
      </c>
      <c r="AE323" s="11">
        <v>12</v>
      </c>
      <c r="AF323" s="11">
        <v>14</v>
      </c>
      <c r="AG323" s="11">
        <v>12</v>
      </c>
      <c r="AH323" s="11">
        <v>12</v>
      </c>
    </row>
    <row r="324" spans="1:34" s="33" customFormat="1" x14ac:dyDescent="0.2">
      <c r="A324" s="11">
        <v>447</v>
      </c>
      <c r="B324" s="11"/>
      <c r="C324" s="11"/>
      <c r="D324" s="11"/>
      <c r="E324" s="11"/>
      <c r="F324" s="11" t="s">
        <v>51</v>
      </c>
      <c r="G324" s="11" t="s">
        <v>51</v>
      </c>
      <c r="H324" s="56" t="str">
        <f>VLOOKUP(Table6[[#This Row],[ICD Code]],ICD_summary!$I$3:$M$38,5,0)</f>
        <v>Misc/Other</v>
      </c>
      <c r="I324" s="12">
        <v>999</v>
      </c>
      <c r="J3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4" s="11" t="s">
        <v>51</v>
      </c>
      <c r="L324" s="11"/>
      <c r="M324" s="11"/>
      <c r="N324" s="11">
        <v>67.888000000000005</v>
      </c>
      <c r="O324" s="11">
        <v>66.611999999999995</v>
      </c>
      <c r="P324" s="11">
        <v>135.178</v>
      </c>
      <c r="Q324" s="11">
        <v>133.94499999999999</v>
      </c>
      <c r="R324" s="11">
        <v>130.88999999999999</v>
      </c>
      <c r="S324" s="11">
        <v>130.42099999999999</v>
      </c>
      <c r="T324" s="11">
        <v>115.873</v>
      </c>
      <c r="U324" s="11">
        <v>116.774</v>
      </c>
      <c r="V324" s="11">
        <v>61.460999999999999</v>
      </c>
      <c r="W324" s="11">
        <v>60.271999999999998</v>
      </c>
      <c r="X324" s="11">
        <v>38.539000000000001</v>
      </c>
      <c r="Y324" s="11">
        <v>39.728000000000002</v>
      </c>
      <c r="Z324" s="11">
        <v>11.018000000000001</v>
      </c>
      <c r="AA324" s="11">
        <v>10.808999999999999</v>
      </c>
      <c r="AB324" s="11">
        <v>39.728000000000002</v>
      </c>
      <c r="AC324" s="11">
        <v>38.539000000000001</v>
      </c>
      <c r="AD324" s="11">
        <v>11.992000000000001</v>
      </c>
      <c r="AE324" s="11">
        <v>10</v>
      </c>
      <c r="AF324" s="11">
        <v>9</v>
      </c>
      <c r="AG324" s="11">
        <v>9</v>
      </c>
      <c r="AH324" s="11">
        <v>9</v>
      </c>
    </row>
    <row r="325" spans="1:34" s="33" customFormat="1" x14ac:dyDescent="0.2">
      <c r="A325" s="11">
        <v>448</v>
      </c>
      <c r="B325" s="11"/>
      <c r="C325" s="11"/>
      <c r="D325" s="11"/>
      <c r="E325" s="11"/>
      <c r="F325" s="11" t="s">
        <v>86</v>
      </c>
      <c r="G325" s="11" t="s">
        <v>87</v>
      </c>
      <c r="H325" s="56" t="str">
        <f>VLOOKUP(Table6[[#This Row],[ICD Code]],ICD_summary!$I$3:$M$38,5,0)</f>
        <v>Misc/Other</v>
      </c>
      <c r="I325" s="12">
        <v>71.7</v>
      </c>
      <c r="J3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25" s="11" t="s">
        <v>55</v>
      </c>
      <c r="L325" s="11"/>
      <c r="M325" s="11"/>
      <c r="N325" s="11">
        <v>42.634</v>
      </c>
      <c r="O325" s="11">
        <v>46.960999999999999</v>
      </c>
      <c r="P325" s="11">
        <v>89.674999999999997</v>
      </c>
      <c r="Q325" s="11">
        <v>90.144000000000005</v>
      </c>
      <c r="R325" s="11">
        <v>56.418999999999997</v>
      </c>
      <c r="S325" s="11">
        <v>56.996000000000002</v>
      </c>
      <c r="T325" s="11">
        <v>75.308999999999997</v>
      </c>
      <c r="U325" s="11">
        <v>75.316000000000003</v>
      </c>
      <c r="V325" s="11">
        <v>66.936000000000007</v>
      </c>
      <c r="W325" s="11">
        <v>67.510999999999996</v>
      </c>
      <c r="X325" s="11">
        <v>33.064</v>
      </c>
      <c r="Y325" s="11">
        <v>32.488999999999997</v>
      </c>
      <c r="Z325" s="11">
        <v>17.747</v>
      </c>
      <c r="AA325" s="11">
        <v>16.847999999999999</v>
      </c>
      <c r="AB325" s="11">
        <v>32.488999999999997</v>
      </c>
      <c r="AC325" s="11">
        <v>33.064</v>
      </c>
      <c r="AD325" s="11">
        <v>11.798</v>
      </c>
      <c r="AE325" s="11">
        <v>14</v>
      </c>
      <c r="AF325" s="11">
        <v>11</v>
      </c>
      <c r="AG325" s="11">
        <v>11</v>
      </c>
      <c r="AH325" s="11">
        <v>11</v>
      </c>
    </row>
    <row r="326" spans="1:34" s="33" customFormat="1" x14ac:dyDescent="0.2">
      <c r="A326" s="11">
        <v>449</v>
      </c>
      <c r="B326" s="11"/>
      <c r="C326" s="11"/>
      <c r="D326" s="11"/>
      <c r="E326" s="11"/>
      <c r="F326" s="11" t="s">
        <v>51</v>
      </c>
      <c r="G326" s="11" t="s">
        <v>51</v>
      </c>
      <c r="H326" s="56" t="str">
        <f>VLOOKUP(Table6[[#This Row],[ICD Code]],ICD_summary!$I$3:$M$38,5,0)</f>
        <v>Misc/Other</v>
      </c>
      <c r="I326" s="12">
        <v>999</v>
      </c>
      <c r="J3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6" s="11" t="s">
        <v>51</v>
      </c>
      <c r="L326" s="11"/>
      <c r="M326" s="11"/>
      <c r="N326" s="11">
        <v>69.613</v>
      </c>
      <c r="O326" s="11">
        <v>69.789000000000001</v>
      </c>
      <c r="P326" s="11">
        <v>138.79499999999999</v>
      </c>
      <c r="Q326" s="11">
        <v>139.958</v>
      </c>
      <c r="R326" s="11">
        <v>132.16300000000001</v>
      </c>
      <c r="S326" s="11">
        <v>132.346</v>
      </c>
      <c r="T326" s="11">
        <v>113.902</v>
      </c>
      <c r="U326" s="11">
        <v>113.05800000000001</v>
      </c>
      <c r="V326" s="11">
        <v>61.896999999999998</v>
      </c>
      <c r="W326" s="11">
        <v>60.533000000000001</v>
      </c>
      <c r="X326" s="11">
        <v>38.103000000000002</v>
      </c>
      <c r="Y326" s="11">
        <v>39.466999999999999</v>
      </c>
      <c r="Z326" s="11">
        <v>11.143000000000001</v>
      </c>
      <c r="AA326" s="11">
        <v>11.433</v>
      </c>
      <c r="AB326" s="11">
        <v>39.466999999999999</v>
      </c>
      <c r="AC326" s="11">
        <v>38.103000000000002</v>
      </c>
      <c r="AD326" s="11">
        <v>7.49</v>
      </c>
      <c r="AE326" s="11">
        <v>10</v>
      </c>
      <c r="AF326" s="11">
        <v>7</v>
      </c>
      <c r="AG326" s="11">
        <v>7</v>
      </c>
      <c r="AH326" s="11">
        <v>7</v>
      </c>
    </row>
    <row r="327" spans="1:34" s="33" customFormat="1" x14ac:dyDescent="0.2">
      <c r="A327" s="11">
        <v>450</v>
      </c>
      <c r="B327" s="11"/>
      <c r="C327" s="11"/>
      <c r="D327" s="11"/>
      <c r="E327" s="11"/>
      <c r="F327" s="11" t="s">
        <v>68</v>
      </c>
      <c r="G327" s="11" t="s">
        <v>69</v>
      </c>
      <c r="H327" s="56" t="str">
        <f>VLOOKUP(Table6[[#This Row],[ICD Code]],ICD_summary!$I$3:$M$38,5,0)</f>
        <v>Tremor, essential tremor</v>
      </c>
      <c r="I327" s="12">
        <v>67.7</v>
      </c>
      <c r="J3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7" s="11" t="s">
        <v>52</v>
      </c>
      <c r="L327" s="11"/>
      <c r="M327" s="11"/>
      <c r="N327" s="11">
        <v>63.372999999999998</v>
      </c>
      <c r="O327" s="11">
        <v>58.619</v>
      </c>
      <c r="P327" s="11">
        <v>121.89100000000001</v>
      </c>
      <c r="Q327" s="11">
        <v>121.72499999999999</v>
      </c>
      <c r="R327" s="11">
        <v>92.066000000000003</v>
      </c>
      <c r="S327" s="11">
        <v>93.070999999999998</v>
      </c>
      <c r="T327" s="11">
        <v>90.177000000000007</v>
      </c>
      <c r="U327" s="11">
        <v>91.004999999999995</v>
      </c>
      <c r="V327" s="11">
        <v>64.412999999999997</v>
      </c>
      <c r="W327" s="11">
        <v>63.365000000000002</v>
      </c>
      <c r="X327" s="11">
        <v>35.587000000000003</v>
      </c>
      <c r="Y327" s="11">
        <v>36.634999999999998</v>
      </c>
      <c r="Z327" s="11">
        <v>13.157</v>
      </c>
      <c r="AA327" s="11">
        <v>15.446</v>
      </c>
      <c r="AB327" s="11">
        <v>36.634999999999998</v>
      </c>
      <c r="AC327" s="11">
        <v>35.587000000000003</v>
      </c>
      <c r="AD327" s="11">
        <v>11.91</v>
      </c>
      <c r="AE327" s="11">
        <v>10</v>
      </c>
      <c r="AF327" s="11">
        <v>8</v>
      </c>
      <c r="AG327" s="11">
        <v>8</v>
      </c>
      <c r="AH327" s="11">
        <v>8</v>
      </c>
    </row>
    <row r="328" spans="1:34" s="33" customFormat="1" x14ac:dyDescent="0.2">
      <c r="A328" s="11">
        <v>451</v>
      </c>
      <c r="B328" s="11"/>
      <c r="C328" s="11"/>
      <c r="D328" s="11"/>
      <c r="E328" s="11"/>
      <c r="F328" s="11" t="s">
        <v>68</v>
      </c>
      <c r="G328" s="11" t="s">
        <v>69</v>
      </c>
      <c r="H328" s="56" t="str">
        <f>VLOOKUP(Table6[[#This Row],[ICD Code]],ICD_summary!$I$3:$M$38,5,0)</f>
        <v>Tremor, essential tremor</v>
      </c>
      <c r="I328" s="12">
        <v>79.099999999999994</v>
      </c>
      <c r="J3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28" s="11" t="s">
        <v>55</v>
      </c>
      <c r="L328" s="11"/>
      <c r="M328" s="11"/>
      <c r="N328" s="11" t="s">
        <v>51</v>
      </c>
      <c r="O328" s="11" t="s">
        <v>51</v>
      </c>
      <c r="P328" s="11" t="s">
        <v>51</v>
      </c>
      <c r="Q328" s="11" t="s">
        <v>51</v>
      </c>
      <c r="R328" s="11" t="s">
        <v>51</v>
      </c>
      <c r="S328" s="11" t="s">
        <v>51</v>
      </c>
      <c r="T328" s="11" t="s">
        <v>51</v>
      </c>
      <c r="U328" s="11" t="s">
        <v>51</v>
      </c>
      <c r="V328" s="11" t="s">
        <v>51</v>
      </c>
      <c r="W328" s="11" t="s">
        <v>51</v>
      </c>
      <c r="X328" s="11" t="s">
        <v>51</v>
      </c>
      <c r="Y328" s="11" t="s">
        <v>51</v>
      </c>
      <c r="Z328" s="11" t="s">
        <v>51</v>
      </c>
      <c r="AA328" s="11" t="s">
        <v>51</v>
      </c>
      <c r="AB328" s="11" t="s">
        <v>51</v>
      </c>
      <c r="AC328" s="11" t="s">
        <v>51</v>
      </c>
      <c r="AD328" s="11" t="s">
        <v>51</v>
      </c>
      <c r="AE328" s="11" t="s">
        <v>51</v>
      </c>
      <c r="AF328" s="11" t="s">
        <v>51</v>
      </c>
      <c r="AG328" s="11" t="s">
        <v>51</v>
      </c>
      <c r="AH328" s="11" t="s">
        <v>51</v>
      </c>
    </row>
    <row r="329" spans="1:34" s="33" customFormat="1" x14ac:dyDescent="0.2">
      <c r="A329" s="11">
        <v>452</v>
      </c>
      <c r="B329" s="11"/>
      <c r="C329" s="11"/>
      <c r="D329" s="11"/>
      <c r="E329" s="11"/>
      <c r="F329" s="11" t="s">
        <v>51</v>
      </c>
      <c r="G329" s="11" t="s">
        <v>51</v>
      </c>
      <c r="H329" s="56" t="str">
        <f>VLOOKUP(Table6[[#This Row],[ICD Code]],ICD_summary!$I$3:$M$38,5,0)</f>
        <v>Misc/Other</v>
      </c>
      <c r="I329" s="12">
        <v>999</v>
      </c>
      <c r="J3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9" s="11" t="s">
        <v>51</v>
      </c>
      <c r="L329" s="11"/>
      <c r="M329" s="11"/>
      <c r="N329" s="11">
        <v>64.881</v>
      </c>
      <c r="O329" s="11">
        <v>65.724000000000004</v>
      </c>
      <c r="P329" s="11">
        <v>130.965</v>
      </c>
      <c r="Q329" s="11">
        <v>130.19800000000001</v>
      </c>
      <c r="R329" s="11">
        <v>109.435</v>
      </c>
      <c r="S329" s="11">
        <v>108.161</v>
      </c>
      <c r="T329" s="11">
        <v>100.098</v>
      </c>
      <c r="U329" s="11">
        <v>100.056</v>
      </c>
      <c r="V329" s="11">
        <v>64.076999999999998</v>
      </c>
      <c r="W329" s="11">
        <v>63.085999999999999</v>
      </c>
      <c r="X329" s="11">
        <v>35.923000000000002</v>
      </c>
      <c r="Y329" s="11">
        <v>36.914000000000001</v>
      </c>
      <c r="Z329" s="11">
        <v>14.04</v>
      </c>
      <c r="AA329" s="11">
        <v>13.779</v>
      </c>
      <c r="AB329" s="11">
        <v>36.914000000000001</v>
      </c>
      <c r="AC329" s="11">
        <v>35.923000000000002</v>
      </c>
      <c r="AD329" s="11">
        <v>12.497999999999999</v>
      </c>
      <c r="AE329" s="11">
        <v>10</v>
      </c>
      <c r="AF329" s="11">
        <v>7</v>
      </c>
      <c r="AG329" s="11">
        <v>7</v>
      </c>
      <c r="AH329" s="11">
        <v>7</v>
      </c>
    </row>
    <row r="330" spans="1:34" s="33" customFormat="1" x14ac:dyDescent="0.2">
      <c r="A330" s="11">
        <v>453</v>
      </c>
      <c r="B330" s="11"/>
      <c r="C330" s="11"/>
      <c r="D330" s="11"/>
      <c r="E330" s="11"/>
      <c r="F330" s="11" t="s">
        <v>51</v>
      </c>
      <c r="G330" s="11" t="s">
        <v>51</v>
      </c>
      <c r="H330" s="56" t="str">
        <f>VLOOKUP(Table6[[#This Row],[ICD Code]],ICD_summary!$I$3:$M$38,5,0)</f>
        <v>Misc/Other</v>
      </c>
      <c r="I330" s="12">
        <v>999</v>
      </c>
      <c r="J3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0" s="11" t="s">
        <v>51</v>
      </c>
      <c r="L330" s="11"/>
      <c r="M330" s="11"/>
      <c r="N330" s="11" t="s">
        <v>51</v>
      </c>
      <c r="O330" s="11" t="s">
        <v>51</v>
      </c>
      <c r="P330" s="11" t="s">
        <v>51</v>
      </c>
      <c r="Q330" s="11" t="s">
        <v>51</v>
      </c>
      <c r="R330" s="11" t="s">
        <v>51</v>
      </c>
      <c r="S330" s="11" t="s">
        <v>51</v>
      </c>
      <c r="T330" s="11" t="s">
        <v>51</v>
      </c>
      <c r="U330" s="11" t="s">
        <v>51</v>
      </c>
      <c r="V330" s="11" t="s">
        <v>51</v>
      </c>
      <c r="W330" s="11" t="s">
        <v>51</v>
      </c>
      <c r="X330" s="11" t="s">
        <v>51</v>
      </c>
      <c r="Y330" s="11" t="s">
        <v>51</v>
      </c>
      <c r="Z330" s="11" t="s">
        <v>51</v>
      </c>
      <c r="AA330" s="11" t="s">
        <v>51</v>
      </c>
      <c r="AB330" s="11" t="s">
        <v>51</v>
      </c>
      <c r="AC330" s="11" t="s">
        <v>51</v>
      </c>
      <c r="AD330" s="11" t="s">
        <v>51</v>
      </c>
      <c r="AE330" s="11" t="s">
        <v>51</v>
      </c>
      <c r="AF330" s="11" t="s">
        <v>51</v>
      </c>
      <c r="AG330" s="11" t="s">
        <v>51</v>
      </c>
      <c r="AH330" s="11" t="s">
        <v>51</v>
      </c>
    </row>
    <row r="331" spans="1:34" s="33" customFormat="1" x14ac:dyDescent="0.2">
      <c r="A331" s="11">
        <v>454</v>
      </c>
      <c r="B331" s="11"/>
      <c r="C331" s="11"/>
      <c r="D331" s="11"/>
      <c r="E331" s="11"/>
      <c r="F331" s="11" t="s">
        <v>51</v>
      </c>
      <c r="G331" s="11" t="s">
        <v>51</v>
      </c>
      <c r="H331" s="56" t="str">
        <f>VLOOKUP(Table6[[#This Row],[ICD Code]],ICD_summary!$I$3:$M$38,5,0)</f>
        <v>Misc/Other</v>
      </c>
      <c r="I331" s="12">
        <v>999</v>
      </c>
      <c r="J3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1" s="11" t="s">
        <v>51</v>
      </c>
      <c r="L331" s="11"/>
      <c r="M331" s="11"/>
      <c r="N331" s="11">
        <v>38.643000000000001</v>
      </c>
      <c r="O331" s="11">
        <v>45.371000000000002</v>
      </c>
      <c r="P331" s="11">
        <v>84.07</v>
      </c>
      <c r="Q331" s="11">
        <v>83.760999999999996</v>
      </c>
      <c r="R331" s="11">
        <v>88.331999999999994</v>
      </c>
      <c r="S331" s="11">
        <v>88.286000000000001</v>
      </c>
      <c r="T331" s="11">
        <v>126.511</v>
      </c>
      <c r="U331" s="11">
        <v>126.38</v>
      </c>
      <c r="V331" s="11">
        <v>57.59</v>
      </c>
      <c r="W331" s="11">
        <v>62.180999999999997</v>
      </c>
      <c r="X331" s="11">
        <v>42.41</v>
      </c>
      <c r="Y331" s="11">
        <v>37.819000000000003</v>
      </c>
      <c r="Z331" s="11">
        <v>8.7430000000000003</v>
      </c>
      <c r="AA331" s="11">
        <v>11.801</v>
      </c>
      <c r="AB331" s="11">
        <v>37.819000000000003</v>
      </c>
      <c r="AC331" s="11">
        <v>42.41</v>
      </c>
      <c r="AD331" s="11">
        <v>10.798</v>
      </c>
      <c r="AE331" s="11">
        <v>13</v>
      </c>
      <c r="AF331" s="11">
        <v>13</v>
      </c>
      <c r="AG331" s="11">
        <v>13</v>
      </c>
      <c r="AH331" s="11">
        <v>13</v>
      </c>
    </row>
    <row r="332" spans="1:34" s="33" customFormat="1" x14ac:dyDescent="0.2">
      <c r="A332" s="11">
        <v>455</v>
      </c>
      <c r="B332" s="11"/>
      <c r="C332" s="11"/>
      <c r="D332" s="11"/>
      <c r="E332" s="11"/>
      <c r="F332" s="11" t="s">
        <v>62</v>
      </c>
      <c r="G332" s="11" t="s">
        <v>63</v>
      </c>
      <c r="H332" s="56" t="str">
        <f>VLOOKUP(Table6[[#This Row],[ICD Code]],ICD_summary!$I$3:$M$38,5,0)</f>
        <v>PD</v>
      </c>
      <c r="I332" s="12">
        <v>60.4</v>
      </c>
      <c r="J3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2" s="11" t="s">
        <v>55</v>
      </c>
      <c r="L332" s="11"/>
      <c r="M332" s="11"/>
      <c r="N332" s="11">
        <v>44.607999999999997</v>
      </c>
      <c r="O332" s="11">
        <v>39.801000000000002</v>
      </c>
      <c r="P332" s="11">
        <v>84.622</v>
      </c>
      <c r="Q332" s="11">
        <v>84.706000000000003</v>
      </c>
      <c r="R332" s="11">
        <v>71.447999999999993</v>
      </c>
      <c r="S332" s="11">
        <v>71.162999999999997</v>
      </c>
      <c r="T332" s="11">
        <v>101.877</v>
      </c>
      <c r="U332" s="11">
        <v>101.89700000000001</v>
      </c>
      <c r="V332" s="11">
        <v>64.736000000000004</v>
      </c>
      <c r="W332" s="11">
        <v>65.198999999999998</v>
      </c>
      <c r="X332" s="11">
        <v>35.264000000000003</v>
      </c>
      <c r="Y332" s="11">
        <v>34.801000000000002</v>
      </c>
      <c r="Z332" s="11">
        <v>15.736000000000001</v>
      </c>
      <c r="AA332" s="11">
        <v>14.898</v>
      </c>
      <c r="AB332" s="11">
        <v>34.801000000000002</v>
      </c>
      <c r="AC332" s="11">
        <v>35.264000000000003</v>
      </c>
      <c r="AD332" s="11">
        <v>6.5659999999999998</v>
      </c>
      <c r="AE332" s="11">
        <v>14</v>
      </c>
      <c r="AF332" s="11">
        <v>11</v>
      </c>
      <c r="AG332" s="11">
        <v>11</v>
      </c>
      <c r="AH332" s="11">
        <v>11</v>
      </c>
    </row>
    <row r="333" spans="1:34" s="33" customFormat="1" x14ac:dyDescent="0.2">
      <c r="A333" s="11">
        <v>456</v>
      </c>
      <c r="B333" s="11"/>
      <c r="C333" s="11"/>
      <c r="D333" s="11"/>
      <c r="E333" s="11"/>
      <c r="F333" s="11" t="s">
        <v>62</v>
      </c>
      <c r="G333" s="11" t="s">
        <v>63</v>
      </c>
      <c r="H333" s="56" t="str">
        <f>VLOOKUP(Table6[[#This Row],[ICD Code]],ICD_summary!$I$3:$M$38,5,0)</f>
        <v>PD</v>
      </c>
      <c r="I333" s="12">
        <v>66.5</v>
      </c>
      <c r="J3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3" s="11" t="s">
        <v>55</v>
      </c>
      <c r="L333" s="11"/>
      <c r="M333" s="11"/>
      <c r="N333" s="11">
        <v>56.514000000000003</v>
      </c>
      <c r="O333" s="11">
        <v>60.167000000000002</v>
      </c>
      <c r="P333" s="11">
        <v>117.077</v>
      </c>
      <c r="Q333" s="11">
        <v>117.134</v>
      </c>
      <c r="R333" s="11">
        <v>96.337000000000003</v>
      </c>
      <c r="S333" s="11">
        <v>96.227000000000004</v>
      </c>
      <c r="T333" s="11">
        <v>98.602000000000004</v>
      </c>
      <c r="U333" s="11">
        <v>98.299000000000007</v>
      </c>
      <c r="V333" s="11">
        <v>64.679000000000002</v>
      </c>
      <c r="W333" s="11">
        <v>59.277000000000001</v>
      </c>
      <c r="X333" s="11">
        <v>35.320999999999998</v>
      </c>
      <c r="Y333" s="11">
        <v>40.722999999999999</v>
      </c>
      <c r="Z333" s="11">
        <v>13.82</v>
      </c>
      <c r="AA333" s="11">
        <v>10.853999999999999</v>
      </c>
      <c r="AB333" s="11">
        <v>40.722999999999999</v>
      </c>
      <c r="AC333" s="11">
        <v>35.320999999999998</v>
      </c>
      <c r="AD333" s="11">
        <v>12.364000000000001</v>
      </c>
      <c r="AE333" s="11">
        <v>10</v>
      </c>
      <c r="AF333" s="11">
        <v>10</v>
      </c>
      <c r="AG333" s="11">
        <v>10</v>
      </c>
      <c r="AH333" s="11">
        <v>10</v>
      </c>
    </row>
    <row r="334" spans="1:34" s="33" customFormat="1" x14ac:dyDescent="0.2">
      <c r="A334" s="11">
        <v>457</v>
      </c>
      <c r="B334" s="11"/>
      <c r="C334" s="11"/>
      <c r="D334" s="11"/>
      <c r="E334" s="11"/>
      <c r="F334" s="11" t="s">
        <v>72</v>
      </c>
      <c r="G334" s="11" t="s">
        <v>73</v>
      </c>
      <c r="H334" s="56" t="str">
        <f>VLOOKUP(Table6[[#This Row],[ICD Code]],ICD_summary!$I$3:$M$38,5,0)</f>
        <v>Tremor, other</v>
      </c>
      <c r="I334" s="12">
        <v>79</v>
      </c>
      <c r="J3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4" s="11" t="s">
        <v>52</v>
      </c>
      <c r="L334" s="11"/>
      <c r="M334" s="11"/>
      <c r="N334" s="11">
        <v>46.753</v>
      </c>
      <c r="O334" s="11">
        <v>53.252000000000002</v>
      </c>
      <c r="P334" s="11">
        <v>99.805000000000007</v>
      </c>
      <c r="Q334" s="11">
        <v>100.20099999999999</v>
      </c>
      <c r="R334" s="11">
        <v>72.692999999999998</v>
      </c>
      <c r="S334" s="11">
        <v>73.460999999999999</v>
      </c>
      <c r="T334" s="11">
        <v>87.242000000000004</v>
      </c>
      <c r="U334" s="11">
        <v>87.652000000000001</v>
      </c>
      <c r="V334" s="11">
        <v>64.629000000000005</v>
      </c>
      <c r="W334" s="11">
        <v>67.224000000000004</v>
      </c>
      <c r="X334" s="11">
        <v>35.371000000000002</v>
      </c>
      <c r="Y334" s="11">
        <v>32.776000000000003</v>
      </c>
      <c r="Z334" s="11">
        <v>16.898</v>
      </c>
      <c r="AA334" s="11">
        <v>15.84</v>
      </c>
      <c r="AB334" s="11">
        <v>32.776000000000003</v>
      </c>
      <c r="AC334" s="11">
        <v>35.371000000000002</v>
      </c>
      <c r="AD334" s="11">
        <v>8.3339999999999996</v>
      </c>
      <c r="AE334" s="11">
        <v>10</v>
      </c>
      <c r="AF334" s="11">
        <v>10</v>
      </c>
      <c r="AG334" s="11">
        <v>10</v>
      </c>
      <c r="AH334" s="11">
        <v>10</v>
      </c>
    </row>
    <row r="335" spans="1:34" s="33" customFormat="1" x14ac:dyDescent="0.2">
      <c r="A335" s="11">
        <v>458</v>
      </c>
      <c r="B335" s="11"/>
      <c r="C335" s="11"/>
      <c r="D335" s="11"/>
      <c r="E335" s="11"/>
      <c r="F335" s="11" t="s">
        <v>88</v>
      </c>
      <c r="G335" s="11" t="s">
        <v>89</v>
      </c>
      <c r="H335" s="56" t="str">
        <f>VLOOKUP(Table6[[#This Row],[ICD Code]],ICD_summary!$I$3:$M$38,5,0)</f>
        <v>Dyskinesia/Blepharospasm</v>
      </c>
      <c r="I335" s="12">
        <v>66.400000000000006</v>
      </c>
      <c r="J3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5" s="11" t="s">
        <v>52</v>
      </c>
      <c r="L335" s="11"/>
      <c r="M335" s="11"/>
      <c r="N335" s="11">
        <v>63.786000000000001</v>
      </c>
      <c r="O335" s="11">
        <v>62.491</v>
      </c>
      <c r="P335" s="11">
        <v>126.935</v>
      </c>
      <c r="Q335" s="11">
        <v>126.462</v>
      </c>
      <c r="R335" s="11">
        <v>120.849</v>
      </c>
      <c r="S335" s="11">
        <v>120.554</v>
      </c>
      <c r="T335" s="11">
        <v>114.848</v>
      </c>
      <c r="U335" s="11">
        <v>114.351</v>
      </c>
      <c r="V335" s="11">
        <v>62.369</v>
      </c>
      <c r="W335" s="11">
        <v>60.523000000000003</v>
      </c>
      <c r="X335" s="11">
        <v>37.631</v>
      </c>
      <c r="Y335" s="11">
        <v>39.476999999999997</v>
      </c>
      <c r="Z335" s="11">
        <v>11.869</v>
      </c>
      <c r="AA335" s="11">
        <v>11.295</v>
      </c>
      <c r="AB335" s="11">
        <v>39.476999999999997</v>
      </c>
      <c r="AC335" s="11">
        <v>37.631</v>
      </c>
      <c r="AD335" s="11">
        <v>14.468</v>
      </c>
      <c r="AE335" s="11">
        <v>9</v>
      </c>
      <c r="AF335" s="11">
        <v>8</v>
      </c>
      <c r="AG335" s="11">
        <v>8</v>
      </c>
      <c r="AH335" s="11">
        <v>8</v>
      </c>
    </row>
    <row r="336" spans="1:34" s="33" customFormat="1" x14ac:dyDescent="0.2">
      <c r="A336" s="11">
        <v>459</v>
      </c>
      <c r="B336" s="11"/>
      <c r="C336" s="11"/>
      <c r="D336" s="11"/>
      <c r="E336" s="11"/>
      <c r="F336" s="11" t="s">
        <v>72</v>
      </c>
      <c r="G336" s="11" t="s">
        <v>73</v>
      </c>
      <c r="H336" s="56" t="str">
        <f>VLOOKUP(Table6[[#This Row],[ICD Code]],ICD_summary!$I$3:$M$38,5,0)</f>
        <v>Tremor, other</v>
      </c>
      <c r="I336" s="12">
        <v>75.3</v>
      </c>
      <c r="J3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6" s="11" t="s">
        <v>52</v>
      </c>
      <c r="L336" s="11"/>
      <c r="M336" s="11"/>
      <c r="N336" s="11">
        <v>48.201999999999998</v>
      </c>
      <c r="O336" s="11">
        <v>45.387</v>
      </c>
      <c r="P336" s="11">
        <v>92.384</v>
      </c>
      <c r="Q336" s="11">
        <v>94.332999999999998</v>
      </c>
      <c r="R336" s="11">
        <v>91.802999999999997</v>
      </c>
      <c r="S336" s="11">
        <v>93.344999999999999</v>
      </c>
      <c r="T336" s="11">
        <v>119.64700000000001</v>
      </c>
      <c r="U336" s="11">
        <v>119.292</v>
      </c>
      <c r="V336" s="11">
        <v>65.078000000000003</v>
      </c>
      <c r="W336" s="11">
        <v>62.837000000000003</v>
      </c>
      <c r="X336" s="11">
        <v>34.921999999999997</v>
      </c>
      <c r="Y336" s="11">
        <v>37.162999999999997</v>
      </c>
      <c r="Z336" s="11">
        <v>14.611000000000001</v>
      </c>
      <c r="AA336" s="11">
        <v>13.864000000000001</v>
      </c>
      <c r="AB336" s="11">
        <v>37.162999999999997</v>
      </c>
      <c r="AC336" s="11">
        <v>34.921999999999997</v>
      </c>
      <c r="AD336" s="11">
        <v>12.096</v>
      </c>
      <c r="AE336" s="11">
        <v>12</v>
      </c>
      <c r="AF336" s="11">
        <v>13</v>
      </c>
      <c r="AG336" s="11">
        <v>12</v>
      </c>
      <c r="AH336" s="11">
        <v>12</v>
      </c>
    </row>
    <row r="337" spans="1:34" s="33" customFormat="1" x14ac:dyDescent="0.2">
      <c r="A337" s="11">
        <v>460</v>
      </c>
      <c r="B337" s="11"/>
      <c r="C337" s="11"/>
      <c r="D337" s="11"/>
      <c r="E337" s="11"/>
      <c r="F337" s="11" t="s">
        <v>68</v>
      </c>
      <c r="G337" s="11" t="s">
        <v>69</v>
      </c>
      <c r="H337" s="56" t="str">
        <f>VLOOKUP(Table6[[#This Row],[ICD Code]],ICD_summary!$I$3:$M$38,5,0)</f>
        <v>Tremor, essential tremor</v>
      </c>
      <c r="I337" s="12">
        <v>66.5</v>
      </c>
      <c r="J3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7" s="11" t="s">
        <v>55</v>
      </c>
      <c r="L337" s="11"/>
      <c r="M337" s="11"/>
      <c r="N337" s="11">
        <v>44.884</v>
      </c>
      <c r="O337" s="11">
        <v>45.814</v>
      </c>
      <c r="P337" s="11">
        <v>90.305000000000007</v>
      </c>
      <c r="Q337" s="11">
        <v>90.542000000000002</v>
      </c>
      <c r="R337" s="11">
        <v>69.488</v>
      </c>
      <c r="S337" s="11">
        <v>70.156000000000006</v>
      </c>
      <c r="T337" s="11">
        <v>92.78</v>
      </c>
      <c r="U337" s="11">
        <v>93.459000000000003</v>
      </c>
      <c r="V337" s="11">
        <v>65.119</v>
      </c>
      <c r="W337" s="11">
        <v>65.230999999999995</v>
      </c>
      <c r="X337" s="11">
        <v>34.881</v>
      </c>
      <c r="Y337" s="11">
        <v>34.768999999999998</v>
      </c>
      <c r="Z337" s="11">
        <v>16.135999999999999</v>
      </c>
      <c r="AA337" s="11">
        <v>14.686999999999999</v>
      </c>
      <c r="AB337" s="11">
        <v>34.768999999999998</v>
      </c>
      <c r="AC337" s="11">
        <v>34.881</v>
      </c>
      <c r="AD337" s="11">
        <v>16.588000000000001</v>
      </c>
      <c r="AE337" s="11">
        <v>13</v>
      </c>
      <c r="AF337" s="11">
        <v>12</v>
      </c>
      <c r="AG337" s="11">
        <v>12</v>
      </c>
      <c r="AH337" s="11">
        <v>12</v>
      </c>
    </row>
    <row r="338" spans="1:34" s="33" customFormat="1" x14ac:dyDescent="0.2">
      <c r="A338" s="11">
        <v>461</v>
      </c>
      <c r="B338" s="11"/>
      <c r="C338" s="11"/>
      <c r="D338" s="11"/>
      <c r="E338" s="11"/>
      <c r="F338" s="11" t="s">
        <v>62</v>
      </c>
      <c r="G338" s="11" t="s">
        <v>63</v>
      </c>
      <c r="H338" s="56" t="str">
        <f>VLOOKUP(Table6[[#This Row],[ICD Code]],ICD_summary!$I$3:$M$38,5,0)</f>
        <v>PD</v>
      </c>
      <c r="I338" s="12">
        <v>78.3</v>
      </c>
      <c r="J3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8" s="11" t="s">
        <v>52</v>
      </c>
      <c r="L338" s="11"/>
      <c r="M338" s="11"/>
      <c r="N338" s="11">
        <v>30.626000000000001</v>
      </c>
      <c r="O338" s="11">
        <v>23.89</v>
      </c>
      <c r="P338" s="11">
        <v>54.66</v>
      </c>
      <c r="Q338" s="11">
        <v>54.811</v>
      </c>
      <c r="R338" s="11">
        <v>76.653000000000006</v>
      </c>
      <c r="S338" s="11">
        <v>77.028999999999996</v>
      </c>
      <c r="T338" s="11">
        <v>167.56399999999999</v>
      </c>
      <c r="U338" s="11">
        <v>167.80799999999999</v>
      </c>
      <c r="V338" s="11">
        <v>64.088999999999999</v>
      </c>
      <c r="W338" s="11">
        <v>63.286999999999999</v>
      </c>
      <c r="X338" s="11">
        <v>35.911000000000001</v>
      </c>
      <c r="Y338" s="11">
        <v>36.713000000000001</v>
      </c>
      <c r="Z338" s="11">
        <v>15.287000000000001</v>
      </c>
      <c r="AA338" s="11">
        <v>12.035</v>
      </c>
      <c r="AB338" s="11">
        <v>36.713000000000001</v>
      </c>
      <c r="AC338" s="11">
        <v>35.911000000000001</v>
      </c>
      <c r="AD338" s="11">
        <v>10.885999999999999</v>
      </c>
      <c r="AE338" s="11">
        <v>23</v>
      </c>
      <c r="AF338" s="11">
        <v>22</v>
      </c>
      <c r="AG338" s="11">
        <v>22</v>
      </c>
      <c r="AH338" s="11">
        <v>22</v>
      </c>
    </row>
    <row r="339" spans="1:34" s="33" customFormat="1" x14ac:dyDescent="0.2">
      <c r="A339" s="11">
        <v>462</v>
      </c>
      <c r="B339" s="11"/>
      <c r="C339" s="11"/>
      <c r="D339" s="11"/>
      <c r="E339" s="11"/>
      <c r="F339" s="11" t="s">
        <v>51</v>
      </c>
      <c r="G339" s="11" t="s">
        <v>51</v>
      </c>
      <c r="H339" s="56" t="str">
        <f>VLOOKUP(Table6[[#This Row],[ICD Code]],ICD_summary!$I$3:$M$38,5,0)</f>
        <v>Misc/Other</v>
      </c>
      <c r="I339" s="12">
        <v>999</v>
      </c>
      <c r="J3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9" s="11" t="s">
        <v>51</v>
      </c>
      <c r="L339" s="11"/>
      <c r="M339" s="11"/>
      <c r="N339" s="11">
        <v>58.731999999999999</v>
      </c>
      <c r="O339" s="11">
        <v>57.944000000000003</v>
      </c>
      <c r="P339" s="11">
        <v>117.127</v>
      </c>
      <c r="Q339" s="11">
        <v>116.923</v>
      </c>
      <c r="R339" s="11">
        <v>116.562</v>
      </c>
      <c r="S339" s="11">
        <v>115.977</v>
      </c>
      <c r="T339" s="11">
        <v>118.92</v>
      </c>
      <c r="U339" s="11">
        <v>118.892</v>
      </c>
      <c r="V339" s="11">
        <v>61.219000000000001</v>
      </c>
      <c r="W339" s="11">
        <v>63.17</v>
      </c>
      <c r="X339" s="11">
        <v>38.780999999999999</v>
      </c>
      <c r="Y339" s="11">
        <v>36.83</v>
      </c>
      <c r="Z339" s="11">
        <v>12.696999999999999</v>
      </c>
      <c r="AA339" s="11">
        <v>12.816000000000001</v>
      </c>
      <c r="AB339" s="11">
        <v>36.83</v>
      </c>
      <c r="AC339" s="11">
        <v>38.780999999999999</v>
      </c>
      <c r="AD339" s="11">
        <v>10.029999999999999</v>
      </c>
      <c r="AE339" s="11">
        <v>10</v>
      </c>
      <c r="AF339" s="11">
        <v>11</v>
      </c>
      <c r="AG339" s="11">
        <v>10</v>
      </c>
      <c r="AH339" s="11">
        <v>10</v>
      </c>
    </row>
    <row r="340" spans="1:34" s="33" customFormat="1" x14ac:dyDescent="0.2">
      <c r="A340" s="11">
        <v>463</v>
      </c>
      <c r="B340" s="11"/>
      <c r="C340" s="11"/>
      <c r="D340" s="11"/>
      <c r="E340" s="11"/>
      <c r="F340" s="11" t="s">
        <v>62</v>
      </c>
      <c r="G340" s="11" t="s">
        <v>63</v>
      </c>
      <c r="H340" s="56" t="str">
        <f>VLOOKUP(Table6[[#This Row],[ICD Code]],ICD_summary!$I$3:$M$38,5,0)</f>
        <v>PD</v>
      </c>
      <c r="I340" s="12">
        <v>63.3</v>
      </c>
      <c r="J3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40" s="11" t="s">
        <v>52</v>
      </c>
      <c r="L340" s="11"/>
      <c r="M340" s="11"/>
      <c r="N340" s="11">
        <v>9.7880000000000003</v>
      </c>
      <c r="O340" s="11">
        <v>11.372</v>
      </c>
      <c r="P340" s="11">
        <v>21.190999999999999</v>
      </c>
      <c r="Q340" s="11">
        <v>21.129000000000001</v>
      </c>
      <c r="R340" s="11">
        <v>28.411999999999999</v>
      </c>
      <c r="S340" s="11">
        <v>28.332999999999998</v>
      </c>
      <c r="T340" s="11">
        <v>160.95699999999999</v>
      </c>
      <c r="U340" s="11">
        <v>161.56399999999999</v>
      </c>
      <c r="V340" s="11">
        <v>70.203000000000003</v>
      </c>
      <c r="W340" s="11">
        <v>69.995000000000005</v>
      </c>
      <c r="X340" s="11">
        <v>29.797000000000001</v>
      </c>
      <c r="Y340" s="11">
        <v>30.004999999999999</v>
      </c>
      <c r="Z340" s="11">
        <v>17.852</v>
      </c>
      <c r="AA340" s="11">
        <v>22.32</v>
      </c>
      <c r="AB340" s="11">
        <v>30.004999999999999</v>
      </c>
      <c r="AC340" s="11">
        <v>29.797000000000001</v>
      </c>
      <c r="AD340" s="11">
        <v>24.341999999999999</v>
      </c>
      <c r="AE340" s="11">
        <v>51</v>
      </c>
      <c r="AF340" s="11">
        <v>50</v>
      </c>
      <c r="AG340" s="11">
        <v>50</v>
      </c>
      <c r="AH340" s="11">
        <v>50</v>
      </c>
    </row>
    <row r="341" spans="1:34" s="33" customFormat="1" x14ac:dyDescent="0.2">
      <c r="A341" s="11">
        <v>464</v>
      </c>
      <c r="B341" s="11"/>
      <c r="C341" s="11"/>
      <c r="D341" s="11"/>
      <c r="E341" s="11"/>
      <c r="F341" s="11" t="s">
        <v>68</v>
      </c>
      <c r="G341" s="11" t="s">
        <v>69</v>
      </c>
      <c r="H341" s="56" t="str">
        <f>VLOOKUP(Table6[[#This Row],[ICD Code]],ICD_summary!$I$3:$M$38,5,0)</f>
        <v>Tremor, essential tremor</v>
      </c>
      <c r="I341" s="12">
        <v>71.900000000000006</v>
      </c>
      <c r="J3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1" s="11" t="s">
        <v>55</v>
      </c>
      <c r="L341" s="11"/>
      <c r="M341" s="11"/>
      <c r="N341" s="11">
        <v>53.802</v>
      </c>
      <c r="O341" s="11">
        <v>56.058999999999997</v>
      </c>
      <c r="P341" s="11">
        <v>110.681</v>
      </c>
      <c r="Q341" s="11">
        <v>109.34699999999999</v>
      </c>
      <c r="R341" s="11">
        <v>88.754999999999995</v>
      </c>
      <c r="S341" s="11">
        <v>87.968000000000004</v>
      </c>
      <c r="T341" s="11">
        <v>96.531000000000006</v>
      </c>
      <c r="U341" s="11">
        <v>96.561000000000007</v>
      </c>
      <c r="V341" s="11">
        <v>67.661000000000001</v>
      </c>
      <c r="W341" s="11">
        <v>66.131</v>
      </c>
      <c r="X341" s="11">
        <v>32.338999999999999</v>
      </c>
      <c r="Y341" s="11">
        <v>33.869999999999997</v>
      </c>
      <c r="Z341" s="11">
        <v>17.134</v>
      </c>
      <c r="AA341" s="11">
        <v>16.702999999999999</v>
      </c>
      <c r="AB341" s="11">
        <v>33.869999999999997</v>
      </c>
      <c r="AC341" s="11">
        <v>32.338999999999999</v>
      </c>
      <c r="AD341" s="11">
        <v>11.53</v>
      </c>
      <c r="AE341" s="11">
        <v>10</v>
      </c>
      <c r="AF341" s="11">
        <v>10</v>
      </c>
      <c r="AG341" s="11">
        <v>10</v>
      </c>
      <c r="AH341" s="11">
        <v>10</v>
      </c>
    </row>
    <row r="342" spans="1:34" s="33" customFormat="1" x14ac:dyDescent="0.2">
      <c r="A342" s="11">
        <v>465</v>
      </c>
      <c r="B342" s="11"/>
      <c r="C342" s="11"/>
      <c r="D342" s="11"/>
      <c r="E342" s="11"/>
      <c r="F342" s="11" t="s">
        <v>51</v>
      </c>
      <c r="G342" s="11" t="s">
        <v>51</v>
      </c>
      <c r="H342" s="56" t="str">
        <f>VLOOKUP(Table6[[#This Row],[ICD Code]],ICD_summary!$I$3:$M$38,5,0)</f>
        <v>Misc/Other</v>
      </c>
      <c r="I342" s="12">
        <v>999</v>
      </c>
      <c r="J3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2" s="11" t="s">
        <v>51</v>
      </c>
      <c r="L342" s="11"/>
      <c r="M342" s="11"/>
      <c r="N342" s="11">
        <v>61.500999999999998</v>
      </c>
      <c r="O342" s="11">
        <v>58.055999999999997</v>
      </c>
      <c r="P342" s="11">
        <v>119.416</v>
      </c>
      <c r="Q342" s="11">
        <v>120.271</v>
      </c>
      <c r="R342" s="11">
        <v>108.974</v>
      </c>
      <c r="S342" s="11">
        <v>109.69499999999999</v>
      </c>
      <c r="T342" s="11">
        <v>109.166</v>
      </c>
      <c r="U342" s="11">
        <v>109.155</v>
      </c>
      <c r="V342" s="11">
        <v>62.972000000000001</v>
      </c>
      <c r="W342" s="11">
        <v>62.054000000000002</v>
      </c>
      <c r="X342" s="11">
        <v>37.027999999999999</v>
      </c>
      <c r="Y342" s="11">
        <v>37.945999999999998</v>
      </c>
      <c r="Z342" s="11">
        <v>13.305999999999999</v>
      </c>
      <c r="AA342" s="11">
        <v>12.279</v>
      </c>
      <c r="AB342" s="11">
        <v>37.945999999999998</v>
      </c>
      <c r="AC342" s="11">
        <v>37.027999999999999</v>
      </c>
      <c r="AD342" s="11">
        <v>15.57</v>
      </c>
      <c r="AE342" s="11">
        <v>9</v>
      </c>
      <c r="AF342" s="11">
        <v>10</v>
      </c>
      <c r="AG342" s="11">
        <v>9</v>
      </c>
      <c r="AH342" s="11">
        <v>9</v>
      </c>
    </row>
    <row r="343" spans="1:34" s="33" customFormat="1" x14ac:dyDescent="0.2">
      <c r="A343" s="11">
        <v>466</v>
      </c>
      <c r="B343" s="11"/>
      <c r="C343" s="11"/>
      <c r="D343" s="11"/>
      <c r="E343" s="11"/>
      <c r="F343" s="11" t="s">
        <v>51</v>
      </c>
      <c r="G343" s="11" t="s">
        <v>51</v>
      </c>
      <c r="H343" s="56" t="str">
        <f>VLOOKUP(Table6[[#This Row],[ICD Code]],ICD_summary!$I$3:$M$38,5,0)</f>
        <v>Misc/Other</v>
      </c>
      <c r="I343" s="12">
        <v>999</v>
      </c>
      <c r="J3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3" s="11" t="s">
        <v>51</v>
      </c>
      <c r="L343" s="11"/>
      <c r="M343" s="11"/>
      <c r="N343" s="11">
        <v>52.005000000000003</v>
      </c>
      <c r="O343" s="11">
        <v>55.213999999999999</v>
      </c>
      <c r="P343" s="11">
        <v>106.55500000000001</v>
      </c>
      <c r="Q343" s="11">
        <v>106.82899999999999</v>
      </c>
      <c r="R343" s="11">
        <v>97.344999999999999</v>
      </c>
      <c r="S343" s="11">
        <v>97.322000000000003</v>
      </c>
      <c r="T343" s="11">
        <v>109.642</v>
      </c>
      <c r="U343" s="11">
        <v>108.846</v>
      </c>
      <c r="V343" s="11">
        <v>63.914999999999999</v>
      </c>
      <c r="W343" s="11">
        <v>63.328000000000003</v>
      </c>
      <c r="X343" s="11">
        <v>36.085000000000001</v>
      </c>
      <c r="Y343" s="11">
        <v>36.671999999999997</v>
      </c>
      <c r="Z343" s="11">
        <v>13.76</v>
      </c>
      <c r="AA343" s="11">
        <v>13.115</v>
      </c>
      <c r="AB343" s="11">
        <v>36.671999999999997</v>
      </c>
      <c r="AC343" s="11">
        <v>36.085000000000001</v>
      </c>
      <c r="AD343" s="11">
        <v>11.9</v>
      </c>
      <c r="AE343" s="11">
        <v>11</v>
      </c>
      <c r="AF343" s="11">
        <v>11</v>
      </c>
      <c r="AG343" s="11">
        <v>11</v>
      </c>
      <c r="AH343" s="11">
        <v>11</v>
      </c>
    </row>
    <row r="344" spans="1:34" s="33" customFormat="1" x14ac:dyDescent="0.2">
      <c r="A344" s="11">
        <v>467</v>
      </c>
      <c r="B344" s="11"/>
      <c r="C344" s="11"/>
      <c r="D344" s="11"/>
      <c r="E344" s="11"/>
      <c r="F344" s="11" t="s">
        <v>51</v>
      </c>
      <c r="G344" s="11" t="s">
        <v>51</v>
      </c>
      <c r="H344" s="56" t="str">
        <f>VLOOKUP(Table6[[#This Row],[ICD Code]],ICD_summary!$I$3:$M$38,5,0)</f>
        <v>Misc/Other</v>
      </c>
      <c r="I344" s="12">
        <v>999</v>
      </c>
      <c r="J3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4" s="11" t="s">
        <v>51</v>
      </c>
      <c r="L344" s="11"/>
      <c r="M344" s="11"/>
      <c r="N344" s="11">
        <v>27.516999999999999</v>
      </c>
      <c r="O344" s="11">
        <v>24.206</v>
      </c>
      <c r="P344" s="11">
        <v>51.936</v>
      </c>
      <c r="Q344" s="11">
        <v>51.834000000000003</v>
      </c>
      <c r="R344" s="11">
        <v>44.308</v>
      </c>
      <c r="S344" s="11">
        <v>44.585000000000001</v>
      </c>
      <c r="T344" s="11">
        <v>103.396</v>
      </c>
      <c r="U344" s="11">
        <v>103.709</v>
      </c>
      <c r="V344" s="11">
        <v>68.876999999999995</v>
      </c>
      <c r="W344" s="11">
        <v>68.013999999999996</v>
      </c>
      <c r="X344" s="11">
        <v>31.123000000000001</v>
      </c>
      <c r="Y344" s="11">
        <v>31.986000000000001</v>
      </c>
      <c r="Z344" s="11">
        <v>17.638999999999999</v>
      </c>
      <c r="AA344" s="11">
        <v>19.053000000000001</v>
      </c>
      <c r="AB344" s="11">
        <v>31.986000000000001</v>
      </c>
      <c r="AC344" s="11">
        <v>31.123000000000001</v>
      </c>
      <c r="AD344" s="11">
        <v>11.45</v>
      </c>
      <c r="AE344" s="11">
        <v>20</v>
      </c>
      <c r="AF344" s="11">
        <v>17</v>
      </c>
      <c r="AG344" s="11">
        <v>17</v>
      </c>
      <c r="AH344" s="11">
        <v>17</v>
      </c>
    </row>
    <row r="345" spans="1:34" s="33" customFormat="1" x14ac:dyDescent="0.2">
      <c r="A345" s="11">
        <v>468</v>
      </c>
      <c r="B345" s="11"/>
      <c r="C345" s="11"/>
      <c r="D345" s="11"/>
      <c r="E345" s="11"/>
      <c r="F345" s="11" t="s">
        <v>51</v>
      </c>
      <c r="G345" s="11" t="s">
        <v>51</v>
      </c>
      <c r="H345" s="56" t="str">
        <f>VLOOKUP(Table6[[#This Row],[ICD Code]],ICD_summary!$I$3:$M$38,5,0)</f>
        <v>Misc/Other</v>
      </c>
      <c r="I345" s="12">
        <v>999</v>
      </c>
      <c r="J3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5" s="11" t="s">
        <v>51</v>
      </c>
      <c r="L345" s="11"/>
      <c r="M345" s="11"/>
      <c r="N345" s="11">
        <v>30.885999999999999</v>
      </c>
      <c r="O345" s="11">
        <v>33.369</v>
      </c>
      <c r="P345" s="11">
        <v>64.108999999999995</v>
      </c>
      <c r="Q345" s="11">
        <v>64.703000000000003</v>
      </c>
      <c r="R345" s="11">
        <v>71.28</v>
      </c>
      <c r="S345" s="11">
        <v>71.239000000000004</v>
      </c>
      <c r="T345" s="11">
        <v>134.77600000000001</v>
      </c>
      <c r="U345" s="11">
        <v>133.55699999999999</v>
      </c>
      <c r="V345" s="11">
        <v>67.001000000000005</v>
      </c>
      <c r="W345" s="11">
        <v>67.611999999999995</v>
      </c>
      <c r="X345" s="11">
        <v>32.999000000000002</v>
      </c>
      <c r="Y345" s="11">
        <v>32.387999999999998</v>
      </c>
      <c r="Z345" s="11">
        <v>15.923999999999999</v>
      </c>
      <c r="AA345" s="11">
        <v>18.951000000000001</v>
      </c>
      <c r="AB345" s="11">
        <v>32.387999999999998</v>
      </c>
      <c r="AC345" s="11">
        <v>32.999000000000002</v>
      </c>
      <c r="AD345" s="11">
        <v>13.337999999999999</v>
      </c>
      <c r="AE345" s="11">
        <v>18</v>
      </c>
      <c r="AF345" s="11">
        <v>17</v>
      </c>
      <c r="AG345" s="11">
        <v>17</v>
      </c>
      <c r="AH345" s="11">
        <v>17</v>
      </c>
    </row>
    <row r="346" spans="1:34" s="33" customFormat="1" x14ac:dyDescent="0.2">
      <c r="A346" s="11">
        <v>469</v>
      </c>
      <c r="B346" s="11"/>
      <c r="C346" s="11"/>
      <c r="D346" s="11"/>
      <c r="E346" s="11"/>
      <c r="F346" s="11" t="s">
        <v>72</v>
      </c>
      <c r="G346" s="11" t="s">
        <v>73</v>
      </c>
      <c r="H346" s="56" t="str">
        <f>VLOOKUP(Table6[[#This Row],[ICD Code]],ICD_summary!$I$3:$M$38,5,0)</f>
        <v>Tremor, other</v>
      </c>
      <c r="I346" s="12">
        <v>67</v>
      </c>
      <c r="J3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46" s="11" t="s">
        <v>55</v>
      </c>
      <c r="L346" s="11"/>
      <c r="M346" s="11"/>
      <c r="N346" s="11">
        <v>55.621000000000002</v>
      </c>
      <c r="O346" s="11">
        <v>56.192999999999998</v>
      </c>
      <c r="P346" s="11">
        <v>111.25700000000001</v>
      </c>
      <c r="Q346" s="11">
        <v>112.59</v>
      </c>
      <c r="R346" s="11">
        <v>111.038</v>
      </c>
      <c r="S346" s="11">
        <v>111.411</v>
      </c>
      <c r="T346" s="11">
        <v>119.18899999999999</v>
      </c>
      <c r="U346" s="11">
        <v>118.95699999999999</v>
      </c>
      <c r="V346" s="11">
        <v>62.521999999999998</v>
      </c>
      <c r="W346" s="11">
        <v>62.094999999999999</v>
      </c>
      <c r="X346" s="11">
        <v>37.478000000000002</v>
      </c>
      <c r="Y346" s="11">
        <v>37.905000000000001</v>
      </c>
      <c r="Z346" s="11">
        <v>12.48</v>
      </c>
      <c r="AA346" s="11">
        <v>12.792999999999999</v>
      </c>
      <c r="AB346" s="11">
        <v>37.905000000000001</v>
      </c>
      <c r="AC346" s="11">
        <v>37.478000000000002</v>
      </c>
      <c r="AD346" s="11">
        <v>9.89</v>
      </c>
      <c r="AE346" s="11">
        <v>10</v>
      </c>
      <c r="AF346" s="11">
        <v>10</v>
      </c>
      <c r="AG346" s="11">
        <v>10</v>
      </c>
      <c r="AH346" s="11">
        <v>10</v>
      </c>
    </row>
    <row r="347" spans="1:34" s="33" customFormat="1" x14ac:dyDescent="0.2">
      <c r="A347" s="11">
        <v>470</v>
      </c>
      <c r="B347" s="11"/>
      <c r="C347" s="11"/>
      <c r="D347" s="11"/>
      <c r="E347" s="11"/>
      <c r="F347" s="11" t="s">
        <v>72</v>
      </c>
      <c r="G347" s="11" t="s">
        <v>73</v>
      </c>
      <c r="H347" s="56" t="str">
        <f>VLOOKUP(Table6[[#This Row],[ICD Code]],ICD_summary!$I$3:$M$38,5,0)</f>
        <v>Tremor, other</v>
      </c>
      <c r="I347" s="12">
        <v>78.8</v>
      </c>
      <c r="J3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7" s="11" t="s">
        <v>52</v>
      </c>
      <c r="L347" s="11"/>
      <c r="M347" s="11"/>
      <c r="N347" s="11">
        <v>53.7</v>
      </c>
      <c r="O347" s="11">
        <v>54.398000000000003</v>
      </c>
      <c r="P347" s="11">
        <v>108.39400000000001</v>
      </c>
      <c r="Q347" s="11">
        <v>108.29900000000001</v>
      </c>
      <c r="R347" s="11">
        <v>100.401</v>
      </c>
      <c r="S347" s="11">
        <v>100.794</v>
      </c>
      <c r="T347" s="11">
        <v>110.901</v>
      </c>
      <c r="U347" s="11">
        <v>110.976</v>
      </c>
      <c r="V347" s="11">
        <v>63.631</v>
      </c>
      <c r="W347" s="11">
        <v>64.066000000000003</v>
      </c>
      <c r="X347" s="11">
        <v>36.369</v>
      </c>
      <c r="Y347" s="11">
        <v>35.933999999999997</v>
      </c>
      <c r="Z347" s="11">
        <v>14.25</v>
      </c>
      <c r="AA347" s="11">
        <v>13.471</v>
      </c>
      <c r="AB347" s="11">
        <v>35.933999999999997</v>
      </c>
      <c r="AC347" s="11">
        <v>36.369</v>
      </c>
      <c r="AD347" s="11">
        <v>17.57</v>
      </c>
      <c r="AE347" s="11">
        <v>11</v>
      </c>
      <c r="AF347" s="11">
        <v>10</v>
      </c>
      <c r="AG347" s="11">
        <v>10</v>
      </c>
      <c r="AH347" s="11">
        <v>10</v>
      </c>
    </row>
    <row r="348" spans="1:34" s="33" customFormat="1" x14ac:dyDescent="0.2">
      <c r="A348" s="11">
        <v>471</v>
      </c>
      <c r="B348" s="11"/>
      <c r="C348" s="11"/>
      <c r="D348" s="11"/>
      <c r="E348" s="11"/>
      <c r="F348" s="11" t="s">
        <v>72</v>
      </c>
      <c r="G348" s="11" t="s">
        <v>73</v>
      </c>
      <c r="H348" s="56" t="str">
        <f>VLOOKUP(Table6[[#This Row],[ICD Code]],ICD_summary!$I$3:$M$38,5,0)</f>
        <v>Tremor, other</v>
      </c>
      <c r="I348" s="12">
        <v>54.1</v>
      </c>
      <c r="J3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48" s="11" t="s">
        <v>55</v>
      </c>
      <c r="L348" s="11"/>
      <c r="M348" s="11"/>
      <c r="N348" s="11">
        <v>57.350999999999999</v>
      </c>
      <c r="O348" s="11">
        <v>60.38</v>
      </c>
      <c r="P348" s="11">
        <v>117.35</v>
      </c>
      <c r="Q348" s="11">
        <v>118.033</v>
      </c>
      <c r="R348" s="11">
        <v>105.742</v>
      </c>
      <c r="S348" s="11">
        <v>105.327</v>
      </c>
      <c r="T348" s="11">
        <v>108.256</v>
      </c>
      <c r="U348" s="11">
        <v>107.491</v>
      </c>
      <c r="V348" s="11">
        <v>65.564999999999998</v>
      </c>
      <c r="W348" s="11">
        <v>64.010999999999996</v>
      </c>
      <c r="X348" s="11">
        <v>34.435000000000002</v>
      </c>
      <c r="Y348" s="11">
        <v>35.988999999999997</v>
      </c>
      <c r="Z348" s="11">
        <v>14.452</v>
      </c>
      <c r="AA348" s="11">
        <v>15.427</v>
      </c>
      <c r="AB348" s="11">
        <v>35.988999999999997</v>
      </c>
      <c r="AC348" s="11">
        <v>34.435000000000002</v>
      </c>
      <c r="AD348" s="11">
        <v>8.86</v>
      </c>
      <c r="AE348" s="11">
        <v>8</v>
      </c>
      <c r="AF348" s="11">
        <v>9</v>
      </c>
      <c r="AG348" s="11">
        <v>8</v>
      </c>
      <c r="AH348" s="11">
        <v>8</v>
      </c>
    </row>
    <row r="349" spans="1:34" s="33" customFormat="1" x14ac:dyDescent="0.2">
      <c r="A349" s="11">
        <v>472</v>
      </c>
      <c r="B349" s="11"/>
      <c r="C349" s="11"/>
      <c r="D349" s="11"/>
      <c r="E349" s="11"/>
      <c r="F349" s="11" t="s">
        <v>72</v>
      </c>
      <c r="G349" s="11" t="s">
        <v>73</v>
      </c>
      <c r="H349" s="56" t="str">
        <f>VLOOKUP(Table6[[#This Row],[ICD Code]],ICD_summary!$I$3:$M$38,5,0)</f>
        <v>Tremor, other</v>
      </c>
      <c r="I349" s="12">
        <v>73.5</v>
      </c>
      <c r="J3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9" s="11" t="s">
        <v>52</v>
      </c>
      <c r="L349" s="11"/>
      <c r="M349" s="11"/>
      <c r="N349" s="11">
        <v>44.771000000000001</v>
      </c>
      <c r="O349" s="11">
        <v>50.167999999999999</v>
      </c>
      <c r="P349" s="11">
        <v>95.075000000000003</v>
      </c>
      <c r="Q349" s="11">
        <v>95.081000000000003</v>
      </c>
      <c r="R349" s="11">
        <v>91.468999999999994</v>
      </c>
      <c r="S349" s="11">
        <v>90.542000000000002</v>
      </c>
      <c r="T349" s="11">
        <v>114.72799999999999</v>
      </c>
      <c r="U349" s="11">
        <v>114.852</v>
      </c>
      <c r="V349" s="11">
        <v>65.516000000000005</v>
      </c>
      <c r="W349" s="11">
        <v>66.510999999999996</v>
      </c>
      <c r="X349" s="11">
        <v>34.484000000000002</v>
      </c>
      <c r="Y349" s="11">
        <v>33.488999999999997</v>
      </c>
      <c r="Z349" s="11">
        <v>15.760999999999999</v>
      </c>
      <c r="AA349" s="11">
        <v>15.739000000000001</v>
      </c>
      <c r="AB349" s="11">
        <v>33.488999999999997</v>
      </c>
      <c r="AC349" s="11">
        <v>34.484000000000002</v>
      </c>
      <c r="AD349" s="11">
        <v>14.978</v>
      </c>
      <c r="AE349" s="11">
        <v>10</v>
      </c>
      <c r="AF349" s="11">
        <v>10</v>
      </c>
      <c r="AG349" s="11">
        <v>10</v>
      </c>
      <c r="AH349" s="11">
        <v>10</v>
      </c>
    </row>
    <row r="350" spans="1:34" s="33" customFormat="1" x14ac:dyDescent="0.2">
      <c r="A350" s="11">
        <v>473</v>
      </c>
      <c r="B350" s="11"/>
      <c r="C350" s="11"/>
      <c r="D350" s="11"/>
      <c r="E350" s="11"/>
      <c r="F350" s="11" t="s">
        <v>90</v>
      </c>
      <c r="G350" s="11" t="s">
        <v>91</v>
      </c>
      <c r="H350" s="56" t="str">
        <f>VLOOKUP(Table6[[#This Row],[ICD Code]],ICD_summary!$I$3:$M$38,5,0)</f>
        <v>Misc/Other</v>
      </c>
      <c r="I350" s="12">
        <v>38.200000000000003</v>
      </c>
      <c r="J3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350" s="11" t="s">
        <v>55</v>
      </c>
      <c r="L350" s="11"/>
      <c r="M350" s="11"/>
      <c r="N350" s="11">
        <v>53.731000000000002</v>
      </c>
      <c r="O350" s="11">
        <v>57.243000000000002</v>
      </c>
      <c r="P350" s="11">
        <v>110.392</v>
      </c>
      <c r="Q350" s="11">
        <v>111.014</v>
      </c>
      <c r="R350" s="11">
        <v>111.76600000000001</v>
      </c>
      <c r="S350" s="11">
        <v>111.15600000000001</v>
      </c>
      <c r="T350" s="11">
        <v>121.611</v>
      </c>
      <c r="U350" s="11">
        <v>119.92</v>
      </c>
      <c r="V350" s="11">
        <v>60.737000000000002</v>
      </c>
      <c r="W350" s="11">
        <v>62.863</v>
      </c>
      <c r="X350" s="11">
        <v>39.262999999999998</v>
      </c>
      <c r="Y350" s="11">
        <v>37.137</v>
      </c>
      <c r="Z350" s="11">
        <v>11.194000000000001</v>
      </c>
      <c r="AA350" s="11">
        <v>12.768000000000001</v>
      </c>
      <c r="AB350" s="11">
        <v>37.137</v>
      </c>
      <c r="AC350" s="11">
        <v>39.262999999999998</v>
      </c>
      <c r="AD350" s="11">
        <v>14.958</v>
      </c>
      <c r="AE350" s="11">
        <v>10</v>
      </c>
      <c r="AF350" s="11">
        <v>11</v>
      </c>
      <c r="AG350" s="11">
        <v>10</v>
      </c>
      <c r="AH350" s="11">
        <v>10</v>
      </c>
    </row>
    <row r="351" spans="1:34" s="33" customFormat="1" x14ac:dyDescent="0.2">
      <c r="A351" s="11">
        <v>474</v>
      </c>
      <c r="B351" s="11"/>
      <c r="C351" s="11"/>
      <c r="D351" s="11"/>
      <c r="E351" s="11"/>
      <c r="F351" s="11" t="s">
        <v>68</v>
      </c>
      <c r="G351" s="11" t="s">
        <v>69</v>
      </c>
      <c r="H351" s="56" t="str">
        <f>VLOOKUP(Table6[[#This Row],[ICD Code]],ICD_summary!$I$3:$M$38,5,0)</f>
        <v>Tremor, essential tremor</v>
      </c>
      <c r="I351" s="12">
        <v>71.2</v>
      </c>
      <c r="J3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1" s="11" t="s">
        <v>52</v>
      </c>
      <c r="L351" s="11"/>
      <c r="M351" s="11"/>
      <c r="N351" s="11">
        <v>48.72</v>
      </c>
      <c r="O351" s="11">
        <v>49.85</v>
      </c>
      <c r="P351" s="11">
        <v>99.338999999999999</v>
      </c>
      <c r="Q351" s="11">
        <v>98.102000000000004</v>
      </c>
      <c r="R351" s="11">
        <v>96.543999999999997</v>
      </c>
      <c r="S351" s="11">
        <v>95.817999999999998</v>
      </c>
      <c r="T351" s="11">
        <v>116.932</v>
      </c>
      <c r="U351" s="11">
        <v>116.252</v>
      </c>
      <c r="V351" s="11">
        <v>63.15</v>
      </c>
      <c r="W351" s="11">
        <v>64.088999999999999</v>
      </c>
      <c r="X351" s="11">
        <v>36.85</v>
      </c>
      <c r="Y351" s="11">
        <v>35.911000000000001</v>
      </c>
      <c r="Z351" s="11">
        <v>13.631</v>
      </c>
      <c r="AA351" s="11">
        <v>13.233000000000001</v>
      </c>
      <c r="AB351" s="11">
        <v>35.911000000000001</v>
      </c>
      <c r="AC351" s="11">
        <v>36.85</v>
      </c>
      <c r="AD351" s="11">
        <v>17.408000000000001</v>
      </c>
      <c r="AE351" s="11">
        <v>10</v>
      </c>
      <c r="AF351" s="11">
        <v>10</v>
      </c>
      <c r="AG351" s="11">
        <v>10</v>
      </c>
      <c r="AH351" s="11">
        <v>10</v>
      </c>
    </row>
    <row r="352" spans="1:34" s="33" customFormat="1" x14ac:dyDescent="0.2">
      <c r="A352" s="11">
        <v>475</v>
      </c>
      <c r="B352" s="11"/>
      <c r="C352" s="11"/>
      <c r="D352" s="11"/>
      <c r="E352" s="11"/>
      <c r="F352" s="11" t="s">
        <v>72</v>
      </c>
      <c r="G352" s="11" t="s">
        <v>73</v>
      </c>
      <c r="H352" s="56" t="str">
        <f>VLOOKUP(Table6[[#This Row],[ICD Code]],ICD_summary!$I$3:$M$38,5,0)</f>
        <v>Tremor, other</v>
      </c>
      <c r="I352" s="12">
        <v>58</v>
      </c>
      <c r="J3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52" s="11" t="s">
        <v>55</v>
      </c>
      <c r="L352" s="11"/>
      <c r="M352" s="11"/>
      <c r="N352" s="11">
        <v>53.741</v>
      </c>
      <c r="O352" s="11">
        <v>53.334000000000003</v>
      </c>
      <c r="P352" s="11">
        <v>106.473</v>
      </c>
      <c r="Q352" s="11">
        <v>108.05500000000001</v>
      </c>
      <c r="R352" s="11">
        <v>114.86</v>
      </c>
      <c r="S352" s="11">
        <v>116.626</v>
      </c>
      <c r="T352" s="11">
        <v>128.13999999999999</v>
      </c>
      <c r="U352" s="11">
        <v>127.961</v>
      </c>
      <c r="V352" s="11">
        <v>64.067999999999998</v>
      </c>
      <c r="W352" s="11">
        <v>61.984999999999999</v>
      </c>
      <c r="X352" s="11">
        <v>35.932000000000002</v>
      </c>
      <c r="Y352" s="11">
        <v>38.015000000000001</v>
      </c>
      <c r="Z352" s="11">
        <v>13.733000000000001</v>
      </c>
      <c r="AA352" s="11">
        <v>12.159000000000001</v>
      </c>
      <c r="AB352" s="11">
        <v>38.015000000000001</v>
      </c>
      <c r="AC352" s="11">
        <v>35.932000000000002</v>
      </c>
      <c r="AD352" s="11">
        <v>17.102</v>
      </c>
      <c r="AE352" s="11">
        <v>9</v>
      </c>
      <c r="AF352" s="11">
        <v>10</v>
      </c>
      <c r="AG352" s="11">
        <v>9</v>
      </c>
      <c r="AH352" s="11">
        <v>9</v>
      </c>
    </row>
    <row r="353" spans="1:34" s="33" customFormat="1" x14ac:dyDescent="0.2">
      <c r="A353" s="11">
        <v>476</v>
      </c>
      <c r="B353" s="11"/>
      <c r="C353" s="11"/>
      <c r="D353" s="11"/>
      <c r="E353" s="11"/>
      <c r="F353" s="11" t="s">
        <v>72</v>
      </c>
      <c r="G353" s="11" t="s">
        <v>73</v>
      </c>
      <c r="H353" s="56" t="str">
        <f>VLOOKUP(Table6[[#This Row],[ICD Code]],ICD_summary!$I$3:$M$38,5,0)</f>
        <v>Tremor, other</v>
      </c>
      <c r="I353" s="12">
        <v>75.599999999999994</v>
      </c>
      <c r="J3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3" s="11" t="s">
        <v>52</v>
      </c>
      <c r="L353" s="11"/>
      <c r="M353" s="11"/>
      <c r="N353" s="11">
        <v>64.700999999999993</v>
      </c>
      <c r="O353" s="11">
        <v>63.414000000000001</v>
      </c>
      <c r="P353" s="11">
        <v>129.67099999999999</v>
      </c>
      <c r="Q353" s="11">
        <v>126.39400000000001</v>
      </c>
      <c r="R353" s="11">
        <v>123.80800000000001</v>
      </c>
      <c r="S353" s="11">
        <v>122.035</v>
      </c>
      <c r="T353" s="11">
        <v>114.426</v>
      </c>
      <c r="U353" s="11">
        <v>115.97799999999999</v>
      </c>
      <c r="V353" s="11">
        <v>60.451000000000001</v>
      </c>
      <c r="W353" s="11">
        <v>59.57</v>
      </c>
      <c r="X353" s="11">
        <v>39.548999999999999</v>
      </c>
      <c r="Y353" s="11">
        <v>40.43</v>
      </c>
      <c r="Z353" s="11">
        <v>10.166</v>
      </c>
      <c r="AA353" s="11">
        <v>10.183</v>
      </c>
      <c r="AB353" s="11">
        <v>40.43</v>
      </c>
      <c r="AC353" s="11">
        <v>39.548999999999999</v>
      </c>
      <c r="AD353" s="11">
        <v>9.8439999999999994</v>
      </c>
      <c r="AE353" s="11">
        <v>10</v>
      </c>
      <c r="AF353" s="11">
        <v>9</v>
      </c>
      <c r="AG353" s="11">
        <v>9</v>
      </c>
      <c r="AH353" s="11">
        <v>9</v>
      </c>
    </row>
    <row r="354" spans="1:34" s="33" customFormat="1" x14ac:dyDescent="0.2">
      <c r="A354" s="11">
        <v>477</v>
      </c>
      <c r="B354" s="11"/>
      <c r="C354" s="11"/>
      <c r="D354" s="11"/>
      <c r="E354" s="11"/>
      <c r="F354" s="11" t="s">
        <v>68</v>
      </c>
      <c r="G354" s="11" t="s">
        <v>69</v>
      </c>
      <c r="H354" s="56" t="str">
        <f>VLOOKUP(Table6[[#This Row],[ICD Code]],ICD_summary!$I$3:$M$38,5,0)</f>
        <v>Tremor, essential tremor</v>
      </c>
      <c r="I354" s="12">
        <v>78.400000000000006</v>
      </c>
      <c r="J3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4" s="11" t="s">
        <v>52</v>
      </c>
      <c r="L354" s="11"/>
      <c r="M354" s="11"/>
      <c r="N354" s="11">
        <v>37.386000000000003</v>
      </c>
      <c r="O354" s="11">
        <v>34.564</v>
      </c>
      <c r="P354" s="11">
        <v>72.096000000000004</v>
      </c>
      <c r="Q354" s="11">
        <v>71.012</v>
      </c>
      <c r="R354" s="11">
        <v>63.13</v>
      </c>
      <c r="S354" s="11">
        <v>63.25</v>
      </c>
      <c r="T354" s="11">
        <v>106.526</v>
      </c>
      <c r="U354" s="11">
        <v>106.27200000000001</v>
      </c>
      <c r="V354" s="11">
        <v>65.614999999999995</v>
      </c>
      <c r="W354" s="11">
        <v>68.393000000000001</v>
      </c>
      <c r="X354" s="11">
        <v>34.384999999999998</v>
      </c>
      <c r="Y354" s="11">
        <v>31.606999999999999</v>
      </c>
      <c r="Z354" s="11">
        <v>16.968</v>
      </c>
      <c r="AA354" s="11">
        <v>16.940999999999999</v>
      </c>
      <c r="AB354" s="11">
        <v>31.606999999999999</v>
      </c>
      <c r="AC354" s="11">
        <v>34.384999999999998</v>
      </c>
      <c r="AD354" s="11">
        <v>9.94</v>
      </c>
      <c r="AE354" s="11">
        <v>14</v>
      </c>
      <c r="AF354" s="11">
        <v>13</v>
      </c>
      <c r="AG354" s="11">
        <v>13</v>
      </c>
      <c r="AH354" s="11">
        <v>13</v>
      </c>
    </row>
    <row r="355" spans="1:34" s="33" customFormat="1" x14ac:dyDescent="0.2">
      <c r="A355" s="11">
        <v>478</v>
      </c>
      <c r="B355" s="11"/>
      <c r="C355" s="11"/>
      <c r="D355" s="11"/>
      <c r="E355" s="11"/>
      <c r="F355" s="11" t="s">
        <v>62</v>
      </c>
      <c r="G355" s="11" t="s">
        <v>63</v>
      </c>
      <c r="H355" s="56" t="str">
        <f>VLOOKUP(Table6[[#This Row],[ICD Code]],ICD_summary!$I$3:$M$38,5,0)</f>
        <v>PD</v>
      </c>
      <c r="I355" s="12">
        <v>66.400000000000006</v>
      </c>
      <c r="J3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5" s="11" t="s">
        <v>52</v>
      </c>
      <c r="L355" s="11"/>
      <c r="M355" s="11"/>
      <c r="N355" s="11">
        <v>31.827000000000002</v>
      </c>
      <c r="O355" s="11">
        <v>35.868000000000002</v>
      </c>
      <c r="P355" s="11">
        <v>68.183000000000007</v>
      </c>
      <c r="Q355" s="11">
        <v>67.756</v>
      </c>
      <c r="R355" s="11">
        <v>60.902999999999999</v>
      </c>
      <c r="S355" s="11">
        <v>60.185000000000002</v>
      </c>
      <c r="T355" s="11">
        <v>106.221</v>
      </c>
      <c r="U355" s="11">
        <v>105.694</v>
      </c>
      <c r="V355" s="11">
        <v>67.686000000000007</v>
      </c>
      <c r="W355" s="11">
        <v>67.057000000000002</v>
      </c>
      <c r="X355" s="11">
        <v>32.314</v>
      </c>
      <c r="Y355" s="11">
        <v>32.942999999999998</v>
      </c>
      <c r="Z355" s="11">
        <v>18.239999999999998</v>
      </c>
      <c r="AA355" s="11">
        <v>16.364000000000001</v>
      </c>
      <c r="AB355" s="11">
        <v>32.942999999999998</v>
      </c>
      <c r="AC355" s="11">
        <v>32.314</v>
      </c>
      <c r="AD355" s="11">
        <v>12.818</v>
      </c>
      <c r="AE355" s="11">
        <v>15</v>
      </c>
      <c r="AF355" s="11">
        <v>15</v>
      </c>
      <c r="AG355" s="11">
        <v>15</v>
      </c>
      <c r="AH355" s="11">
        <v>15</v>
      </c>
    </row>
    <row r="356" spans="1:34" s="33" customFormat="1" x14ac:dyDescent="0.2">
      <c r="A356" s="11">
        <v>479</v>
      </c>
      <c r="B356" s="11"/>
      <c r="C356" s="11"/>
      <c r="D356" s="11"/>
      <c r="E356" s="11"/>
      <c r="F356" s="11" t="s">
        <v>51</v>
      </c>
      <c r="G356" s="11" t="s">
        <v>51</v>
      </c>
      <c r="H356" s="56" t="str">
        <f>VLOOKUP(Table6[[#This Row],[ICD Code]],ICD_summary!$I$3:$M$38,5,0)</f>
        <v>Misc/Other</v>
      </c>
      <c r="I356" s="12">
        <v>999</v>
      </c>
      <c r="J3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56" s="11" t="s">
        <v>51</v>
      </c>
      <c r="L356" s="11"/>
      <c r="M356" s="11"/>
      <c r="N356" s="11">
        <v>28.876999999999999</v>
      </c>
      <c r="O356" s="11">
        <v>29.318999999999999</v>
      </c>
      <c r="P356" s="11">
        <v>58.432000000000002</v>
      </c>
      <c r="Q356" s="11">
        <v>58.554000000000002</v>
      </c>
      <c r="R356" s="11">
        <v>51.883000000000003</v>
      </c>
      <c r="S356" s="11">
        <v>51.814</v>
      </c>
      <c r="T356" s="11">
        <v>104.866</v>
      </c>
      <c r="U356" s="11">
        <v>106.172</v>
      </c>
      <c r="V356" s="11">
        <v>65.242999999999995</v>
      </c>
      <c r="W356" s="11">
        <v>65.716999999999999</v>
      </c>
      <c r="X356" s="11">
        <v>34.756999999999998</v>
      </c>
      <c r="Y356" s="11">
        <v>34.283000000000001</v>
      </c>
      <c r="Z356" s="11">
        <v>13.651999999999999</v>
      </c>
      <c r="AA356" s="11">
        <v>17.303000000000001</v>
      </c>
      <c r="AB356" s="11">
        <v>34.283000000000001</v>
      </c>
      <c r="AC356" s="11">
        <v>34.756999999999998</v>
      </c>
      <c r="AD356" s="11">
        <v>10.15</v>
      </c>
      <c r="AE356" s="11">
        <v>17</v>
      </c>
      <c r="AF356" s="11">
        <v>16</v>
      </c>
      <c r="AG356" s="11">
        <v>16</v>
      </c>
      <c r="AH356" s="11">
        <v>16</v>
      </c>
    </row>
    <row r="357" spans="1:34" s="33" customFormat="1" x14ac:dyDescent="0.2">
      <c r="A357" s="11">
        <v>480</v>
      </c>
      <c r="B357" s="11"/>
      <c r="C357" s="11"/>
      <c r="D357" s="11"/>
      <c r="E357" s="11"/>
      <c r="F357" s="11" t="s">
        <v>92</v>
      </c>
      <c r="G357" s="11" t="s">
        <v>93</v>
      </c>
      <c r="H357" s="56" t="str">
        <f>VLOOKUP(Table6[[#This Row],[ICD Code]],ICD_summary!$I$3:$M$38,5,0)</f>
        <v>Misc/Other</v>
      </c>
      <c r="I357" s="12">
        <v>71.400000000000006</v>
      </c>
      <c r="J3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7" s="11" t="s">
        <v>52</v>
      </c>
      <c r="L357" s="11"/>
      <c r="M357" s="11"/>
      <c r="N357" s="11">
        <v>47.606999999999999</v>
      </c>
      <c r="O357" s="11">
        <v>50.220999999999997</v>
      </c>
      <c r="P357" s="11">
        <v>98.406000000000006</v>
      </c>
      <c r="Q357" s="11">
        <v>97.605000000000004</v>
      </c>
      <c r="R357" s="11">
        <v>89.114000000000004</v>
      </c>
      <c r="S357" s="11">
        <v>89.025000000000006</v>
      </c>
      <c r="T357" s="11">
        <v>108.184</v>
      </c>
      <c r="U357" s="11">
        <v>108.377</v>
      </c>
      <c r="V357" s="11">
        <v>64.174000000000007</v>
      </c>
      <c r="W357" s="11">
        <v>62.216999999999999</v>
      </c>
      <c r="X357" s="11">
        <v>35.826000000000001</v>
      </c>
      <c r="Y357" s="11">
        <v>37.783000000000001</v>
      </c>
      <c r="Z357" s="11">
        <v>13.608000000000001</v>
      </c>
      <c r="AA357" s="11">
        <v>13.134</v>
      </c>
      <c r="AB357" s="11">
        <v>37.783000000000001</v>
      </c>
      <c r="AC357" s="11">
        <v>35.826000000000001</v>
      </c>
      <c r="AD357" s="11">
        <v>11.726000000000001</v>
      </c>
      <c r="AE357" s="11">
        <v>13</v>
      </c>
      <c r="AF357" s="11">
        <v>13</v>
      </c>
      <c r="AG357" s="11">
        <v>13</v>
      </c>
      <c r="AH357" s="11">
        <v>13</v>
      </c>
    </row>
    <row r="358" spans="1:34" s="33" customFormat="1" x14ac:dyDescent="0.2">
      <c r="A358" s="11">
        <v>481</v>
      </c>
      <c r="B358" s="11"/>
      <c r="C358" s="11"/>
      <c r="D358" s="11"/>
      <c r="E358" s="11"/>
      <c r="F358" s="11" t="s">
        <v>72</v>
      </c>
      <c r="G358" s="11" t="s">
        <v>73</v>
      </c>
      <c r="H358" s="56" t="str">
        <f>VLOOKUP(Table6[[#This Row],[ICD Code]],ICD_summary!$I$3:$M$38,5,0)</f>
        <v>Tremor, other</v>
      </c>
      <c r="I358" s="12">
        <v>65.2</v>
      </c>
      <c r="J3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8" s="11" t="s">
        <v>52</v>
      </c>
      <c r="L358" s="11"/>
      <c r="M358" s="11"/>
      <c r="N358" s="11">
        <v>33.176000000000002</v>
      </c>
      <c r="O358" s="11">
        <v>30.931000000000001</v>
      </c>
      <c r="P358" s="11">
        <v>63.904000000000003</v>
      </c>
      <c r="Q358" s="11">
        <v>63.673999999999999</v>
      </c>
      <c r="R358" s="11">
        <v>28.411000000000001</v>
      </c>
      <c r="S358" s="11">
        <v>28.713000000000001</v>
      </c>
      <c r="T358" s="11">
        <v>53.078000000000003</v>
      </c>
      <c r="U358" s="11">
        <v>54.186</v>
      </c>
      <c r="V358" s="11">
        <v>74.701999999999998</v>
      </c>
      <c r="W358" s="11">
        <v>75.369</v>
      </c>
      <c r="X358" s="11">
        <v>25.297999999999998</v>
      </c>
      <c r="Y358" s="11">
        <v>24.631</v>
      </c>
      <c r="Z358" s="11">
        <v>25.747</v>
      </c>
      <c r="AA358" s="11">
        <v>24.568000000000001</v>
      </c>
      <c r="AB358" s="11">
        <v>24.631</v>
      </c>
      <c r="AC358" s="11">
        <v>25.297999999999998</v>
      </c>
      <c r="AD358" s="11">
        <v>13.648</v>
      </c>
      <c r="AE358" s="11">
        <v>14</v>
      </c>
      <c r="AF358" s="11">
        <v>14</v>
      </c>
      <c r="AG358" s="11">
        <v>14</v>
      </c>
      <c r="AH358" s="11">
        <v>14</v>
      </c>
    </row>
    <row r="359" spans="1:34" s="33" customFormat="1" x14ac:dyDescent="0.2">
      <c r="A359" s="11">
        <v>482</v>
      </c>
      <c r="B359" s="11"/>
      <c r="C359" s="11"/>
      <c r="D359" s="11"/>
      <c r="E359" s="11"/>
      <c r="F359" s="11" t="s">
        <v>62</v>
      </c>
      <c r="G359" s="11" t="s">
        <v>63</v>
      </c>
      <c r="H359" s="56" t="str">
        <f>VLOOKUP(Table6[[#This Row],[ICD Code]],ICD_summary!$I$3:$M$38,5,0)</f>
        <v>PD</v>
      </c>
      <c r="I359" s="12">
        <v>61</v>
      </c>
      <c r="J3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9" s="11" t="s">
        <v>52</v>
      </c>
      <c r="L359" s="11"/>
      <c r="M359" s="11"/>
      <c r="N359" s="11">
        <v>62.802</v>
      </c>
      <c r="O359" s="11">
        <v>62.844999999999999</v>
      </c>
      <c r="P359" s="11">
        <v>125.715</v>
      </c>
      <c r="Q359" s="11">
        <v>125.63</v>
      </c>
      <c r="R359" s="11">
        <v>131.405</v>
      </c>
      <c r="S359" s="11">
        <v>131.93799999999999</v>
      </c>
      <c r="T359" s="11">
        <v>124.59399999999999</v>
      </c>
      <c r="U359" s="11">
        <v>125.611</v>
      </c>
      <c r="V359" s="11">
        <v>60.555</v>
      </c>
      <c r="W359" s="11">
        <v>60.505000000000003</v>
      </c>
      <c r="X359" s="11">
        <v>39.445</v>
      </c>
      <c r="Y359" s="11">
        <v>39.494999999999997</v>
      </c>
      <c r="Z359" s="11">
        <v>11.074</v>
      </c>
      <c r="AA359" s="11">
        <v>10.803000000000001</v>
      </c>
      <c r="AB359" s="11">
        <v>39.494999999999997</v>
      </c>
      <c r="AC359" s="11">
        <v>39.445</v>
      </c>
      <c r="AD359" s="11">
        <v>16.295999999999999</v>
      </c>
      <c r="AE359" s="11">
        <v>10</v>
      </c>
      <c r="AF359" s="11">
        <v>10</v>
      </c>
      <c r="AG359" s="11">
        <v>10</v>
      </c>
      <c r="AH359" s="11">
        <v>10</v>
      </c>
    </row>
    <row r="360" spans="1:34" s="33" customFormat="1" x14ac:dyDescent="0.2">
      <c r="A360" s="11">
        <v>483</v>
      </c>
      <c r="B360" s="11"/>
      <c r="C360" s="11"/>
      <c r="D360" s="11"/>
      <c r="E360" s="11"/>
      <c r="F360" s="11" t="s">
        <v>76</v>
      </c>
      <c r="G360" s="11" t="s">
        <v>77</v>
      </c>
      <c r="H360" s="56" t="str">
        <f>VLOOKUP(Table6[[#This Row],[ICD Code]],ICD_summary!$I$3:$M$38,5,0)</f>
        <v>Dystonia, other</v>
      </c>
      <c r="I360" s="12">
        <v>51</v>
      </c>
      <c r="J3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60" s="11" t="s">
        <v>52</v>
      </c>
      <c r="L360" s="11"/>
      <c r="M360" s="11"/>
      <c r="N360" s="11">
        <v>39.548999999999999</v>
      </c>
      <c r="O360" s="11">
        <v>37.972999999999999</v>
      </c>
      <c r="P360" s="11">
        <v>77.555000000000007</v>
      </c>
      <c r="Q360" s="11">
        <v>77.647999999999996</v>
      </c>
      <c r="R360" s="11">
        <v>59.238999999999997</v>
      </c>
      <c r="S360" s="11">
        <v>61.52</v>
      </c>
      <c r="T360" s="11">
        <v>94.082999999999998</v>
      </c>
      <c r="U360" s="11">
        <v>96.058999999999997</v>
      </c>
      <c r="V360" s="11">
        <v>64.849999999999994</v>
      </c>
      <c r="W360" s="11">
        <v>65.658000000000001</v>
      </c>
      <c r="X360" s="11">
        <v>35.15</v>
      </c>
      <c r="Y360" s="11">
        <v>34.341999999999999</v>
      </c>
      <c r="Z360" s="11">
        <v>17.395</v>
      </c>
      <c r="AA360" s="11">
        <v>12.243</v>
      </c>
      <c r="AB360" s="11">
        <v>34.341999999999999</v>
      </c>
      <c r="AC360" s="11">
        <v>35.15</v>
      </c>
      <c r="AD360" s="11">
        <v>12.256</v>
      </c>
      <c r="AE360" s="11">
        <v>14</v>
      </c>
      <c r="AF360" s="11">
        <v>11</v>
      </c>
      <c r="AG360" s="11">
        <v>11</v>
      </c>
      <c r="AH360" s="11">
        <v>11</v>
      </c>
    </row>
    <row r="361" spans="1:34" s="33" customFormat="1" x14ac:dyDescent="0.2">
      <c r="A361" s="11">
        <v>484</v>
      </c>
      <c r="B361" s="11"/>
      <c r="C361" s="11"/>
      <c r="D361" s="11"/>
      <c r="E361" s="11"/>
      <c r="F361" s="11" t="s">
        <v>72</v>
      </c>
      <c r="G361" s="11" t="s">
        <v>73</v>
      </c>
      <c r="H361" s="56" t="str">
        <f>VLOOKUP(Table6[[#This Row],[ICD Code]],ICD_summary!$I$3:$M$38,5,0)</f>
        <v>Tremor, other</v>
      </c>
      <c r="I361" s="12">
        <v>66.8</v>
      </c>
      <c r="J3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1" s="11" t="s">
        <v>55</v>
      </c>
      <c r="L361" s="11"/>
      <c r="M361" s="11"/>
      <c r="N361" s="11">
        <v>37.881999999999998</v>
      </c>
      <c r="O361" s="11">
        <v>37.634999999999998</v>
      </c>
      <c r="P361" s="11">
        <v>75.757999999999996</v>
      </c>
      <c r="Q361" s="11">
        <v>75.316000000000003</v>
      </c>
      <c r="R361" s="11">
        <v>78.409000000000006</v>
      </c>
      <c r="S361" s="11">
        <v>77.793000000000006</v>
      </c>
      <c r="T361" s="11">
        <v>123.979</v>
      </c>
      <c r="U361" s="11">
        <v>123.5</v>
      </c>
      <c r="V361" s="11">
        <v>67.465999999999994</v>
      </c>
      <c r="W361" s="11">
        <v>65.647000000000006</v>
      </c>
      <c r="X361" s="11">
        <v>32.533999999999999</v>
      </c>
      <c r="Y361" s="11">
        <v>34.353000000000002</v>
      </c>
      <c r="Z361" s="11">
        <v>15.926</v>
      </c>
      <c r="AA361" s="11">
        <v>17.420999999999999</v>
      </c>
      <c r="AB361" s="11">
        <v>34.353000000000002</v>
      </c>
      <c r="AC361" s="11">
        <v>32.533999999999999</v>
      </c>
      <c r="AD361" s="11">
        <v>9.07</v>
      </c>
      <c r="AE361" s="11">
        <v>15</v>
      </c>
      <c r="AF361" s="11">
        <v>16</v>
      </c>
      <c r="AG361" s="11">
        <v>15</v>
      </c>
      <c r="AH361" s="11">
        <v>15</v>
      </c>
    </row>
    <row r="362" spans="1:34" s="33" customFormat="1" x14ac:dyDescent="0.2">
      <c r="A362" s="11">
        <v>485</v>
      </c>
      <c r="B362" s="11"/>
      <c r="C362" s="11"/>
      <c r="D362" s="11"/>
      <c r="E362" s="11"/>
      <c r="F362" s="11" t="s">
        <v>72</v>
      </c>
      <c r="G362" s="11" t="s">
        <v>73</v>
      </c>
      <c r="H362" s="56" t="str">
        <f>VLOOKUP(Table6[[#This Row],[ICD Code]],ICD_summary!$I$3:$M$38,5,0)</f>
        <v>Tremor, other</v>
      </c>
      <c r="I362" s="12">
        <v>33.9</v>
      </c>
      <c r="J3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362" s="11" t="s">
        <v>55</v>
      </c>
      <c r="L362" s="11"/>
      <c r="M362" s="11"/>
      <c r="N362" s="11">
        <v>36.969000000000001</v>
      </c>
      <c r="O362" s="11">
        <v>38.543999999999997</v>
      </c>
      <c r="P362" s="11">
        <v>75.692999999999998</v>
      </c>
      <c r="Q362" s="11">
        <v>75.19</v>
      </c>
      <c r="R362" s="11">
        <v>64.936999999999998</v>
      </c>
      <c r="S362" s="11">
        <v>64.701999999999998</v>
      </c>
      <c r="T362" s="11">
        <v>103.93</v>
      </c>
      <c r="U362" s="11">
        <v>104.627</v>
      </c>
      <c r="V362" s="11">
        <v>73.100999999999999</v>
      </c>
      <c r="W362" s="11">
        <v>70.099000000000004</v>
      </c>
      <c r="X362" s="11">
        <v>26.899000000000001</v>
      </c>
      <c r="Y362" s="11">
        <v>29.901</v>
      </c>
      <c r="Z362" s="11">
        <v>25.012</v>
      </c>
      <c r="AA362" s="11">
        <v>18.667999999999999</v>
      </c>
      <c r="AB362" s="11">
        <v>29.901</v>
      </c>
      <c r="AC362" s="11">
        <v>26.899000000000001</v>
      </c>
      <c r="AD362" s="11">
        <v>23.933</v>
      </c>
      <c r="AE362" s="11">
        <v>9</v>
      </c>
      <c r="AF362" s="11">
        <v>7</v>
      </c>
      <c r="AG362" s="11">
        <v>7</v>
      </c>
      <c r="AH362" s="11">
        <v>7</v>
      </c>
    </row>
    <row r="363" spans="1:34" s="33" customFormat="1" x14ac:dyDescent="0.2">
      <c r="A363" s="11">
        <v>486</v>
      </c>
      <c r="B363" s="11"/>
      <c r="C363" s="11"/>
      <c r="D363" s="11"/>
      <c r="E363" s="11"/>
      <c r="F363" s="11" t="s">
        <v>62</v>
      </c>
      <c r="G363" s="11" t="s">
        <v>63</v>
      </c>
      <c r="H363" s="56" t="str">
        <f>VLOOKUP(Table6[[#This Row],[ICD Code]],ICD_summary!$I$3:$M$38,5,0)</f>
        <v>PD</v>
      </c>
      <c r="I363" s="12">
        <v>72.2</v>
      </c>
      <c r="J3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3" s="11" t="s">
        <v>52</v>
      </c>
      <c r="L363" s="11"/>
      <c r="M363" s="11"/>
      <c r="N363" s="11">
        <v>49.058</v>
      </c>
      <c r="O363" s="11">
        <v>52.51</v>
      </c>
      <c r="P363" s="11">
        <v>100.43300000000001</v>
      </c>
      <c r="Q363" s="11">
        <v>102.72499999999999</v>
      </c>
      <c r="R363" s="11">
        <v>109.389</v>
      </c>
      <c r="S363" s="11">
        <v>111.47199999999999</v>
      </c>
      <c r="T363" s="11">
        <v>130.273</v>
      </c>
      <c r="U363" s="11">
        <v>130.12700000000001</v>
      </c>
      <c r="V363" s="11">
        <v>61.936999999999998</v>
      </c>
      <c r="W363" s="11">
        <v>62.814999999999998</v>
      </c>
      <c r="X363" s="11">
        <v>38.063000000000002</v>
      </c>
      <c r="Y363" s="11">
        <v>37.185000000000002</v>
      </c>
      <c r="Z363" s="11">
        <v>12.081</v>
      </c>
      <c r="AA363" s="11">
        <v>13.154</v>
      </c>
      <c r="AB363" s="11">
        <v>37.185000000000002</v>
      </c>
      <c r="AC363" s="11">
        <v>38.063000000000002</v>
      </c>
      <c r="AD363" s="11">
        <v>10.992000000000001</v>
      </c>
      <c r="AE363" s="11">
        <v>11</v>
      </c>
      <c r="AF363" s="11">
        <v>10</v>
      </c>
      <c r="AG363" s="11">
        <v>10</v>
      </c>
      <c r="AH363" s="11">
        <v>10</v>
      </c>
    </row>
    <row r="364" spans="1:34" s="33" customFormat="1" x14ac:dyDescent="0.2">
      <c r="A364" s="11">
        <v>487</v>
      </c>
      <c r="B364" s="11"/>
      <c r="C364" s="11"/>
      <c r="D364" s="11"/>
      <c r="E364" s="11"/>
      <c r="F364" s="11" t="s">
        <v>72</v>
      </c>
      <c r="G364" s="11" t="s">
        <v>73</v>
      </c>
      <c r="H364" s="56" t="str">
        <f>VLOOKUP(Table6[[#This Row],[ICD Code]],ICD_summary!$I$3:$M$38,5,0)</f>
        <v>Tremor, other</v>
      </c>
      <c r="I364" s="12">
        <v>79</v>
      </c>
      <c r="J3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4" s="11" t="s">
        <v>52</v>
      </c>
      <c r="L364" s="11"/>
      <c r="M364" s="11"/>
      <c r="N364" s="11">
        <v>63.481000000000002</v>
      </c>
      <c r="O364" s="11">
        <v>55.835999999999999</v>
      </c>
      <c r="P364" s="11">
        <v>119.40600000000001</v>
      </c>
      <c r="Q364" s="11">
        <v>119.355</v>
      </c>
      <c r="R364" s="11">
        <v>105.411</v>
      </c>
      <c r="S364" s="11">
        <v>105.413</v>
      </c>
      <c r="T364" s="11">
        <v>105.53100000000001</v>
      </c>
      <c r="U364" s="11">
        <v>105.48699999999999</v>
      </c>
      <c r="V364" s="11">
        <v>63.292999999999999</v>
      </c>
      <c r="W364" s="11">
        <v>62.218000000000004</v>
      </c>
      <c r="X364" s="11">
        <v>36.707000000000001</v>
      </c>
      <c r="Y364" s="11">
        <v>37.781999999999996</v>
      </c>
      <c r="Z364" s="11">
        <v>10.597</v>
      </c>
      <c r="AA364" s="11">
        <v>15.148</v>
      </c>
      <c r="AB364" s="11">
        <v>37.781999999999996</v>
      </c>
      <c r="AC364" s="11">
        <v>36.707000000000001</v>
      </c>
      <c r="AD364" s="11">
        <v>13.564</v>
      </c>
      <c r="AE364" s="11">
        <v>10</v>
      </c>
      <c r="AF364" s="11">
        <v>10</v>
      </c>
      <c r="AG364" s="11">
        <v>10</v>
      </c>
      <c r="AH364" s="11">
        <v>10</v>
      </c>
    </row>
    <row r="365" spans="1:34" s="33" customFormat="1" x14ac:dyDescent="0.2">
      <c r="A365" s="11">
        <v>488</v>
      </c>
      <c r="B365" s="11"/>
      <c r="C365" s="11"/>
      <c r="D365" s="11"/>
      <c r="E365" s="11"/>
      <c r="F365" s="11" t="s">
        <v>51</v>
      </c>
      <c r="G365" s="11" t="s">
        <v>51</v>
      </c>
      <c r="H365" s="56" t="str">
        <f>VLOOKUP(Table6[[#This Row],[ICD Code]],ICD_summary!$I$3:$M$38,5,0)</f>
        <v>Misc/Other</v>
      </c>
      <c r="I365" s="12">
        <v>999</v>
      </c>
      <c r="J3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65" s="11" t="s">
        <v>51</v>
      </c>
      <c r="L365" s="11"/>
      <c r="M365" s="11"/>
      <c r="N365" s="11">
        <v>66.483000000000004</v>
      </c>
      <c r="O365" s="11">
        <v>59.664000000000001</v>
      </c>
      <c r="P365" s="11">
        <v>126.967</v>
      </c>
      <c r="Q365" s="11">
        <v>125.596</v>
      </c>
      <c r="R365" s="11">
        <v>117.73</v>
      </c>
      <c r="S365" s="11">
        <v>117.375</v>
      </c>
      <c r="T365" s="11">
        <v>110.89700000000001</v>
      </c>
      <c r="U365" s="11">
        <v>112.004</v>
      </c>
      <c r="V365" s="11">
        <v>62.274000000000001</v>
      </c>
      <c r="W365" s="11">
        <v>60.807000000000002</v>
      </c>
      <c r="X365" s="11">
        <v>37.725999999999999</v>
      </c>
      <c r="Y365" s="11">
        <v>39.192999999999998</v>
      </c>
      <c r="Z365" s="11">
        <v>13.475</v>
      </c>
      <c r="AA365" s="11">
        <v>10.103999999999999</v>
      </c>
      <c r="AB365" s="11">
        <v>39.192999999999998</v>
      </c>
      <c r="AC365" s="11">
        <v>37.725999999999999</v>
      </c>
      <c r="AD365" s="11">
        <v>9.1080000000000005</v>
      </c>
      <c r="AE365" s="11">
        <v>10</v>
      </c>
      <c r="AF365" s="11">
        <v>10</v>
      </c>
      <c r="AG365" s="11">
        <v>10</v>
      </c>
      <c r="AH365" s="11">
        <v>10</v>
      </c>
    </row>
    <row r="366" spans="1:34" s="33" customFormat="1" x14ac:dyDescent="0.2">
      <c r="A366" s="11">
        <v>489</v>
      </c>
      <c r="B366" s="11"/>
      <c r="C366" s="11"/>
      <c r="D366" s="11"/>
      <c r="E366" s="11"/>
      <c r="F366" s="11" t="s">
        <v>94</v>
      </c>
      <c r="G366" s="11" t="s">
        <v>95</v>
      </c>
      <c r="H366" s="56" t="str">
        <f>VLOOKUP(Table6[[#This Row],[ICD Code]],ICD_summary!$I$3:$M$38,5,0)</f>
        <v>Misc/Other</v>
      </c>
      <c r="I366" s="12">
        <v>71</v>
      </c>
      <c r="J3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6" s="11" t="s">
        <v>55</v>
      </c>
      <c r="L366" s="11"/>
      <c r="M366" s="11"/>
      <c r="N366" s="11">
        <v>59.110999999999997</v>
      </c>
      <c r="O366" s="11">
        <v>57.878</v>
      </c>
      <c r="P366" s="11">
        <v>117.128</v>
      </c>
      <c r="Q366" s="11">
        <v>117.124</v>
      </c>
      <c r="R366" s="11">
        <v>115.911</v>
      </c>
      <c r="S366" s="11">
        <v>116.696</v>
      </c>
      <c r="T366" s="11">
        <v>118.35599999999999</v>
      </c>
      <c r="U366" s="11">
        <v>119.23099999999999</v>
      </c>
      <c r="V366" s="11">
        <v>61.798999999999999</v>
      </c>
      <c r="W366" s="11">
        <v>63.408000000000001</v>
      </c>
      <c r="X366" s="11">
        <v>38.201000000000001</v>
      </c>
      <c r="Y366" s="11">
        <v>36.591999999999999</v>
      </c>
      <c r="Z366" s="11">
        <v>12.564</v>
      </c>
      <c r="AA366" s="11">
        <v>13.409000000000001</v>
      </c>
      <c r="AB366" s="11">
        <v>36.591999999999999</v>
      </c>
      <c r="AC366" s="11">
        <v>38.201000000000001</v>
      </c>
      <c r="AD366" s="11">
        <v>11.56</v>
      </c>
      <c r="AE366" s="11">
        <v>10</v>
      </c>
      <c r="AF366" s="11">
        <v>10</v>
      </c>
      <c r="AG366" s="11">
        <v>10</v>
      </c>
      <c r="AH366" s="11">
        <v>10</v>
      </c>
    </row>
    <row r="367" spans="1:34" s="33" customFormat="1" x14ac:dyDescent="0.2">
      <c r="A367" s="11">
        <v>490</v>
      </c>
      <c r="B367" s="11"/>
      <c r="C367" s="11"/>
      <c r="D367" s="11"/>
      <c r="E367" s="11"/>
      <c r="F367" s="11" t="s">
        <v>68</v>
      </c>
      <c r="G367" s="11" t="s">
        <v>69</v>
      </c>
      <c r="H367" s="56" t="str">
        <f>VLOOKUP(Table6[[#This Row],[ICD Code]],ICD_summary!$I$3:$M$38,5,0)</f>
        <v>Tremor, essential tremor</v>
      </c>
      <c r="I367" s="12">
        <v>64.3</v>
      </c>
      <c r="J3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7" s="11" t="s">
        <v>52</v>
      </c>
      <c r="L367" s="11"/>
      <c r="M367" s="11"/>
      <c r="N367" s="11">
        <v>67.754000000000005</v>
      </c>
      <c r="O367" s="11">
        <v>64.805000000000007</v>
      </c>
      <c r="P367" s="11">
        <v>132.71100000000001</v>
      </c>
      <c r="Q367" s="11">
        <v>133.256</v>
      </c>
      <c r="R367" s="11">
        <v>109.81399999999999</v>
      </c>
      <c r="S367" s="11">
        <v>109.81699999999999</v>
      </c>
      <c r="T367" s="11">
        <v>99.491</v>
      </c>
      <c r="U367" s="11">
        <v>98.760999999999996</v>
      </c>
      <c r="V367" s="11">
        <v>64.304000000000002</v>
      </c>
      <c r="W367" s="11">
        <v>63.75</v>
      </c>
      <c r="X367" s="11">
        <v>35.695999999999998</v>
      </c>
      <c r="Y367" s="11">
        <v>36.25</v>
      </c>
      <c r="Z367" s="11">
        <v>14.784000000000001</v>
      </c>
      <c r="AA367" s="11">
        <v>14.247999999999999</v>
      </c>
      <c r="AB367" s="11">
        <v>36.25</v>
      </c>
      <c r="AC367" s="11">
        <v>35.695999999999998</v>
      </c>
      <c r="AD367" s="11">
        <v>13.878</v>
      </c>
      <c r="AE367" s="11">
        <v>10</v>
      </c>
      <c r="AF367" s="11">
        <v>10</v>
      </c>
      <c r="AG367" s="11">
        <v>10</v>
      </c>
      <c r="AH367" s="11">
        <v>10</v>
      </c>
    </row>
    <row r="368" spans="1:34" s="33" customFormat="1" x14ac:dyDescent="0.2">
      <c r="A368" s="11">
        <v>491</v>
      </c>
      <c r="B368" s="11"/>
      <c r="C368" s="11"/>
      <c r="D368" s="11"/>
      <c r="E368" s="11"/>
      <c r="F368" s="11" t="s">
        <v>62</v>
      </c>
      <c r="G368" s="11" t="s">
        <v>63</v>
      </c>
      <c r="H368" s="56" t="str">
        <f>VLOOKUP(Table6[[#This Row],[ICD Code]],ICD_summary!$I$3:$M$38,5,0)</f>
        <v>PD</v>
      </c>
      <c r="I368" s="12">
        <v>64.099999999999994</v>
      </c>
      <c r="J3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8" s="11" t="s">
        <v>55</v>
      </c>
      <c r="L368" s="11"/>
      <c r="M368" s="11"/>
      <c r="N368" s="11">
        <v>40.81</v>
      </c>
      <c r="O368" s="11">
        <v>39.204999999999998</v>
      </c>
      <c r="P368" s="11">
        <v>79.997</v>
      </c>
      <c r="Q368" s="11">
        <v>78.793000000000006</v>
      </c>
      <c r="R368" s="11">
        <v>79.814999999999998</v>
      </c>
      <c r="S368" s="11">
        <v>78.724000000000004</v>
      </c>
      <c r="T368" s="11">
        <v>118.721</v>
      </c>
      <c r="U368" s="11">
        <v>118.676</v>
      </c>
      <c r="V368" s="11">
        <v>61.058999999999997</v>
      </c>
      <c r="W368" s="11">
        <v>62.182000000000002</v>
      </c>
      <c r="X368" s="11">
        <v>38.941000000000003</v>
      </c>
      <c r="Y368" s="11">
        <v>37.817999999999998</v>
      </c>
      <c r="Z368" s="11">
        <v>10.833</v>
      </c>
      <c r="AA368" s="11">
        <v>12.901</v>
      </c>
      <c r="AB368" s="11">
        <v>37.817999999999998</v>
      </c>
      <c r="AC368" s="11">
        <v>38.941000000000003</v>
      </c>
      <c r="AD368" s="11">
        <v>9.798</v>
      </c>
      <c r="AE368" s="11">
        <v>15</v>
      </c>
      <c r="AF368" s="11">
        <v>14</v>
      </c>
      <c r="AG368" s="11">
        <v>14</v>
      </c>
      <c r="AH368" s="11">
        <v>14</v>
      </c>
    </row>
    <row r="369" spans="1:34" s="33" customFormat="1" x14ac:dyDescent="0.2">
      <c r="A369" s="11">
        <v>492</v>
      </c>
      <c r="B369" s="11"/>
      <c r="C369" s="11"/>
      <c r="D369" s="11"/>
      <c r="E369" s="11"/>
      <c r="F369" s="11" t="s">
        <v>62</v>
      </c>
      <c r="G369" s="11" t="s">
        <v>63</v>
      </c>
      <c r="H369" s="56" t="str">
        <f>VLOOKUP(Table6[[#This Row],[ICD Code]],ICD_summary!$I$3:$M$38,5,0)</f>
        <v>PD</v>
      </c>
      <c r="I369" s="12">
        <v>51.9</v>
      </c>
      <c r="J3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69" s="11" t="s">
        <v>52</v>
      </c>
      <c r="L369" s="11"/>
      <c r="M369" s="11"/>
      <c r="N369" s="11">
        <v>44.692999999999998</v>
      </c>
      <c r="O369" s="11">
        <v>47.334000000000003</v>
      </c>
      <c r="P369" s="11">
        <v>91.826999999999998</v>
      </c>
      <c r="Q369" s="11">
        <v>92.144000000000005</v>
      </c>
      <c r="R369" s="11">
        <v>93.789000000000001</v>
      </c>
      <c r="S369" s="11">
        <v>93.626999999999995</v>
      </c>
      <c r="T369" s="11">
        <v>121.84099999999999</v>
      </c>
      <c r="U369" s="11">
        <v>121.364</v>
      </c>
      <c r="V369" s="11">
        <v>62.139000000000003</v>
      </c>
      <c r="W369" s="11">
        <v>63.835999999999999</v>
      </c>
      <c r="X369" s="11">
        <v>37.860999999999997</v>
      </c>
      <c r="Y369" s="11">
        <v>36.164000000000001</v>
      </c>
      <c r="Z369" s="11">
        <v>11.935</v>
      </c>
      <c r="AA369" s="11">
        <v>14.252000000000001</v>
      </c>
      <c r="AB369" s="11">
        <v>36.164000000000001</v>
      </c>
      <c r="AC369" s="11">
        <v>37.860999999999997</v>
      </c>
      <c r="AD369" s="11">
        <v>14.128</v>
      </c>
      <c r="AE369" s="11">
        <v>14</v>
      </c>
      <c r="AF369" s="11">
        <v>13</v>
      </c>
      <c r="AG369" s="11">
        <v>13</v>
      </c>
      <c r="AH369" s="11">
        <v>13</v>
      </c>
    </row>
    <row r="370" spans="1:34" s="33" customFormat="1" x14ac:dyDescent="0.2">
      <c r="A370" s="11">
        <v>493</v>
      </c>
      <c r="B370" s="11"/>
      <c r="C370" s="11"/>
      <c r="D370" s="11"/>
      <c r="E370" s="11"/>
      <c r="F370" s="11" t="s">
        <v>62</v>
      </c>
      <c r="G370" s="11" t="s">
        <v>63</v>
      </c>
      <c r="H370" s="56" t="str">
        <f>VLOOKUP(Table6[[#This Row],[ICD Code]],ICD_summary!$I$3:$M$38,5,0)</f>
        <v>PD</v>
      </c>
      <c r="I370" s="12">
        <v>61.9</v>
      </c>
      <c r="J3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70" s="11" t="s">
        <v>55</v>
      </c>
      <c r="L370" s="11"/>
      <c r="M370" s="11"/>
      <c r="N370" s="11">
        <v>17.263000000000002</v>
      </c>
      <c r="O370" s="11">
        <v>10.545999999999999</v>
      </c>
      <c r="P370" s="11">
        <v>27.777999999999999</v>
      </c>
      <c r="Q370" s="11">
        <v>27.809000000000001</v>
      </c>
      <c r="R370" s="11">
        <v>30.518000000000001</v>
      </c>
      <c r="S370" s="11">
        <v>30.507999999999999</v>
      </c>
      <c r="T370" s="11">
        <v>131.279</v>
      </c>
      <c r="U370" s="11">
        <v>131.398</v>
      </c>
      <c r="V370" s="11">
        <v>70.289000000000001</v>
      </c>
      <c r="W370" s="11">
        <v>70.588999999999999</v>
      </c>
      <c r="X370" s="11">
        <v>29.710999999999999</v>
      </c>
      <c r="Y370" s="11">
        <v>29.411000000000001</v>
      </c>
      <c r="Z370" s="11">
        <v>18.846</v>
      </c>
      <c r="AA370" s="11">
        <v>21.843</v>
      </c>
      <c r="AB370" s="11">
        <v>29.411000000000001</v>
      </c>
      <c r="AC370" s="11">
        <v>29.710999999999999</v>
      </c>
      <c r="AD370" s="11">
        <v>10.284000000000001</v>
      </c>
      <c r="AE370" s="11">
        <v>30</v>
      </c>
      <c r="AF370" s="11">
        <v>35</v>
      </c>
      <c r="AG370" s="11">
        <v>30</v>
      </c>
      <c r="AH370" s="11">
        <v>30</v>
      </c>
    </row>
    <row r="371" spans="1:34" s="33" customFormat="1" x14ac:dyDescent="0.2">
      <c r="A371" s="11">
        <v>494</v>
      </c>
      <c r="B371" s="11"/>
      <c r="C371" s="11"/>
      <c r="D371" s="11"/>
      <c r="E371" s="11"/>
      <c r="F371" s="11" t="s">
        <v>72</v>
      </c>
      <c r="G371" s="11" t="s">
        <v>73</v>
      </c>
      <c r="H371" s="56" t="str">
        <f>VLOOKUP(Table6[[#This Row],[ICD Code]],ICD_summary!$I$3:$M$38,5,0)</f>
        <v>Tremor, other</v>
      </c>
      <c r="I371" s="12">
        <v>999</v>
      </c>
      <c r="J3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1" s="11" t="s">
        <v>51</v>
      </c>
      <c r="L371" s="11"/>
      <c r="M371" s="11"/>
      <c r="N371" s="11">
        <v>57.793999999999997</v>
      </c>
      <c r="O371" s="11">
        <v>58.344999999999999</v>
      </c>
      <c r="P371" s="11">
        <v>116.14400000000001</v>
      </c>
      <c r="Q371" s="11">
        <v>116.749</v>
      </c>
      <c r="R371" s="11">
        <v>111.26300000000001</v>
      </c>
      <c r="S371" s="11">
        <v>111.137</v>
      </c>
      <c r="T371" s="11">
        <v>114.327</v>
      </c>
      <c r="U371" s="11">
        <v>113.989</v>
      </c>
      <c r="V371" s="11">
        <v>61.353000000000002</v>
      </c>
      <c r="W371" s="11">
        <v>60.371000000000002</v>
      </c>
      <c r="X371" s="11">
        <v>38.646999999999998</v>
      </c>
      <c r="Y371" s="11">
        <v>39.628999999999998</v>
      </c>
      <c r="Z371" s="11">
        <v>9.7579999999999991</v>
      </c>
      <c r="AA371" s="11">
        <v>11.702999999999999</v>
      </c>
      <c r="AB371" s="11">
        <v>39.628999999999998</v>
      </c>
      <c r="AC371" s="11">
        <v>38.646999999999998</v>
      </c>
      <c r="AD371" s="11">
        <v>8.8379999999999992</v>
      </c>
      <c r="AE371" s="11">
        <v>10</v>
      </c>
      <c r="AF371" s="11">
        <v>10</v>
      </c>
      <c r="AG371" s="11">
        <v>10</v>
      </c>
      <c r="AH371" s="11">
        <v>10</v>
      </c>
    </row>
    <row r="372" spans="1:34" s="33" customFormat="1" x14ac:dyDescent="0.2">
      <c r="A372" s="11">
        <v>495</v>
      </c>
      <c r="B372" s="11"/>
      <c r="C372" s="11"/>
      <c r="D372" s="11"/>
      <c r="E372" s="11"/>
      <c r="F372" s="11" t="s">
        <v>72</v>
      </c>
      <c r="G372" s="11" t="s">
        <v>73</v>
      </c>
      <c r="H372" s="56" t="str">
        <f>VLOOKUP(Table6[[#This Row],[ICD Code]],ICD_summary!$I$3:$M$38,5,0)</f>
        <v>Tremor, other</v>
      </c>
      <c r="I372" s="12">
        <v>20.3</v>
      </c>
      <c r="J3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372" s="11" t="s">
        <v>55</v>
      </c>
      <c r="L372" s="11"/>
      <c r="M372" s="11"/>
      <c r="N372" s="11">
        <v>62.463000000000001</v>
      </c>
      <c r="O372" s="11">
        <v>60.338000000000001</v>
      </c>
      <c r="P372" s="11">
        <v>123.69499999999999</v>
      </c>
      <c r="Q372" s="11">
        <v>121.958</v>
      </c>
      <c r="R372" s="11">
        <v>118.23399999999999</v>
      </c>
      <c r="S372" s="11">
        <v>116.985</v>
      </c>
      <c r="T372" s="11">
        <v>114.64700000000001</v>
      </c>
      <c r="U372" s="11">
        <v>114.643</v>
      </c>
      <c r="V372" s="11">
        <v>59.741</v>
      </c>
      <c r="W372" s="11">
        <v>62.420999999999999</v>
      </c>
      <c r="X372" s="11">
        <v>40.259</v>
      </c>
      <c r="Y372" s="11">
        <v>37.579000000000001</v>
      </c>
      <c r="Z372" s="11">
        <v>11.932</v>
      </c>
      <c r="AA372" s="11">
        <v>10.965999999999999</v>
      </c>
      <c r="AB372" s="11">
        <v>37.579000000000001</v>
      </c>
      <c r="AC372" s="11">
        <v>40.259</v>
      </c>
      <c r="AD372" s="11">
        <v>12.102</v>
      </c>
      <c r="AE372" s="11">
        <v>10</v>
      </c>
      <c r="AF372" s="11">
        <v>9</v>
      </c>
      <c r="AG372" s="11">
        <v>9</v>
      </c>
      <c r="AH372" s="11">
        <v>9</v>
      </c>
    </row>
    <row r="373" spans="1:34" s="33" customFormat="1" x14ac:dyDescent="0.2">
      <c r="A373" s="11">
        <v>496</v>
      </c>
      <c r="B373" s="11"/>
      <c r="C373" s="11"/>
      <c r="D373" s="11"/>
      <c r="E373" s="11"/>
      <c r="F373" s="11" t="s">
        <v>80</v>
      </c>
      <c r="G373" s="11" t="s">
        <v>81</v>
      </c>
      <c r="H373" s="56" t="str">
        <f>VLOOKUP(Table6[[#This Row],[ICD Code]],ICD_summary!$I$3:$M$38,5,0)</f>
        <v>Dystonia, cervical</v>
      </c>
      <c r="I373" s="12">
        <v>65.5</v>
      </c>
      <c r="J3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73" s="11" t="s">
        <v>55</v>
      </c>
      <c r="L373" s="11"/>
      <c r="M373" s="11"/>
      <c r="N373" s="11">
        <v>34.447000000000003</v>
      </c>
      <c r="O373" s="11">
        <v>26.896000000000001</v>
      </c>
      <c r="P373" s="11">
        <v>61.070999999999998</v>
      </c>
      <c r="Q373" s="11">
        <v>63.502000000000002</v>
      </c>
      <c r="R373" s="11">
        <v>57.247999999999998</v>
      </c>
      <c r="S373" s="11">
        <v>60.189</v>
      </c>
      <c r="T373" s="11">
        <v>112.61799999999999</v>
      </c>
      <c r="U373" s="11">
        <v>114.483</v>
      </c>
      <c r="V373" s="11">
        <v>65.882999999999996</v>
      </c>
      <c r="W373" s="11">
        <v>65.912000000000006</v>
      </c>
      <c r="X373" s="11">
        <v>34.116999999999997</v>
      </c>
      <c r="Y373" s="11">
        <v>34.088000000000001</v>
      </c>
      <c r="Z373" s="11">
        <v>11.983000000000001</v>
      </c>
      <c r="AA373" s="11">
        <v>20.395</v>
      </c>
      <c r="AB373" s="11">
        <v>34.088000000000001</v>
      </c>
      <c r="AC373" s="11">
        <v>34.116999999999997</v>
      </c>
      <c r="AD373" s="11">
        <v>13.222</v>
      </c>
      <c r="AE373" s="11">
        <v>28</v>
      </c>
      <c r="AF373" s="11">
        <v>24</v>
      </c>
      <c r="AG373" s="11">
        <v>24</v>
      </c>
      <c r="AH373" s="11">
        <v>24</v>
      </c>
    </row>
    <row r="374" spans="1:34" s="33" customFormat="1" x14ac:dyDescent="0.2">
      <c r="A374" s="11">
        <v>497</v>
      </c>
      <c r="B374" s="11"/>
      <c r="C374" s="11"/>
      <c r="D374" s="11"/>
      <c r="E374" s="11"/>
      <c r="F374" s="11" t="s">
        <v>51</v>
      </c>
      <c r="G374" s="11" t="s">
        <v>51</v>
      </c>
      <c r="H374" s="56" t="str">
        <f>VLOOKUP(Table6[[#This Row],[ICD Code]],ICD_summary!$I$3:$M$38,5,0)</f>
        <v>Misc/Other</v>
      </c>
      <c r="I374" s="12">
        <v>999</v>
      </c>
      <c r="J3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4" s="11" t="s">
        <v>51</v>
      </c>
      <c r="L374" s="11"/>
      <c r="M374" s="11"/>
      <c r="N374" s="11">
        <v>56.914000000000001</v>
      </c>
      <c r="O374" s="11">
        <v>61.939</v>
      </c>
      <c r="P374" s="11">
        <v>119.001</v>
      </c>
      <c r="Q374" s="11">
        <v>119.291</v>
      </c>
      <c r="R374" s="11">
        <v>79.388000000000005</v>
      </c>
      <c r="S374" s="11">
        <v>78.924999999999997</v>
      </c>
      <c r="T374" s="11">
        <v>79.736999999999995</v>
      </c>
      <c r="U374" s="11">
        <v>79.325000000000003</v>
      </c>
      <c r="V374" s="11">
        <v>65.8</v>
      </c>
      <c r="W374" s="11">
        <v>65.649000000000001</v>
      </c>
      <c r="X374" s="11">
        <v>34.200000000000003</v>
      </c>
      <c r="Y374" s="11">
        <v>34.350999999999999</v>
      </c>
      <c r="Z374" s="11">
        <v>16.739000000000001</v>
      </c>
      <c r="AA374" s="11">
        <v>15.295</v>
      </c>
      <c r="AB374" s="11">
        <v>34.350999999999999</v>
      </c>
      <c r="AC374" s="11">
        <v>34.200000000000003</v>
      </c>
      <c r="AD374" s="11">
        <v>12.042999999999999</v>
      </c>
      <c r="AE374" s="11">
        <v>17</v>
      </c>
      <c r="AF374" s="11">
        <v>18</v>
      </c>
      <c r="AG374" s="11">
        <v>17</v>
      </c>
      <c r="AH374" s="11">
        <v>17</v>
      </c>
    </row>
    <row r="375" spans="1:34" s="33" customFormat="1" x14ac:dyDescent="0.2">
      <c r="A375" s="11">
        <v>498</v>
      </c>
      <c r="B375" s="11"/>
      <c r="C375" s="11"/>
      <c r="D375" s="11"/>
      <c r="E375" s="11"/>
      <c r="F375" s="11" t="s">
        <v>62</v>
      </c>
      <c r="G375" s="11" t="s">
        <v>63</v>
      </c>
      <c r="H375" s="56" t="str">
        <f>VLOOKUP(Table6[[#This Row],[ICD Code]],ICD_summary!$I$3:$M$38,5,0)</f>
        <v>PD</v>
      </c>
      <c r="I375" s="12">
        <v>55.1</v>
      </c>
      <c r="J3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75" s="11" t="s">
        <v>52</v>
      </c>
      <c r="L375" s="11"/>
      <c r="M375" s="11"/>
      <c r="N375" s="11">
        <v>60.146999999999998</v>
      </c>
      <c r="O375" s="11">
        <v>57.688000000000002</v>
      </c>
      <c r="P375" s="11">
        <v>118.41</v>
      </c>
      <c r="Q375" s="11">
        <v>118.53</v>
      </c>
      <c r="R375" s="11">
        <v>115.215</v>
      </c>
      <c r="S375" s="11">
        <v>114.69499999999999</v>
      </c>
      <c r="T375" s="11">
        <v>116.581</v>
      </c>
      <c r="U375" s="11">
        <v>115.971</v>
      </c>
      <c r="V375" s="11">
        <v>63.438000000000002</v>
      </c>
      <c r="W375" s="11">
        <v>63.491</v>
      </c>
      <c r="X375" s="11">
        <v>36.561999999999998</v>
      </c>
      <c r="Y375" s="11">
        <v>36.509</v>
      </c>
      <c r="Z375" s="11">
        <v>12.766</v>
      </c>
      <c r="AA375" s="11">
        <v>14.369</v>
      </c>
      <c r="AB375" s="11">
        <v>36.509</v>
      </c>
      <c r="AC375" s="11">
        <v>36.561999999999998</v>
      </c>
      <c r="AD375" s="11">
        <v>12.659000000000001</v>
      </c>
      <c r="AE375" s="11">
        <v>24</v>
      </c>
      <c r="AF375" s="11">
        <v>22</v>
      </c>
      <c r="AG375" s="11">
        <v>22</v>
      </c>
      <c r="AH375" s="11">
        <v>22</v>
      </c>
    </row>
    <row r="376" spans="1:34" s="33" customFormat="1" x14ac:dyDescent="0.2">
      <c r="A376" s="11">
        <v>499</v>
      </c>
      <c r="B376" s="11"/>
      <c r="C376" s="11"/>
      <c r="D376" s="11"/>
      <c r="E376" s="11"/>
      <c r="F376" s="11" t="s">
        <v>62</v>
      </c>
      <c r="G376" s="11" t="s">
        <v>63</v>
      </c>
      <c r="H376" s="56" t="str">
        <f>VLOOKUP(Table6[[#This Row],[ICD Code]],ICD_summary!$I$3:$M$38,5,0)</f>
        <v>PD</v>
      </c>
      <c r="I376" s="12">
        <v>75.8</v>
      </c>
      <c r="J3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76" s="11" t="s">
        <v>52</v>
      </c>
      <c r="L376" s="11"/>
      <c r="M376" s="11"/>
      <c r="N376" s="11">
        <v>22.321000000000002</v>
      </c>
      <c r="O376" s="11">
        <v>20.373999999999999</v>
      </c>
      <c r="P376" s="11">
        <v>42.103999999999999</v>
      </c>
      <c r="Q376" s="11">
        <v>43.392000000000003</v>
      </c>
      <c r="R376" s="11">
        <v>46.563000000000002</v>
      </c>
      <c r="S376" s="11">
        <v>47.192</v>
      </c>
      <c r="T376" s="11">
        <v>133.459</v>
      </c>
      <c r="U376" s="11">
        <v>130.84399999999999</v>
      </c>
      <c r="V376" s="11">
        <v>67.567999999999998</v>
      </c>
      <c r="W376" s="11">
        <v>68.281000000000006</v>
      </c>
      <c r="X376" s="11">
        <v>32.432000000000002</v>
      </c>
      <c r="Y376" s="11">
        <v>31.719000000000001</v>
      </c>
      <c r="Z376" s="11">
        <v>17.475999999999999</v>
      </c>
      <c r="AA376" s="11">
        <v>18.550999999999998</v>
      </c>
      <c r="AB376" s="11">
        <v>31.719000000000001</v>
      </c>
      <c r="AC376" s="11">
        <v>32.432000000000002</v>
      </c>
      <c r="AD376" s="11">
        <v>9.6150000000000002</v>
      </c>
      <c r="AE376" s="11">
        <v>15</v>
      </c>
      <c r="AF376" s="11">
        <v>15</v>
      </c>
      <c r="AG376" s="11">
        <v>15</v>
      </c>
      <c r="AH376" s="11">
        <v>15</v>
      </c>
    </row>
    <row r="377" spans="1:34" s="33" customFormat="1" x14ac:dyDescent="0.2">
      <c r="A377" s="11">
        <v>500</v>
      </c>
      <c r="B377" s="11"/>
      <c r="C377" s="11"/>
      <c r="D377" s="11"/>
      <c r="E377" s="11"/>
      <c r="F377" s="11" t="s">
        <v>72</v>
      </c>
      <c r="G377" s="11" t="s">
        <v>73</v>
      </c>
      <c r="H377" s="56" t="str">
        <f>VLOOKUP(Table6[[#This Row],[ICD Code]],ICD_summary!$I$3:$M$38,5,0)</f>
        <v>Tremor, other</v>
      </c>
      <c r="I377" s="12">
        <v>71.900000000000006</v>
      </c>
      <c r="J3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77" s="11" t="s">
        <v>55</v>
      </c>
      <c r="L377" s="11"/>
      <c r="M377" s="11"/>
      <c r="N377" s="11">
        <v>39.420999999999999</v>
      </c>
      <c r="O377" s="11">
        <v>42.654000000000003</v>
      </c>
      <c r="P377" s="11">
        <v>81.444000000000003</v>
      </c>
      <c r="Q377" s="11">
        <v>81.796999999999997</v>
      </c>
      <c r="R377" s="11">
        <v>52.673000000000002</v>
      </c>
      <c r="S377" s="11">
        <v>52.527999999999999</v>
      </c>
      <c r="T377" s="11">
        <v>77.441000000000003</v>
      </c>
      <c r="U377" s="11">
        <v>76.947000000000003</v>
      </c>
      <c r="V377" s="11">
        <v>64.584000000000003</v>
      </c>
      <c r="W377" s="11">
        <v>66.33</v>
      </c>
      <c r="X377" s="11">
        <v>35.415999999999997</v>
      </c>
      <c r="Y377" s="11">
        <v>33.67</v>
      </c>
      <c r="Z377" s="11">
        <v>18.088999999999999</v>
      </c>
      <c r="AA377" s="11">
        <v>13.016</v>
      </c>
      <c r="AB377" s="11">
        <v>33.67</v>
      </c>
      <c r="AC377" s="11">
        <v>35.415999999999997</v>
      </c>
      <c r="AD377" s="11">
        <v>10.6</v>
      </c>
      <c r="AE377" s="11">
        <v>12</v>
      </c>
      <c r="AF377" s="11">
        <v>14</v>
      </c>
      <c r="AG377" s="11">
        <v>12</v>
      </c>
      <c r="AH377" s="11">
        <v>12</v>
      </c>
    </row>
    <row r="378" spans="1:34" s="33" customFormat="1" x14ac:dyDescent="0.2">
      <c r="A378" s="11">
        <v>501</v>
      </c>
      <c r="B378" s="11"/>
      <c r="C378" s="11"/>
      <c r="D378" s="11"/>
      <c r="E378" s="11"/>
      <c r="F378" s="11" t="s">
        <v>76</v>
      </c>
      <c r="G378" s="11" t="s">
        <v>77</v>
      </c>
      <c r="H378" s="56" t="str">
        <f>VLOOKUP(Table6[[#This Row],[ICD Code]],ICD_summary!$I$3:$M$38,5,0)</f>
        <v>Dystonia, other</v>
      </c>
      <c r="I378" s="12">
        <v>22.9</v>
      </c>
      <c r="J3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378" s="11" t="s">
        <v>55</v>
      </c>
      <c r="L378" s="11"/>
      <c r="M378" s="11"/>
      <c r="N378" s="11">
        <v>52.825000000000003</v>
      </c>
      <c r="O378" s="11">
        <v>51.161000000000001</v>
      </c>
      <c r="P378" s="11">
        <v>104.322</v>
      </c>
      <c r="Q378" s="11">
        <v>105.038</v>
      </c>
      <c r="R378" s="11">
        <v>93.16</v>
      </c>
      <c r="S378" s="11">
        <v>94.325999999999993</v>
      </c>
      <c r="T378" s="11">
        <v>107.422</v>
      </c>
      <c r="U378" s="11">
        <v>107.779</v>
      </c>
      <c r="V378" s="11">
        <v>63.338000000000001</v>
      </c>
      <c r="W378" s="11">
        <v>62.758000000000003</v>
      </c>
      <c r="X378" s="11">
        <v>36.661999999999999</v>
      </c>
      <c r="Y378" s="11">
        <v>37.241</v>
      </c>
      <c r="Z378" s="11">
        <v>14.747999999999999</v>
      </c>
      <c r="AA378" s="11">
        <v>11.661</v>
      </c>
      <c r="AB378" s="11">
        <v>37.241</v>
      </c>
      <c r="AC378" s="11">
        <v>36.661999999999999</v>
      </c>
      <c r="AD378" s="11">
        <v>9.3360000000000003</v>
      </c>
      <c r="AE378" s="11">
        <v>17</v>
      </c>
      <c r="AF378" s="11">
        <v>15</v>
      </c>
      <c r="AG378" s="11">
        <v>15</v>
      </c>
      <c r="AH378" s="11">
        <v>15</v>
      </c>
    </row>
    <row r="379" spans="1:34" s="33" customFormat="1" x14ac:dyDescent="0.2">
      <c r="A379" s="11">
        <v>502</v>
      </c>
      <c r="B379" s="11"/>
      <c r="C379" s="11"/>
      <c r="D379" s="11"/>
      <c r="E379" s="11"/>
      <c r="F379" s="11" t="s">
        <v>51</v>
      </c>
      <c r="G379" s="11" t="s">
        <v>51</v>
      </c>
      <c r="H379" s="56" t="str">
        <f>VLOOKUP(Table6[[#This Row],[ICD Code]],ICD_summary!$I$3:$M$38,5,0)</f>
        <v>Misc/Other</v>
      </c>
      <c r="I379" s="12">
        <v>999</v>
      </c>
      <c r="J3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9" s="11" t="s">
        <v>51</v>
      </c>
      <c r="L379" s="11"/>
      <c r="M379" s="11"/>
      <c r="N379" s="11">
        <v>48.716999999999999</v>
      </c>
      <c r="O379" s="11">
        <v>51.058999999999997</v>
      </c>
      <c r="P379" s="11">
        <v>99.816000000000003</v>
      </c>
      <c r="Q379" s="11">
        <v>99.86</v>
      </c>
      <c r="R379" s="11">
        <v>90.962000000000003</v>
      </c>
      <c r="S379" s="11">
        <v>91.224000000000004</v>
      </c>
      <c r="T379" s="11">
        <v>109.444</v>
      </c>
      <c r="U379" s="11">
        <v>109.548</v>
      </c>
      <c r="V379" s="11">
        <v>67.001000000000005</v>
      </c>
      <c r="W379" s="11">
        <v>65.116</v>
      </c>
      <c r="X379" s="11">
        <v>32.999000000000002</v>
      </c>
      <c r="Y379" s="11">
        <v>34.884</v>
      </c>
      <c r="Z379" s="11">
        <v>16.757999999999999</v>
      </c>
      <c r="AA379" s="11">
        <v>15.43</v>
      </c>
      <c r="AB379" s="11">
        <v>34.884</v>
      </c>
      <c r="AC379" s="11">
        <v>32.999000000000002</v>
      </c>
      <c r="AD379" s="11">
        <v>11.004</v>
      </c>
      <c r="AE379" s="11">
        <v>16</v>
      </c>
      <c r="AF379" s="11">
        <v>17</v>
      </c>
      <c r="AG379" s="11">
        <v>16</v>
      </c>
      <c r="AH379" s="11">
        <v>16</v>
      </c>
    </row>
    <row r="380" spans="1:34" s="33" customFormat="1" x14ac:dyDescent="0.2">
      <c r="A380" s="11">
        <v>503</v>
      </c>
      <c r="B380" s="11"/>
      <c r="C380" s="11"/>
      <c r="D380" s="11"/>
      <c r="E380" s="11"/>
      <c r="F380" s="11" t="s">
        <v>51</v>
      </c>
      <c r="G380" s="11" t="s">
        <v>51</v>
      </c>
      <c r="H380" s="56" t="str">
        <f>VLOOKUP(Table6[[#This Row],[ICD Code]],ICD_summary!$I$3:$M$38,5,0)</f>
        <v>Misc/Other</v>
      </c>
      <c r="I380" s="12">
        <v>999</v>
      </c>
      <c r="J3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80" s="11" t="s">
        <v>51</v>
      </c>
      <c r="L380" s="11"/>
      <c r="M380" s="11"/>
      <c r="N380" s="11">
        <v>46.743000000000002</v>
      </c>
      <c r="O380" s="11">
        <v>46.94</v>
      </c>
      <c r="P380" s="11">
        <v>93.317999999999998</v>
      </c>
      <c r="Q380" s="11">
        <v>94.707999999999998</v>
      </c>
      <c r="R380" s="11">
        <v>84.179000000000002</v>
      </c>
      <c r="S380" s="11">
        <v>85.009</v>
      </c>
      <c r="T380" s="11">
        <v>107.932</v>
      </c>
      <c r="U380" s="11">
        <v>107.872</v>
      </c>
      <c r="V380" s="11">
        <v>64.382999999999996</v>
      </c>
      <c r="W380" s="11">
        <v>64.25</v>
      </c>
      <c r="X380" s="11">
        <v>35.616999999999997</v>
      </c>
      <c r="Y380" s="11">
        <v>35.75</v>
      </c>
      <c r="Z380" s="11">
        <v>14.117000000000001</v>
      </c>
      <c r="AA380" s="11">
        <v>14.842000000000001</v>
      </c>
      <c r="AB380" s="11">
        <v>35.75</v>
      </c>
      <c r="AC380" s="11">
        <v>35.616999999999997</v>
      </c>
      <c r="AD380" s="11">
        <v>7.7350000000000003</v>
      </c>
      <c r="AE380" s="11">
        <v>13</v>
      </c>
      <c r="AF380" s="11">
        <v>13</v>
      </c>
      <c r="AG380" s="11">
        <v>13</v>
      </c>
      <c r="AH380" s="11">
        <v>13</v>
      </c>
    </row>
    <row r="381" spans="1:34" s="33" customFormat="1" x14ac:dyDescent="0.2">
      <c r="A381" s="11">
        <v>504</v>
      </c>
      <c r="B381" s="11"/>
      <c r="C381" s="11"/>
      <c r="D381" s="11"/>
      <c r="E381" s="11"/>
      <c r="F381" s="11" t="s">
        <v>62</v>
      </c>
      <c r="G381" s="11" t="s">
        <v>63</v>
      </c>
      <c r="H381" s="56" t="str">
        <f>VLOOKUP(Table6[[#This Row],[ICD Code]],ICD_summary!$I$3:$M$38,5,0)</f>
        <v>PD</v>
      </c>
      <c r="I381" s="12">
        <v>69.400000000000006</v>
      </c>
      <c r="J3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1" s="11" t="s">
        <v>52</v>
      </c>
      <c r="L381" s="11"/>
      <c r="M381" s="11"/>
      <c r="N381" s="11">
        <v>70.367000000000004</v>
      </c>
      <c r="O381" s="11">
        <v>64.245999999999995</v>
      </c>
      <c r="P381" s="11">
        <v>134.88999999999999</v>
      </c>
      <c r="Q381" s="11">
        <v>135.26499999999999</v>
      </c>
      <c r="R381" s="11">
        <v>122.43300000000001</v>
      </c>
      <c r="S381" s="11">
        <v>122.633</v>
      </c>
      <c r="T381" s="11">
        <v>108.51300000000001</v>
      </c>
      <c r="U381" s="11">
        <v>108.74</v>
      </c>
      <c r="V381" s="11">
        <v>61.179000000000002</v>
      </c>
      <c r="W381" s="11">
        <v>61.85</v>
      </c>
      <c r="X381" s="11">
        <v>38.820999999999998</v>
      </c>
      <c r="Y381" s="11">
        <v>38.15</v>
      </c>
      <c r="Z381" s="11">
        <v>12.509</v>
      </c>
      <c r="AA381" s="11">
        <v>11.071999999999999</v>
      </c>
      <c r="AB381" s="11">
        <v>38.15</v>
      </c>
      <c r="AC381" s="11">
        <v>38.820999999999998</v>
      </c>
      <c r="AD381" s="11">
        <v>9.07</v>
      </c>
      <c r="AE381" s="11">
        <v>15</v>
      </c>
      <c r="AF381" s="11">
        <v>15</v>
      </c>
      <c r="AG381" s="11">
        <v>15</v>
      </c>
      <c r="AH381" s="11">
        <v>15</v>
      </c>
    </row>
    <row r="382" spans="1:34" s="33" customFormat="1" x14ac:dyDescent="0.2">
      <c r="A382" s="11">
        <v>505</v>
      </c>
      <c r="B382" s="11"/>
      <c r="C382" s="11"/>
      <c r="D382" s="11"/>
      <c r="E382" s="11"/>
      <c r="F382" s="11" t="s">
        <v>62</v>
      </c>
      <c r="G382" s="11" t="s">
        <v>63</v>
      </c>
      <c r="H382" s="56" t="str">
        <f>VLOOKUP(Table6[[#This Row],[ICD Code]],ICD_summary!$I$3:$M$38,5,0)</f>
        <v>PD</v>
      </c>
      <c r="I382" s="12">
        <v>55.6</v>
      </c>
      <c r="J3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2" s="11" t="s">
        <v>52</v>
      </c>
      <c r="L382" s="11"/>
      <c r="M382" s="11"/>
      <c r="N382" s="11">
        <v>34.563000000000002</v>
      </c>
      <c r="O382" s="11">
        <v>29.260999999999999</v>
      </c>
      <c r="P382" s="11">
        <v>64.915000000000006</v>
      </c>
      <c r="Q382" s="11">
        <v>63.085999999999999</v>
      </c>
      <c r="R382" s="11">
        <v>63.124000000000002</v>
      </c>
      <c r="S382" s="11">
        <v>62.445</v>
      </c>
      <c r="T382" s="11">
        <v>115.666</v>
      </c>
      <c r="U382" s="11">
        <v>116.175</v>
      </c>
      <c r="V382" s="11">
        <v>63.222000000000001</v>
      </c>
      <c r="W382" s="11">
        <v>64.281000000000006</v>
      </c>
      <c r="X382" s="11">
        <v>36.777999999999999</v>
      </c>
      <c r="Y382" s="11">
        <v>35.719000000000001</v>
      </c>
      <c r="Z382" s="11">
        <v>14.262</v>
      </c>
      <c r="AA382" s="11">
        <v>13.635999999999999</v>
      </c>
      <c r="AB382" s="11">
        <v>35.719000000000001</v>
      </c>
      <c r="AC382" s="11">
        <v>36.777999999999999</v>
      </c>
      <c r="AD382" s="11">
        <v>9.8369999999999997</v>
      </c>
      <c r="AE382" s="11">
        <v>15</v>
      </c>
      <c r="AF382" s="11">
        <v>16</v>
      </c>
      <c r="AG382" s="11">
        <v>15</v>
      </c>
      <c r="AH382" s="11">
        <v>15</v>
      </c>
    </row>
    <row r="383" spans="1:34" s="33" customFormat="1" x14ac:dyDescent="0.2">
      <c r="A383" s="11">
        <v>506</v>
      </c>
      <c r="B383" s="11"/>
      <c r="C383" s="11"/>
      <c r="D383" s="11"/>
      <c r="E383" s="11"/>
      <c r="F383" s="11" t="s">
        <v>62</v>
      </c>
      <c r="G383" s="11" t="s">
        <v>63</v>
      </c>
      <c r="H383" s="56" t="str">
        <f>VLOOKUP(Table6[[#This Row],[ICD Code]],ICD_summary!$I$3:$M$38,5,0)</f>
        <v>PD</v>
      </c>
      <c r="I383" s="12">
        <v>59.3</v>
      </c>
      <c r="J3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3" s="11" t="s">
        <v>55</v>
      </c>
      <c r="L383" s="11"/>
      <c r="M383" s="11"/>
      <c r="N383" s="11">
        <v>49.677</v>
      </c>
      <c r="O383" s="11">
        <v>51.075000000000003</v>
      </c>
      <c r="P383" s="11">
        <v>101.16200000000001</v>
      </c>
      <c r="Q383" s="11">
        <v>100.782</v>
      </c>
      <c r="R383" s="11">
        <v>92.436000000000007</v>
      </c>
      <c r="S383" s="11">
        <v>92.850999999999999</v>
      </c>
      <c r="T383" s="11">
        <v>110.80800000000001</v>
      </c>
      <c r="U383" s="11">
        <v>109.98699999999999</v>
      </c>
      <c r="V383" s="11">
        <v>60.381999999999998</v>
      </c>
      <c r="W383" s="11">
        <v>62.845999999999997</v>
      </c>
      <c r="X383" s="11">
        <v>39.618000000000002</v>
      </c>
      <c r="Y383" s="11">
        <v>37.154000000000003</v>
      </c>
      <c r="Z383" s="11">
        <v>11.087</v>
      </c>
      <c r="AA383" s="11">
        <v>12.08</v>
      </c>
      <c r="AB383" s="11">
        <v>37.154000000000003</v>
      </c>
      <c r="AC383" s="11">
        <v>39.618000000000002</v>
      </c>
      <c r="AD383" s="11">
        <v>11.175000000000001</v>
      </c>
      <c r="AE383" s="11">
        <v>11</v>
      </c>
      <c r="AF383" s="11">
        <v>12</v>
      </c>
      <c r="AG383" s="11">
        <v>11</v>
      </c>
      <c r="AH383" s="11">
        <v>11</v>
      </c>
    </row>
    <row r="384" spans="1:34" s="33" customFormat="1" x14ac:dyDescent="0.2">
      <c r="A384" s="11">
        <v>507</v>
      </c>
      <c r="B384" s="11"/>
      <c r="C384" s="11"/>
      <c r="D384" s="11"/>
      <c r="E384" s="11"/>
      <c r="F384" s="11" t="s">
        <v>62</v>
      </c>
      <c r="G384" s="11" t="s">
        <v>63</v>
      </c>
      <c r="H384" s="56" t="str">
        <f>VLOOKUP(Table6[[#This Row],[ICD Code]],ICD_summary!$I$3:$M$38,5,0)</f>
        <v>PD</v>
      </c>
      <c r="I384" s="12">
        <v>73</v>
      </c>
      <c r="J3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4" s="11" t="s">
        <v>52</v>
      </c>
      <c r="L384" s="11"/>
      <c r="M384" s="11"/>
      <c r="N384" s="11">
        <v>52.703000000000003</v>
      </c>
      <c r="O384" s="11">
        <v>57.869</v>
      </c>
      <c r="P384" s="11">
        <v>110.60599999999999</v>
      </c>
      <c r="Q384" s="11">
        <v>110.699</v>
      </c>
      <c r="R384" s="11">
        <v>107.3</v>
      </c>
      <c r="S384" s="11">
        <v>107.289</v>
      </c>
      <c r="T384" s="11">
        <v>116.386</v>
      </c>
      <c r="U384" s="11">
        <v>116.45099999999999</v>
      </c>
      <c r="V384" s="11">
        <v>61.978999999999999</v>
      </c>
      <c r="W384" s="11">
        <v>62.999000000000002</v>
      </c>
      <c r="X384" s="11">
        <v>38.021000000000001</v>
      </c>
      <c r="Y384" s="11">
        <v>37.000999999999998</v>
      </c>
      <c r="Z384" s="11">
        <v>11.452999999999999</v>
      </c>
      <c r="AA384" s="11">
        <v>13.92</v>
      </c>
      <c r="AB384" s="11">
        <v>37.000999999999998</v>
      </c>
      <c r="AC384" s="11">
        <v>38.021000000000001</v>
      </c>
      <c r="AD384" s="11">
        <v>10.55</v>
      </c>
      <c r="AE384" s="11">
        <v>17</v>
      </c>
      <c r="AF384" s="11">
        <v>17</v>
      </c>
      <c r="AG384" s="11">
        <v>17</v>
      </c>
      <c r="AH384" s="11">
        <v>17</v>
      </c>
    </row>
    <row r="385" spans="1:34" s="33" customFormat="1" x14ac:dyDescent="0.2">
      <c r="A385" s="11">
        <v>508</v>
      </c>
      <c r="B385" s="11"/>
      <c r="C385" s="11"/>
      <c r="D385" s="11"/>
      <c r="E385" s="11"/>
      <c r="F385" s="11" t="s">
        <v>62</v>
      </c>
      <c r="G385" s="11" t="s">
        <v>63</v>
      </c>
      <c r="H385" s="56" t="str">
        <f>VLOOKUP(Table6[[#This Row],[ICD Code]],ICD_summary!$I$3:$M$38,5,0)</f>
        <v>PD</v>
      </c>
      <c r="I385" s="12">
        <v>66.5</v>
      </c>
      <c r="J3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5" s="11" t="s">
        <v>52</v>
      </c>
      <c r="L385" s="11"/>
      <c r="M385" s="11"/>
      <c r="N385" s="11">
        <v>60.786000000000001</v>
      </c>
      <c r="O385" s="11">
        <v>57.296999999999997</v>
      </c>
      <c r="P385" s="11">
        <v>118.001</v>
      </c>
      <c r="Q385" s="11">
        <v>118.301</v>
      </c>
      <c r="R385" s="11">
        <v>112.242</v>
      </c>
      <c r="S385" s="11">
        <v>112.818</v>
      </c>
      <c r="T385" s="11">
        <v>114.533</v>
      </c>
      <c r="U385" s="11">
        <v>114.545</v>
      </c>
      <c r="V385" s="11">
        <v>65.983000000000004</v>
      </c>
      <c r="W385" s="11">
        <v>61.886000000000003</v>
      </c>
      <c r="X385" s="11">
        <v>34.017000000000003</v>
      </c>
      <c r="Y385" s="11">
        <v>38.113999999999997</v>
      </c>
      <c r="Z385" s="11">
        <v>14.755000000000001</v>
      </c>
      <c r="AA385" s="11">
        <v>13.448</v>
      </c>
      <c r="AB385" s="11">
        <v>38.113999999999997</v>
      </c>
      <c r="AC385" s="11">
        <v>34.017000000000003</v>
      </c>
      <c r="AD385" s="11">
        <v>11.069000000000001</v>
      </c>
      <c r="AE385" s="11">
        <v>21</v>
      </c>
      <c r="AF385" s="11">
        <v>20</v>
      </c>
      <c r="AG385" s="11">
        <v>20</v>
      </c>
      <c r="AH385" s="11">
        <v>20</v>
      </c>
    </row>
    <row r="386" spans="1:34" s="33" customFormat="1" x14ac:dyDescent="0.2">
      <c r="A386" s="11">
        <v>509</v>
      </c>
      <c r="B386" s="11"/>
      <c r="C386" s="11"/>
      <c r="D386" s="11"/>
      <c r="E386" s="11"/>
      <c r="F386" s="11" t="s">
        <v>68</v>
      </c>
      <c r="G386" s="11" t="s">
        <v>69</v>
      </c>
      <c r="H386" s="56" t="str">
        <f>VLOOKUP(Table6[[#This Row],[ICD Code]],ICD_summary!$I$3:$M$38,5,0)</f>
        <v>Tremor, essential tremor</v>
      </c>
      <c r="I386" s="12">
        <v>59.8</v>
      </c>
      <c r="J3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6" s="11" t="s">
        <v>52</v>
      </c>
      <c r="L386" s="11"/>
      <c r="M386" s="11"/>
      <c r="N386" s="11">
        <v>41.399000000000001</v>
      </c>
      <c r="O386" s="11">
        <v>45.84</v>
      </c>
      <c r="P386" s="11">
        <v>88.113</v>
      </c>
      <c r="Q386" s="11">
        <v>87.387</v>
      </c>
      <c r="R386" s="11">
        <v>66.19</v>
      </c>
      <c r="S386" s="11">
        <v>66.132000000000005</v>
      </c>
      <c r="T386" s="11">
        <v>89.86</v>
      </c>
      <c r="U386" s="11">
        <v>90.587000000000003</v>
      </c>
      <c r="V386" s="11">
        <v>65.911000000000001</v>
      </c>
      <c r="W386" s="11">
        <v>62.354999999999997</v>
      </c>
      <c r="X386" s="11">
        <v>34.088999999999999</v>
      </c>
      <c r="Y386" s="11">
        <v>37.645000000000003</v>
      </c>
      <c r="Z386" s="11">
        <v>11.502000000000001</v>
      </c>
      <c r="AA386" s="11">
        <v>16.77</v>
      </c>
      <c r="AB386" s="11">
        <v>37.645000000000003</v>
      </c>
      <c r="AC386" s="11">
        <v>34.088999999999999</v>
      </c>
      <c r="AD386" s="11">
        <v>16.196999999999999</v>
      </c>
      <c r="AE386" s="11">
        <v>15</v>
      </c>
      <c r="AF386" s="11">
        <v>16</v>
      </c>
      <c r="AG386" s="11">
        <v>15</v>
      </c>
      <c r="AH386" s="11">
        <v>15</v>
      </c>
    </row>
    <row r="387" spans="1:34" s="33" customFormat="1" x14ac:dyDescent="0.2">
      <c r="A387" s="11">
        <v>510</v>
      </c>
      <c r="B387" s="11"/>
      <c r="C387" s="11"/>
      <c r="D387" s="11"/>
      <c r="E387" s="11"/>
      <c r="F387" s="11" t="s">
        <v>51</v>
      </c>
      <c r="G387" s="11" t="s">
        <v>51</v>
      </c>
      <c r="H387" s="56" t="str">
        <f>VLOOKUP(Table6[[#This Row],[ICD Code]],ICD_summary!$I$3:$M$38,5,0)</f>
        <v>Misc/Other</v>
      </c>
      <c r="I387" s="12">
        <v>999</v>
      </c>
      <c r="J3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87" s="11" t="s">
        <v>51</v>
      </c>
      <c r="L387" s="11"/>
      <c r="M387" s="11"/>
      <c r="N387" s="11" t="s">
        <v>51</v>
      </c>
      <c r="O387" s="11" t="s">
        <v>51</v>
      </c>
      <c r="P387" s="11" t="s">
        <v>51</v>
      </c>
      <c r="Q387" s="11" t="s">
        <v>51</v>
      </c>
      <c r="R387" s="11" t="s">
        <v>51</v>
      </c>
      <c r="S387" s="11" t="s">
        <v>51</v>
      </c>
      <c r="T387" s="11" t="s">
        <v>51</v>
      </c>
      <c r="U387" s="11" t="s">
        <v>51</v>
      </c>
      <c r="V387" s="11" t="s">
        <v>51</v>
      </c>
      <c r="W387" s="11" t="s">
        <v>51</v>
      </c>
      <c r="X387" s="11" t="s">
        <v>51</v>
      </c>
      <c r="Y387" s="11" t="s">
        <v>51</v>
      </c>
      <c r="Z387" s="11" t="s">
        <v>51</v>
      </c>
      <c r="AA387" s="11" t="s">
        <v>51</v>
      </c>
      <c r="AB387" s="11" t="s">
        <v>51</v>
      </c>
      <c r="AC387" s="11" t="s">
        <v>51</v>
      </c>
      <c r="AD387" s="11" t="s">
        <v>51</v>
      </c>
      <c r="AE387" s="11" t="s">
        <v>51</v>
      </c>
      <c r="AF387" s="11" t="s">
        <v>51</v>
      </c>
      <c r="AG387" s="11" t="s">
        <v>51</v>
      </c>
      <c r="AH387" s="11" t="s">
        <v>51</v>
      </c>
    </row>
    <row r="388" spans="1:34" s="33" customFormat="1" x14ac:dyDescent="0.2">
      <c r="A388" s="11">
        <v>511</v>
      </c>
      <c r="B388" s="11"/>
      <c r="C388" s="11"/>
      <c r="D388" s="11"/>
      <c r="E388" s="11"/>
      <c r="F388" s="11" t="s">
        <v>68</v>
      </c>
      <c r="G388" s="11" t="s">
        <v>69</v>
      </c>
      <c r="H388" s="56" t="str">
        <f>VLOOKUP(Table6[[#This Row],[ICD Code]],ICD_summary!$I$3:$M$38,5,0)</f>
        <v>Tremor, essential tremor</v>
      </c>
      <c r="I388" s="12">
        <v>65.2</v>
      </c>
      <c r="J3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8" s="11" t="s">
        <v>55</v>
      </c>
      <c r="L388" s="11"/>
      <c r="M388" s="11"/>
      <c r="N388" s="11">
        <v>53.561</v>
      </c>
      <c r="O388" s="11">
        <v>55.506</v>
      </c>
      <c r="P388" s="11">
        <v>109.146</v>
      </c>
      <c r="Q388" s="11">
        <v>109.367</v>
      </c>
      <c r="R388" s="11">
        <v>99.747</v>
      </c>
      <c r="S388" s="11">
        <v>99.867000000000004</v>
      </c>
      <c r="T388" s="11">
        <v>109.68</v>
      </c>
      <c r="U388" s="11">
        <v>109.56100000000001</v>
      </c>
      <c r="V388" s="11">
        <v>63.573999999999998</v>
      </c>
      <c r="W388" s="11">
        <v>62.655000000000001</v>
      </c>
      <c r="X388" s="11">
        <v>36.426000000000002</v>
      </c>
      <c r="Y388" s="11">
        <v>37.344999999999999</v>
      </c>
      <c r="Z388" s="11">
        <v>13.295999999999999</v>
      </c>
      <c r="AA388" s="11">
        <v>12.935</v>
      </c>
      <c r="AB388" s="11">
        <v>37.344999999999999</v>
      </c>
      <c r="AC388" s="11">
        <v>36.426000000000002</v>
      </c>
      <c r="AD388" s="11">
        <v>6.8680000000000003</v>
      </c>
      <c r="AE388" s="11">
        <v>19</v>
      </c>
      <c r="AF388" s="11">
        <v>18</v>
      </c>
      <c r="AG388" s="11">
        <v>18</v>
      </c>
      <c r="AH388" s="11">
        <v>18</v>
      </c>
    </row>
    <row r="389" spans="1:34" s="33" customFormat="1" x14ac:dyDescent="0.2">
      <c r="A389" s="11">
        <v>512</v>
      </c>
      <c r="B389" s="11"/>
      <c r="C389" s="11"/>
      <c r="D389" s="11"/>
      <c r="E389" s="11"/>
      <c r="F389" s="11" t="s">
        <v>68</v>
      </c>
      <c r="G389" s="11" t="s">
        <v>69</v>
      </c>
      <c r="H389" s="56" t="str">
        <f>VLOOKUP(Table6[[#This Row],[ICD Code]],ICD_summary!$I$3:$M$38,5,0)</f>
        <v>Tremor, essential tremor</v>
      </c>
      <c r="I389" s="12">
        <v>75.099999999999994</v>
      </c>
      <c r="J3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9" s="11" t="s">
        <v>52</v>
      </c>
      <c r="L389" s="11"/>
      <c r="M389" s="11"/>
      <c r="N389" s="11">
        <v>27.895</v>
      </c>
      <c r="O389" s="11">
        <v>29.032</v>
      </c>
      <c r="P389" s="11">
        <v>57.018999999999998</v>
      </c>
      <c r="Q389" s="11">
        <v>59.49</v>
      </c>
      <c r="R389" s="11">
        <v>32.369</v>
      </c>
      <c r="S389" s="11">
        <v>32.44</v>
      </c>
      <c r="T389" s="11">
        <v>66.268000000000001</v>
      </c>
      <c r="U389" s="11">
        <v>67.039000000000001</v>
      </c>
      <c r="V389" s="11">
        <v>72.927000000000007</v>
      </c>
      <c r="W389" s="11">
        <v>71.927999999999997</v>
      </c>
      <c r="X389" s="11">
        <v>27.073</v>
      </c>
      <c r="Y389" s="11">
        <v>28.071999999999999</v>
      </c>
      <c r="Z389" s="11">
        <v>24.504000000000001</v>
      </c>
      <c r="AA389" s="11">
        <v>19.791</v>
      </c>
      <c r="AB389" s="11">
        <v>28.071999999999999</v>
      </c>
      <c r="AC389" s="11">
        <v>27.073</v>
      </c>
      <c r="AD389" s="11">
        <v>15.715</v>
      </c>
      <c r="AE389" s="11">
        <v>13</v>
      </c>
      <c r="AF389" s="11">
        <v>11</v>
      </c>
      <c r="AG389" s="11">
        <v>11</v>
      </c>
      <c r="AH389" s="11">
        <v>11</v>
      </c>
    </row>
    <row r="390" spans="1:34" s="33" customFormat="1" x14ac:dyDescent="0.2">
      <c r="A390" s="11">
        <v>513</v>
      </c>
      <c r="B390" s="11"/>
      <c r="C390" s="11"/>
      <c r="D390" s="11"/>
      <c r="E390" s="11"/>
      <c r="F390" s="11" t="s">
        <v>68</v>
      </c>
      <c r="G390" s="11" t="s">
        <v>69</v>
      </c>
      <c r="H390" s="56" t="str">
        <f>VLOOKUP(Table6[[#This Row],[ICD Code]],ICD_summary!$I$3:$M$38,5,0)</f>
        <v>Tremor, essential tremor</v>
      </c>
      <c r="I390" s="12">
        <v>70.400000000000006</v>
      </c>
      <c r="J3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0" s="11" t="s">
        <v>52</v>
      </c>
      <c r="L390" s="11"/>
      <c r="M390" s="11"/>
      <c r="N390" s="11">
        <v>52.91</v>
      </c>
      <c r="O390" s="11">
        <v>56.243000000000002</v>
      </c>
      <c r="P390" s="11">
        <v>109.044</v>
      </c>
      <c r="Q390" s="11">
        <v>108.592</v>
      </c>
      <c r="R390" s="11">
        <v>85.423000000000002</v>
      </c>
      <c r="S390" s="11">
        <v>84.518000000000001</v>
      </c>
      <c r="T390" s="11">
        <v>93.311000000000007</v>
      </c>
      <c r="U390" s="11">
        <v>92.96</v>
      </c>
      <c r="V390" s="11">
        <v>65.978999999999999</v>
      </c>
      <c r="W390" s="11">
        <v>64.69</v>
      </c>
      <c r="X390" s="11">
        <v>34.021000000000001</v>
      </c>
      <c r="Y390" s="11">
        <v>35.31</v>
      </c>
      <c r="Z390" s="11">
        <v>15.779</v>
      </c>
      <c r="AA390" s="11">
        <v>15.226000000000001</v>
      </c>
      <c r="AB390" s="11">
        <v>35.31</v>
      </c>
      <c r="AC390" s="11">
        <v>34.021000000000001</v>
      </c>
      <c r="AD390" s="11">
        <v>16.73</v>
      </c>
      <c r="AE390" s="11">
        <v>16</v>
      </c>
      <c r="AF390" s="11">
        <v>13</v>
      </c>
      <c r="AG390" s="11">
        <v>13</v>
      </c>
      <c r="AH390" s="11">
        <v>13</v>
      </c>
    </row>
    <row r="391" spans="1:34" s="33" customFormat="1" x14ac:dyDescent="0.2">
      <c r="A391" s="11">
        <v>514</v>
      </c>
      <c r="B391" s="11"/>
      <c r="C391" s="11"/>
      <c r="D391" s="11"/>
      <c r="E391" s="11"/>
      <c r="F391" s="11" t="s">
        <v>68</v>
      </c>
      <c r="G391" s="11" t="s">
        <v>69</v>
      </c>
      <c r="H391" s="56" t="str">
        <f>VLOOKUP(Table6[[#This Row],[ICD Code]],ICD_summary!$I$3:$M$38,5,0)</f>
        <v>Tremor, essential tremor</v>
      </c>
      <c r="I391" s="12">
        <v>74.5</v>
      </c>
      <c r="J3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1" s="11" t="s">
        <v>52</v>
      </c>
      <c r="L391" s="11"/>
      <c r="M391" s="11"/>
      <c r="N391" s="11">
        <v>58.279000000000003</v>
      </c>
      <c r="O391" s="11">
        <v>57.76</v>
      </c>
      <c r="P391" s="11">
        <v>117.724</v>
      </c>
      <c r="Q391" s="11">
        <v>116.086</v>
      </c>
      <c r="R391" s="11">
        <v>88.433999999999997</v>
      </c>
      <c r="S391" s="11">
        <v>87.644999999999996</v>
      </c>
      <c r="T391" s="11">
        <v>90.096999999999994</v>
      </c>
      <c r="U391" s="11">
        <v>90.076999999999998</v>
      </c>
      <c r="V391" s="11">
        <v>63.252000000000002</v>
      </c>
      <c r="W391" s="11">
        <v>65.409000000000006</v>
      </c>
      <c r="X391" s="11">
        <v>36.747999999999998</v>
      </c>
      <c r="Y391" s="11">
        <v>34.591000000000001</v>
      </c>
      <c r="Z391" s="11">
        <v>14.27</v>
      </c>
      <c r="AA391" s="11">
        <v>15.1</v>
      </c>
      <c r="AB391" s="11">
        <v>34.591000000000001</v>
      </c>
      <c r="AC391" s="11">
        <v>36.747999999999998</v>
      </c>
      <c r="AD391" s="11">
        <v>10.917999999999999</v>
      </c>
      <c r="AE391" s="11">
        <v>13</v>
      </c>
      <c r="AF391" s="11">
        <v>15</v>
      </c>
      <c r="AG391" s="11">
        <v>13</v>
      </c>
      <c r="AH391" s="11">
        <v>13</v>
      </c>
    </row>
    <row r="392" spans="1:34" s="33" customFormat="1" x14ac:dyDescent="0.2">
      <c r="A392" s="11">
        <v>515</v>
      </c>
      <c r="B392" s="11"/>
      <c r="C392" s="11"/>
      <c r="D392" s="11"/>
      <c r="E392" s="11"/>
      <c r="F392" s="11" t="s">
        <v>68</v>
      </c>
      <c r="G392" s="11" t="s">
        <v>69</v>
      </c>
      <c r="H392" s="56" t="str">
        <f>VLOOKUP(Table6[[#This Row],[ICD Code]],ICD_summary!$I$3:$M$38,5,0)</f>
        <v>Tremor, essential tremor</v>
      </c>
      <c r="I392" s="12">
        <v>71.8</v>
      </c>
      <c r="J3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2" s="11" t="s">
        <v>52</v>
      </c>
      <c r="L392" s="11"/>
      <c r="M392" s="11"/>
      <c r="N392" s="11">
        <v>55.838000000000001</v>
      </c>
      <c r="O392" s="11">
        <v>60.033999999999999</v>
      </c>
      <c r="P392" s="11">
        <v>116.67</v>
      </c>
      <c r="Q392" s="11">
        <v>116.33499999999999</v>
      </c>
      <c r="R392" s="11">
        <v>121.358</v>
      </c>
      <c r="S392" s="11">
        <v>121.285</v>
      </c>
      <c r="T392" s="11">
        <v>124.76600000000001</v>
      </c>
      <c r="U392" s="11">
        <v>124.68</v>
      </c>
      <c r="V392" s="11">
        <v>65.36</v>
      </c>
      <c r="W392" s="11">
        <v>61.030999999999999</v>
      </c>
      <c r="X392" s="11">
        <v>34.64</v>
      </c>
      <c r="Y392" s="11">
        <v>38.969000000000001</v>
      </c>
      <c r="Z392" s="11">
        <v>13.592000000000001</v>
      </c>
      <c r="AA392" s="11">
        <v>13.368</v>
      </c>
      <c r="AB392" s="11">
        <v>38.969000000000001</v>
      </c>
      <c r="AC392" s="11">
        <v>34.64</v>
      </c>
      <c r="AD392" s="11">
        <v>12.676</v>
      </c>
      <c r="AE392" s="11">
        <v>20</v>
      </c>
      <c r="AF392" s="11">
        <v>22</v>
      </c>
      <c r="AG392" s="11">
        <v>20</v>
      </c>
      <c r="AH392" s="11">
        <v>20</v>
      </c>
    </row>
    <row r="393" spans="1:34" s="33" customFormat="1" x14ac:dyDescent="0.2">
      <c r="A393" s="11">
        <v>516</v>
      </c>
      <c r="B393" s="11"/>
      <c r="C393" s="11"/>
      <c r="D393" s="11"/>
      <c r="E393" s="11"/>
      <c r="F393" s="11" t="s">
        <v>62</v>
      </c>
      <c r="G393" s="11" t="s">
        <v>63</v>
      </c>
      <c r="H393" s="56" t="str">
        <f>VLOOKUP(Table6[[#This Row],[ICD Code]],ICD_summary!$I$3:$M$38,5,0)</f>
        <v>PD</v>
      </c>
      <c r="I393" s="12">
        <v>69.900000000000006</v>
      </c>
      <c r="J3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3" s="11" t="s">
        <v>52</v>
      </c>
      <c r="L393" s="11"/>
      <c r="M393" s="11"/>
      <c r="N393" s="11">
        <v>62.070999999999998</v>
      </c>
      <c r="O393" s="11">
        <v>65.433000000000007</v>
      </c>
      <c r="P393" s="11">
        <v>127.16500000000001</v>
      </c>
      <c r="Q393" s="11">
        <v>128.154</v>
      </c>
      <c r="R393" s="11">
        <v>127.90900000000001</v>
      </c>
      <c r="S393" s="11">
        <v>129.30500000000001</v>
      </c>
      <c r="T393" s="11">
        <v>120.429</v>
      </c>
      <c r="U393" s="11">
        <v>121.089</v>
      </c>
      <c r="V393" s="11">
        <v>62.143000000000001</v>
      </c>
      <c r="W393" s="11">
        <v>63.325000000000003</v>
      </c>
      <c r="X393" s="11">
        <v>37.856999999999999</v>
      </c>
      <c r="Y393" s="11">
        <v>36.674999999999997</v>
      </c>
      <c r="Z393" s="11">
        <v>13.17</v>
      </c>
      <c r="AA393" s="11">
        <v>12.731999999999999</v>
      </c>
      <c r="AB393" s="11">
        <v>36.674999999999997</v>
      </c>
      <c r="AC393" s="11">
        <v>37.856999999999999</v>
      </c>
      <c r="AD393" s="11">
        <v>11.218</v>
      </c>
      <c r="AE393" s="11">
        <v>25</v>
      </c>
      <c r="AF393" s="11">
        <v>25</v>
      </c>
      <c r="AG393" s="11">
        <v>25</v>
      </c>
      <c r="AH393" s="11">
        <v>25</v>
      </c>
    </row>
    <row r="394" spans="1:34" s="33" customFormat="1" x14ac:dyDescent="0.2">
      <c r="A394" s="11">
        <v>517</v>
      </c>
      <c r="B394" s="11"/>
      <c r="C394" s="11"/>
      <c r="D394" s="11"/>
      <c r="E394" s="11"/>
      <c r="F394" s="11" t="s">
        <v>68</v>
      </c>
      <c r="G394" s="11" t="s">
        <v>69</v>
      </c>
      <c r="H394" s="56" t="str">
        <f>VLOOKUP(Table6[[#This Row],[ICD Code]],ICD_summary!$I$3:$M$38,5,0)</f>
        <v>Tremor, essential tremor</v>
      </c>
      <c r="I394" s="12">
        <v>69.3</v>
      </c>
      <c r="J3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4" s="11" t="s">
        <v>55</v>
      </c>
      <c r="L394" s="11"/>
      <c r="M394" s="11"/>
      <c r="N394" s="11">
        <v>57.959000000000003</v>
      </c>
      <c r="O394" s="11">
        <v>56.015000000000001</v>
      </c>
      <c r="P394" s="11">
        <v>113.724</v>
      </c>
      <c r="Q394" s="11">
        <v>114.56</v>
      </c>
      <c r="R394" s="11">
        <v>101.069</v>
      </c>
      <c r="S394" s="11">
        <v>102.515</v>
      </c>
      <c r="T394" s="11">
        <v>106.917</v>
      </c>
      <c r="U394" s="11">
        <v>107.268</v>
      </c>
      <c r="V394" s="11">
        <v>60.643000000000001</v>
      </c>
      <c r="W394" s="11">
        <v>62.128999999999998</v>
      </c>
      <c r="X394" s="11">
        <v>39.356999999999999</v>
      </c>
      <c r="Y394" s="11">
        <v>37.871000000000002</v>
      </c>
      <c r="Z394" s="11">
        <v>11.132</v>
      </c>
      <c r="AA394" s="11">
        <v>12.117000000000001</v>
      </c>
      <c r="AB394" s="11">
        <v>37.871000000000002</v>
      </c>
      <c r="AC394" s="11">
        <v>39.356999999999999</v>
      </c>
      <c r="AD394" s="11">
        <v>10.564</v>
      </c>
      <c r="AE394" s="11">
        <v>22</v>
      </c>
      <c r="AF394" s="11">
        <v>18</v>
      </c>
      <c r="AG394" s="11">
        <v>18</v>
      </c>
      <c r="AH394" s="11">
        <v>18</v>
      </c>
    </row>
    <row r="395" spans="1:34" s="33" customFormat="1" x14ac:dyDescent="0.2">
      <c r="A395" s="11">
        <v>518</v>
      </c>
      <c r="B395" s="11"/>
      <c r="C395" s="11"/>
      <c r="D395" s="11"/>
      <c r="E395" s="11"/>
      <c r="F395" s="11" t="s">
        <v>62</v>
      </c>
      <c r="G395" s="11" t="s">
        <v>63</v>
      </c>
      <c r="H395" s="56" t="str">
        <f>VLOOKUP(Table6[[#This Row],[ICD Code]],ICD_summary!$I$3:$M$38,5,0)</f>
        <v>PD</v>
      </c>
      <c r="I395" s="12">
        <v>83.3</v>
      </c>
      <c r="J3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395" s="11" t="s">
        <v>52</v>
      </c>
      <c r="L395" s="11"/>
      <c r="M395" s="11"/>
      <c r="N395" s="11">
        <v>52.82</v>
      </c>
      <c r="O395" s="11">
        <v>51.167999999999999</v>
      </c>
      <c r="P395" s="11">
        <v>103.25</v>
      </c>
      <c r="Q395" s="11">
        <v>104.3</v>
      </c>
      <c r="R395" s="11">
        <v>100.339</v>
      </c>
      <c r="S395" s="11">
        <v>100.78</v>
      </c>
      <c r="T395" s="11">
        <v>115.91</v>
      </c>
      <c r="U395" s="11">
        <v>115.753</v>
      </c>
      <c r="V395" s="11">
        <v>63.734000000000002</v>
      </c>
      <c r="W395" s="11">
        <v>63.579000000000001</v>
      </c>
      <c r="X395" s="11">
        <v>36.265999999999998</v>
      </c>
      <c r="Y395" s="11">
        <v>36.420999999999999</v>
      </c>
      <c r="Z395" s="11">
        <v>13.962</v>
      </c>
      <c r="AA395" s="11">
        <v>13.327</v>
      </c>
      <c r="AB395" s="11">
        <v>36.420999999999999</v>
      </c>
      <c r="AC395" s="11">
        <v>36.265999999999998</v>
      </c>
      <c r="AD395" s="11">
        <v>9.5129999999999999</v>
      </c>
      <c r="AE395" s="11">
        <v>20</v>
      </c>
      <c r="AF395" s="11">
        <v>22</v>
      </c>
      <c r="AG395" s="11">
        <v>20</v>
      </c>
      <c r="AH395" s="11">
        <v>20</v>
      </c>
    </row>
    <row r="396" spans="1:34" s="33" customFormat="1" x14ac:dyDescent="0.2">
      <c r="A396" s="11">
        <v>519</v>
      </c>
      <c r="B396" s="11"/>
      <c r="C396" s="11"/>
      <c r="D396" s="11"/>
      <c r="E396" s="11"/>
      <c r="F396" s="11" t="s">
        <v>62</v>
      </c>
      <c r="G396" s="11" t="s">
        <v>63</v>
      </c>
      <c r="H396" s="56" t="str">
        <f>VLOOKUP(Table6[[#This Row],[ICD Code]],ICD_summary!$I$3:$M$38,5,0)</f>
        <v>PD</v>
      </c>
      <c r="I396" s="12">
        <v>65.2</v>
      </c>
      <c r="J3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6" s="11" t="s">
        <v>52</v>
      </c>
      <c r="L396" s="11"/>
      <c r="M396" s="11"/>
      <c r="N396" s="11">
        <v>63.241</v>
      </c>
      <c r="O396" s="11">
        <v>68.885000000000005</v>
      </c>
      <c r="P396" s="11">
        <v>131.66</v>
      </c>
      <c r="Q396" s="11">
        <v>134.11199999999999</v>
      </c>
      <c r="R396" s="11">
        <v>126.017</v>
      </c>
      <c r="S396" s="11">
        <v>127.523</v>
      </c>
      <c r="T396" s="11">
        <v>114.48099999999999</v>
      </c>
      <c r="U396" s="11">
        <v>114.32899999999999</v>
      </c>
      <c r="V396" s="11">
        <v>62.87</v>
      </c>
      <c r="W396" s="11">
        <v>63.527000000000001</v>
      </c>
      <c r="X396" s="11">
        <v>37.130000000000003</v>
      </c>
      <c r="Y396" s="11">
        <v>36.472999999999999</v>
      </c>
      <c r="Z396" s="11">
        <v>13.066000000000001</v>
      </c>
      <c r="AA396" s="11">
        <v>13.917999999999999</v>
      </c>
      <c r="AB396" s="11">
        <v>36.472999999999999</v>
      </c>
      <c r="AC396" s="11">
        <v>37.130000000000003</v>
      </c>
      <c r="AD396" s="11">
        <v>10.401999999999999</v>
      </c>
      <c r="AE396" s="11">
        <v>22</v>
      </c>
      <c r="AF396" s="11">
        <v>20</v>
      </c>
      <c r="AG396" s="11">
        <v>20</v>
      </c>
      <c r="AH396" s="11">
        <v>20</v>
      </c>
    </row>
    <row r="397" spans="1:34" s="33" customFormat="1" x14ac:dyDescent="0.2">
      <c r="A397" s="11">
        <v>520</v>
      </c>
      <c r="B397" s="11"/>
      <c r="C397" s="11"/>
      <c r="D397" s="11"/>
      <c r="E397" s="11"/>
      <c r="F397" s="11" t="s">
        <v>62</v>
      </c>
      <c r="G397" s="11" t="s">
        <v>63</v>
      </c>
      <c r="H397" s="56" t="str">
        <f>VLOOKUP(Table6[[#This Row],[ICD Code]],ICD_summary!$I$3:$M$38,5,0)</f>
        <v>PD</v>
      </c>
      <c r="I397" s="12">
        <v>64.099999999999994</v>
      </c>
      <c r="J3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7" s="11" t="s">
        <v>52</v>
      </c>
      <c r="L397" s="11"/>
      <c r="M397" s="11"/>
      <c r="N397" s="11">
        <v>60.642000000000003</v>
      </c>
      <c r="O397" s="11">
        <v>51.643999999999998</v>
      </c>
      <c r="P397" s="11">
        <v>111.806</v>
      </c>
      <c r="Q397" s="11">
        <v>112.938</v>
      </c>
      <c r="R397" s="11">
        <v>95.305999999999997</v>
      </c>
      <c r="S397" s="11">
        <v>95.370999999999995</v>
      </c>
      <c r="T397" s="11">
        <v>102.087</v>
      </c>
      <c r="U397" s="11">
        <v>101.48</v>
      </c>
      <c r="V397" s="11">
        <v>62.588999999999999</v>
      </c>
      <c r="W397" s="11">
        <v>63.588000000000001</v>
      </c>
      <c r="X397" s="11">
        <v>37.411000000000001</v>
      </c>
      <c r="Y397" s="11">
        <v>36.411999999999999</v>
      </c>
      <c r="Z397" s="11">
        <v>12.631</v>
      </c>
      <c r="AA397" s="11">
        <v>14.175000000000001</v>
      </c>
      <c r="AB397" s="11">
        <v>36.411999999999999</v>
      </c>
      <c r="AC397" s="11">
        <v>37.411000000000001</v>
      </c>
      <c r="AD397" s="11">
        <v>8.4969999999999999</v>
      </c>
      <c r="AE397" s="11">
        <v>21</v>
      </c>
      <c r="AF397" s="11">
        <v>21</v>
      </c>
      <c r="AG397" s="11">
        <v>21</v>
      </c>
      <c r="AH397" s="11">
        <v>21</v>
      </c>
    </row>
    <row r="398" spans="1:34" s="33" customFormat="1" x14ac:dyDescent="0.2">
      <c r="A398" s="11">
        <v>521</v>
      </c>
      <c r="B398" s="11"/>
      <c r="C398" s="11"/>
      <c r="D398" s="11"/>
      <c r="E398" s="11"/>
      <c r="F398" s="11" t="s">
        <v>68</v>
      </c>
      <c r="G398" s="11" t="s">
        <v>69</v>
      </c>
      <c r="H398" s="56" t="str">
        <f>VLOOKUP(Table6[[#This Row],[ICD Code]],ICD_summary!$I$3:$M$38,5,0)</f>
        <v>Tremor, essential tremor</v>
      </c>
      <c r="I398" s="12">
        <v>78.7</v>
      </c>
      <c r="J3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8" s="11" t="s">
        <v>52</v>
      </c>
      <c r="L398" s="11"/>
      <c r="M398" s="11"/>
      <c r="N398" s="11">
        <v>60.64</v>
      </c>
      <c r="O398" s="11">
        <v>59.683</v>
      </c>
      <c r="P398" s="11">
        <v>120.798</v>
      </c>
      <c r="Q398" s="11">
        <v>120.259</v>
      </c>
      <c r="R398" s="11">
        <v>106.604</v>
      </c>
      <c r="S398" s="11">
        <v>106.562</v>
      </c>
      <c r="T398" s="11">
        <v>106.267</v>
      </c>
      <c r="U398" s="11">
        <v>106.08799999999999</v>
      </c>
      <c r="V398" s="11">
        <v>62.411000000000001</v>
      </c>
      <c r="W398" s="11">
        <v>63.58</v>
      </c>
      <c r="X398" s="11">
        <v>37.588999999999999</v>
      </c>
      <c r="Y398" s="11">
        <v>36.42</v>
      </c>
      <c r="Z398" s="11">
        <v>12.615</v>
      </c>
      <c r="AA398" s="11">
        <v>13.619</v>
      </c>
      <c r="AB398" s="11">
        <v>36.42</v>
      </c>
      <c r="AC398" s="11">
        <v>37.588999999999999</v>
      </c>
      <c r="AD398" s="11">
        <v>14.313000000000001</v>
      </c>
      <c r="AE398" s="11">
        <v>20</v>
      </c>
      <c r="AF398" s="11">
        <v>18</v>
      </c>
      <c r="AG398" s="11">
        <v>18</v>
      </c>
      <c r="AH398" s="11">
        <v>18</v>
      </c>
    </row>
    <row r="399" spans="1:34" s="33" customFormat="1" x14ac:dyDescent="0.2">
      <c r="A399" s="11">
        <v>522</v>
      </c>
      <c r="B399" s="11"/>
      <c r="C399" s="11"/>
      <c r="D399" s="11"/>
      <c r="E399" s="11"/>
      <c r="F399" s="11" t="s">
        <v>68</v>
      </c>
      <c r="G399" s="11" t="s">
        <v>69</v>
      </c>
      <c r="H399" s="56" t="str">
        <f>VLOOKUP(Table6[[#This Row],[ICD Code]],ICD_summary!$I$3:$M$38,5,0)</f>
        <v>Tremor, essential tremor</v>
      </c>
      <c r="I399" s="12">
        <v>56.4</v>
      </c>
      <c r="J3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99" s="11" t="s">
        <v>52</v>
      </c>
      <c r="L399" s="11"/>
      <c r="M399" s="11"/>
      <c r="N399" s="11">
        <v>67.097999999999999</v>
      </c>
      <c r="O399" s="11">
        <v>71.484999999999999</v>
      </c>
      <c r="P399" s="11">
        <v>137.91200000000001</v>
      </c>
      <c r="Q399" s="11">
        <v>139.83500000000001</v>
      </c>
      <c r="R399" s="11">
        <v>129.07300000000001</v>
      </c>
      <c r="S399" s="11">
        <v>129.91399999999999</v>
      </c>
      <c r="T399" s="11">
        <v>111.384</v>
      </c>
      <c r="U399" s="11">
        <v>110.982</v>
      </c>
      <c r="V399" s="11">
        <v>59.695999999999998</v>
      </c>
      <c r="W399" s="11">
        <v>62.156999999999996</v>
      </c>
      <c r="X399" s="11">
        <v>40.304000000000002</v>
      </c>
      <c r="Y399" s="11">
        <v>37.843000000000004</v>
      </c>
      <c r="Z399" s="11">
        <v>10.358000000000001</v>
      </c>
      <c r="AA399" s="11">
        <v>11.497</v>
      </c>
      <c r="AB399" s="11">
        <v>37.843000000000004</v>
      </c>
      <c r="AC399" s="11">
        <v>40.304000000000002</v>
      </c>
      <c r="AD399" s="11">
        <v>11.494999999999999</v>
      </c>
      <c r="AE399" s="11">
        <v>15</v>
      </c>
      <c r="AF399" s="11">
        <v>17</v>
      </c>
      <c r="AG399" s="11">
        <v>15</v>
      </c>
      <c r="AH399" s="11">
        <v>15</v>
      </c>
    </row>
    <row r="400" spans="1:34" s="33" customFormat="1" x14ac:dyDescent="0.2">
      <c r="A400" s="11">
        <v>523</v>
      </c>
      <c r="B400" s="11"/>
      <c r="C400" s="11"/>
      <c r="D400" s="11"/>
      <c r="E400" s="11"/>
      <c r="F400" s="11" t="s">
        <v>68</v>
      </c>
      <c r="G400" s="11" t="s">
        <v>69</v>
      </c>
      <c r="H400" s="56" t="str">
        <f>VLOOKUP(Table6[[#This Row],[ICD Code]],ICD_summary!$I$3:$M$38,5,0)</f>
        <v>Tremor, essential tremor</v>
      </c>
      <c r="I400" s="12">
        <v>72.3</v>
      </c>
      <c r="J4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0" s="11" t="s">
        <v>52</v>
      </c>
      <c r="L400" s="11"/>
      <c r="M400" s="11"/>
      <c r="N400" s="11">
        <v>44.805999999999997</v>
      </c>
      <c r="O400" s="11">
        <v>45.161000000000001</v>
      </c>
      <c r="P400" s="11">
        <v>90.542000000000002</v>
      </c>
      <c r="Q400" s="11">
        <v>89.709000000000003</v>
      </c>
      <c r="R400" s="11">
        <v>71.596000000000004</v>
      </c>
      <c r="S400" s="11">
        <v>70.765000000000001</v>
      </c>
      <c r="T400" s="11">
        <v>94.846999999999994</v>
      </c>
      <c r="U400" s="11">
        <v>94.442999999999998</v>
      </c>
      <c r="V400" s="11">
        <v>67.864000000000004</v>
      </c>
      <c r="W400" s="11">
        <v>65.254999999999995</v>
      </c>
      <c r="X400" s="11">
        <v>32.136000000000003</v>
      </c>
      <c r="Y400" s="11">
        <v>34.744999999999997</v>
      </c>
      <c r="Z400" s="11">
        <v>16.945</v>
      </c>
      <c r="AA400" s="11">
        <v>16.007000000000001</v>
      </c>
      <c r="AB400" s="11">
        <v>34.744999999999997</v>
      </c>
      <c r="AC400" s="11">
        <v>32.136000000000003</v>
      </c>
      <c r="AD400" s="11">
        <v>12.401999999999999</v>
      </c>
      <c r="AE400" s="11">
        <v>15</v>
      </c>
      <c r="AF400" s="11">
        <v>17</v>
      </c>
      <c r="AG400" s="11">
        <v>15</v>
      </c>
      <c r="AH400" s="11">
        <v>15</v>
      </c>
    </row>
    <row r="401" spans="1:34" s="33" customFormat="1" x14ac:dyDescent="0.2">
      <c r="A401" s="11">
        <v>524</v>
      </c>
      <c r="B401" s="11"/>
      <c r="C401" s="11"/>
      <c r="D401" s="11"/>
      <c r="E401" s="11"/>
      <c r="F401" s="11" t="s">
        <v>62</v>
      </c>
      <c r="G401" s="11" t="s">
        <v>63</v>
      </c>
      <c r="H401" s="56" t="str">
        <f>VLOOKUP(Table6[[#This Row],[ICD Code]],ICD_summary!$I$3:$M$38,5,0)</f>
        <v>PD</v>
      </c>
      <c r="I401" s="12">
        <v>69.2</v>
      </c>
      <c r="J4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1" s="11" t="s">
        <v>52</v>
      </c>
      <c r="L401" s="11"/>
      <c r="M401" s="11"/>
      <c r="N401" s="11">
        <v>48.381999999999998</v>
      </c>
      <c r="O401" s="11">
        <v>46.271999999999998</v>
      </c>
      <c r="P401" s="11">
        <v>94.911000000000001</v>
      </c>
      <c r="Q401" s="11">
        <v>94.825999999999993</v>
      </c>
      <c r="R401" s="11">
        <v>91.912999999999997</v>
      </c>
      <c r="S401" s="11">
        <v>91.471999999999994</v>
      </c>
      <c r="T401" s="11">
        <v>116.875</v>
      </c>
      <c r="U401" s="11">
        <v>115.9</v>
      </c>
      <c r="V401" s="11">
        <v>65.233000000000004</v>
      </c>
      <c r="W401" s="11">
        <v>64.513999999999996</v>
      </c>
      <c r="X401" s="11">
        <v>34.767000000000003</v>
      </c>
      <c r="Y401" s="11">
        <v>35.485999999999997</v>
      </c>
      <c r="Z401" s="11">
        <v>15.199</v>
      </c>
      <c r="AA401" s="11">
        <v>14.648</v>
      </c>
      <c r="AB401" s="11">
        <v>35.485999999999997</v>
      </c>
      <c r="AC401" s="11">
        <v>34.767000000000003</v>
      </c>
      <c r="AD401" s="11">
        <v>10.807</v>
      </c>
      <c r="AE401" s="11">
        <v>24</v>
      </c>
      <c r="AF401" s="11">
        <v>24</v>
      </c>
      <c r="AG401" s="11">
        <v>24</v>
      </c>
      <c r="AH401" s="11">
        <v>24</v>
      </c>
    </row>
    <row r="402" spans="1:34" s="33" customFormat="1" x14ac:dyDescent="0.2">
      <c r="A402" s="11">
        <v>525</v>
      </c>
      <c r="B402" s="11"/>
      <c r="C402" s="11"/>
      <c r="D402" s="11"/>
      <c r="E402" s="11"/>
      <c r="F402" s="11" t="s">
        <v>64</v>
      </c>
      <c r="G402" s="11" t="s">
        <v>65</v>
      </c>
      <c r="H402" s="56" t="str">
        <f>VLOOKUP(Table6[[#This Row],[ICD Code]],ICD_summary!$I$3:$M$38,5,0)</f>
        <v>Gait, other abnormalities</v>
      </c>
      <c r="I402" s="12">
        <v>73.599999999999994</v>
      </c>
      <c r="J4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2" s="11" t="s">
        <v>52</v>
      </c>
      <c r="L402" s="11"/>
      <c r="M402" s="11"/>
      <c r="N402" s="11">
        <v>53.506</v>
      </c>
      <c r="O402" s="11">
        <v>57.554000000000002</v>
      </c>
      <c r="P402" s="11">
        <v>110.633</v>
      </c>
      <c r="Q402" s="11">
        <v>111.322</v>
      </c>
      <c r="R402" s="11">
        <v>84.313000000000002</v>
      </c>
      <c r="S402" s="11">
        <v>84.382999999999996</v>
      </c>
      <c r="T402" s="11">
        <v>91.031000000000006</v>
      </c>
      <c r="U402" s="11">
        <v>90.977999999999994</v>
      </c>
      <c r="V402" s="11">
        <v>64.543000000000006</v>
      </c>
      <c r="W402" s="11">
        <v>63.811999999999998</v>
      </c>
      <c r="X402" s="11">
        <v>35.457000000000001</v>
      </c>
      <c r="Y402" s="11">
        <v>36.188000000000002</v>
      </c>
      <c r="Z402" s="11">
        <v>13.496</v>
      </c>
      <c r="AA402" s="11">
        <v>14.827999999999999</v>
      </c>
      <c r="AB402" s="11">
        <v>36.188000000000002</v>
      </c>
      <c r="AC402" s="11">
        <v>35.457000000000001</v>
      </c>
      <c r="AD402" s="11">
        <v>12.28</v>
      </c>
      <c r="AE402" s="11">
        <v>17</v>
      </c>
      <c r="AF402" s="11">
        <v>17</v>
      </c>
      <c r="AG402" s="11">
        <v>17</v>
      </c>
      <c r="AH402" s="11">
        <v>17</v>
      </c>
    </row>
    <row r="403" spans="1:34" s="33" customFormat="1" x14ac:dyDescent="0.2">
      <c r="A403" s="11">
        <v>526</v>
      </c>
      <c r="B403" s="11"/>
      <c r="C403" s="11"/>
      <c r="D403" s="11"/>
      <c r="E403" s="11"/>
      <c r="F403" s="11" t="s">
        <v>62</v>
      </c>
      <c r="G403" s="11" t="s">
        <v>63</v>
      </c>
      <c r="H403" s="56" t="str">
        <f>VLOOKUP(Table6[[#This Row],[ICD Code]],ICD_summary!$I$3:$M$38,5,0)</f>
        <v>PD</v>
      </c>
      <c r="I403" s="12">
        <v>69.8</v>
      </c>
      <c r="J4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3" s="11" t="s">
        <v>55</v>
      </c>
      <c r="L403" s="11"/>
      <c r="M403" s="11"/>
      <c r="N403" s="11">
        <v>36.100999999999999</v>
      </c>
      <c r="O403" s="11">
        <v>38.765999999999998</v>
      </c>
      <c r="P403" s="11">
        <v>74.936000000000007</v>
      </c>
      <c r="Q403" s="11">
        <v>75.623999999999995</v>
      </c>
      <c r="R403" s="11">
        <v>67.625</v>
      </c>
      <c r="S403" s="11">
        <v>67.355999999999995</v>
      </c>
      <c r="T403" s="11">
        <v>107.944</v>
      </c>
      <c r="U403" s="11">
        <v>107.22799999999999</v>
      </c>
      <c r="V403" s="11">
        <v>63.204999999999998</v>
      </c>
      <c r="W403" s="11">
        <v>65.341999999999999</v>
      </c>
      <c r="X403" s="11">
        <v>36.795000000000002</v>
      </c>
      <c r="Y403" s="11">
        <v>34.658000000000001</v>
      </c>
      <c r="Z403" s="11">
        <v>13.686999999999999</v>
      </c>
      <c r="AA403" s="11">
        <v>15.074</v>
      </c>
      <c r="AB403" s="11">
        <v>34.658000000000001</v>
      </c>
      <c r="AC403" s="11">
        <v>36.795000000000002</v>
      </c>
      <c r="AD403" s="11">
        <v>12.287000000000001</v>
      </c>
      <c r="AE403" s="11">
        <v>20</v>
      </c>
      <c r="AF403" s="11">
        <v>19</v>
      </c>
      <c r="AG403" s="11">
        <v>19</v>
      </c>
      <c r="AH403" s="11">
        <v>19</v>
      </c>
    </row>
    <row r="404" spans="1:34" s="33" customFormat="1" x14ac:dyDescent="0.2">
      <c r="A404" s="11">
        <v>527</v>
      </c>
      <c r="B404" s="11"/>
      <c r="C404" s="11"/>
      <c r="D404" s="11"/>
      <c r="E404" s="11"/>
      <c r="F404" s="11" t="s">
        <v>68</v>
      </c>
      <c r="G404" s="11" t="s">
        <v>69</v>
      </c>
      <c r="H404" s="56" t="str">
        <f>VLOOKUP(Table6[[#This Row],[ICD Code]],ICD_summary!$I$3:$M$38,5,0)</f>
        <v>Tremor, essential tremor</v>
      </c>
      <c r="I404" s="12">
        <v>73.900000000000006</v>
      </c>
      <c r="J4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4" s="11" t="s">
        <v>55</v>
      </c>
      <c r="L404" s="11"/>
      <c r="M404" s="11"/>
      <c r="N404" s="11">
        <v>52.311</v>
      </c>
      <c r="O404" s="11">
        <v>49.993000000000002</v>
      </c>
      <c r="P404" s="11">
        <v>102.399</v>
      </c>
      <c r="Q404" s="11">
        <v>103.047</v>
      </c>
      <c r="R404" s="11">
        <v>98.774000000000001</v>
      </c>
      <c r="S404" s="11">
        <v>98.733000000000004</v>
      </c>
      <c r="T404" s="11">
        <v>115.749</v>
      </c>
      <c r="U404" s="11">
        <v>114.879</v>
      </c>
      <c r="V404" s="11">
        <v>61.692999999999998</v>
      </c>
      <c r="W404" s="11">
        <v>63.790999999999997</v>
      </c>
      <c r="X404" s="11">
        <v>38.307000000000002</v>
      </c>
      <c r="Y404" s="11">
        <v>36.209000000000003</v>
      </c>
      <c r="Z404" s="11">
        <v>13.186999999999999</v>
      </c>
      <c r="AA404" s="11">
        <v>12.757</v>
      </c>
      <c r="AB404" s="11">
        <v>36.209000000000003</v>
      </c>
      <c r="AC404" s="11">
        <v>38.307000000000002</v>
      </c>
      <c r="AD404" s="11">
        <v>12.382</v>
      </c>
      <c r="AE404" s="11">
        <v>22</v>
      </c>
      <c r="AF404" s="11">
        <v>22</v>
      </c>
      <c r="AG404" s="11">
        <v>22</v>
      </c>
      <c r="AH404" s="11">
        <v>22</v>
      </c>
    </row>
    <row r="405" spans="1:34" s="33" customFormat="1" x14ac:dyDescent="0.2">
      <c r="A405" s="11">
        <v>528</v>
      </c>
      <c r="B405" s="11"/>
      <c r="C405" s="11"/>
      <c r="D405" s="11"/>
      <c r="E405" s="11"/>
      <c r="F405" s="11" t="s">
        <v>68</v>
      </c>
      <c r="G405" s="11" t="s">
        <v>69</v>
      </c>
      <c r="H405" s="56" t="str">
        <f>VLOOKUP(Table6[[#This Row],[ICD Code]],ICD_summary!$I$3:$M$38,5,0)</f>
        <v>Tremor, essential tremor</v>
      </c>
      <c r="I405" s="12">
        <v>45.1</v>
      </c>
      <c r="J4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05" s="11" t="s">
        <v>55</v>
      </c>
      <c r="L405" s="11"/>
      <c r="M405" s="11"/>
      <c r="N405" s="11">
        <v>54.582999999999998</v>
      </c>
      <c r="O405" s="11">
        <v>53.884</v>
      </c>
      <c r="P405" s="11">
        <v>108.364</v>
      </c>
      <c r="Q405" s="11">
        <v>108.77</v>
      </c>
      <c r="R405" s="11">
        <v>90.965000000000003</v>
      </c>
      <c r="S405" s="11">
        <v>90.863</v>
      </c>
      <c r="T405" s="11">
        <v>100.834</v>
      </c>
      <c r="U405" s="11">
        <v>100.258</v>
      </c>
      <c r="V405" s="11">
        <v>63.787999999999997</v>
      </c>
      <c r="W405" s="11">
        <v>63.981999999999999</v>
      </c>
      <c r="X405" s="11">
        <v>36.213000000000001</v>
      </c>
      <c r="Y405" s="11">
        <v>36.018000000000001</v>
      </c>
      <c r="Z405" s="11">
        <v>13.815</v>
      </c>
      <c r="AA405" s="11">
        <v>13.901999999999999</v>
      </c>
      <c r="AB405" s="11">
        <v>36.018000000000001</v>
      </c>
      <c r="AC405" s="11">
        <v>36.213000000000001</v>
      </c>
      <c r="AD405" s="11">
        <v>12.185</v>
      </c>
      <c r="AE405" s="11">
        <v>14</v>
      </c>
      <c r="AF405" s="11">
        <v>15</v>
      </c>
      <c r="AG405" s="11">
        <v>14</v>
      </c>
      <c r="AH405" s="11">
        <v>14</v>
      </c>
    </row>
    <row r="406" spans="1:34" s="33" customFormat="1" x14ac:dyDescent="0.2">
      <c r="A406" s="11">
        <v>529</v>
      </c>
      <c r="B406" s="11"/>
      <c r="C406" s="11"/>
      <c r="D406" s="11"/>
      <c r="E406" s="11"/>
      <c r="F406" s="11" t="s">
        <v>76</v>
      </c>
      <c r="G406" s="11" t="s">
        <v>77</v>
      </c>
      <c r="H406" s="56" t="str">
        <f>VLOOKUP(Table6[[#This Row],[ICD Code]],ICD_summary!$I$3:$M$38,5,0)</f>
        <v>Dystonia, other</v>
      </c>
      <c r="I406" s="12">
        <v>45.3</v>
      </c>
      <c r="J4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06" s="11" t="s">
        <v>55</v>
      </c>
      <c r="L406" s="11"/>
      <c r="M406" s="11"/>
      <c r="N406" s="11">
        <v>30.62</v>
      </c>
      <c r="O406" s="11">
        <v>30.981999999999999</v>
      </c>
      <c r="P406" s="11">
        <v>61.511000000000003</v>
      </c>
      <c r="Q406" s="11">
        <v>61.838999999999999</v>
      </c>
      <c r="R406" s="11">
        <v>45.625</v>
      </c>
      <c r="S406" s="11">
        <v>45.198999999999998</v>
      </c>
      <c r="T406" s="11">
        <v>88.563999999999993</v>
      </c>
      <c r="U406" s="11">
        <v>88.632000000000005</v>
      </c>
      <c r="V406" s="11">
        <v>71.546999999999997</v>
      </c>
      <c r="W406" s="11">
        <v>70.662000000000006</v>
      </c>
      <c r="X406" s="11">
        <v>28.452999999999999</v>
      </c>
      <c r="Y406" s="11">
        <v>29.338000000000001</v>
      </c>
      <c r="Z406" s="11">
        <v>20.949000000000002</v>
      </c>
      <c r="AA406" s="11">
        <v>20.629000000000001</v>
      </c>
      <c r="AB406" s="11">
        <v>29.338000000000001</v>
      </c>
      <c r="AC406" s="11">
        <v>28.452999999999999</v>
      </c>
      <c r="AD406" s="11">
        <v>22.213000000000001</v>
      </c>
      <c r="AE406" s="11">
        <v>23</v>
      </c>
      <c r="AF406" s="11">
        <v>23</v>
      </c>
      <c r="AG406" s="11">
        <v>23</v>
      </c>
      <c r="AH406" s="11">
        <v>23</v>
      </c>
    </row>
    <row r="407" spans="1:34" s="33" customFormat="1" x14ac:dyDescent="0.2">
      <c r="A407" s="11">
        <v>530</v>
      </c>
      <c r="B407" s="11"/>
      <c r="C407" s="11"/>
      <c r="D407" s="11"/>
      <c r="E407" s="11"/>
      <c r="F407" s="11" t="s">
        <v>51</v>
      </c>
      <c r="G407" s="11" t="s">
        <v>51</v>
      </c>
      <c r="H407" s="56" t="str">
        <f>VLOOKUP(Table6[[#This Row],[ICD Code]],ICD_summary!$I$3:$M$38,5,0)</f>
        <v>Misc/Other</v>
      </c>
      <c r="I407" s="12">
        <v>999</v>
      </c>
      <c r="J4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07" s="11" t="s">
        <v>51</v>
      </c>
      <c r="L407" s="11"/>
      <c r="M407" s="11"/>
      <c r="N407" s="11">
        <v>43.223999999999997</v>
      </c>
      <c r="O407" s="11">
        <v>45.212000000000003</v>
      </c>
      <c r="P407" s="11">
        <v>87.846999999999994</v>
      </c>
      <c r="Q407" s="11">
        <v>89.143000000000001</v>
      </c>
      <c r="R407" s="11">
        <v>76.492999999999995</v>
      </c>
      <c r="S407" s="11">
        <v>76.781000000000006</v>
      </c>
      <c r="T407" s="11">
        <v>103.816</v>
      </c>
      <c r="U407" s="11">
        <v>102.816</v>
      </c>
      <c r="V407" s="11">
        <v>65.334000000000003</v>
      </c>
      <c r="W407" s="11">
        <v>66.715000000000003</v>
      </c>
      <c r="X407" s="11">
        <v>34.665999999999997</v>
      </c>
      <c r="Y407" s="11">
        <v>33.284999999999997</v>
      </c>
      <c r="Z407" s="11">
        <v>15.731</v>
      </c>
      <c r="AA407" s="11">
        <v>16.446000000000002</v>
      </c>
      <c r="AB407" s="11">
        <v>33.284999999999997</v>
      </c>
      <c r="AC407" s="11">
        <v>34.665999999999997</v>
      </c>
      <c r="AD407" s="11">
        <v>12.417999999999999</v>
      </c>
      <c r="AE407" s="11">
        <v>15</v>
      </c>
      <c r="AF407" s="11">
        <v>16</v>
      </c>
      <c r="AG407" s="11">
        <v>15</v>
      </c>
      <c r="AH407" s="11">
        <v>15</v>
      </c>
    </row>
    <row r="408" spans="1:34" s="33" customFormat="1" x14ac:dyDescent="0.2">
      <c r="A408" s="11">
        <v>531</v>
      </c>
      <c r="B408" s="11"/>
      <c r="C408" s="11"/>
      <c r="D408" s="11"/>
      <c r="E408" s="11"/>
      <c r="F408" s="11" t="s">
        <v>62</v>
      </c>
      <c r="G408" s="11" t="s">
        <v>63</v>
      </c>
      <c r="H408" s="56" t="str">
        <f>VLOOKUP(Table6[[#This Row],[ICD Code]],ICD_summary!$I$3:$M$38,5,0)</f>
        <v>PD</v>
      </c>
      <c r="I408" s="12">
        <v>50.5</v>
      </c>
      <c r="J4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08" s="11" t="s">
        <v>55</v>
      </c>
      <c r="L408" s="11"/>
      <c r="M408" s="11"/>
      <c r="N408" s="11" t="s">
        <v>51</v>
      </c>
      <c r="O408" s="11" t="s">
        <v>51</v>
      </c>
      <c r="P408" s="11" t="s">
        <v>51</v>
      </c>
      <c r="Q408" s="11" t="s">
        <v>51</v>
      </c>
      <c r="R408" s="11" t="s">
        <v>51</v>
      </c>
      <c r="S408" s="11" t="s">
        <v>51</v>
      </c>
      <c r="T408" s="11" t="s">
        <v>51</v>
      </c>
      <c r="U408" s="11" t="s">
        <v>51</v>
      </c>
      <c r="V408" s="11" t="s">
        <v>51</v>
      </c>
      <c r="W408" s="11" t="s">
        <v>51</v>
      </c>
      <c r="X408" s="11" t="s">
        <v>51</v>
      </c>
      <c r="Y408" s="11" t="s">
        <v>51</v>
      </c>
      <c r="Z408" s="11" t="s">
        <v>51</v>
      </c>
      <c r="AA408" s="11" t="s">
        <v>51</v>
      </c>
      <c r="AB408" s="11" t="s">
        <v>51</v>
      </c>
      <c r="AC408" s="11" t="s">
        <v>51</v>
      </c>
      <c r="AD408" s="11" t="s">
        <v>51</v>
      </c>
      <c r="AE408" s="11" t="s">
        <v>51</v>
      </c>
      <c r="AF408" s="11" t="s">
        <v>51</v>
      </c>
      <c r="AG408" s="11" t="s">
        <v>51</v>
      </c>
      <c r="AH408" s="11" t="s">
        <v>51</v>
      </c>
    </row>
    <row r="409" spans="1:34" s="33" customFormat="1" x14ac:dyDescent="0.2">
      <c r="A409" s="11">
        <v>532</v>
      </c>
      <c r="B409" s="11"/>
      <c r="C409" s="11"/>
      <c r="D409" s="11"/>
      <c r="E409" s="11"/>
      <c r="F409" s="11" t="s">
        <v>62</v>
      </c>
      <c r="G409" s="11" t="s">
        <v>63</v>
      </c>
      <c r="H409" s="56" t="str">
        <f>VLOOKUP(Table6[[#This Row],[ICD Code]],ICD_summary!$I$3:$M$38,5,0)</f>
        <v>PD</v>
      </c>
      <c r="I409" s="12">
        <v>62.6</v>
      </c>
      <c r="J4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9" s="11" t="s">
        <v>52</v>
      </c>
      <c r="L409" s="11"/>
      <c r="M409" s="11"/>
      <c r="N409" s="11" t="s">
        <v>51</v>
      </c>
      <c r="O409" s="11" t="s">
        <v>51</v>
      </c>
      <c r="P409" s="11" t="s">
        <v>51</v>
      </c>
      <c r="Q409" s="11" t="s">
        <v>51</v>
      </c>
      <c r="R409" s="11" t="s">
        <v>51</v>
      </c>
      <c r="S409" s="11" t="s">
        <v>51</v>
      </c>
      <c r="T409" s="11" t="s">
        <v>51</v>
      </c>
      <c r="U409" s="11" t="s">
        <v>51</v>
      </c>
      <c r="V409" s="11" t="s">
        <v>51</v>
      </c>
      <c r="W409" s="11" t="s">
        <v>51</v>
      </c>
      <c r="X409" s="11" t="s">
        <v>51</v>
      </c>
      <c r="Y409" s="11" t="s">
        <v>51</v>
      </c>
      <c r="Z409" s="11" t="s">
        <v>51</v>
      </c>
      <c r="AA409" s="11" t="s">
        <v>51</v>
      </c>
      <c r="AB409" s="11" t="s">
        <v>51</v>
      </c>
      <c r="AC409" s="11" t="s">
        <v>51</v>
      </c>
      <c r="AD409" s="11" t="s">
        <v>51</v>
      </c>
      <c r="AE409" s="11" t="s">
        <v>51</v>
      </c>
      <c r="AF409" s="11" t="s">
        <v>51</v>
      </c>
      <c r="AG409" s="11" t="s">
        <v>51</v>
      </c>
      <c r="AH409" s="11" t="s">
        <v>51</v>
      </c>
    </row>
    <row r="410" spans="1:34" s="33" customFormat="1" x14ac:dyDescent="0.2">
      <c r="A410" s="11">
        <v>533</v>
      </c>
      <c r="B410" s="11"/>
      <c r="C410" s="11"/>
      <c r="D410" s="11"/>
      <c r="E410" s="11"/>
      <c r="F410" s="11" t="s">
        <v>51</v>
      </c>
      <c r="G410" s="11" t="s">
        <v>51</v>
      </c>
      <c r="H410" s="56" t="str">
        <f>VLOOKUP(Table6[[#This Row],[ICD Code]],ICD_summary!$I$3:$M$38,5,0)</f>
        <v>Misc/Other</v>
      </c>
      <c r="I410" s="12">
        <v>999</v>
      </c>
      <c r="J4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10" s="11" t="s">
        <v>51</v>
      </c>
      <c r="L410" s="11"/>
      <c r="M410" s="11"/>
      <c r="N410" s="11" t="s">
        <v>51</v>
      </c>
      <c r="O410" s="11" t="s">
        <v>51</v>
      </c>
      <c r="P410" s="11" t="s">
        <v>51</v>
      </c>
      <c r="Q410" s="11" t="s">
        <v>51</v>
      </c>
      <c r="R410" s="11" t="s">
        <v>51</v>
      </c>
      <c r="S410" s="11" t="s">
        <v>51</v>
      </c>
      <c r="T410" s="11" t="s">
        <v>51</v>
      </c>
      <c r="U410" s="11" t="s">
        <v>51</v>
      </c>
      <c r="V410" s="11" t="s">
        <v>51</v>
      </c>
      <c r="W410" s="11" t="s">
        <v>51</v>
      </c>
      <c r="X410" s="11" t="s">
        <v>51</v>
      </c>
      <c r="Y410" s="11" t="s">
        <v>51</v>
      </c>
      <c r="Z410" s="11" t="s">
        <v>51</v>
      </c>
      <c r="AA410" s="11" t="s">
        <v>51</v>
      </c>
      <c r="AB410" s="11" t="s">
        <v>51</v>
      </c>
      <c r="AC410" s="11" t="s">
        <v>51</v>
      </c>
      <c r="AD410" s="11" t="s">
        <v>51</v>
      </c>
      <c r="AE410" s="11" t="s">
        <v>51</v>
      </c>
      <c r="AF410" s="11" t="s">
        <v>51</v>
      </c>
      <c r="AG410" s="11" t="s">
        <v>51</v>
      </c>
      <c r="AH410" s="11" t="s">
        <v>51</v>
      </c>
    </row>
    <row r="411" spans="1:34" s="33" customFormat="1" x14ac:dyDescent="0.2">
      <c r="A411" s="11">
        <v>534</v>
      </c>
      <c r="B411" s="11"/>
      <c r="C411" s="11"/>
      <c r="D411" s="11"/>
      <c r="E411" s="11"/>
      <c r="F411" s="11" t="s">
        <v>51</v>
      </c>
      <c r="G411" s="11" t="s">
        <v>51</v>
      </c>
      <c r="H411" s="56" t="str">
        <f>VLOOKUP(Table6[[#This Row],[ICD Code]],ICD_summary!$I$3:$M$38,5,0)</f>
        <v>Misc/Other</v>
      </c>
      <c r="I411" s="12">
        <v>999</v>
      </c>
      <c r="J4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11" s="11" t="s">
        <v>51</v>
      </c>
      <c r="L411" s="11"/>
      <c r="M411" s="11"/>
      <c r="N411" s="11" t="s">
        <v>51</v>
      </c>
      <c r="O411" s="11" t="s">
        <v>51</v>
      </c>
      <c r="P411" s="11" t="s">
        <v>51</v>
      </c>
      <c r="Q411" s="11" t="s">
        <v>51</v>
      </c>
      <c r="R411" s="11" t="s">
        <v>51</v>
      </c>
      <c r="S411" s="11" t="s">
        <v>51</v>
      </c>
      <c r="T411" s="11" t="s">
        <v>51</v>
      </c>
      <c r="U411" s="11" t="s">
        <v>51</v>
      </c>
      <c r="V411" s="11" t="s">
        <v>51</v>
      </c>
      <c r="W411" s="11" t="s">
        <v>51</v>
      </c>
      <c r="X411" s="11" t="s">
        <v>51</v>
      </c>
      <c r="Y411" s="11" t="s">
        <v>51</v>
      </c>
      <c r="Z411" s="11" t="s">
        <v>51</v>
      </c>
      <c r="AA411" s="11" t="s">
        <v>51</v>
      </c>
      <c r="AB411" s="11" t="s">
        <v>51</v>
      </c>
      <c r="AC411" s="11" t="s">
        <v>51</v>
      </c>
      <c r="AD411" s="11" t="s">
        <v>51</v>
      </c>
      <c r="AE411" s="11" t="s">
        <v>51</v>
      </c>
      <c r="AF411" s="11" t="s">
        <v>51</v>
      </c>
      <c r="AG411" s="11" t="s">
        <v>51</v>
      </c>
      <c r="AH411" s="11" t="s">
        <v>51</v>
      </c>
    </row>
    <row r="412" spans="1:34" s="33" customFormat="1" x14ac:dyDescent="0.2">
      <c r="A412" s="11">
        <v>535</v>
      </c>
      <c r="B412" s="11"/>
      <c r="C412" s="11"/>
      <c r="D412" s="11"/>
      <c r="E412" s="11"/>
      <c r="F412" s="11" t="s">
        <v>68</v>
      </c>
      <c r="G412" s="11" t="s">
        <v>69</v>
      </c>
      <c r="H412" s="56" t="str">
        <f>VLOOKUP(Table6[[#This Row],[ICD Code]],ICD_summary!$I$3:$M$38,5,0)</f>
        <v>Tremor, essential tremor</v>
      </c>
      <c r="I412" s="12">
        <v>73.5</v>
      </c>
      <c r="J4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2" s="11" t="s">
        <v>55</v>
      </c>
      <c r="L412" s="11"/>
      <c r="M412" s="11"/>
      <c r="N412" s="11">
        <v>41.963000000000001</v>
      </c>
      <c r="O412" s="11">
        <v>40.906999999999996</v>
      </c>
      <c r="P412" s="11">
        <v>82.763999999999996</v>
      </c>
      <c r="Q412" s="11">
        <v>83.046000000000006</v>
      </c>
      <c r="R412" s="11">
        <v>67.286000000000001</v>
      </c>
      <c r="S412" s="11">
        <v>67.519000000000005</v>
      </c>
      <c r="T412" s="11">
        <v>97.515000000000001</v>
      </c>
      <c r="U412" s="11">
        <v>97.489000000000004</v>
      </c>
      <c r="V412" s="11">
        <v>66.716999999999999</v>
      </c>
      <c r="W412" s="11">
        <v>68.156999999999996</v>
      </c>
      <c r="X412" s="11">
        <v>33.283000000000001</v>
      </c>
      <c r="Y412" s="11">
        <v>31.843</v>
      </c>
      <c r="Z412" s="11">
        <v>16.431999999999999</v>
      </c>
      <c r="AA412" s="11">
        <v>18.137</v>
      </c>
      <c r="AB412" s="11">
        <v>31.843</v>
      </c>
      <c r="AC412" s="11">
        <v>33.283000000000001</v>
      </c>
      <c r="AD412" s="11">
        <v>5.5250000000000004</v>
      </c>
      <c r="AE412" s="11">
        <v>20</v>
      </c>
      <c r="AF412" s="11">
        <v>17</v>
      </c>
      <c r="AG412" s="11">
        <v>17</v>
      </c>
      <c r="AH412" s="11">
        <v>17</v>
      </c>
    </row>
    <row r="413" spans="1:34" s="33" customFormat="1" x14ac:dyDescent="0.2">
      <c r="A413" s="11">
        <v>536</v>
      </c>
      <c r="B413" s="11"/>
      <c r="C413" s="11"/>
      <c r="D413" s="11"/>
      <c r="E413" s="11"/>
      <c r="F413" s="11" t="s">
        <v>62</v>
      </c>
      <c r="G413" s="11" t="s">
        <v>63</v>
      </c>
      <c r="H413" s="56" t="str">
        <f>VLOOKUP(Table6[[#This Row],[ICD Code]],ICD_summary!$I$3:$M$38,5,0)</f>
        <v>PD</v>
      </c>
      <c r="I413" s="12">
        <v>61.9</v>
      </c>
      <c r="J4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3" s="11" t="s">
        <v>52</v>
      </c>
      <c r="L413" s="11"/>
      <c r="M413" s="11"/>
      <c r="N413" s="11">
        <v>37.701000000000001</v>
      </c>
      <c r="O413" s="11">
        <v>27.983000000000001</v>
      </c>
      <c r="P413" s="11">
        <v>65.596999999999994</v>
      </c>
      <c r="Q413" s="11">
        <v>65.614000000000004</v>
      </c>
      <c r="R413" s="11">
        <v>62.773000000000003</v>
      </c>
      <c r="S413" s="11">
        <v>62.893000000000001</v>
      </c>
      <c r="T413" s="11">
        <v>113.435</v>
      </c>
      <c r="U413" s="11">
        <v>114.215</v>
      </c>
      <c r="V413" s="11">
        <v>65.525000000000006</v>
      </c>
      <c r="W413" s="11">
        <v>64.028000000000006</v>
      </c>
      <c r="X413" s="11">
        <v>34.475000000000001</v>
      </c>
      <c r="Y413" s="11">
        <v>35.972000000000001</v>
      </c>
      <c r="Z413" s="11">
        <v>14.353</v>
      </c>
      <c r="AA413" s="11">
        <v>14.823</v>
      </c>
      <c r="AB413" s="11">
        <v>35.972000000000001</v>
      </c>
      <c r="AC413" s="11">
        <v>34.475000000000001</v>
      </c>
      <c r="AD413" s="11">
        <v>12.935</v>
      </c>
      <c r="AE413" s="11">
        <v>17</v>
      </c>
      <c r="AF413" s="11">
        <v>18</v>
      </c>
      <c r="AG413" s="11">
        <v>17</v>
      </c>
      <c r="AH413" s="11">
        <v>17</v>
      </c>
    </row>
    <row r="414" spans="1:34" s="33" customFormat="1" x14ac:dyDescent="0.2">
      <c r="A414" s="11">
        <v>537</v>
      </c>
      <c r="B414" s="11"/>
      <c r="C414" s="11"/>
      <c r="D414" s="11"/>
      <c r="E414" s="11"/>
      <c r="F414" s="11" t="s">
        <v>68</v>
      </c>
      <c r="G414" s="11" t="s">
        <v>69</v>
      </c>
      <c r="H414" s="56" t="str">
        <f>VLOOKUP(Table6[[#This Row],[ICD Code]],ICD_summary!$I$3:$M$38,5,0)</f>
        <v>Tremor, essential tremor</v>
      </c>
      <c r="I414" s="12">
        <v>42.4</v>
      </c>
      <c r="J4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14" s="11" t="s">
        <v>52</v>
      </c>
      <c r="L414" s="11"/>
      <c r="M414" s="11"/>
      <c r="N414" s="11">
        <v>80.709000000000003</v>
      </c>
      <c r="O414" s="11">
        <v>76.475999999999999</v>
      </c>
      <c r="P414" s="11">
        <v>157.471</v>
      </c>
      <c r="Q414" s="11">
        <v>157.84299999999999</v>
      </c>
      <c r="R414" s="11">
        <v>145.602</v>
      </c>
      <c r="S414" s="11">
        <v>146.00399999999999</v>
      </c>
      <c r="T414" s="11">
        <v>110.754</v>
      </c>
      <c r="U414" s="11">
        <v>110.173</v>
      </c>
      <c r="V414" s="11">
        <v>60.488</v>
      </c>
      <c r="W414" s="11">
        <v>59.664999999999999</v>
      </c>
      <c r="X414" s="11">
        <v>39.512</v>
      </c>
      <c r="Y414" s="11">
        <v>40.335000000000001</v>
      </c>
      <c r="Z414" s="11">
        <v>9.1319999999999997</v>
      </c>
      <c r="AA414" s="11">
        <v>11.444000000000001</v>
      </c>
      <c r="AB414" s="11">
        <v>40.335000000000001</v>
      </c>
      <c r="AC414" s="11">
        <v>39.512</v>
      </c>
      <c r="AD414" s="11">
        <v>17.684999999999999</v>
      </c>
      <c r="AE414" s="11">
        <v>10</v>
      </c>
      <c r="AF414" s="11">
        <v>12</v>
      </c>
      <c r="AG414" s="11">
        <v>10</v>
      </c>
      <c r="AH414" s="11">
        <v>10</v>
      </c>
    </row>
    <row r="415" spans="1:34" s="33" customFormat="1" x14ac:dyDescent="0.2">
      <c r="A415" s="11">
        <v>538</v>
      </c>
      <c r="B415" s="11"/>
      <c r="C415" s="11"/>
      <c r="D415" s="11"/>
      <c r="E415" s="11"/>
      <c r="F415" s="11" t="s">
        <v>62</v>
      </c>
      <c r="G415" s="11" t="s">
        <v>63</v>
      </c>
      <c r="H415" s="56" t="str">
        <f>VLOOKUP(Table6[[#This Row],[ICD Code]],ICD_summary!$I$3:$M$38,5,0)</f>
        <v>PD</v>
      </c>
      <c r="I415" s="12">
        <v>69.900000000000006</v>
      </c>
      <c r="J4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5" s="11" t="s">
        <v>55</v>
      </c>
      <c r="L415" s="11"/>
      <c r="M415" s="11"/>
      <c r="N415" s="11">
        <v>51.231000000000002</v>
      </c>
      <c r="O415" s="11">
        <v>48.332000000000001</v>
      </c>
      <c r="P415" s="11">
        <v>99.906000000000006</v>
      </c>
      <c r="Q415" s="11">
        <v>99.513999999999996</v>
      </c>
      <c r="R415" s="11">
        <v>106.46899999999999</v>
      </c>
      <c r="S415" s="11">
        <v>106.99</v>
      </c>
      <c r="T415" s="11">
        <v>127.946</v>
      </c>
      <c r="U415" s="11">
        <v>128.38999999999999</v>
      </c>
      <c r="V415" s="11">
        <v>60.881999999999998</v>
      </c>
      <c r="W415" s="11">
        <v>60.622999999999998</v>
      </c>
      <c r="X415" s="11">
        <v>39.118000000000002</v>
      </c>
      <c r="Y415" s="11">
        <v>39.377000000000002</v>
      </c>
      <c r="Z415" s="11">
        <v>11.244999999999999</v>
      </c>
      <c r="AA415" s="11">
        <v>10.255000000000001</v>
      </c>
      <c r="AB415" s="11">
        <v>39.377000000000002</v>
      </c>
      <c r="AC415" s="11">
        <v>39.118000000000002</v>
      </c>
      <c r="AD415" s="11">
        <v>11.833</v>
      </c>
      <c r="AE415" s="11">
        <v>21</v>
      </c>
      <c r="AF415" s="11">
        <v>21</v>
      </c>
      <c r="AG415" s="11">
        <v>21</v>
      </c>
      <c r="AH415" s="11">
        <v>21</v>
      </c>
    </row>
    <row r="416" spans="1:34" s="33" customFormat="1" x14ac:dyDescent="0.2">
      <c r="A416" s="11">
        <v>539</v>
      </c>
      <c r="B416" s="11"/>
      <c r="C416" s="11"/>
      <c r="D416" s="11"/>
      <c r="E416" s="11"/>
      <c r="F416" s="11" t="s">
        <v>80</v>
      </c>
      <c r="G416" s="11" t="s">
        <v>81</v>
      </c>
      <c r="H416" s="56" t="str">
        <f>VLOOKUP(Table6[[#This Row],[ICD Code]],ICD_summary!$I$3:$M$38,5,0)</f>
        <v>Dystonia, cervical</v>
      </c>
      <c r="I416" s="12">
        <v>59.6</v>
      </c>
      <c r="J4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16" s="11" t="s">
        <v>52</v>
      </c>
      <c r="L416" s="11"/>
      <c r="M416" s="11"/>
      <c r="N416" s="11">
        <v>39.942</v>
      </c>
      <c r="O416" s="11">
        <v>35.28</v>
      </c>
      <c r="P416" s="11">
        <v>75.606999999999999</v>
      </c>
      <c r="Q416" s="11">
        <v>75.253</v>
      </c>
      <c r="R416" s="11">
        <v>54.715000000000003</v>
      </c>
      <c r="S416" s="11">
        <v>53.920999999999999</v>
      </c>
      <c r="T416" s="11">
        <v>85.540999999999997</v>
      </c>
      <c r="U416" s="11">
        <v>85.105999999999995</v>
      </c>
      <c r="V416" s="11">
        <v>70.774000000000001</v>
      </c>
      <c r="W416" s="11">
        <v>69.569999999999993</v>
      </c>
      <c r="X416" s="11">
        <v>29.225999999999999</v>
      </c>
      <c r="Y416" s="11">
        <v>30.43</v>
      </c>
      <c r="Z416" s="11">
        <v>17.917000000000002</v>
      </c>
      <c r="AA416" s="11">
        <v>21.073</v>
      </c>
      <c r="AB416" s="11">
        <v>30.43</v>
      </c>
      <c r="AC416" s="11">
        <v>29.225999999999999</v>
      </c>
      <c r="AD416" s="11">
        <v>17.285</v>
      </c>
      <c r="AE416" s="11">
        <v>15</v>
      </c>
      <c r="AF416" s="11">
        <v>18</v>
      </c>
      <c r="AG416" s="11">
        <v>15</v>
      </c>
      <c r="AH416" s="11">
        <v>15</v>
      </c>
    </row>
    <row r="417" spans="1:34" s="33" customFormat="1" x14ac:dyDescent="0.2">
      <c r="A417" s="11">
        <v>540</v>
      </c>
      <c r="B417" s="11"/>
      <c r="C417" s="11"/>
      <c r="D417" s="11"/>
      <c r="E417" s="11"/>
      <c r="F417" s="11" t="s">
        <v>92</v>
      </c>
      <c r="G417" s="11" t="s">
        <v>93</v>
      </c>
      <c r="H417" s="56" t="str">
        <f>VLOOKUP(Table6[[#This Row],[ICD Code]],ICD_summary!$I$3:$M$38,5,0)</f>
        <v>Misc/Other</v>
      </c>
      <c r="I417" s="12">
        <v>79.900000000000006</v>
      </c>
      <c r="J4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7" s="11" t="s">
        <v>52</v>
      </c>
      <c r="L417" s="11"/>
      <c r="M417" s="11"/>
      <c r="N417" s="11">
        <v>45.929000000000002</v>
      </c>
      <c r="O417" s="11">
        <v>45.401000000000003</v>
      </c>
      <c r="P417" s="11">
        <v>91.489000000000004</v>
      </c>
      <c r="Q417" s="11">
        <v>91.367999999999995</v>
      </c>
      <c r="R417" s="11">
        <v>66.965000000000003</v>
      </c>
      <c r="S417" s="11">
        <v>67.016999999999996</v>
      </c>
      <c r="T417" s="11">
        <v>87.638000000000005</v>
      </c>
      <c r="U417" s="11">
        <v>87.900999999999996</v>
      </c>
      <c r="V417" s="11">
        <v>67.903999999999996</v>
      </c>
      <c r="W417" s="11">
        <v>65.950999999999993</v>
      </c>
      <c r="X417" s="11">
        <v>32.095999999999997</v>
      </c>
      <c r="Y417" s="11">
        <v>34.048999999999999</v>
      </c>
      <c r="Z417" s="11">
        <v>18.152999999999999</v>
      </c>
      <c r="AA417" s="11">
        <v>15.976000000000001</v>
      </c>
      <c r="AB417" s="11">
        <v>34.048999999999999</v>
      </c>
      <c r="AC417" s="11">
        <v>32.095999999999997</v>
      </c>
      <c r="AD417" s="11">
        <v>12.31</v>
      </c>
      <c r="AE417" s="11">
        <v>14</v>
      </c>
      <c r="AF417" s="11">
        <v>15</v>
      </c>
      <c r="AG417" s="11">
        <v>14</v>
      </c>
      <c r="AH417" s="11">
        <v>14</v>
      </c>
    </row>
    <row r="418" spans="1:34" s="33" customFormat="1" x14ac:dyDescent="0.2">
      <c r="A418" s="11">
        <v>541</v>
      </c>
      <c r="B418" s="11"/>
      <c r="C418" s="11"/>
      <c r="D418" s="11"/>
      <c r="E418" s="11"/>
      <c r="F418" s="11" t="s">
        <v>62</v>
      </c>
      <c r="G418" s="11" t="s">
        <v>63</v>
      </c>
      <c r="H418" s="56" t="str">
        <f>VLOOKUP(Table6[[#This Row],[ICD Code]],ICD_summary!$I$3:$M$38,5,0)</f>
        <v>PD</v>
      </c>
      <c r="I418" s="12">
        <v>74.900000000000006</v>
      </c>
      <c r="J4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8" s="11" t="s">
        <v>55</v>
      </c>
      <c r="L418" s="11"/>
      <c r="M418" s="11"/>
      <c r="N418" s="11">
        <v>27.387</v>
      </c>
      <c r="O418" s="11">
        <v>24.574999999999999</v>
      </c>
      <c r="P418" s="11">
        <v>52.32</v>
      </c>
      <c r="Q418" s="11">
        <v>51.515999999999998</v>
      </c>
      <c r="R418" s="11">
        <v>47.220999999999997</v>
      </c>
      <c r="S418" s="11">
        <v>46.356000000000002</v>
      </c>
      <c r="T418" s="11">
        <v>107.941</v>
      </c>
      <c r="U418" s="11">
        <v>108.107</v>
      </c>
      <c r="V418" s="11">
        <v>67.56</v>
      </c>
      <c r="W418" s="11">
        <v>67.129000000000005</v>
      </c>
      <c r="X418" s="11">
        <v>32.44</v>
      </c>
      <c r="Y418" s="11">
        <v>32.871000000000002</v>
      </c>
      <c r="Z418" s="11">
        <v>16.308</v>
      </c>
      <c r="AA418" s="11">
        <v>18.702999999999999</v>
      </c>
      <c r="AB418" s="11">
        <v>32.871000000000002</v>
      </c>
      <c r="AC418" s="11">
        <v>32.44</v>
      </c>
      <c r="AD418" s="11">
        <v>11.782999999999999</v>
      </c>
      <c r="AE418" s="11">
        <v>18</v>
      </c>
      <c r="AF418" s="11">
        <v>18</v>
      </c>
      <c r="AG418" s="11">
        <v>18</v>
      </c>
      <c r="AH418" s="11">
        <v>18</v>
      </c>
    </row>
    <row r="419" spans="1:34" s="33" customFormat="1" x14ac:dyDescent="0.2">
      <c r="A419" s="11">
        <v>542</v>
      </c>
      <c r="B419" s="11"/>
      <c r="C419" s="11"/>
      <c r="D419" s="11"/>
      <c r="E419" s="11"/>
      <c r="F419" s="11" t="s">
        <v>80</v>
      </c>
      <c r="G419" s="11" t="s">
        <v>81</v>
      </c>
      <c r="H419" s="56" t="str">
        <f>VLOOKUP(Table6[[#This Row],[ICD Code]],ICD_summary!$I$3:$M$38,5,0)</f>
        <v>Dystonia, cervical</v>
      </c>
      <c r="I419" s="12">
        <v>49</v>
      </c>
      <c r="J4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19" s="11" t="s">
        <v>52</v>
      </c>
      <c r="L419" s="11"/>
      <c r="M419" s="11"/>
      <c r="N419" s="11">
        <v>62.445</v>
      </c>
      <c r="O419" s="11">
        <v>69.766000000000005</v>
      </c>
      <c r="P419" s="11">
        <v>132.98500000000001</v>
      </c>
      <c r="Q419" s="11">
        <v>132.54400000000001</v>
      </c>
      <c r="R419" s="11">
        <v>113.214</v>
      </c>
      <c r="S419" s="11">
        <v>112.43899999999999</v>
      </c>
      <c r="T419" s="11">
        <v>102.694</v>
      </c>
      <c r="U419" s="11">
        <v>102.48099999999999</v>
      </c>
      <c r="V419" s="11">
        <v>63.366</v>
      </c>
      <c r="W419" s="11">
        <v>61.832000000000001</v>
      </c>
      <c r="X419" s="11">
        <v>36.634</v>
      </c>
      <c r="Y419" s="11">
        <v>38.167999999999999</v>
      </c>
      <c r="Z419" s="11">
        <v>11.803000000000001</v>
      </c>
      <c r="AA419" s="11">
        <v>13.398999999999999</v>
      </c>
      <c r="AB419" s="11">
        <v>38.167999999999999</v>
      </c>
      <c r="AC419" s="11">
        <v>36.634</v>
      </c>
      <c r="AD419" s="11">
        <v>13.276</v>
      </c>
      <c r="AE419" s="11">
        <v>16</v>
      </c>
      <c r="AF419" s="11">
        <v>20</v>
      </c>
      <c r="AG419" s="11">
        <v>16</v>
      </c>
      <c r="AH419" s="11">
        <v>16</v>
      </c>
    </row>
    <row r="420" spans="1:34" s="33" customFormat="1" x14ac:dyDescent="0.2">
      <c r="A420" s="11">
        <v>543</v>
      </c>
      <c r="B420" s="11"/>
      <c r="C420" s="11"/>
      <c r="D420" s="11"/>
      <c r="E420" s="11"/>
      <c r="F420" s="11" t="s">
        <v>51</v>
      </c>
      <c r="G420" s="11" t="s">
        <v>51</v>
      </c>
      <c r="H420" s="56" t="str">
        <f>VLOOKUP(Table6[[#This Row],[ICD Code]],ICD_summary!$I$3:$M$38,5,0)</f>
        <v>Misc/Other</v>
      </c>
      <c r="I420" s="12">
        <v>999</v>
      </c>
      <c r="J4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0" s="11" t="s">
        <v>51</v>
      </c>
      <c r="L420" s="11"/>
      <c r="M420" s="11"/>
      <c r="N420" s="11" t="s">
        <v>51</v>
      </c>
      <c r="O420" s="11" t="s">
        <v>51</v>
      </c>
      <c r="P420" s="11" t="s">
        <v>51</v>
      </c>
      <c r="Q420" s="11" t="s">
        <v>51</v>
      </c>
      <c r="R420" s="11" t="s">
        <v>51</v>
      </c>
      <c r="S420" s="11" t="s">
        <v>51</v>
      </c>
      <c r="T420" s="11" t="s">
        <v>51</v>
      </c>
      <c r="U420" s="11" t="s">
        <v>51</v>
      </c>
      <c r="V420" s="11" t="s">
        <v>51</v>
      </c>
      <c r="W420" s="11" t="s">
        <v>51</v>
      </c>
      <c r="X420" s="11" t="s">
        <v>51</v>
      </c>
      <c r="Y420" s="11" t="s">
        <v>51</v>
      </c>
      <c r="Z420" s="11" t="s">
        <v>51</v>
      </c>
      <c r="AA420" s="11" t="s">
        <v>51</v>
      </c>
      <c r="AB420" s="11" t="s">
        <v>51</v>
      </c>
      <c r="AC420" s="11" t="s">
        <v>51</v>
      </c>
      <c r="AD420" s="11" t="s">
        <v>51</v>
      </c>
      <c r="AE420" s="11" t="s">
        <v>51</v>
      </c>
      <c r="AF420" s="11" t="s">
        <v>51</v>
      </c>
      <c r="AG420" s="11" t="s">
        <v>51</v>
      </c>
      <c r="AH420" s="11" t="s">
        <v>51</v>
      </c>
    </row>
    <row r="421" spans="1:34" s="33" customFormat="1" x14ac:dyDescent="0.2">
      <c r="A421" s="11">
        <v>544</v>
      </c>
      <c r="B421" s="11"/>
      <c r="C421" s="11"/>
      <c r="D421" s="11"/>
      <c r="E421" s="11"/>
      <c r="F421" s="11" t="s">
        <v>62</v>
      </c>
      <c r="G421" s="11" t="s">
        <v>63</v>
      </c>
      <c r="H421" s="56" t="str">
        <f>VLOOKUP(Table6[[#This Row],[ICD Code]],ICD_summary!$I$3:$M$38,5,0)</f>
        <v>PD</v>
      </c>
      <c r="I421" s="12">
        <v>58.8</v>
      </c>
      <c r="J4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1" s="11" t="s">
        <v>55</v>
      </c>
      <c r="L421" s="11"/>
      <c r="M421" s="11"/>
      <c r="N421" s="11">
        <v>42.204000000000001</v>
      </c>
      <c r="O421" s="11">
        <v>44.369</v>
      </c>
      <c r="P421" s="11">
        <v>86.421000000000006</v>
      </c>
      <c r="Q421" s="11">
        <v>86.742000000000004</v>
      </c>
      <c r="R421" s="11">
        <v>84.477999999999994</v>
      </c>
      <c r="S421" s="11">
        <v>84.385000000000005</v>
      </c>
      <c r="T421" s="11">
        <v>116.91500000000001</v>
      </c>
      <c r="U421" s="11">
        <v>116.754</v>
      </c>
      <c r="V421" s="11">
        <v>60.781999999999996</v>
      </c>
      <c r="W421" s="11">
        <v>65.210999999999999</v>
      </c>
      <c r="X421" s="11">
        <v>39.218000000000004</v>
      </c>
      <c r="Y421" s="11">
        <v>34.789000000000001</v>
      </c>
      <c r="Z421" s="11">
        <v>14.656000000000001</v>
      </c>
      <c r="AA421" s="11">
        <v>11.622999999999999</v>
      </c>
      <c r="AB421" s="11">
        <v>34.789000000000001</v>
      </c>
      <c r="AC421" s="11">
        <v>39.218000000000004</v>
      </c>
      <c r="AD421" s="11">
        <v>14.836</v>
      </c>
      <c r="AE421" s="11">
        <v>17</v>
      </c>
      <c r="AF421" s="11">
        <v>17</v>
      </c>
      <c r="AG421" s="11">
        <v>17</v>
      </c>
      <c r="AH421" s="11">
        <v>17</v>
      </c>
    </row>
    <row r="422" spans="1:34" s="33" customFormat="1" x14ac:dyDescent="0.2">
      <c r="A422" s="11">
        <v>545</v>
      </c>
      <c r="B422" s="11"/>
      <c r="C422" s="11"/>
      <c r="D422" s="11"/>
      <c r="E422" s="11"/>
      <c r="F422" s="11" t="s">
        <v>62</v>
      </c>
      <c r="G422" s="11" t="s">
        <v>63</v>
      </c>
      <c r="H422" s="56" t="str">
        <f>VLOOKUP(Table6[[#This Row],[ICD Code]],ICD_summary!$I$3:$M$38,5,0)</f>
        <v>PD</v>
      </c>
      <c r="I422" s="12">
        <v>54.8</v>
      </c>
      <c r="J4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2" s="11" t="s">
        <v>55</v>
      </c>
      <c r="L422" s="11"/>
      <c r="M422" s="11"/>
      <c r="N422" s="11">
        <v>11.407</v>
      </c>
      <c r="O422" s="11">
        <v>-1.5589999999999999</v>
      </c>
      <c r="P422" s="11">
        <v>9.6880000000000006</v>
      </c>
      <c r="Q422" s="11">
        <v>9.9139999999999997</v>
      </c>
      <c r="R422" s="11">
        <v>6.9880000000000004</v>
      </c>
      <c r="S422" s="11">
        <v>6.9189999999999996</v>
      </c>
      <c r="T422" s="11">
        <v>85.614000000000004</v>
      </c>
      <c r="U422" s="11">
        <v>82.406999999999996</v>
      </c>
      <c r="V422" s="11">
        <v>85.001000000000005</v>
      </c>
      <c r="W422" s="11">
        <v>83.400999999999996</v>
      </c>
      <c r="X422" s="11">
        <v>14.999000000000001</v>
      </c>
      <c r="Y422" s="11">
        <v>16.599</v>
      </c>
      <c r="Z422" s="11">
        <v>25.606000000000002</v>
      </c>
      <c r="AA422" s="11">
        <v>43.58</v>
      </c>
      <c r="AB422" s="11">
        <v>16.599</v>
      </c>
      <c r="AC422" s="11">
        <v>14.999000000000001</v>
      </c>
      <c r="AD422" s="11">
        <v>12.2</v>
      </c>
      <c r="AE422" s="11">
        <v>25</v>
      </c>
      <c r="AF422" s="11">
        <v>26</v>
      </c>
      <c r="AG422" s="11">
        <v>25</v>
      </c>
      <c r="AH422" s="11">
        <v>25</v>
      </c>
    </row>
    <row r="423" spans="1:34" s="33" customFormat="1" x14ac:dyDescent="0.2">
      <c r="A423" s="11">
        <v>546</v>
      </c>
      <c r="B423" s="11"/>
      <c r="C423" s="11"/>
      <c r="D423" s="11"/>
      <c r="E423" s="11"/>
      <c r="F423" s="11" t="s">
        <v>74</v>
      </c>
      <c r="G423" s="11" t="s">
        <v>75</v>
      </c>
      <c r="H423" s="56" t="str">
        <f>VLOOKUP(Table6[[#This Row],[ICD Code]],ICD_summary!$I$3:$M$38,5,0)</f>
        <v>Tremor, other</v>
      </c>
      <c r="I423" s="12">
        <v>53.7</v>
      </c>
      <c r="J4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3" s="11" t="s">
        <v>52</v>
      </c>
      <c r="L423" s="11"/>
      <c r="M423" s="11"/>
      <c r="N423" s="11">
        <v>27.672000000000001</v>
      </c>
      <c r="O423" s="11">
        <v>0</v>
      </c>
      <c r="P423" s="11">
        <v>58.029000000000003</v>
      </c>
      <c r="Q423" s="11">
        <v>0</v>
      </c>
      <c r="R423" s="11">
        <v>48.338999999999999</v>
      </c>
      <c r="S423" s="11">
        <v>0</v>
      </c>
      <c r="T423" s="11">
        <v>100.517</v>
      </c>
      <c r="U423" s="11">
        <v>0</v>
      </c>
      <c r="V423" s="11">
        <v>72.688000000000002</v>
      </c>
      <c r="W423" s="11">
        <v>0</v>
      </c>
      <c r="X423" s="11">
        <v>27.312000000000001</v>
      </c>
      <c r="Y423" s="11">
        <v>0</v>
      </c>
      <c r="Z423" s="11">
        <v>15.343999999999999</v>
      </c>
      <c r="AA423" s="11">
        <v>0</v>
      </c>
      <c r="AB423" s="11">
        <v>39.08</v>
      </c>
      <c r="AC423" s="11">
        <v>0</v>
      </c>
      <c r="AD423" s="11">
        <v>19.997</v>
      </c>
      <c r="AE423" s="11">
        <v>22</v>
      </c>
      <c r="AF423" s="11">
        <v>23</v>
      </c>
      <c r="AG423" s="11">
        <v>21</v>
      </c>
      <c r="AH423" s="11">
        <v>20</v>
      </c>
    </row>
    <row r="424" spans="1:34" s="33" customFormat="1" x14ac:dyDescent="0.2">
      <c r="A424" s="11">
        <v>547</v>
      </c>
      <c r="B424" s="11"/>
      <c r="C424" s="11"/>
      <c r="D424" s="11"/>
      <c r="E424" s="11"/>
      <c r="F424" s="11" t="s">
        <v>68</v>
      </c>
      <c r="G424" s="11" t="s">
        <v>69</v>
      </c>
      <c r="H424" s="56" t="str">
        <f>VLOOKUP(Table6[[#This Row],[ICD Code]],ICD_summary!$I$3:$M$38,5,0)</f>
        <v>Tremor, essential tremor</v>
      </c>
      <c r="I424" s="12">
        <v>59.5</v>
      </c>
      <c r="J4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4" s="11" t="s">
        <v>52</v>
      </c>
      <c r="L424" s="11"/>
      <c r="M424" s="11"/>
      <c r="N424" s="11">
        <v>64.608999999999995</v>
      </c>
      <c r="O424" s="11">
        <v>62.796999999999997</v>
      </c>
      <c r="P424" s="11">
        <v>127.622</v>
      </c>
      <c r="Q424" s="11">
        <v>126.639</v>
      </c>
      <c r="R424" s="11">
        <v>110.131</v>
      </c>
      <c r="S424" s="11">
        <v>109.468</v>
      </c>
      <c r="T424" s="11">
        <v>104.036</v>
      </c>
      <c r="U424" s="11">
        <v>104.11499999999999</v>
      </c>
      <c r="V424" s="11">
        <v>62.460999999999999</v>
      </c>
      <c r="W424" s="11">
        <v>62.171999999999997</v>
      </c>
      <c r="X424" s="11">
        <v>37.539000000000001</v>
      </c>
      <c r="Y424" s="11">
        <v>37.828000000000003</v>
      </c>
      <c r="Z424" s="11">
        <v>12.794</v>
      </c>
      <c r="AA424" s="11">
        <v>12.968999999999999</v>
      </c>
      <c r="AB424" s="11">
        <v>37.828000000000003</v>
      </c>
      <c r="AC424" s="11">
        <v>37.539000000000001</v>
      </c>
      <c r="AD424" s="11">
        <v>13.971</v>
      </c>
      <c r="AE424" s="11">
        <v>14</v>
      </c>
      <c r="AF424" s="11">
        <v>14</v>
      </c>
      <c r="AG424" s="11">
        <v>14</v>
      </c>
      <c r="AH424" s="11">
        <v>14</v>
      </c>
    </row>
    <row r="425" spans="1:34" s="33" customFormat="1" x14ac:dyDescent="0.2">
      <c r="A425" s="11">
        <v>548</v>
      </c>
      <c r="B425" s="11"/>
      <c r="C425" s="11"/>
      <c r="D425" s="11"/>
      <c r="E425" s="11"/>
      <c r="F425" s="11" t="s">
        <v>68</v>
      </c>
      <c r="G425" s="11" t="s">
        <v>69</v>
      </c>
      <c r="H425" s="56" t="str">
        <f>VLOOKUP(Table6[[#This Row],[ICD Code]],ICD_summary!$I$3:$M$38,5,0)</f>
        <v>Tremor, essential tremor</v>
      </c>
      <c r="I425" s="12">
        <v>73.400000000000006</v>
      </c>
      <c r="J4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25" s="11" t="s">
        <v>55</v>
      </c>
      <c r="L425" s="11"/>
      <c r="M425" s="11"/>
      <c r="N425" s="11">
        <v>57.973999999999997</v>
      </c>
      <c r="O425" s="11">
        <v>56.790999999999997</v>
      </c>
      <c r="P425" s="11">
        <v>114.95399999999999</v>
      </c>
      <c r="Q425" s="11">
        <v>115.73699999999999</v>
      </c>
      <c r="R425" s="11">
        <v>113.279</v>
      </c>
      <c r="S425" s="11">
        <v>114.00700000000001</v>
      </c>
      <c r="T425" s="11">
        <v>117.976</v>
      </c>
      <c r="U425" s="11">
        <v>117.804</v>
      </c>
      <c r="V425" s="11">
        <v>61.656999999999996</v>
      </c>
      <c r="W425" s="11">
        <v>62.067999999999998</v>
      </c>
      <c r="X425" s="11">
        <v>38.343000000000004</v>
      </c>
      <c r="Y425" s="11">
        <v>37.932000000000002</v>
      </c>
      <c r="Z425" s="11">
        <v>12.228999999999999</v>
      </c>
      <c r="AA425" s="11">
        <v>11.994999999999999</v>
      </c>
      <c r="AB425" s="11">
        <v>37.932000000000002</v>
      </c>
      <c r="AC425" s="11">
        <v>38.343000000000004</v>
      </c>
      <c r="AD425" s="11">
        <v>9.4529999999999994</v>
      </c>
      <c r="AE425" s="11">
        <v>17</v>
      </c>
      <c r="AF425" s="11">
        <v>13</v>
      </c>
      <c r="AG425" s="11">
        <v>13</v>
      </c>
      <c r="AH425" s="11">
        <v>13</v>
      </c>
    </row>
    <row r="426" spans="1:34" s="33" customFormat="1" x14ac:dyDescent="0.2">
      <c r="A426" s="11">
        <v>549</v>
      </c>
      <c r="B426" s="11"/>
      <c r="C426" s="11"/>
      <c r="D426" s="11"/>
      <c r="E426" s="11"/>
      <c r="F426" s="11" t="s">
        <v>51</v>
      </c>
      <c r="G426" s="11" t="s">
        <v>51</v>
      </c>
      <c r="H426" s="56" t="str">
        <f>VLOOKUP(Table6[[#This Row],[ICD Code]],ICD_summary!$I$3:$M$38,5,0)</f>
        <v>Misc/Other</v>
      </c>
      <c r="I426" s="12">
        <v>999</v>
      </c>
      <c r="J4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6" s="11" t="s">
        <v>51</v>
      </c>
      <c r="L426" s="11"/>
      <c r="M426" s="11"/>
      <c r="N426" s="11">
        <v>34.036000000000001</v>
      </c>
      <c r="O426" s="11">
        <v>30.484999999999999</v>
      </c>
      <c r="P426" s="11">
        <v>64.804000000000002</v>
      </c>
      <c r="Q426" s="11">
        <v>64.650000000000006</v>
      </c>
      <c r="R426" s="11">
        <v>60.698</v>
      </c>
      <c r="S426" s="11">
        <v>60.566000000000003</v>
      </c>
      <c r="T426" s="11">
        <v>112.405</v>
      </c>
      <c r="U426" s="11">
        <v>112.547</v>
      </c>
      <c r="V426" s="11">
        <v>64.353999999999999</v>
      </c>
      <c r="W426" s="11">
        <v>64.938999999999993</v>
      </c>
      <c r="X426" s="11">
        <v>35.646000000000001</v>
      </c>
      <c r="Y426" s="11">
        <v>35.061</v>
      </c>
      <c r="Z426" s="11">
        <v>13.981999999999999</v>
      </c>
      <c r="AA426" s="11">
        <v>15.305</v>
      </c>
      <c r="AB426" s="11">
        <v>35.061</v>
      </c>
      <c r="AC426" s="11">
        <v>35.646000000000001</v>
      </c>
      <c r="AD426" s="11">
        <v>12.122</v>
      </c>
      <c r="AE426" s="11">
        <v>18</v>
      </c>
      <c r="AF426" s="11">
        <v>19</v>
      </c>
      <c r="AG426" s="11">
        <v>18</v>
      </c>
      <c r="AH426" s="11">
        <v>18</v>
      </c>
    </row>
    <row r="427" spans="1:34" s="33" customFormat="1" x14ac:dyDescent="0.2">
      <c r="A427" s="11">
        <v>550</v>
      </c>
      <c r="B427" s="11"/>
      <c r="C427" s="11"/>
      <c r="D427" s="11"/>
      <c r="E427" s="11"/>
      <c r="F427" s="11" t="s">
        <v>51</v>
      </c>
      <c r="G427" s="11" t="s">
        <v>51</v>
      </c>
      <c r="H427" s="56" t="str">
        <f>VLOOKUP(Table6[[#This Row],[ICD Code]],ICD_summary!$I$3:$M$38,5,0)</f>
        <v>Misc/Other</v>
      </c>
      <c r="I427" s="12">
        <v>999</v>
      </c>
      <c r="J4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7" s="11" t="s">
        <v>51</v>
      </c>
      <c r="L427" s="11"/>
      <c r="M427" s="11"/>
      <c r="N427" s="11">
        <v>43.420999999999999</v>
      </c>
      <c r="O427" s="11">
        <v>42.918999999999997</v>
      </c>
      <c r="P427" s="11">
        <v>86.781000000000006</v>
      </c>
      <c r="Q427" s="11">
        <v>86.873000000000005</v>
      </c>
      <c r="R427" s="11">
        <v>72.903000000000006</v>
      </c>
      <c r="S427" s="11">
        <v>73.096999999999994</v>
      </c>
      <c r="T427" s="11">
        <v>100.28700000000001</v>
      </c>
      <c r="U427" s="11">
        <v>100.45399999999999</v>
      </c>
      <c r="V427" s="11">
        <v>64.448999999999998</v>
      </c>
      <c r="W427" s="11">
        <v>64.477000000000004</v>
      </c>
      <c r="X427" s="11">
        <v>35.551000000000002</v>
      </c>
      <c r="Y427" s="11">
        <v>35.523000000000003</v>
      </c>
      <c r="Z427" s="11">
        <v>14.564</v>
      </c>
      <c r="AA427" s="11">
        <v>14.481</v>
      </c>
      <c r="AB427" s="11">
        <v>35.523000000000003</v>
      </c>
      <c r="AC427" s="11">
        <v>35.551000000000002</v>
      </c>
      <c r="AD427" s="11">
        <v>13.72</v>
      </c>
      <c r="AE427" s="11">
        <v>14</v>
      </c>
      <c r="AF427" s="11">
        <v>13</v>
      </c>
      <c r="AG427" s="11">
        <v>13</v>
      </c>
      <c r="AH427" s="11">
        <v>13</v>
      </c>
    </row>
    <row r="428" spans="1:34" s="33" customFormat="1" x14ac:dyDescent="0.2">
      <c r="A428" s="11">
        <v>551</v>
      </c>
      <c r="B428" s="11"/>
      <c r="C428" s="11"/>
      <c r="D428" s="11"/>
      <c r="E428" s="11"/>
      <c r="F428" s="11" t="s">
        <v>51</v>
      </c>
      <c r="G428" s="11" t="s">
        <v>51</v>
      </c>
      <c r="H428" s="56" t="str">
        <f>VLOOKUP(Table6[[#This Row],[ICD Code]],ICD_summary!$I$3:$M$38,5,0)</f>
        <v>Misc/Other</v>
      </c>
      <c r="I428" s="12">
        <v>999</v>
      </c>
      <c r="J4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8" s="11" t="s">
        <v>51</v>
      </c>
      <c r="L428" s="11"/>
      <c r="M428" s="11"/>
      <c r="N428" s="11" t="s">
        <v>51</v>
      </c>
      <c r="O428" s="11" t="s">
        <v>51</v>
      </c>
      <c r="P428" s="11" t="s">
        <v>51</v>
      </c>
      <c r="Q428" s="11" t="s">
        <v>51</v>
      </c>
      <c r="R428" s="11" t="s">
        <v>51</v>
      </c>
      <c r="S428" s="11" t="s">
        <v>51</v>
      </c>
      <c r="T428" s="11" t="s">
        <v>51</v>
      </c>
      <c r="U428" s="11" t="s">
        <v>51</v>
      </c>
      <c r="V428" s="11" t="s">
        <v>51</v>
      </c>
      <c r="W428" s="11" t="s">
        <v>51</v>
      </c>
      <c r="X428" s="11" t="s">
        <v>51</v>
      </c>
      <c r="Y428" s="11" t="s">
        <v>51</v>
      </c>
      <c r="Z428" s="11" t="s">
        <v>51</v>
      </c>
      <c r="AA428" s="11" t="s">
        <v>51</v>
      </c>
      <c r="AB428" s="11" t="s">
        <v>51</v>
      </c>
      <c r="AC428" s="11" t="s">
        <v>51</v>
      </c>
      <c r="AD428" s="11" t="s">
        <v>51</v>
      </c>
      <c r="AE428" s="11" t="s">
        <v>51</v>
      </c>
      <c r="AF428" s="11" t="s">
        <v>51</v>
      </c>
      <c r="AG428" s="11" t="s">
        <v>51</v>
      </c>
      <c r="AH428" s="11" t="s">
        <v>51</v>
      </c>
    </row>
    <row r="429" spans="1:34" s="33" customFormat="1" x14ac:dyDescent="0.2">
      <c r="A429" s="11">
        <v>552</v>
      </c>
      <c r="B429" s="11"/>
      <c r="C429" s="11"/>
      <c r="D429" s="11"/>
      <c r="E429" s="11"/>
      <c r="F429" s="11" t="s">
        <v>62</v>
      </c>
      <c r="G429" s="11" t="s">
        <v>63</v>
      </c>
      <c r="H429" s="56" t="str">
        <f>VLOOKUP(Table6[[#This Row],[ICD Code]],ICD_summary!$I$3:$M$38,5,0)</f>
        <v>PD</v>
      </c>
      <c r="I429" s="12">
        <v>57.2</v>
      </c>
      <c r="J4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9" s="11" t="s">
        <v>55</v>
      </c>
      <c r="L429" s="11"/>
      <c r="M429" s="11"/>
      <c r="N429" s="11">
        <v>49.695999999999998</v>
      </c>
      <c r="O429" s="11">
        <v>48.704999999999998</v>
      </c>
      <c r="P429" s="11">
        <v>99.105999999999995</v>
      </c>
      <c r="Q429" s="11">
        <v>98.400999999999996</v>
      </c>
      <c r="R429" s="11">
        <v>102.491</v>
      </c>
      <c r="S429" s="11">
        <v>101.453</v>
      </c>
      <c r="T429" s="11">
        <v>123.498</v>
      </c>
      <c r="U429" s="11">
        <v>124.021</v>
      </c>
      <c r="V429" s="11">
        <v>64.447999999999993</v>
      </c>
      <c r="W429" s="11">
        <v>62.438000000000002</v>
      </c>
      <c r="X429" s="11">
        <v>35.552</v>
      </c>
      <c r="Y429" s="11">
        <v>37.561999999999998</v>
      </c>
      <c r="Z429" s="11">
        <v>13.023</v>
      </c>
      <c r="AA429" s="11">
        <v>13.471</v>
      </c>
      <c r="AB429" s="11">
        <v>37.561999999999998</v>
      </c>
      <c r="AC429" s="11">
        <v>35.552</v>
      </c>
      <c r="AD429" s="11">
        <v>9.0920000000000005</v>
      </c>
      <c r="AE429" s="11">
        <v>12</v>
      </c>
      <c r="AF429" s="11">
        <v>18</v>
      </c>
      <c r="AG429" s="11">
        <v>12</v>
      </c>
      <c r="AH429" s="11">
        <v>12</v>
      </c>
    </row>
    <row r="430" spans="1:34" s="33" customFormat="1" x14ac:dyDescent="0.2">
      <c r="A430" s="11">
        <v>553</v>
      </c>
      <c r="B430" s="11"/>
      <c r="C430" s="11"/>
      <c r="D430" s="11"/>
      <c r="E430" s="11"/>
      <c r="F430" s="11" t="s">
        <v>92</v>
      </c>
      <c r="G430" s="11" t="s">
        <v>93</v>
      </c>
      <c r="H430" s="56" t="str">
        <f>VLOOKUP(Table6[[#This Row],[ICD Code]],ICD_summary!$I$3:$M$38,5,0)</f>
        <v>Misc/Other</v>
      </c>
      <c r="I430" s="12">
        <v>18.100000000000001</v>
      </c>
      <c r="J4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430" s="11" t="s">
        <v>55</v>
      </c>
      <c r="L430" s="11"/>
      <c r="M430" s="11"/>
      <c r="N430" s="11">
        <v>58.320999999999998</v>
      </c>
      <c r="O430" s="11">
        <v>60.570999999999998</v>
      </c>
      <c r="P430" s="11">
        <v>118.85599999999999</v>
      </c>
      <c r="Q430" s="11">
        <v>118.72199999999999</v>
      </c>
      <c r="R430" s="11">
        <v>102.846</v>
      </c>
      <c r="S430" s="11">
        <v>102.741</v>
      </c>
      <c r="T430" s="11">
        <v>103.10899999999999</v>
      </c>
      <c r="U430" s="11">
        <v>103.09</v>
      </c>
      <c r="V430" s="11">
        <v>62.606999999999999</v>
      </c>
      <c r="W430" s="11">
        <v>62.792999999999999</v>
      </c>
      <c r="X430" s="11">
        <v>37.393000000000001</v>
      </c>
      <c r="Y430" s="11">
        <v>37.207000000000001</v>
      </c>
      <c r="Z430" s="11">
        <v>12.332000000000001</v>
      </c>
      <c r="AA430" s="11">
        <v>13.007999999999999</v>
      </c>
      <c r="AB430" s="11">
        <v>37.207000000000001</v>
      </c>
      <c r="AC430" s="11">
        <v>37.393000000000001</v>
      </c>
      <c r="AD430" s="11">
        <v>8.3930000000000007</v>
      </c>
      <c r="AE430" s="11">
        <v>17</v>
      </c>
      <c r="AF430" s="11">
        <v>16</v>
      </c>
      <c r="AG430" s="11">
        <v>16</v>
      </c>
      <c r="AH430" s="11">
        <v>16</v>
      </c>
    </row>
    <row r="431" spans="1:34" s="33" customFormat="1" x14ac:dyDescent="0.2">
      <c r="A431" s="11">
        <v>554</v>
      </c>
      <c r="B431" s="11"/>
      <c r="C431" s="11"/>
      <c r="D431" s="11"/>
      <c r="E431" s="11"/>
      <c r="F431" s="11" t="s">
        <v>62</v>
      </c>
      <c r="G431" s="11" t="s">
        <v>63</v>
      </c>
      <c r="H431" s="56" t="str">
        <f>VLOOKUP(Table6[[#This Row],[ICD Code]],ICD_summary!$I$3:$M$38,5,0)</f>
        <v>PD</v>
      </c>
      <c r="I431" s="12">
        <v>78.599999999999994</v>
      </c>
      <c r="J4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1" s="11" t="s">
        <v>52</v>
      </c>
      <c r="L431" s="11"/>
      <c r="M431" s="11"/>
      <c r="N431" s="11">
        <v>65.44</v>
      </c>
      <c r="O431" s="11">
        <v>66.938000000000002</v>
      </c>
      <c r="P431" s="11">
        <v>131.57900000000001</v>
      </c>
      <c r="Q431" s="11">
        <v>132.17599999999999</v>
      </c>
      <c r="R431" s="11">
        <v>123.244</v>
      </c>
      <c r="S431" s="11">
        <v>122.914</v>
      </c>
      <c r="T431" s="11">
        <v>112.333</v>
      </c>
      <c r="U431" s="11">
        <v>111.61499999999999</v>
      </c>
      <c r="V431" s="11">
        <v>61.642000000000003</v>
      </c>
      <c r="W431" s="11">
        <v>63.195</v>
      </c>
      <c r="X431" s="11">
        <v>38.357999999999997</v>
      </c>
      <c r="Y431" s="11">
        <v>36.805</v>
      </c>
      <c r="Z431" s="11">
        <v>12.837</v>
      </c>
      <c r="AA431" s="11">
        <v>12.236000000000001</v>
      </c>
      <c r="AB431" s="11">
        <v>36.805</v>
      </c>
      <c r="AC431" s="11">
        <v>38.357999999999997</v>
      </c>
      <c r="AD431" s="11">
        <v>10.704000000000001</v>
      </c>
      <c r="AE431" s="11">
        <v>15</v>
      </c>
      <c r="AF431" s="11">
        <v>15</v>
      </c>
      <c r="AG431" s="11">
        <v>15</v>
      </c>
      <c r="AH431" s="11">
        <v>15</v>
      </c>
    </row>
    <row r="432" spans="1:34" s="33" customFormat="1" x14ac:dyDescent="0.2">
      <c r="A432" s="11">
        <v>555</v>
      </c>
      <c r="B432" s="11"/>
      <c r="C432" s="11"/>
      <c r="D432" s="11"/>
      <c r="E432" s="11"/>
      <c r="F432" s="11" t="s">
        <v>62</v>
      </c>
      <c r="G432" s="11" t="s">
        <v>63</v>
      </c>
      <c r="H432" s="56" t="str">
        <f>VLOOKUP(Table6[[#This Row],[ICD Code]],ICD_summary!$I$3:$M$38,5,0)</f>
        <v>PD</v>
      </c>
      <c r="I432" s="12">
        <v>68.099999999999994</v>
      </c>
      <c r="J4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2" s="11" t="s">
        <v>52</v>
      </c>
      <c r="L432" s="11"/>
      <c r="M432" s="11"/>
      <c r="N432" s="11">
        <v>65.379000000000005</v>
      </c>
      <c r="O432" s="11">
        <v>66.052000000000007</v>
      </c>
      <c r="P432" s="11">
        <v>132.35</v>
      </c>
      <c r="Q432" s="11">
        <v>130.98599999999999</v>
      </c>
      <c r="R432" s="11">
        <v>109.08</v>
      </c>
      <c r="S432" s="11">
        <v>108.021</v>
      </c>
      <c r="T432" s="11">
        <v>98.77</v>
      </c>
      <c r="U432" s="11">
        <v>98.492000000000004</v>
      </c>
      <c r="V432" s="11">
        <v>60.091000000000001</v>
      </c>
      <c r="W432" s="11">
        <v>60.74</v>
      </c>
      <c r="X432" s="11">
        <v>39.908999999999999</v>
      </c>
      <c r="Y432" s="11">
        <v>39.26</v>
      </c>
      <c r="Z432" s="11">
        <v>11.113</v>
      </c>
      <c r="AA432" s="11">
        <v>10.352</v>
      </c>
      <c r="AB432" s="11">
        <v>39.26</v>
      </c>
      <c r="AC432" s="11">
        <v>39.908999999999999</v>
      </c>
      <c r="AD432" s="11">
        <v>7.98</v>
      </c>
      <c r="AE432" s="11">
        <v>14</v>
      </c>
      <c r="AF432" s="11">
        <v>14</v>
      </c>
      <c r="AG432" s="11">
        <v>14</v>
      </c>
      <c r="AH432" s="11">
        <v>14</v>
      </c>
    </row>
    <row r="433" spans="1:34" s="33" customFormat="1" x14ac:dyDescent="0.2">
      <c r="A433" s="11">
        <v>556</v>
      </c>
      <c r="B433" s="11"/>
      <c r="C433" s="11"/>
      <c r="D433" s="11"/>
      <c r="E433" s="11"/>
      <c r="F433" s="11" t="s">
        <v>51</v>
      </c>
      <c r="G433" s="11" t="s">
        <v>51</v>
      </c>
      <c r="H433" s="56" t="str">
        <f>VLOOKUP(Table6[[#This Row],[ICD Code]],ICD_summary!$I$3:$M$38,5,0)</f>
        <v>Misc/Other</v>
      </c>
      <c r="I433" s="12">
        <v>999</v>
      </c>
      <c r="J4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33" s="11" t="s">
        <v>51</v>
      </c>
      <c r="L433" s="11"/>
      <c r="M433" s="11"/>
      <c r="N433" s="11">
        <v>64.2</v>
      </c>
      <c r="O433" s="11">
        <v>63.408999999999999</v>
      </c>
      <c r="P433" s="11">
        <v>127.357</v>
      </c>
      <c r="Q433" s="11">
        <v>128.215</v>
      </c>
      <c r="R433" s="11">
        <v>117.17</v>
      </c>
      <c r="S433" s="11">
        <v>117.649</v>
      </c>
      <c r="T433" s="11">
        <v>109.788</v>
      </c>
      <c r="U433" s="11">
        <v>109.979</v>
      </c>
      <c r="V433" s="11">
        <v>61.726999999999997</v>
      </c>
      <c r="W433" s="11">
        <v>62.427999999999997</v>
      </c>
      <c r="X433" s="11">
        <v>38.273000000000003</v>
      </c>
      <c r="Y433" s="11">
        <v>37.572000000000003</v>
      </c>
      <c r="Z433" s="11">
        <v>12.728</v>
      </c>
      <c r="AA433" s="11">
        <v>11.821999999999999</v>
      </c>
      <c r="AB433" s="11">
        <v>37.572000000000003</v>
      </c>
      <c r="AC433" s="11">
        <v>38.273000000000003</v>
      </c>
      <c r="AD433" s="11">
        <v>14.581</v>
      </c>
      <c r="AE433" s="11">
        <v>14</v>
      </c>
      <c r="AF433" s="11">
        <v>14</v>
      </c>
      <c r="AG433" s="11">
        <v>14</v>
      </c>
      <c r="AH433" s="11">
        <v>14</v>
      </c>
    </row>
    <row r="434" spans="1:34" s="33" customFormat="1" x14ac:dyDescent="0.2">
      <c r="A434" s="11">
        <v>557</v>
      </c>
      <c r="B434" s="11"/>
      <c r="C434" s="11"/>
      <c r="D434" s="11"/>
      <c r="E434" s="11"/>
      <c r="F434" s="11" t="s">
        <v>62</v>
      </c>
      <c r="G434" s="11" t="s">
        <v>63</v>
      </c>
      <c r="H434" s="56" t="str">
        <f>VLOOKUP(Table6[[#This Row],[ICD Code]],ICD_summary!$I$3:$M$38,5,0)</f>
        <v>PD</v>
      </c>
      <c r="I434" s="12">
        <v>72.5</v>
      </c>
      <c r="J4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4" s="11" t="s">
        <v>52</v>
      </c>
      <c r="L434" s="11"/>
      <c r="M434" s="11"/>
      <c r="N434" s="11">
        <v>47.505000000000003</v>
      </c>
      <c r="O434" s="11">
        <v>57.804000000000002</v>
      </c>
      <c r="P434" s="11">
        <v>105.55200000000001</v>
      </c>
      <c r="Q434" s="11">
        <v>104.501</v>
      </c>
      <c r="R434" s="11">
        <v>82.596999999999994</v>
      </c>
      <c r="S434" s="11">
        <v>81.088999999999999</v>
      </c>
      <c r="T434" s="11">
        <v>93.906000000000006</v>
      </c>
      <c r="U434" s="11">
        <v>92.915999999999997</v>
      </c>
      <c r="V434" s="11">
        <v>64.436999999999998</v>
      </c>
      <c r="W434" s="11">
        <v>67.748000000000005</v>
      </c>
      <c r="X434" s="11">
        <v>35.563000000000002</v>
      </c>
      <c r="Y434" s="11">
        <v>32.252000000000002</v>
      </c>
      <c r="Z434" s="11">
        <v>13.781000000000001</v>
      </c>
      <c r="AA434" s="11">
        <v>18.076000000000001</v>
      </c>
      <c r="AB434" s="11">
        <v>32.252000000000002</v>
      </c>
      <c r="AC434" s="11">
        <v>35.563000000000002</v>
      </c>
      <c r="AD434" s="11">
        <v>19.684000000000001</v>
      </c>
      <c r="AE434" s="11">
        <v>12</v>
      </c>
      <c r="AF434" s="11">
        <v>13</v>
      </c>
      <c r="AG434" s="11">
        <v>12</v>
      </c>
      <c r="AH434" s="11">
        <v>12</v>
      </c>
    </row>
    <row r="435" spans="1:34" s="33" customFormat="1" x14ac:dyDescent="0.2">
      <c r="A435" s="11">
        <v>558</v>
      </c>
      <c r="B435" s="11"/>
      <c r="C435" s="11"/>
      <c r="D435" s="11"/>
      <c r="E435" s="11"/>
      <c r="F435" s="11" t="s">
        <v>92</v>
      </c>
      <c r="G435" s="11" t="s">
        <v>93</v>
      </c>
      <c r="H435" s="56" t="str">
        <f>VLOOKUP(Table6[[#This Row],[ICD Code]],ICD_summary!$I$3:$M$38,5,0)</f>
        <v>Misc/Other</v>
      </c>
      <c r="I435" s="12">
        <v>78.900000000000006</v>
      </c>
      <c r="J4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5" s="11" t="s">
        <v>55</v>
      </c>
      <c r="L435" s="11"/>
      <c r="M435" s="11"/>
      <c r="N435" s="11">
        <v>30.126999999999999</v>
      </c>
      <c r="O435" s="11">
        <v>24.408000000000001</v>
      </c>
      <c r="P435" s="11">
        <v>54.832999999999998</v>
      </c>
      <c r="Q435" s="11">
        <v>54.609000000000002</v>
      </c>
      <c r="R435" s="11">
        <v>35.090000000000003</v>
      </c>
      <c r="S435" s="11">
        <v>34.649000000000001</v>
      </c>
      <c r="T435" s="11">
        <v>76.355999999999995</v>
      </c>
      <c r="U435" s="11">
        <v>75.861000000000004</v>
      </c>
      <c r="V435" s="11">
        <v>72.448999999999998</v>
      </c>
      <c r="W435" s="11">
        <v>75.790000000000006</v>
      </c>
      <c r="X435" s="11">
        <v>27.550999999999998</v>
      </c>
      <c r="Y435" s="11">
        <v>24.21</v>
      </c>
      <c r="Z435" s="11">
        <v>25.207000000000001</v>
      </c>
      <c r="AA435" s="11">
        <v>23.225000000000001</v>
      </c>
      <c r="AB435" s="11">
        <v>24.21</v>
      </c>
      <c r="AC435" s="11">
        <v>27.550999999999998</v>
      </c>
      <c r="AD435" s="11">
        <v>16.228000000000002</v>
      </c>
      <c r="AE435" s="11">
        <v>17</v>
      </c>
      <c r="AF435" s="11">
        <v>18</v>
      </c>
      <c r="AG435" s="11">
        <v>17</v>
      </c>
      <c r="AH435" s="11">
        <v>17</v>
      </c>
    </row>
    <row r="436" spans="1:34" s="33" customFormat="1" x14ac:dyDescent="0.2">
      <c r="A436" s="11">
        <v>559</v>
      </c>
      <c r="B436" s="11"/>
      <c r="C436" s="11"/>
      <c r="D436" s="11"/>
      <c r="E436" s="11"/>
      <c r="F436" s="11" t="s">
        <v>68</v>
      </c>
      <c r="G436" s="11" t="s">
        <v>69</v>
      </c>
      <c r="H436" s="56" t="str">
        <f>VLOOKUP(Table6[[#This Row],[ICD Code]],ICD_summary!$I$3:$M$38,5,0)</f>
        <v>Tremor, essential tremor</v>
      </c>
      <c r="I436" s="12">
        <v>60.4</v>
      </c>
      <c r="J4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6" s="11" t="s">
        <v>55</v>
      </c>
      <c r="L436" s="11"/>
      <c r="M436" s="11"/>
      <c r="N436" s="11">
        <v>35.122999999999998</v>
      </c>
      <c r="O436" s="11">
        <v>31.984000000000002</v>
      </c>
      <c r="P436" s="11">
        <v>67.783000000000001</v>
      </c>
      <c r="Q436" s="11">
        <v>66.766000000000005</v>
      </c>
      <c r="R436" s="11">
        <v>65.210999999999999</v>
      </c>
      <c r="S436" s="11">
        <v>64.853999999999999</v>
      </c>
      <c r="T436" s="11">
        <v>116.327</v>
      </c>
      <c r="U436" s="11">
        <v>116.10599999999999</v>
      </c>
      <c r="V436" s="11">
        <v>64.751999999999995</v>
      </c>
      <c r="W436" s="11">
        <v>70.168999999999997</v>
      </c>
      <c r="X436" s="11">
        <v>35.247999999999998</v>
      </c>
      <c r="Y436" s="11">
        <v>29.831</v>
      </c>
      <c r="Z436" s="11">
        <v>17.651</v>
      </c>
      <c r="AA436" s="11">
        <v>17.114999999999998</v>
      </c>
      <c r="AB436" s="11">
        <v>29.831</v>
      </c>
      <c r="AC436" s="11">
        <v>35.247999999999998</v>
      </c>
      <c r="AD436" s="11">
        <v>22.25</v>
      </c>
      <c r="AE436" s="11">
        <v>19</v>
      </c>
      <c r="AF436" s="11">
        <v>19</v>
      </c>
      <c r="AG436" s="11">
        <v>19</v>
      </c>
      <c r="AH436" s="11">
        <v>19</v>
      </c>
    </row>
    <row r="437" spans="1:34" s="33" customFormat="1" x14ac:dyDescent="0.2">
      <c r="A437" s="11">
        <v>560</v>
      </c>
      <c r="B437" s="11"/>
      <c r="C437" s="11"/>
      <c r="D437" s="11"/>
      <c r="E437" s="11"/>
      <c r="F437" s="11" t="s">
        <v>62</v>
      </c>
      <c r="G437" s="11" t="s">
        <v>63</v>
      </c>
      <c r="H437" s="56" t="str">
        <f>VLOOKUP(Table6[[#This Row],[ICD Code]],ICD_summary!$I$3:$M$38,5,0)</f>
        <v>PD</v>
      </c>
      <c r="I437" s="12">
        <v>63.2</v>
      </c>
      <c r="J4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7" s="11" t="s">
        <v>52</v>
      </c>
      <c r="L437" s="11"/>
      <c r="M437" s="11"/>
      <c r="N437" s="11" t="s">
        <v>51</v>
      </c>
      <c r="O437" s="11" t="s">
        <v>51</v>
      </c>
      <c r="P437" s="11" t="s">
        <v>51</v>
      </c>
      <c r="Q437" s="11" t="s">
        <v>51</v>
      </c>
      <c r="R437" s="11" t="s">
        <v>51</v>
      </c>
      <c r="S437" s="11" t="s">
        <v>51</v>
      </c>
      <c r="T437" s="11" t="s">
        <v>51</v>
      </c>
      <c r="U437" s="11" t="s">
        <v>51</v>
      </c>
      <c r="V437" s="11" t="s">
        <v>51</v>
      </c>
      <c r="W437" s="11" t="s">
        <v>51</v>
      </c>
      <c r="X437" s="11" t="s">
        <v>51</v>
      </c>
      <c r="Y437" s="11" t="s">
        <v>51</v>
      </c>
      <c r="Z437" s="11" t="s">
        <v>51</v>
      </c>
      <c r="AA437" s="11" t="s">
        <v>51</v>
      </c>
      <c r="AB437" s="11" t="s">
        <v>51</v>
      </c>
      <c r="AC437" s="11" t="s">
        <v>51</v>
      </c>
      <c r="AD437" s="11" t="s">
        <v>51</v>
      </c>
      <c r="AE437" s="11" t="s">
        <v>51</v>
      </c>
      <c r="AF437" s="11" t="s">
        <v>51</v>
      </c>
      <c r="AG437" s="11" t="s">
        <v>51</v>
      </c>
      <c r="AH437" s="11" t="s">
        <v>51</v>
      </c>
    </row>
    <row r="438" spans="1:34" s="33" customFormat="1" x14ac:dyDescent="0.2">
      <c r="A438" s="11">
        <v>561</v>
      </c>
      <c r="B438" s="11"/>
      <c r="C438" s="11"/>
      <c r="D438" s="11"/>
      <c r="E438" s="11"/>
      <c r="F438" s="11" t="s">
        <v>51</v>
      </c>
      <c r="G438" s="11" t="s">
        <v>51</v>
      </c>
      <c r="H438" s="56" t="str">
        <f>VLOOKUP(Table6[[#This Row],[ICD Code]],ICD_summary!$I$3:$M$38,5,0)</f>
        <v>Misc/Other</v>
      </c>
      <c r="I438" s="12">
        <v>999</v>
      </c>
      <c r="J4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38" s="11" t="s">
        <v>51</v>
      </c>
      <c r="L438" s="11"/>
      <c r="M438" s="11"/>
      <c r="N438" s="11" t="s">
        <v>51</v>
      </c>
      <c r="O438" s="11" t="s">
        <v>51</v>
      </c>
      <c r="P438" s="11" t="s">
        <v>51</v>
      </c>
      <c r="Q438" s="11" t="s">
        <v>51</v>
      </c>
      <c r="R438" s="11" t="s">
        <v>51</v>
      </c>
      <c r="S438" s="11" t="s">
        <v>51</v>
      </c>
      <c r="T438" s="11" t="s">
        <v>51</v>
      </c>
      <c r="U438" s="11" t="s">
        <v>51</v>
      </c>
      <c r="V438" s="11" t="s">
        <v>51</v>
      </c>
      <c r="W438" s="11" t="s">
        <v>51</v>
      </c>
      <c r="X438" s="11" t="s">
        <v>51</v>
      </c>
      <c r="Y438" s="11" t="s">
        <v>51</v>
      </c>
      <c r="Z438" s="11" t="s">
        <v>51</v>
      </c>
      <c r="AA438" s="11" t="s">
        <v>51</v>
      </c>
      <c r="AB438" s="11" t="s">
        <v>51</v>
      </c>
      <c r="AC438" s="11" t="s">
        <v>51</v>
      </c>
      <c r="AD438" s="11" t="s">
        <v>51</v>
      </c>
      <c r="AE438" s="11" t="s">
        <v>51</v>
      </c>
      <c r="AF438" s="11" t="s">
        <v>51</v>
      </c>
      <c r="AG438" s="11" t="s">
        <v>51</v>
      </c>
      <c r="AH438" s="11" t="s">
        <v>51</v>
      </c>
    </row>
    <row r="439" spans="1:34" s="33" customFormat="1" x14ac:dyDescent="0.2">
      <c r="A439" s="11">
        <v>562</v>
      </c>
      <c r="B439" s="11"/>
      <c r="C439" s="11"/>
      <c r="D439" s="11"/>
      <c r="E439" s="11"/>
      <c r="F439" s="11" t="s">
        <v>62</v>
      </c>
      <c r="G439" s="11" t="s">
        <v>63</v>
      </c>
      <c r="H439" s="56" t="str">
        <f>VLOOKUP(Table6[[#This Row],[ICD Code]],ICD_summary!$I$3:$M$38,5,0)</f>
        <v>PD</v>
      </c>
      <c r="I439" s="12">
        <v>49.7</v>
      </c>
      <c r="J4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39" s="11" t="s">
        <v>55</v>
      </c>
      <c r="L439" s="11"/>
      <c r="M439" s="11"/>
      <c r="N439" s="11">
        <v>52.335000000000001</v>
      </c>
      <c r="O439" s="11">
        <v>56.427</v>
      </c>
      <c r="P439" s="11">
        <v>108.44799999999999</v>
      </c>
      <c r="Q439" s="11">
        <v>109.60299999999999</v>
      </c>
      <c r="R439" s="11">
        <v>106.88200000000001</v>
      </c>
      <c r="S439" s="11">
        <v>108.029</v>
      </c>
      <c r="T439" s="11">
        <v>118.47</v>
      </c>
      <c r="U439" s="11">
        <v>117.11199999999999</v>
      </c>
      <c r="V439" s="11">
        <v>63.936</v>
      </c>
      <c r="W439" s="11">
        <v>63.850999999999999</v>
      </c>
      <c r="X439" s="11">
        <v>36.064</v>
      </c>
      <c r="Y439" s="11">
        <v>36.149000000000001</v>
      </c>
      <c r="Z439" s="11">
        <v>15.138999999999999</v>
      </c>
      <c r="AA439" s="11">
        <v>13.428000000000001</v>
      </c>
      <c r="AB439" s="11">
        <v>36.149000000000001</v>
      </c>
      <c r="AC439" s="11">
        <v>36.064</v>
      </c>
      <c r="AD439" s="11">
        <v>12.313000000000001</v>
      </c>
      <c r="AE439" s="11">
        <v>21</v>
      </c>
      <c r="AF439" s="11">
        <v>20</v>
      </c>
      <c r="AG439" s="11">
        <v>20</v>
      </c>
      <c r="AH439" s="11">
        <v>20</v>
      </c>
    </row>
    <row r="440" spans="1:34" s="33" customFormat="1" x14ac:dyDescent="0.2">
      <c r="A440" s="11">
        <v>563</v>
      </c>
      <c r="B440" s="11"/>
      <c r="C440" s="11"/>
      <c r="D440" s="11"/>
      <c r="E440" s="11"/>
      <c r="F440" s="11" t="s">
        <v>62</v>
      </c>
      <c r="G440" s="11" t="s">
        <v>63</v>
      </c>
      <c r="H440" s="56" t="str">
        <f>VLOOKUP(Table6[[#This Row],[ICD Code]],ICD_summary!$I$3:$M$38,5,0)</f>
        <v>PD</v>
      </c>
      <c r="I440" s="12">
        <v>73.8</v>
      </c>
      <c r="J4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0" s="11" t="s">
        <v>52</v>
      </c>
      <c r="L440" s="11"/>
      <c r="M440" s="11"/>
      <c r="N440" s="11">
        <v>53.795000000000002</v>
      </c>
      <c r="O440" s="11">
        <v>54.624000000000002</v>
      </c>
      <c r="P440" s="11">
        <v>110.748</v>
      </c>
      <c r="Q440" s="11">
        <v>106.008</v>
      </c>
      <c r="R440" s="11">
        <v>79.885999999999996</v>
      </c>
      <c r="S440" s="11">
        <v>80.215000000000003</v>
      </c>
      <c r="T440" s="11">
        <v>88.572999999999993</v>
      </c>
      <c r="U440" s="11">
        <v>89.271000000000001</v>
      </c>
      <c r="V440" s="11">
        <v>63.552999999999997</v>
      </c>
      <c r="W440" s="11">
        <v>64.760000000000005</v>
      </c>
      <c r="X440" s="11">
        <v>36.447000000000003</v>
      </c>
      <c r="Y440" s="11">
        <v>35.24</v>
      </c>
      <c r="Z440" s="11">
        <v>12.695</v>
      </c>
      <c r="AA440" s="11">
        <v>15.401999999999999</v>
      </c>
      <c r="AB440" s="11">
        <v>35.24</v>
      </c>
      <c r="AC440" s="11">
        <v>36.447000000000003</v>
      </c>
      <c r="AD440" s="11">
        <v>10.89</v>
      </c>
      <c r="AE440" s="11">
        <v>15</v>
      </c>
      <c r="AF440" s="11">
        <v>13</v>
      </c>
      <c r="AG440" s="11">
        <v>13</v>
      </c>
      <c r="AH440" s="11">
        <v>13</v>
      </c>
    </row>
    <row r="441" spans="1:34" s="33" customFormat="1" x14ac:dyDescent="0.2">
      <c r="A441" s="11">
        <v>564</v>
      </c>
      <c r="B441" s="11"/>
      <c r="C441" s="11"/>
      <c r="D441" s="11"/>
      <c r="E441" s="11"/>
      <c r="F441" s="11" t="s">
        <v>68</v>
      </c>
      <c r="G441" s="11" t="s">
        <v>69</v>
      </c>
      <c r="H441" s="56" t="str">
        <f>VLOOKUP(Table6[[#This Row],[ICD Code]],ICD_summary!$I$3:$M$38,5,0)</f>
        <v>Tremor, essential tremor</v>
      </c>
      <c r="I441" s="12">
        <v>67.900000000000006</v>
      </c>
      <c r="J4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1" s="11" t="s">
        <v>55</v>
      </c>
      <c r="L441" s="11"/>
      <c r="M441" s="11"/>
      <c r="N441" s="11" t="s">
        <v>51</v>
      </c>
      <c r="O441" s="11" t="s">
        <v>51</v>
      </c>
      <c r="P441" s="11" t="s">
        <v>51</v>
      </c>
      <c r="Q441" s="11" t="s">
        <v>51</v>
      </c>
      <c r="R441" s="11" t="s">
        <v>51</v>
      </c>
      <c r="S441" s="11" t="s">
        <v>51</v>
      </c>
      <c r="T441" s="11" t="s">
        <v>51</v>
      </c>
      <c r="U441" s="11" t="s">
        <v>51</v>
      </c>
      <c r="V441" s="11" t="s">
        <v>51</v>
      </c>
      <c r="W441" s="11" t="s">
        <v>51</v>
      </c>
      <c r="X441" s="11" t="s">
        <v>51</v>
      </c>
      <c r="Y441" s="11" t="s">
        <v>51</v>
      </c>
      <c r="Z441" s="11" t="s">
        <v>51</v>
      </c>
      <c r="AA441" s="11" t="s">
        <v>51</v>
      </c>
      <c r="AB441" s="11" t="s">
        <v>51</v>
      </c>
      <c r="AC441" s="11" t="s">
        <v>51</v>
      </c>
      <c r="AD441" s="11" t="s">
        <v>51</v>
      </c>
      <c r="AE441" s="11" t="s">
        <v>51</v>
      </c>
      <c r="AF441" s="11" t="s">
        <v>51</v>
      </c>
      <c r="AG441" s="11" t="s">
        <v>51</v>
      </c>
      <c r="AH441" s="11" t="s">
        <v>51</v>
      </c>
    </row>
    <row r="442" spans="1:34" s="33" customFormat="1" x14ac:dyDescent="0.2">
      <c r="A442" s="11">
        <v>565</v>
      </c>
      <c r="B442" s="11"/>
      <c r="C442" s="11"/>
      <c r="D442" s="11"/>
      <c r="E442" s="11"/>
      <c r="F442" s="11" t="s">
        <v>68</v>
      </c>
      <c r="G442" s="11" t="s">
        <v>69</v>
      </c>
      <c r="H442" s="56" t="str">
        <f>VLOOKUP(Table6[[#This Row],[ICD Code]],ICD_summary!$I$3:$M$38,5,0)</f>
        <v>Tremor, essential tremor</v>
      </c>
      <c r="I442" s="12">
        <v>70.5</v>
      </c>
      <c r="J4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2" s="11" t="s">
        <v>55</v>
      </c>
      <c r="L442" s="11"/>
      <c r="M442" s="11"/>
      <c r="N442" s="11">
        <v>49.49</v>
      </c>
      <c r="O442" s="11">
        <v>52.847999999999999</v>
      </c>
      <c r="P442" s="11">
        <v>102.28400000000001</v>
      </c>
      <c r="Q442" s="11">
        <v>102.806</v>
      </c>
      <c r="R442" s="11">
        <v>97.742000000000004</v>
      </c>
      <c r="S442" s="11">
        <v>97.754999999999995</v>
      </c>
      <c r="T442" s="11">
        <v>114.658</v>
      </c>
      <c r="U442" s="11">
        <v>114.26</v>
      </c>
      <c r="V442" s="11">
        <v>63.042000000000002</v>
      </c>
      <c r="W442" s="11">
        <v>64.171999999999997</v>
      </c>
      <c r="X442" s="11">
        <v>36.957999999999998</v>
      </c>
      <c r="Y442" s="11">
        <v>35.828000000000003</v>
      </c>
      <c r="Z442" s="11">
        <v>13.679</v>
      </c>
      <c r="AA442" s="11">
        <v>13.432</v>
      </c>
      <c r="AB442" s="11">
        <v>35.828000000000003</v>
      </c>
      <c r="AC442" s="11">
        <v>36.957999999999998</v>
      </c>
      <c r="AD442" s="11">
        <v>9.66</v>
      </c>
      <c r="AE442" s="11">
        <v>20</v>
      </c>
      <c r="AF442" s="11">
        <v>22</v>
      </c>
      <c r="AG442" s="11">
        <v>20</v>
      </c>
      <c r="AH442" s="11">
        <v>20</v>
      </c>
    </row>
    <row r="443" spans="1:34" s="33" customFormat="1" x14ac:dyDescent="0.2">
      <c r="A443" s="11">
        <v>566</v>
      </c>
      <c r="B443" s="11"/>
      <c r="C443" s="11"/>
      <c r="D443" s="11"/>
      <c r="E443" s="11"/>
      <c r="F443" s="11" t="s">
        <v>51</v>
      </c>
      <c r="G443" s="11" t="s">
        <v>51</v>
      </c>
      <c r="H443" s="56" t="str">
        <f>VLOOKUP(Table6[[#This Row],[ICD Code]],ICD_summary!$I$3:$M$38,5,0)</f>
        <v>Misc/Other</v>
      </c>
      <c r="I443" s="12">
        <v>999</v>
      </c>
      <c r="J4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43" s="11" t="s">
        <v>51</v>
      </c>
      <c r="L443" s="11"/>
      <c r="M443" s="11"/>
      <c r="N443" s="11">
        <v>60.935000000000002</v>
      </c>
      <c r="O443" s="11">
        <v>65.191000000000003</v>
      </c>
      <c r="P443" s="11">
        <v>126.166</v>
      </c>
      <c r="Q443" s="11">
        <v>126.67</v>
      </c>
      <c r="R443" s="11">
        <v>110.767</v>
      </c>
      <c r="S443" s="11">
        <v>111.218</v>
      </c>
      <c r="T443" s="11">
        <v>105.60299999999999</v>
      </c>
      <c r="U443" s="11">
        <v>105.18600000000001</v>
      </c>
      <c r="V443" s="11">
        <v>63.384999999999998</v>
      </c>
      <c r="W443" s="11">
        <v>64.724000000000004</v>
      </c>
      <c r="X443" s="11">
        <v>36.615000000000002</v>
      </c>
      <c r="Y443" s="11">
        <v>35.276000000000003</v>
      </c>
      <c r="Z443" s="11">
        <v>14.164</v>
      </c>
      <c r="AA443" s="11">
        <v>13.878</v>
      </c>
      <c r="AB443" s="11">
        <v>35.276000000000003</v>
      </c>
      <c r="AC443" s="11">
        <v>36.615000000000002</v>
      </c>
      <c r="AD443" s="11">
        <v>10.48</v>
      </c>
      <c r="AE443" s="11">
        <v>16</v>
      </c>
      <c r="AF443" s="11">
        <v>13</v>
      </c>
      <c r="AG443" s="11">
        <v>13</v>
      </c>
      <c r="AH443" s="11">
        <v>13</v>
      </c>
    </row>
    <row r="444" spans="1:34" s="33" customFormat="1" x14ac:dyDescent="0.2">
      <c r="A444" s="11">
        <v>567</v>
      </c>
      <c r="B444" s="11"/>
      <c r="C444" s="11"/>
      <c r="D444" s="11"/>
      <c r="E444" s="11"/>
      <c r="F444" s="11" t="s">
        <v>80</v>
      </c>
      <c r="G444" s="11" t="s">
        <v>81</v>
      </c>
      <c r="H444" s="56" t="str">
        <f>VLOOKUP(Table6[[#This Row],[ICD Code]],ICD_summary!$I$3:$M$38,5,0)</f>
        <v>Dystonia, cervical</v>
      </c>
      <c r="I444" s="12">
        <v>71.099999999999994</v>
      </c>
      <c r="J4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4" s="11" t="s">
        <v>55</v>
      </c>
      <c r="L444" s="11"/>
      <c r="M444" s="11"/>
      <c r="N444" s="11">
        <v>62.646000000000001</v>
      </c>
      <c r="O444" s="11">
        <v>62.43</v>
      </c>
      <c r="P444" s="11">
        <v>125.50700000000001</v>
      </c>
      <c r="Q444" s="11">
        <v>125.20699999999999</v>
      </c>
      <c r="R444" s="11">
        <v>121.03100000000001</v>
      </c>
      <c r="S444" s="11">
        <v>120.697</v>
      </c>
      <c r="T444" s="11">
        <v>115.77200000000001</v>
      </c>
      <c r="U444" s="11">
        <v>115.181</v>
      </c>
      <c r="V444" s="11">
        <v>62.662999999999997</v>
      </c>
      <c r="W444" s="11">
        <v>63.64</v>
      </c>
      <c r="X444" s="11">
        <v>37.337000000000003</v>
      </c>
      <c r="Y444" s="11">
        <v>36.36</v>
      </c>
      <c r="Z444" s="11">
        <v>13.65</v>
      </c>
      <c r="AA444" s="11">
        <v>12.826000000000001</v>
      </c>
      <c r="AB444" s="11">
        <v>36.36</v>
      </c>
      <c r="AC444" s="11">
        <v>37.337000000000003</v>
      </c>
      <c r="AD444" s="11">
        <v>10.019</v>
      </c>
      <c r="AE444" s="11">
        <v>17</v>
      </c>
      <c r="AF444" s="11">
        <v>21</v>
      </c>
      <c r="AG444" s="11">
        <v>17</v>
      </c>
      <c r="AH444" s="11">
        <v>17</v>
      </c>
    </row>
    <row r="445" spans="1:34" s="33" customFormat="1" x14ac:dyDescent="0.2">
      <c r="A445" s="11">
        <v>568</v>
      </c>
      <c r="B445" s="11"/>
      <c r="C445" s="11"/>
      <c r="D445" s="11"/>
      <c r="E445" s="11"/>
      <c r="F445" s="11" t="s">
        <v>51</v>
      </c>
      <c r="G445" s="11" t="s">
        <v>51</v>
      </c>
      <c r="H445" s="56" t="str">
        <f>VLOOKUP(Table6[[#This Row],[ICD Code]],ICD_summary!$I$3:$M$38,5,0)</f>
        <v>Misc/Other</v>
      </c>
      <c r="I445" s="12">
        <v>999</v>
      </c>
      <c r="J4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45" s="11" t="s">
        <v>51</v>
      </c>
      <c r="L445" s="11"/>
      <c r="M445" s="11"/>
      <c r="N445" s="11" t="s">
        <v>51</v>
      </c>
      <c r="O445" s="11" t="s">
        <v>51</v>
      </c>
      <c r="P445" s="11" t="s">
        <v>51</v>
      </c>
      <c r="Q445" s="11" t="s">
        <v>51</v>
      </c>
      <c r="R445" s="11" t="s">
        <v>51</v>
      </c>
      <c r="S445" s="11" t="s">
        <v>51</v>
      </c>
      <c r="T445" s="11" t="s">
        <v>51</v>
      </c>
      <c r="U445" s="11" t="s">
        <v>51</v>
      </c>
      <c r="V445" s="11" t="s">
        <v>51</v>
      </c>
      <c r="W445" s="11" t="s">
        <v>51</v>
      </c>
      <c r="X445" s="11" t="s">
        <v>51</v>
      </c>
      <c r="Y445" s="11" t="s">
        <v>51</v>
      </c>
      <c r="Z445" s="11" t="s">
        <v>51</v>
      </c>
      <c r="AA445" s="11" t="s">
        <v>51</v>
      </c>
      <c r="AB445" s="11" t="s">
        <v>51</v>
      </c>
      <c r="AC445" s="11" t="s">
        <v>51</v>
      </c>
      <c r="AD445" s="11" t="s">
        <v>51</v>
      </c>
      <c r="AE445" s="11" t="s">
        <v>51</v>
      </c>
      <c r="AF445" s="11" t="s">
        <v>51</v>
      </c>
      <c r="AG445" s="11" t="s">
        <v>51</v>
      </c>
      <c r="AH445" s="11" t="s">
        <v>51</v>
      </c>
    </row>
    <row r="446" spans="1:34" s="33" customFormat="1" x14ac:dyDescent="0.2">
      <c r="A446" s="11">
        <v>569</v>
      </c>
      <c r="B446" s="11"/>
      <c r="C446" s="11"/>
      <c r="D446" s="11"/>
      <c r="E446" s="11"/>
      <c r="F446" s="11" t="s">
        <v>62</v>
      </c>
      <c r="G446" s="11" t="s">
        <v>63</v>
      </c>
      <c r="H446" s="56" t="str">
        <f>VLOOKUP(Table6[[#This Row],[ICD Code]],ICD_summary!$I$3:$M$38,5,0)</f>
        <v>PD</v>
      </c>
      <c r="I446" s="12">
        <v>64.7</v>
      </c>
      <c r="J4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6" s="11" t="s">
        <v>55</v>
      </c>
      <c r="L446" s="11"/>
      <c r="M446" s="11"/>
      <c r="N446" s="11">
        <v>45.156999999999996</v>
      </c>
      <c r="O446" s="11">
        <v>49.948999999999998</v>
      </c>
      <c r="P446" s="11">
        <v>97.091999999999999</v>
      </c>
      <c r="Q446" s="11">
        <v>94.84</v>
      </c>
      <c r="R446" s="11">
        <v>58.713000000000001</v>
      </c>
      <c r="S446" s="11">
        <v>57.731000000000002</v>
      </c>
      <c r="T446" s="11">
        <v>73.951999999999998</v>
      </c>
      <c r="U446" s="11">
        <v>74.195999999999998</v>
      </c>
      <c r="V446" s="11">
        <v>68.108000000000004</v>
      </c>
      <c r="W446" s="11">
        <v>66.102999999999994</v>
      </c>
      <c r="X446" s="11">
        <v>31.891999999999999</v>
      </c>
      <c r="Y446" s="11">
        <v>33.896999999999998</v>
      </c>
      <c r="Z446" s="11">
        <v>17.029</v>
      </c>
      <c r="AA446" s="11">
        <v>17.565000000000001</v>
      </c>
      <c r="AB446" s="11">
        <v>33.896999999999998</v>
      </c>
      <c r="AC446" s="11">
        <v>31.891999999999999</v>
      </c>
      <c r="AD446" s="11">
        <v>6.3440000000000003</v>
      </c>
      <c r="AE446" s="11">
        <v>15</v>
      </c>
      <c r="AF446" s="11">
        <v>16</v>
      </c>
      <c r="AG446" s="11">
        <v>15</v>
      </c>
      <c r="AH446" s="11">
        <v>15</v>
      </c>
    </row>
    <row r="447" spans="1:34" s="33" customFormat="1" x14ac:dyDescent="0.2">
      <c r="A447" s="11">
        <v>570</v>
      </c>
      <c r="B447" s="11"/>
      <c r="C447" s="11"/>
      <c r="D447" s="11"/>
      <c r="E447" s="11"/>
      <c r="F447" s="11" t="s">
        <v>62</v>
      </c>
      <c r="G447" s="11" t="s">
        <v>63</v>
      </c>
      <c r="H447" s="56" t="str">
        <f>VLOOKUP(Table6[[#This Row],[ICD Code]],ICD_summary!$I$3:$M$38,5,0)</f>
        <v>PD</v>
      </c>
      <c r="I447" s="12">
        <v>57.9</v>
      </c>
      <c r="J4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47" s="11" t="s">
        <v>52</v>
      </c>
      <c r="L447" s="11"/>
      <c r="M447" s="11"/>
      <c r="N447" s="11">
        <v>43.085000000000001</v>
      </c>
      <c r="O447" s="11">
        <v>48.273000000000003</v>
      </c>
      <c r="P447" s="11">
        <v>91.423000000000002</v>
      </c>
      <c r="Q447" s="11">
        <v>91.245999999999995</v>
      </c>
      <c r="R447" s="11">
        <v>108.416</v>
      </c>
      <c r="S447" s="11">
        <v>108.18</v>
      </c>
      <c r="T447" s="11">
        <v>142.125</v>
      </c>
      <c r="U447" s="11">
        <v>141.99600000000001</v>
      </c>
      <c r="V447" s="11">
        <v>60.624000000000002</v>
      </c>
      <c r="W447" s="11">
        <v>61.319000000000003</v>
      </c>
      <c r="X447" s="11">
        <v>39.375999999999998</v>
      </c>
      <c r="Y447" s="11">
        <v>38.680999999999997</v>
      </c>
      <c r="Z447" s="11">
        <v>9.68</v>
      </c>
      <c r="AA447" s="11">
        <v>12.422000000000001</v>
      </c>
      <c r="AB447" s="11">
        <v>38.680999999999997</v>
      </c>
      <c r="AC447" s="11">
        <v>39.375999999999998</v>
      </c>
      <c r="AD447" s="11">
        <v>13.425000000000001</v>
      </c>
      <c r="AE447" s="11">
        <v>23</v>
      </c>
      <c r="AF447" s="11">
        <v>23</v>
      </c>
      <c r="AG447" s="11">
        <v>23</v>
      </c>
      <c r="AH447" s="11">
        <v>23</v>
      </c>
    </row>
    <row r="448" spans="1:34" s="33" customFormat="1" x14ac:dyDescent="0.2">
      <c r="A448" s="11">
        <v>571</v>
      </c>
      <c r="B448" s="11"/>
      <c r="C448" s="11"/>
      <c r="D448" s="11"/>
      <c r="E448" s="11"/>
      <c r="F448" s="11" t="s">
        <v>62</v>
      </c>
      <c r="G448" s="11" t="s">
        <v>63</v>
      </c>
      <c r="H448" s="56" t="str">
        <f>VLOOKUP(Table6[[#This Row],[ICD Code]],ICD_summary!$I$3:$M$38,5,0)</f>
        <v>PD</v>
      </c>
      <c r="I448" s="12">
        <v>56.7</v>
      </c>
      <c r="J4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48" s="11" t="s">
        <v>55</v>
      </c>
      <c r="L448" s="11"/>
      <c r="M448" s="11"/>
      <c r="N448" s="11">
        <v>56.881</v>
      </c>
      <c r="O448" s="11">
        <v>61.837000000000003</v>
      </c>
      <c r="P448" s="11">
        <v>118.768</v>
      </c>
      <c r="Q448" s="11">
        <v>118.78400000000001</v>
      </c>
      <c r="R448" s="11">
        <v>94.78</v>
      </c>
      <c r="S448" s="11">
        <v>94.905000000000001</v>
      </c>
      <c r="T448" s="11">
        <v>95.706000000000003</v>
      </c>
      <c r="U448" s="11">
        <v>96.323999999999998</v>
      </c>
      <c r="V448" s="11">
        <v>63.088999999999999</v>
      </c>
      <c r="W448" s="11">
        <v>61.536000000000001</v>
      </c>
      <c r="X448" s="11">
        <v>36.911000000000001</v>
      </c>
      <c r="Y448" s="11">
        <v>38.463999999999999</v>
      </c>
      <c r="Z448" s="11">
        <v>12.117000000000001</v>
      </c>
      <c r="AA448" s="11">
        <v>13.215</v>
      </c>
      <c r="AB448" s="11">
        <v>38.463999999999999</v>
      </c>
      <c r="AC448" s="11">
        <v>36.911000000000001</v>
      </c>
      <c r="AD448" s="11">
        <v>8.91</v>
      </c>
      <c r="AE448" s="11">
        <v>8</v>
      </c>
      <c r="AF448" s="11">
        <v>9</v>
      </c>
      <c r="AG448" s="11">
        <v>8</v>
      </c>
      <c r="AH448" s="11">
        <v>8</v>
      </c>
    </row>
    <row r="449" spans="1:34" s="33" customFormat="1" x14ac:dyDescent="0.2">
      <c r="A449" s="11">
        <v>572</v>
      </c>
      <c r="B449" s="11"/>
      <c r="C449" s="11"/>
      <c r="D449" s="11"/>
      <c r="E449" s="11"/>
      <c r="F449" s="11" t="s">
        <v>62</v>
      </c>
      <c r="G449" s="11" t="s">
        <v>63</v>
      </c>
      <c r="H449" s="56" t="str">
        <f>VLOOKUP(Table6[[#This Row],[ICD Code]],ICD_summary!$I$3:$M$38,5,0)</f>
        <v>PD</v>
      </c>
      <c r="I449" s="12">
        <v>73</v>
      </c>
      <c r="J4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9" s="11" t="s">
        <v>52</v>
      </c>
      <c r="L449" s="11"/>
      <c r="M449" s="11"/>
      <c r="N449" s="11">
        <v>60.052</v>
      </c>
      <c r="O449" s="11">
        <v>63.643000000000001</v>
      </c>
      <c r="P449" s="11">
        <v>123.55</v>
      </c>
      <c r="Q449" s="11">
        <v>124.98399999999999</v>
      </c>
      <c r="R449" s="11">
        <v>117.123</v>
      </c>
      <c r="S449" s="11">
        <v>117.736</v>
      </c>
      <c r="T449" s="11">
        <v>113.76600000000001</v>
      </c>
      <c r="U449" s="11">
        <v>113.117</v>
      </c>
      <c r="V449" s="11">
        <v>63.176000000000002</v>
      </c>
      <c r="W449" s="11">
        <v>62.125</v>
      </c>
      <c r="X449" s="11">
        <v>36.823999999999998</v>
      </c>
      <c r="Y449" s="11">
        <v>37.875</v>
      </c>
      <c r="Z449" s="11">
        <v>13.192</v>
      </c>
      <c r="AA449" s="11">
        <v>12</v>
      </c>
      <c r="AB449" s="11">
        <v>37.875</v>
      </c>
      <c r="AC449" s="11">
        <v>36.823999999999998</v>
      </c>
      <c r="AD449" s="11">
        <v>8.4009999999999998</v>
      </c>
      <c r="AE449" s="11">
        <v>21</v>
      </c>
      <c r="AF449" s="11">
        <v>17</v>
      </c>
      <c r="AG449" s="11">
        <v>17</v>
      </c>
      <c r="AH449" s="11">
        <v>17</v>
      </c>
    </row>
    <row r="450" spans="1:34" s="33" customFormat="1" x14ac:dyDescent="0.2">
      <c r="A450" s="11">
        <v>573</v>
      </c>
      <c r="B450" s="11"/>
      <c r="C450" s="11"/>
      <c r="D450" s="11"/>
      <c r="E450" s="11"/>
      <c r="F450" s="11" t="s">
        <v>62</v>
      </c>
      <c r="G450" s="11" t="s">
        <v>63</v>
      </c>
      <c r="H450" s="56" t="str">
        <f>VLOOKUP(Table6[[#This Row],[ICD Code]],ICD_summary!$I$3:$M$38,5,0)</f>
        <v>PD</v>
      </c>
      <c r="I450" s="12">
        <v>79.7</v>
      </c>
      <c r="J4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0" s="11" t="s">
        <v>52</v>
      </c>
      <c r="L450" s="11"/>
      <c r="M450" s="11"/>
      <c r="N450" s="11" t="s">
        <v>51</v>
      </c>
      <c r="O450" s="11" t="s">
        <v>51</v>
      </c>
      <c r="P450" s="11" t="s">
        <v>51</v>
      </c>
      <c r="Q450" s="11" t="s">
        <v>51</v>
      </c>
      <c r="R450" s="11" t="s">
        <v>51</v>
      </c>
      <c r="S450" s="11" t="s">
        <v>51</v>
      </c>
      <c r="T450" s="11" t="s">
        <v>51</v>
      </c>
      <c r="U450" s="11" t="s">
        <v>51</v>
      </c>
      <c r="V450" s="11" t="s">
        <v>51</v>
      </c>
      <c r="W450" s="11" t="s">
        <v>51</v>
      </c>
      <c r="X450" s="11" t="s">
        <v>51</v>
      </c>
      <c r="Y450" s="11" t="s">
        <v>51</v>
      </c>
      <c r="Z450" s="11" t="s">
        <v>51</v>
      </c>
      <c r="AA450" s="11" t="s">
        <v>51</v>
      </c>
      <c r="AB450" s="11" t="s">
        <v>51</v>
      </c>
      <c r="AC450" s="11" t="s">
        <v>51</v>
      </c>
      <c r="AD450" s="11" t="s">
        <v>51</v>
      </c>
      <c r="AE450" s="11" t="s">
        <v>51</v>
      </c>
      <c r="AF450" s="11" t="s">
        <v>51</v>
      </c>
      <c r="AG450" s="11" t="s">
        <v>51</v>
      </c>
      <c r="AH450" s="11" t="s">
        <v>51</v>
      </c>
    </row>
    <row r="451" spans="1:34" s="33" customFormat="1" x14ac:dyDescent="0.2">
      <c r="A451" s="11">
        <v>574</v>
      </c>
      <c r="B451" s="11"/>
      <c r="C451" s="11"/>
      <c r="D451" s="11"/>
      <c r="E451" s="11"/>
      <c r="F451" s="11" t="s">
        <v>64</v>
      </c>
      <c r="G451" s="11" t="s">
        <v>65</v>
      </c>
      <c r="H451" s="56" t="str">
        <f>VLOOKUP(Table6[[#This Row],[ICD Code]],ICD_summary!$I$3:$M$38,5,0)</f>
        <v>Gait, other abnormalities</v>
      </c>
      <c r="I451" s="12">
        <v>83.4</v>
      </c>
      <c r="J4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451" s="11" t="s">
        <v>55</v>
      </c>
      <c r="L451" s="11"/>
      <c r="M451" s="11"/>
      <c r="N451" s="11" t="s">
        <v>51</v>
      </c>
      <c r="O451" s="11" t="s">
        <v>51</v>
      </c>
      <c r="P451" s="11" t="s">
        <v>51</v>
      </c>
      <c r="Q451" s="11" t="s">
        <v>51</v>
      </c>
      <c r="R451" s="11" t="s">
        <v>51</v>
      </c>
      <c r="S451" s="11" t="s">
        <v>51</v>
      </c>
      <c r="T451" s="11" t="s">
        <v>51</v>
      </c>
      <c r="U451" s="11" t="s">
        <v>51</v>
      </c>
      <c r="V451" s="11" t="s">
        <v>51</v>
      </c>
      <c r="W451" s="11" t="s">
        <v>51</v>
      </c>
      <c r="X451" s="11" t="s">
        <v>51</v>
      </c>
      <c r="Y451" s="11" t="s">
        <v>51</v>
      </c>
      <c r="Z451" s="11" t="s">
        <v>51</v>
      </c>
      <c r="AA451" s="11" t="s">
        <v>51</v>
      </c>
      <c r="AB451" s="11" t="s">
        <v>51</v>
      </c>
      <c r="AC451" s="11" t="s">
        <v>51</v>
      </c>
      <c r="AD451" s="11" t="s">
        <v>51</v>
      </c>
      <c r="AE451" s="11" t="s">
        <v>51</v>
      </c>
      <c r="AF451" s="11" t="s">
        <v>51</v>
      </c>
      <c r="AG451" s="11" t="s">
        <v>51</v>
      </c>
      <c r="AH451" s="11" t="s">
        <v>51</v>
      </c>
    </row>
    <row r="452" spans="1:34" s="33" customFormat="1" x14ac:dyDescent="0.2">
      <c r="A452" s="11">
        <v>575</v>
      </c>
      <c r="B452" s="11"/>
      <c r="C452" s="11"/>
      <c r="D452" s="11"/>
      <c r="E452" s="11"/>
      <c r="F452" s="11" t="s">
        <v>62</v>
      </c>
      <c r="G452" s="11" t="s">
        <v>63</v>
      </c>
      <c r="H452" s="56" t="str">
        <f>VLOOKUP(Table6[[#This Row],[ICD Code]],ICD_summary!$I$3:$M$38,5,0)</f>
        <v>PD</v>
      </c>
      <c r="I452" s="12">
        <v>78.5</v>
      </c>
      <c r="J4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2" s="11" t="s">
        <v>55</v>
      </c>
      <c r="L452" s="11"/>
      <c r="M452" s="11"/>
      <c r="N452" s="11" t="s">
        <v>51</v>
      </c>
      <c r="O452" s="11" t="s">
        <v>51</v>
      </c>
      <c r="P452" s="11" t="s">
        <v>51</v>
      </c>
      <c r="Q452" s="11" t="s">
        <v>51</v>
      </c>
      <c r="R452" s="11" t="s">
        <v>51</v>
      </c>
      <c r="S452" s="11" t="s">
        <v>51</v>
      </c>
      <c r="T452" s="11" t="s">
        <v>51</v>
      </c>
      <c r="U452" s="11" t="s">
        <v>51</v>
      </c>
      <c r="V452" s="11" t="s">
        <v>51</v>
      </c>
      <c r="W452" s="11" t="s">
        <v>51</v>
      </c>
      <c r="X452" s="11" t="s">
        <v>51</v>
      </c>
      <c r="Y452" s="11" t="s">
        <v>51</v>
      </c>
      <c r="Z452" s="11" t="s">
        <v>51</v>
      </c>
      <c r="AA452" s="11" t="s">
        <v>51</v>
      </c>
      <c r="AB452" s="11" t="s">
        <v>51</v>
      </c>
      <c r="AC452" s="11" t="s">
        <v>51</v>
      </c>
      <c r="AD452" s="11" t="s">
        <v>51</v>
      </c>
      <c r="AE452" s="11" t="s">
        <v>51</v>
      </c>
      <c r="AF452" s="11" t="s">
        <v>51</v>
      </c>
      <c r="AG452" s="11" t="s">
        <v>51</v>
      </c>
      <c r="AH452" s="11" t="s">
        <v>51</v>
      </c>
    </row>
    <row r="453" spans="1:34" s="33" customFormat="1" x14ac:dyDescent="0.2">
      <c r="A453" s="11">
        <v>578</v>
      </c>
      <c r="B453" s="11"/>
      <c r="C453" s="11"/>
      <c r="D453" s="11"/>
      <c r="E453" s="11"/>
      <c r="F453" s="11" t="s">
        <v>62</v>
      </c>
      <c r="G453" s="11" t="s">
        <v>63</v>
      </c>
      <c r="H453" s="56" t="str">
        <f>VLOOKUP(Table6[[#This Row],[ICD Code]],ICD_summary!$I$3:$M$38,5,0)</f>
        <v>PD</v>
      </c>
      <c r="I453" s="12">
        <v>63.1</v>
      </c>
      <c r="J4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3" s="11" t="s">
        <v>52</v>
      </c>
      <c r="L453" s="11"/>
      <c r="M453" s="11"/>
      <c r="N453" s="11" t="s">
        <v>51</v>
      </c>
      <c r="O453" s="11" t="s">
        <v>51</v>
      </c>
      <c r="P453" s="11" t="s">
        <v>51</v>
      </c>
      <c r="Q453" s="11" t="s">
        <v>51</v>
      </c>
      <c r="R453" s="11" t="s">
        <v>51</v>
      </c>
      <c r="S453" s="11" t="s">
        <v>51</v>
      </c>
      <c r="T453" s="11" t="s">
        <v>51</v>
      </c>
      <c r="U453" s="11" t="s">
        <v>51</v>
      </c>
      <c r="V453" s="11" t="s">
        <v>51</v>
      </c>
      <c r="W453" s="11" t="s">
        <v>51</v>
      </c>
      <c r="X453" s="11" t="s">
        <v>51</v>
      </c>
      <c r="Y453" s="11" t="s">
        <v>51</v>
      </c>
      <c r="Z453" s="11" t="s">
        <v>51</v>
      </c>
      <c r="AA453" s="11" t="s">
        <v>51</v>
      </c>
      <c r="AB453" s="11" t="s">
        <v>51</v>
      </c>
      <c r="AC453" s="11" t="s">
        <v>51</v>
      </c>
      <c r="AD453" s="11" t="s">
        <v>51</v>
      </c>
      <c r="AE453" s="11" t="s">
        <v>51</v>
      </c>
      <c r="AF453" s="11" t="s">
        <v>51</v>
      </c>
      <c r="AG453" s="11" t="s">
        <v>51</v>
      </c>
      <c r="AH453" s="11" t="s">
        <v>51</v>
      </c>
    </row>
    <row r="454" spans="1:34" s="33" customFormat="1" x14ac:dyDescent="0.2">
      <c r="A454" s="11">
        <v>579</v>
      </c>
      <c r="B454" s="11"/>
      <c r="C454" s="11"/>
      <c r="D454" s="11"/>
      <c r="E454" s="11"/>
      <c r="F454" s="11" t="s">
        <v>62</v>
      </c>
      <c r="G454" s="11" t="s">
        <v>63</v>
      </c>
      <c r="H454" s="56" t="str">
        <f>VLOOKUP(Table6[[#This Row],[ICD Code]],ICD_summary!$I$3:$M$38,5,0)</f>
        <v>PD</v>
      </c>
      <c r="I454" s="12">
        <v>60.8</v>
      </c>
      <c r="J4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4" s="11" t="s">
        <v>55</v>
      </c>
      <c r="L454" s="11"/>
      <c r="M454" s="11"/>
      <c r="N454" s="11" t="s">
        <v>51</v>
      </c>
      <c r="O454" s="11" t="s">
        <v>51</v>
      </c>
      <c r="P454" s="11" t="s">
        <v>51</v>
      </c>
      <c r="Q454" s="11" t="s">
        <v>51</v>
      </c>
      <c r="R454" s="11" t="s">
        <v>51</v>
      </c>
      <c r="S454" s="11" t="s">
        <v>51</v>
      </c>
      <c r="T454" s="11" t="s">
        <v>51</v>
      </c>
      <c r="U454" s="11" t="s">
        <v>51</v>
      </c>
      <c r="V454" s="11" t="s">
        <v>51</v>
      </c>
      <c r="W454" s="11" t="s">
        <v>51</v>
      </c>
      <c r="X454" s="11" t="s">
        <v>51</v>
      </c>
      <c r="Y454" s="11" t="s">
        <v>51</v>
      </c>
      <c r="Z454" s="11" t="s">
        <v>51</v>
      </c>
      <c r="AA454" s="11" t="s">
        <v>51</v>
      </c>
      <c r="AB454" s="11" t="s">
        <v>51</v>
      </c>
      <c r="AC454" s="11" t="s">
        <v>51</v>
      </c>
      <c r="AD454" s="11" t="s">
        <v>51</v>
      </c>
      <c r="AE454" s="11" t="s">
        <v>51</v>
      </c>
      <c r="AF454" s="11" t="s">
        <v>51</v>
      </c>
      <c r="AG454" s="11" t="s">
        <v>51</v>
      </c>
      <c r="AH454" s="11" t="s">
        <v>51</v>
      </c>
    </row>
    <row r="455" spans="1:34" s="33" customFormat="1" x14ac:dyDescent="0.2">
      <c r="A455" s="11">
        <v>580</v>
      </c>
      <c r="B455" s="11"/>
      <c r="C455" s="11"/>
      <c r="D455" s="11"/>
      <c r="E455" s="11"/>
      <c r="F455" s="11" t="s">
        <v>51</v>
      </c>
      <c r="G455" s="11" t="s">
        <v>51</v>
      </c>
      <c r="H455" s="56" t="str">
        <f>VLOOKUP(Table6[[#This Row],[ICD Code]],ICD_summary!$I$3:$M$38,5,0)</f>
        <v>Misc/Other</v>
      </c>
      <c r="I455" s="12">
        <v>999</v>
      </c>
      <c r="J4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55" s="11" t="s">
        <v>51</v>
      </c>
      <c r="L455" s="11"/>
      <c r="M455" s="11"/>
      <c r="N455" s="11" t="s">
        <v>51</v>
      </c>
      <c r="O455" s="11" t="s">
        <v>51</v>
      </c>
      <c r="P455" s="11" t="s">
        <v>51</v>
      </c>
      <c r="Q455" s="11" t="s">
        <v>51</v>
      </c>
      <c r="R455" s="11" t="s">
        <v>51</v>
      </c>
      <c r="S455" s="11" t="s">
        <v>51</v>
      </c>
      <c r="T455" s="11" t="s">
        <v>51</v>
      </c>
      <c r="U455" s="11" t="s">
        <v>51</v>
      </c>
      <c r="V455" s="11" t="s">
        <v>51</v>
      </c>
      <c r="W455" s="11" t="s">
        <v>51</v>
      </c>
      <c r="X455" s="11" t="s">
        <v>51</v>
      </c>
      <c r="Y455" s="11" t="s">
        <v>51</v>
      </c>
      <c r="Z455" s="11" t="s">
        <v>51</v>
      </c>
      <c r="AA455" s="11" t="s">
        <v>51</v>
      </c>
      <c r="AB455" s="11" t="s">
        <v>51</v>
      </c>
      <c r="AC455" s="11" t="s">
        <v>51</v>
      </c>
      <c r="AD455" s="11" t="s">
        <v>51</v>
      </c>
      <c r="AE455" s="11" t="s">
        <v>51</v>
      </c>
      <c r="AF455" s="11" t="s">
        <v>51</v>
      </c>
      <c r="AG455" s="11" t="s">
        <v>51</v>
      </c>
      <c r="AH455" s="11" t="s">
        <v>51</v>
      </c>
    </row>
    <row r="456" spans="1:34" s="33" customFormat="1" x14ac:dyDescent="0.2">
      <c r="A456" s="11">
        <v>581</v>
      </c>
      <c r="B456" s="11"/>
      <c r="C456" s="11"/>
      <c r="D456" s="11"/>
      <c r="E456" s="11"/>
      <c r="F456" s="11" t="s">
        <v>68</v>
      </c>
      <c r="G456" s="11" t="s">
        <v>69</v>
      </c>
      <c r="H456" s="56" t="str">
        <f>VLOOKUP(Table6[[#This Row],[ICD Code]],ICD_summary!$I$3:$M$38,5,0)</f>
        <v>Tremor, essential tremor</v>
      </c>
      <c r="I456" s="12">
        <v>68</v>
      </c>
      <c r="J4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6" s="11" t="s">
        <v>55</v>
      </c>
      <c r="L456" s="11"/>
      <c r="M456" s="11"/>
      <c r="N456" s="11" t="s">
        <v>51</v>
      </c>
      <c r="O456" s="11" t="s">
        <v>51</v>
      </c>
      <c r="P456" s="11" t="s">
        <v>51</v>
      </c>
      <c r="Q456" s="11" t="s">
        <v>51</v>
      </c>
      <c r="R456" s="11" t="s">
        <v>51</v>
      </c>
      <c r="S456" s="11" t="s">
        <v>51</v>
      </c>
      <c r="T456" s="11" t="s">
        <v>51</v>
      </c>
      <c r="U456" s="11" t="s">
        <v>51</v>
      </c>
      <c r="V456" s="11" t="s">
        <v>51</v>
      </c>
      <c r="W456" s="11" t="s">
        <v>51</v>
      </c>
      <c r="X456" s="11" t="s">
        <v>51</v>
      </c>
      <c r="Y456" s="11" t="s">
        <v>51</v>
      </c>
      <c r="Z456" s="11" t="s">
        <v>51</v>
      </c>
      <c r="AA456" s="11" t="s">
        <v>51</v>
      </c>
      <c r="AB456" s="11" t="s">
        <v>51</v>
      </c>
      <c r="AC456" s="11" t="s">
        <v>51</v>
      </c>
      <c r="AD456" s="11" t="s">
        <v>51</v>
      </c>
      <c r="AE456" s="11" t="s">
        <v>51</v>
      </c>
      <c r="AF456" s="11" t="s">
        <v>51</v>
      </c>
      <c r="AG456" s="11" t="s">
        <v>51</v>
      </c>
      <c r="AH456" s="11" t="s">
        <v>51</v>
      </c>
    </row>
    <row r="457" spans="1:34" s="33" customFormat="1" x14ac:dyDescent="0.2">
      <c r="A457" s="11">
        <v>582</v>
      </c>
      <c r="B457" s="11"/>
      <c r="C457" s="11"/>
      <c r="D457" s="11"/>
      <c r="E457" s="11"/>
      <c r="F457" s="11" t="s">
        <v>72</v>
      </c>
      <c r="G457" s="11" t="s">
        <v>73</v>
      </c>
      <c r="H457" s="56" t="str">
        <f>VLOOKUP(Table6[[#This Row],[ICD Code]],ICD_summary!$I$3:$M$38,5,0)</f>
        <v>Tremor, other</v>
      </c>
      <c r="I457" s="12">
        <v>39.200000000000003</v>
      </c>
      <c r="J4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57" s="11" t="s">
        <v>55</v>
      </c>
      <c r="L457" s="11"/>
      <c r="M457" s="11"/>
      <c r="N457" s="11" t="s">
        <v>51</v>
      </c>
      <c r="O457" s="11" t="s">
        <v>51</v>
      </c>
      <c r="P457" s="11" t="s">
        <v>51</v>
      </c>
      <c r="Q457" s="11" t="s">
        <v>51</v>
      </c>
      <c r="R457" s="11" t="s">
        <v>51</v>
      </c>
      <c r="S457" s="11" t="s">
        <v>51</v>
      </c>
      <c r="T457" s="11" t="s">
        <v>51</v>
      </c>
      <c r="U457" s="11" t="s">
        <v>51</v>
      </c>
      <c r="V457" s="11" t="s">
        <v>51</v>
      </c>
      <c r="W457" s="11" t="s">
        <v>51</v>
      </c>
      <c r="X457" s="11" t="s">
        <v>51</v>
      </c>
      <c r="Y457" s="11" t="s">
        <v>51</v>
      </c>
      <c r="Z457" s="11" t="s">
        <v>51</v>
      </c>
      <c r="AA457" s="11" t="s">
        <v>51</v>
      </c>
      <c r="AB457" s="11" t="s">
        <v>51</v>
      </c>
      <c r="AC457" s="11" t="s">
        <v>51</v>
      </c>
      <c r="AD457" s="11" t="s">
        <v>51</v>
      </c>
      <c r="AE457" s="11" t="s">
        <v>51</v>
      </c>
      <c r="AF457" s="11" t="s">
        <v>51</v>
      </c>
      <c r="AG457" s="11" t="s">
        <v>51</v>
      </c>
      <c r="AH457" s="11" t="s">
        <v>51</v>
      </c>
    </row>
    <row r="458" spans="1:34" s="33" customFormat="1" x14ac:dyDescent="0.2">
      <c r="A458" s="11">
        <v>583</v>
      </c>
      <c r="B458" s="11"/>
      <c r="C458" s="11"/>
      <c r="D458" s="11"/>
      <c r="E458" s="11"/>
      <c r="F458" s="11" t="s">
        <v>96</v>
      </c>
      <c r="G458" s="11" t="s">
        <v>97</v>
      </c>
      <c r="H458" s="56" t="str">
        <f>VLOOKUP(Table6[[#This Row],[ICD Code]],ICD_summary!$I$3:$M$38,5,0)</f>
        <v>Misc/Other</v>
      </c>
      <c r="I458" s="12">
        <v>61.2</v>
      </c>
      <c r="J4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8" s="11" t="s">
        <v>55</v>
      </c>
      <c r="L458" s="11"/>
      <c r="M458" s="11"/>
      <c r="N458" s="11" t="s">
        <v>51</v>
      </c>
      <c r="O458" s="11" t="s">
        <v>51</v>
      </c>
      <c r="P458" s="11" t="s">
        <v>51</v>
      </c>
      <c r="Q458" s="11" t="s">
        <v>51</v>
      </c>
      <c r="R458" s="11" t="s">
        <v>51</v>
      </c>
      <c r="S458" s="11" t="s">
        <v>51</v>
      </c>
      <c r="T458" s="11" t="s">
        <v>51</v>
      </c>
      <c r="U458" s="11" t="s">
        <v>51</v>
      </c>
      <c r="V458" s="11" t="s">
        <v>51</v>
      </c>
      <c r="W458" s="11" t="s">
        <v>51</v>
      </c>
      <c r="X458" s="11" t="s">
        <v>51</v>
      </c>
      <c r="Y458" s="11" t="s">
        <v>51</v>
      </c>
      <c r="Z458" s="11" t="s">
        <v>51</v>
      </c>
      <c r="AA458" s="11" t="s">
        <v>51</v>
      </c>
      <c r="AB458" s="11" t="s">
        <v>51</v>
      </c>
      <c r="AC458" s="11" t="s">
        <v>51</v>
      </c>
      <c r="AD458" s="11" t="s">
        <v>51</v>
      </c>
      <c r="AE458" s="11" t="s">
        <v>51</v>
      </c>
      <c r="AF458" s="11" t="s">
        <v>51</v>
      </c>
      <c r="AG458" s="11" t="s">
        <v>51</v>
      </c>
      <c r="AH458" s="11" t="s">
        <v>51</v>
      </c>
    </row>
    <row r="459" spans="1:34" s="33" customFormat="1" x14ac:dyDescent="0.2">
      <c r="A459" s="11">
        <v>584</v>
      </c>
      <c r="B459" s="11"/>
      <c r="C459" s="11"/>
      <c r="D459" s="11"/>
      <c r="E459" s="11"/>
      <c r="F459" s="11" t="s">
        <v>62</v>
      </c>
      <c r="G459" s="11" t="s">
        <v>63</v>
      </c>
      <c r="H459" s="56" t="str">
        <f>VLOOKUP(Table6[[#This Row],[ICD Code]],ICD_summary!$I$3:$M$38,5,0)</f>
        <v>PD</v>
      </c>
      <c r="I459" s="12">
        <v>60.5</v>
      </c>
      <c r="J4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9" s="11" t="s">
        <v>52</v>
      </c>
      <c r="L459" s="11"/>
      <c r="M459" s="11"/>
      <c r="N459" s="11" t="s">
        <v>51</v>
      </c>
      <c r="O459" s="11" t="s">
        <v>51</v>
      </c>
      <c r="P459" s="11" t="s">
        <v>51</v>
      </c>
      <c r="Q459" s="11" t="s">
        <v>51</v>
      </c>
      <c r="R459" s="11" t="s">
        <v>51</v>
      </c>
      <c r="S459" s="11" t="s">
        <v>51</v>
      </c>
      <c r="T459" s="11" t="s">
        <v>51</v>
      </c>
      <c r="U459" s="11" t="s">
        <v>51</v>
      </c>
      <c r="V459" s="11" t="s">
        <v>51</v>
      </c>
      <c r="W459" s="11" t="s">
        <v>51</v>
      </c>
      <c r="X459" s="11" t="s">
        <v>51</v>
      </c>
      <c r="Y459" s="11" t="s">
        <v>51</v>
      </c>
      <c r="Z459" s="11" t="s">
        <v>51</v>
      </c>
      <c r="AA459" s="11" t="s">
        <v>51</v>
      </c>
      <c r="AB459" s="11" t="s">
        <v>51</v>
      </c>
      <c r="AC459" s="11" t="s">
        <v>51</v>
      </c>
      <c r="AD459" s="11" t="s">
        <v>51</v>
      </c>
      <c r="AE459" s="11" t="s">
        <v>51</v>
      </c>
      <c r="AF459" s="11" t="s">
        <v>51</v>
      </c>
      <c r="AG459" s="11" t="s">
        <v>51</v>
      </c>
      <c r="AH459" s="11" t="s">
        <v>51</v>
      </c>
    </row>
    <row r="460" spans="1:34" s="33" customFormat="1" x14ac:dyDescent="0.2">
      <c r="A460" s="11">
        <v>585</v>
      </c>
      <c r="B460" s="11"/>
      <c r="C460" s="11"/>
      <c r="D460" s="11"/>
      <c r="E460" s="11"/>
      <c r="F460" s="11" t="s">
        <v>76</v>
      </c>
      <c r="G460" s="11" t="s">
        <v>77</v>
      </c>
      <c r="H460" s="56" t="str">
        <f>VLOOKUP(Table6[[#This Row],[ICD Code]],ICD_summary!$I$3:$M$38,5,0)</f>
        <v>Dystonia, other</v>
      </c>
      <c r="I460" s="12">
        <v>44.5</v>
      </c>
      <c r="J4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60" s="11" t="s">
        <v>52</v>
      </c>
      <c r="L460" s="11"/>
      <c r="M460" s="11"/>
      <c r="N460" s="11" t="s">
        <v>51</v>
      </c>
      <c r="O460" s="11" t="s">
        <v>51</v>
      </c>
      <c r="P460" s="11" t="s">
        <v>51</v>
      </c>
      <c r="Q460" s="11" t="s">
        <v>51</v>
      </c>
      <c r="R460" s="11" t="s">
        <v>51</v>
      </c>
      <c r="S460" s="11" t="s">
        <v>51</v>
      </c>
      <c r="T460" s="11" t="s">
        <v>51</v>
      </c>
      <c r="U460" s="11" t="s">
        <v>51</v>
      </c>
      <c r="V460" s="11" t="s">
        <v>51</v>
      </c>
      <c r="W460" s="11" t="s">
        <v>51</v>
      </c>
      <c r="X460" s="11" t="s">
        <v>51</v>
      </c>
      <c r="Y460" s="11" t="s">
        <v>51</v>
      </c>
      <c r="Z460" s="11" t="s">
        <v>51</v>
      </c>
      <c r="AA460" s="11" t="s">
        <v>51</v>
      </c>
      <c r="AB460" s="11" t="s">
        <v>51</v>
      </c>
      <c r="AC460" s="11" t="s">
        <v>51</v>
      </c>
      <c r="AD460" s="11" t="s">
        <v>51</v>
      </c>
      <c r="AE460" s="11" t="s">
        <v>51</v>
      </c>
      <c r="AF460" s="11" t="s">
        <v>51</v>
      </c>
      <c r="AG460" s="11" t="s">
        <v>51</v>
      </c>
      <c r="AH460" s="11" t="s">
        <v>51</v>
      </c>
    </row>
    <row r="461" spans="1:34" s="33" customFormat="1" x14ac:dyDescent="0.2">
      <c r="A461" s="11">
        <v>586</v>
      </c>
      <c r="B461" s="11"/>
      <c r="C461" s="11"/>
      <c r="D461" s="11"/>
      <c r="E461" s="11"/>
      <c r="F461" s="11" t="s">
        <v>62</v>
      </c>
      <c r="G461" s="11" t="s">
        <v>63</v>
      </c>
      <c r="H461" s="56" t="str">
        <f>VLOOKUP(Table6[[#This Row],[ICD Code]],ICD_summary!$I$3:$M$38,5,0)</f>
        <v>PD</v>
      </c>
      <c r="I461" s="12">
        <v>80.5</v>
      </c>
      <c r="J4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461" s="11" t="s">
        <v>55</v>
      </c>
      <c r="L461" s="11"/>
      <c r="M461" s="11"/>
      <c r="N461" s="11" t="s">
        <v>51</v>
      </c>
      <c r="O461" s="11" t="s">
        <v>51</v>
      </c>
      <c r="P461" s="11" t="s">
        <v>51</v>
      </c>
      <c r="Q461" s="11" t="s">
        <v>51</v>
      </c>
      <c r="R461" s="11" t="s">
        <v>51</v>
      </c>
      <c r="S461" s="11" t="s">
        <v>51</v>
      </c>
      <c r="T461" s="11" t="s">
        <v>51</v>
      </c>
      <c r="U461" s="11" t="s">
        <v>51</v>
      </c>
      <c r="V461" s="11" t="s">
        <v>51</v>
      </c>
      <c r="W461" s="11" t="s">
        <v>51</v>
      </c>
      <c r="X461" s="11" t="s">
        <v>51</v>
      </c>
      <c r="Y461" s="11" t="s">
        <v>51</v>
      </c>
      <c r="Z461" s="11" t="s">
        <v>51</v>
      </c>
      <c r="AA461" s="11" t="s">
        <v>51</v>
      </c>
      <c r="AB461" s="11" t="s">
        <v>51</v>
      </c>
      <c r="AC461" s="11" t="s">
        <v>51</v>
      </c>
      <c r="AD461" s="11" t="s">
        <v>51</v>
      </c>
      <c r="AE461" s="11" t="s">
        <v>51</v>
      </c>
      <c r="AF461" s="11" t="s">
        <v>51</v>
      </c>
      <c r="AG461" s="11" t="s">
        <v>51</v>
      </c>
      <c r="AH461" s="11" t="s">
        <v>51</v>
      </c>
    </row>
    <row r="462" spans="1:34" s="33" customFormat="1" x14ac:dyDescent="0.2">
      <c r="A462" s="11">
        <v>587</v>
      </c>
      <c r="B462" s="11"/>
      <c r="C462" s="11"/>
      <c r="D462" s="11"/>
      <c r="E462" s="11"/>
      <c r="F462" s="11" t="s">
        <v>68</v>
      </c>
      <c r="G462" s="11" t="s">
        <v>69</v>
      </c>
      <c r="H462" s="56" t="str">
        <f>VLOOKUP(Table6[[#This Row],[ICD Code]],ICD_summary!$I$3:$M$38,5,0)</f>
        <v>Tremor, essential tremor</v>
      </c>
      <c r="I462" s="12">
        <v>21</v>
      </c>
      <c r="J4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62" s="11" t="s">
        <v>55</v>
      </c>
      <c r="L462" s="11"/>
      <c r="M462" s="11"/>
      <c r="N462" s="11" t="s">
        <v>51</v>
      </c>
      <c r="O462" s="11" t="s">
        <v>51</v>
      </c>
      <c r="P462" s="11" t="s">
        <v>51</v>
      </c>
      <c r="Q462" s="11" t="s">
        <v>51</v>
      </c>
      <c r="R462" s="11" t="s">
        <v>51</v>
      </c>
      <c r="S462" s="11" t="s">
        <v>51</v>
      </c>
      <c r="T462" s="11" t="s">
        <v>51</v>
      </c>
      <c r="U462" s="11" t="s">
        <v>51</v>
      </c>
      <c r="V462" s="11" t="s">
        <v>51</v>
      </c>
      <c r="W462" s="11" t="s">
        <v>51</v>
      </c>
      <c r="X462" s="11" t="s">
        <v>51</v>
      </c>
      <c r="Y462" s="11" t="s">
        <v>51</v>
      </c>
      <c r="Z462" s="11" t="s">
        <v>51</v>
      </c>
      <c r="AA462" s="11" t="s">
        <v>51</v>
      </c>
      <c r="AB462" s="11" t="s">
        <v>51</v>
      </c>
      <c r="AC462" s="11" t="s">
        <v>51</v>
      </c>
      <c r="AD462" s="11" t="s">
        <v>51</v>
      </c>
      <c r="AE462" s="11" t="s">
        <v>51</v>
      </c>
      <c r="AF462" s="11" t="s">
        <v>51</v>
      </c>
      <c r="AG462" s="11" t="s">
        <v>51</v>
      </c>
      <c r="AH462" s="11" t="s">
        <v>51</v>
      </c>
    </row>
    <row r="463" spans="1:34" s="33" customFormat="1" x14ac:dyDescent="0.2">
      <c r="A463" s="11">
        <v>588</v>
      </c>
      <c r="B463" s="11"/>
      <c r="C463" s="11"/>
      <c r="D463" s="11"/>
      <c r="E463" s="11"/>
      <c r="F463" s="11" t="s">
        <v>68</v>
      </c>
      <c r="G463" s="11" t="s">
        <v>69</v>
      </c>
      <c r="H463" s="56" t="str">
        <f>VLOOKUP(Table6[[#This Row],[ICD Code]],ICD_summary!$I$3:$M$38,5,0)</f>
        <v>Tremor, essential tremor</v>
      </c>
      <c r="I463" s="12">
        <v>77.599999999999994</v>
      </c>
      <c r="J4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3" s="11" t="s">
        <v>55</v>
      </c>
      <c r="L463" s="11"/>
      <c r="M463" s="11"/>
      <c r="N463" s="11">
        <v>69.405000000000001</v>
      </c>
      <c r="O463" s="11">
        <v>70.48</v>
      </c>
      <c r="P463" s="11">
        <v>140.00800000000001</v>
      </c>
      <c r="Q463" s="11">
        <v>139.881</v>
      </c>
      <c r="R463" s="11">
        <v>145.59100000000001</v>
      </c>
      <c r="S463" s="11">
        <v>145.64099999999999</v>
      </c>
      <c r="T463" s="11">
        <v>124.929</v>
      </c>
      <c r="U463" s="11">
        <v>125.407</v>
      </c>
      <c r="V463" s="11">
        <v>60.326999999999998</v>
      </c>
      <c r="W463" s="11">
        <v>59.600999999999999</v>
      </c>
      <c r="X463" s="11">
        <v>39.673000000000002</v>
      </c>
      <c r="Y463" s="11">
        <v>40.399000000000001</v>
      </c>
      <c r="Z463" s="11">
        <v>10.234</v>
      </c>
      <c r="AA463" s="11">
        <v>9.7539999999999996</v>
      </c>
      <c r="AB463" s="11">
        <v>40.399000000000001</v>
      </c>
      <c r="AC463" s="11">
        <v>39.673000000000002</v>
      </c>
      <c r="AD463" s="11">
        <v>8.1679999999999993</v>
      </c>
      <c r="AE463" s="11">
        <v>21</v>
      </c>
      <c r="AF463" s="11">
        <v>24</v>
      </c>
      <c r="AG463" s="11">
        <v>21</v>
      </c>
      <c r="AH463" s="11">
        <v>21</v>
      </c>
    </row>
    <row r="464" spans="1:34" s="33" customFormat="1" x14ac:dyDescent="0.2">
      <c r="A464" s="11">
        <v>589</v>
      </c>
      <c r="B464" s="11"/>
      <c r="C464" s="11"/>
      <c r="D464" s="11"/>
      <c r="E464" s="11"/>
      <c r="F464" s="11" t="s">
        <v>68</v>
      </c>
      <c r="G464" s="11" t="s">
        <v>69</v>
      </c>
      <c r="H464" s="56" t="str">
        <f>VLOOKUP(Table6[[#This Row],[ICD Code]],ICD_summary!$I$3:$M$38,5,0)</f>
        <v>Tremor, essential tremor</v>
      </c>
      <c r="I464" s="12">
        <v>72.099999999999994</v>
      </c>
      <c r="J4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4" s="11" t="s">
        <v>52</v>
      </c>
      <c r="L464" s="11"/>
      <c r="M464" s="11"/>
      <c r="N464" s="11">
        <v>58.866</v>
      </c>
      <c r="O464" s="11">
        <v>61.31</v>
      </c>
      <c r="P464" s="11">
        <v>120.226</v>
      </c>
      <c r="Q464" s="11">
        <v>120.855</v>
      </c>
      <c r="R464" s="11">
        <v>106.08499999999999</v>
      </c>
      <c r="S464" s="11">
        <v>106.474</v>
      </c>
      <c r="T464" s="11">
        <v>105.40300000000001</v>
      </c>
      <c r="U464" s="11">
        <v>105.419</v>
      </c>
      <c r="V464" s="11">
        <v>63.484999999999999</v>
      </c>
      <c r="W464" s="11">
        <v>63.969000000000001</v>
      </c>
      <c r="X464" s="11">
        <v>36.515000000000001</v>
      </c>
      <c r="Y464" s="11">
        <v>36.030999999999999</v>
      </c>
      <c r="Z464" s="11">
        <v>12.722</v>
      </c>
      <c r="AA464" s="11">
        <v>15.035</v>
      </c>
      <c r="AB464" s="11">
        <v>36.030999999999999</v>
      </c>
      <c r="AC464" s="11">
        <v>36.515000000000001</v>
      </c>
      <c r="AD464" s="11">
        <v>11.186</v>
      </c>
      <c r="AE464" s="11">
        <v>21</v>
      </c>
      <c r="AF464" s="11">
        <v>22</v>
      </c>
      <c r="AG464" s="11">
        <v>21</v>
      </c>
      <c r="AH464" s="11">
        <v>21</v>
      </c>
    </row>
    <row r="465" spans="1:34" s="33" customFormat="1" x14ac:dyDescent="0.2">
      <c r="A465" s="11">
        <v>590</v>
      </c>
      <c r="B465" s="11"/>
      <c r="C465" s="11"/>
      <c r="D465" s="11"/>
      <c r="E465" s="11"/>
      <c r="F465" s="11" t="s">
        <v>62</v>
      </c>
      <c r="G465" s="11" t="s">
        <v>63</v>
      </c>
      <c r="H465" s="56" t="str">
        <f>VLOOKUP(Table6[[#This Row],[ICD Code]],ICD_summary!$I$3:$M$38,5,0)</f>
        <v>PD</v>
      </c>
      <c r="I465" s="12">
        <v>40.799999999999997</v>
      </c>
      <c r="J4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65" s="11" t="s">
        <v>52</v>
      </c>
      <c r="L465" s="11"/>
      <c r="M465" s="11"/>
      <c r="N465" s="11">
        <v>68.332999999999998</v>
      </c>
      <c r="O465" s="11">
        <v>56.789000000000001</v>
      </c>
      <c r="P465" s="11">
        <v>125.77800000000001</v>
      </c>
      <c r="Q465" s="11">
        <v>125.117</v>
      </c>
      <c r="R465" s="11">
        <v>114.379</v>
      </c>
      <c r="S465" s="11">
        <v>114.057</v>
      </c>
      <c r="T465" s="11">
        <v>109.941</v>
      </c>
      <c r="U465" s="11">
        <v>109.438</v>
      </c>
      <c r="V465" s="11">
        <v>62.378</v>
      </c>
      <c r="W465" s="11">
        <v>61.360999999999997</v>
      </c>
      <c r="X465" s="11">
        <v>37.622</v>
      </c>
      <c r="Y465" s="11">
        <v>38.639000000000003</v>
      </c>
      <c r="Z465" s="11">
        <v>10.135</v>
      </c>
      <c r="AA465" s="11">
        <v>13.903</v>
      </c>
      <c r="AB465" s="11">
        <v>38.639000000000003</v>
      </c>
      <c r="AC465" s="11">
        <v>37.622</v>
      </c>
      <c r="AD465" s="11">
        <v>15.946</v>
      </c>
      <c r="AE465" s="11">
        <v>18</v>
      </c>
      <c r="AF465" s="11">
        <v>20</v>
      </c>
      <c r="AG465" s="11">
        <v>18</v>
      </c>
      <c r="AH465" s="11">
        <v>18</v>
      </c>
    </row>
    <row r="466" spans="1:34" s="33" customFormat="1" x14ac:dyDescent="0.2">
      <c r="A466" s="11">
        <v>591</v>
      </c>
      <c r="B466" s="11"/>
      <c r="C466" s="11"/>
      <c r="D466" s="11"/>
      <c r="E466" s="11"/>
      <c r="F466" s="11" t="s">
        <v>62</v>
      </c>
      <c r="G466" s="11" t="s">
        <v>63</v>
      </c>
      <c r="H466" s="56" t="str">
        <f>VLOOKUP(Table6[[#This Row],[ICD Code]],ICD_summary!$I$3:$M$38,5,0)</f>
        <v>PD</v>
      </c>
      <c r="I466" s="12">
        <v>71.5</v>
      </c>
      <c r="J4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6" s="11" t="s">
        <v>52</v>
      </c>
      <c r="L466" s="11"/>
      <c r="M466" s="11"/>
      <c r="N466" s="11">
        <v>8.6419999999999995</v>
      </c>
      <c r="O466" s="11">
        <v>15.788</v>
      </c>
      <c r="P466" s="11">
        <v>25.44</v>
      </c>
      <c r="Q466" s="11">
        <v>24.138999999999999</v>
      </c>
      <c r="R466" s="11">
        <v>28.187000000000001</v>
      </c>
      <c r="S466" s="11">
        <v>27.097999999999999</v>
      </c>
      <c r="T466" s="11">
        <v>137.941</v>
      </c>
      <c r="U466" s="11">
        <v>139.898</v>
      </c>
      <c r="V466" s="11">
        <v>74.099000000000004</v>
      </c>
      <c r="W466" s="11">
        <v>72.400999999999996</v>
      </c>
      <c r="X466" s="11">
        <v>25.901</v>
      </c>
      <c r="Y466" s="11">
        <v>27.599</v>
      </c>
      <c r="Z466" s="11">
        <v>23.812999999999999</v>
      </c>
      <c r="AA466" s="11">
        <v>22.402999999999999</v>
      </c>
      <c r="AB466" s="11">
        <v>27.599</v>
      </c>
      <c r="AC466" s="11">
        <v>25.901</v>
      </c>
      <c r="AD466" s="11">
        <v>15.84</v>
      </c>
      <c r="AE466" s="11">
        <v>18</v>
      </c>
      <c r="AF466" s="11">
        <v>19</v>
      </c>
      <c r="AG466" s="11">
        <v>18</v>
      </c>
      <c r="AH466" s="11">
        <v>18</v>
      </c>
    </row>
    <row r="467" spans="1:34" s="33" customFormat="1" x14ac:dyDescent="0.2">
      <c r="A467" s="11">
        <v>592</v>
      </c>
      <c r="B467" s="11"/>
      <c r="C467" s="11"/>
      <c r="D467" s="11"/>
      <c r="E467" s="11"/>
      <c r="F467" s="11" t="s">
        <v>62</v>
      </c>
      <c r="G467" s="11" t="s">
        <v>63</v>
      </c>
      <c r="H467" s="56" t="str">
        <f>VLOOKUP(Table6[[#This Row],[ICD Code]],ICD_summary!$I$3:$M$38,5,0)</f>
        <v>PD</v>
      </c>
      <c r="I467" s="12">
        <v>58</v>
      </c>
      <c r="J4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67" s="11" t="s">
        <v>52</v>
      </c>
      <c r="L467" s="11"/>
      <c r="M467" s="11"/>
      <c r="N467" s="11">
        <v>67.587000000000003</v>
      </c>
      <c r="O467" s="11">
        <v>71.481999999999999</v>
      </c>
      <c r="P467" s="11">
        <v>139.65299999999999</v>
      </c>
      <c r="Q467" s="11">
        <v>138.77799999999999</v>
      </c>
      <c r="R467" s="11">
        <v>127.084</v>
      </c>
      <c r="S467" s="11">
        <v>125.923</v>
      </c>
      <c r="T467" s="11">
        <v>108.9</v>
      </c>
      <c r="U467" s="11">
        <v>108.84099999999999</v>
      </c>
      <c r="V467" s="11">
        <v>60.377000000000002</v>
      </c>
      <c r="W467" s="11">
        <v>60.287999999999997</v>
      </c>
      <c r="X467" s="11">
        <v>39.622999999999998</v>
      </c>
      <c r="Y467" s="11">
        <v>39.712000000000003</v>
      </c>
      <c r="Z467" s="11">
        <v>10.631</v>
      </c>
      <c r="AA467" s="11">
        <v>10.385</v>
      </c>
      <c r="AB467" s="11">
        <v>39.712000000000003</v>
      </c>
      <c r="AC467" s="11">
        <v>39.622999999999998</v>
      </c>
      <c r="AD467" s="11">
        <v>8.6519999999999992</v>
      </c>
      <c r="AE467" s="11">
        <v>15</v>
      </c>
      <c r="AF467" s="11">
        <v>16</v>
      </c>
      <c r="AG467" s="11">
        <v>15</v>
      </c>
      <c r="AH467" s="11">
        <v>15</v>
      </c>
    </row>
    <row r="468" spans="1:34" s="33" customFormat="1" x14ac:dyDescent="0.2">
      <c r="A468" s="11">
        <v>593</v>
      </c>
      <c r="B468" s="11"/>
      <c r="C468" s="11"/>
      <c r="D468" s="11"/>
      <c r="E468" s="11"/>
      <c r="F468" s="11" t="s">
        <v>68</v>
      </c>
      <c r="G468" s="11" t="s">
        <v>69</v>
      </c>
      <c r="H468" s="56" t="str">
        <f>VLOOKUP(Table6[[#This Row],[ICD Code]],ICD_summary!$I$3:$M$38,5,0)</f>
        <v>Tremor, essential tremor</v>
      </c>
      <c r="I468" s="12">
        <v>66.900000000000006</v>
      </c>
      <c r="J4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8" s="11" t="s">
        <v>55</v>
      </c>
      <c r="L468" s="11"/>
      <c r="M468" s="11"/>
      <c r="N468" s="11" t="s">
        <v>51</v>
      </c>
      <c r="O468" s="11" t="s">
        <v>51</v>
      </c>
      <c r="P468" s="11" t="s">
        <v>51</v>
      </c>
      <c r="Q468" s="11" t="s">
        <v>51</v>
      </c>
      <c r="R468" s="11" t="s">
        <v>51</v>
      </c>
      <c r="S468" s="11" t="s">
        <v>51</v>
      </c>
      <c r="T468" s="11" t="s">
        <v>51</v>
      </c>
      <c r="U468" s="11" t="s">
        <v>51</v>
      </c>
      <c r="V468" s="11" t="s">
        <v>51</v>
      </c>
      <c r="W468" s="11" t="s">
        <v>51</v>
      </c>
      <c r="X468" s="11" t="s">
        <v>51</v>
      </c>
      <c r="Y468" s="11" t="s">
        <v>51</v>
      </c>
      <c r="Z468" s="11" t="s">
        <v>51</v>
      </c>
      <c r="AA468" s="11" t="s">
        <v>51</v>
      </c>
      <c r="AB468" s="11" t="s">
        <v>51</v>
      </c>
      <c r="AC468" s="11" t="s">
        <v>51</v>
      </c>
      <c r="AD468" s="11" t="s">
        <v>51</v>
      </c>
      <c r="AE468" s="11" t="s">
        <v>51</v>
      </c>
      <c r="AF468" s="11" t="s">
        <v>51</v>
      </c>
      <c r="AG468" s="11" t="s">
        <v>51</v>
      </c>
      <c r="AH468" s="11" t="s">
        <v>51</v>
      </c>
    </row>
    <row r="469" spans="1:34" s="33" customFormat="1" x14ac:dyDescent="0.2">
      <c r="A469" s="11">
        <v>594</v>
      </c>
      <c r="B469" s="11"/>
      <c r="C469" s="11"/>
      <c r="D469" s="11"/>
      <c r="E469" s="11"/>
      <c r="F469" s="11" t="s">
        <v>62</v>
      </c>
      <c r="G469" s="11" t="s">
        <v>63</v>
      </c>
      <c r="H469" s="56" t="str">
        <f>VLOOKUP(Table6[[#This Row],[ICD Code]],ICD_summary!$I$3:$M$38,5,0)</f>
        <v>PD</v>
      </c>
      <c r="I469" s="12">
        <v>69.8</v>
      </c>
      <c r="J4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9" s="11" t="s">
        <v>52</v>
      </c>
      <c r="L469" s="11"/>
      <c r="M469" s="11"/>
      <c r="N469" s="11">
        <v>65.850999999999999</v>
      </c>
      <c r="O469" s="11">
        <v>66.302999999999997</v>
      </c>
      <c r="P469" s="11">
        <v>133.11199999999999</v>
      </c>
      <c r="Q469" s="11">
        <v>132.31200000000001</v>
      </c>
      <c r="R469" s="11">
        <v>124.782</v>
      </c>
      <c r="S469" s="11">
        <v>124.643</v>
      </c>
      <c r="T469" s="11">
        <v>113.20699999999999</v>
      </c>
      <c r="U469" s="11">
        <v>113.47799999999999</v>
      </c>
      <c r="V469" s="11">
        <v>62.654000000000003</v>
      </c>
      <c r="W469" s="11">
        <v>62.826999999999998</v>
      </c>
      <c r="X469" s="11">
        <v>37.345999999999997</v>
      </c>
      <c r="Y469" s="11">
        <v>37.173000000000002</v>
      </c>
      <c r="Z469" s="11">
        <v>13.715999999999999</v>
      </c>
      <c r="AA469" s="11">
        <v>12.029</v>
      </c>
      <c r="AB469" s="11">
        <v>37.173000000000002</v>
      </c>
      <c r="AC469" s="11">
        <v>37.345999999999997</v>
      </c>
      <c r="AD469" s="11">
        <v>13.788</v>
      </c>
      <c r="AE469" s="11">
        <v>15</v>
      </c>
      <c r="AF469" s="11">
        <v>18</v>
      </c>
      <c r="AG469" s="11">
        <v>15</v>
      </c>
      <c r="AH469" s="11">
        <v>15</v>
      </c>
    </row>
    <row r="470" spans="1:34" s="33" customFormat="1" x14ac:dyDescent="0.2">
      <c r="A470" s="11">
        <v>595</v>
      </c>
      <c r="B470" s="11"/>
      <c r="C470" s="11"/>
      <c r="D470" s="11"/>
      <c r="E470" s="11"/>
      <c r="F470" s="11" t="s">
        <v>68</v>
      </c>
      <c r="G470" s="11" t="s">
        <v>69</v>
      </c>
      <c r="H470" s="56" t="str">
        <f>VLOOKUP(Table6[[#This Row],[ICD Code]],ICD_summary!$I$3:$M$38,5,0)</f>
        <v>Tremor, essential tremor</v>
      </c>
      <c r="I470" s="12">
        <v>67.5</v>
      </c>
      <c r="J4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0" s="11" t="s">
        <v>55</v>
      </c>
      <c r="L470" s="11"/>
      <c r="M470" s="11"/>
      <c r="N470" s="11">
        <v>56.488</v>
      </c>
      <c r="O470" s="11">
        <v>56.435000000000002</v>
      </c>
      <c r="P470" s="11">
        <v>113.29300000000001</v>
      </c>
      <c r="Q470" s="11">
        <v>113.22199999999999</v>
      </c>
      <c r="R470" s="11">
        <v>108.64100000000001</v>
      </c>
      <c r="S470" s="11">
        <v>108.554</v>
      </c>
      <c r="T470" s="11">
        <v>115.23399999999999</v>
      </c>
      <c r="U470" s="11">
        <v>114.511</v>
      </c>
      <c r="V470" s="11">
        <v>61.65</v>
      </c>
      <c r="W470" s="11">
        <v>62.561</v>
      </c>
      <c r="X470" s="11">
        <v>38.35</v>
      </c>
      <c r="Y470" s="11">
        <v>37.439</v>
      </c>
      <c r="Z470" s="11">
        <v>12.513</v>
      </c>
      <c r="AA470" s="11">
        <v>11.996</v>
      </c>
      <c r="AB470" s="11">
        <v>37.439</v>
      </c>
      <c r="AC470" s="11">
        <v>38.35</v>
      </c>
      <c r="AD470" s="11">
        <v>7.42</v>
      </c>
      <c r="AE470" s="11">
        <v>16</v>
      </c>
      <c r="AF470" s="11">
        <v>17</v>
      </c>
      <c r="AG470" s="11">
        <v>16</v>
      </c>
      <c r="AH470" s="11">
        <v>16</v>
      </c>
    </row>
    <row r="471" spans="1:34" s="33" customFormat="1" x14ac:dyDescent="0.2">
      <c r="A471" s="11">
        <v>596</v>
      </c>
      <c r="B471" s="11"/>
      <c r="C471" s="11"/>
      <c r="D471" s="11"/>
      <c r="E471" s="11"/>
      <c r="F471" s="11" t="s">
        <v>62</v>
      </c>
      <c r="G471" s="11" t="s">
        <v>63</v>
      </c>
      <c r="H471" s="56" t="str">
        <f>VLOOKUP(Table6[[#This Row],[ICD Code]],ICD_summary!$I$3:$M$38,5,0)</f>
        <v>PD</v>
      </c>
      <c r="I471" s="12">
        <v>73.400000000000006</v>
      </c>
      <c r="J4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1" s="11" t="s">
        <v>52</v>
      </c>
      <c r="L471" s="11"/>
      <c r="M471" s="11"/>
      <c r="N471" s="11">
        <v>45.167999999999999</v>
      </c>
      <c r="O471" s="11">
        <v>44.338000000000001</v>
      </c>
      <c r="P471" s="11">
        <v>89.584000000000003</v>
      </c>
      <c r="Q471" s="11">
        <v>89.795000000000002</v>
      </c>
      <c r="R471" s="11">
        <v>77.561999999999998</v>
      </c>
      <c r="S471" s="11">
        <v>77.784000000000006</v>
      </c>
      <c r="T471" s="11">
        <v>103.764</v>
      </c>
      <c r="U471" s="11">
        <v>103.714</v>
      </c>
      <c r="V471" s="11">
        <v>64.103999999999999</v>
      </c>
      <c r="W471" s="11">
        <v>62.835999999999999</v>
      </c>
      <c r="X471" s="11">
        <v>35.896000000000001</v>
      </c>
      <c r="Y471" s="11">
        <v>37.164000000000001</v>
      </c>
      <c r="Z471" s="11">
        <v>12.606999999999999</v>
      </c>
      <c r="AA471" s="11">
        <v>14.327</v>
      </c>
      <c r="AB471" s="11">
        <v>37.164000000000001</v>
      </c>
      <c r="AC471" s="11">
        <v>35.896000000000001</v>
      </c>
      <c r="AD471" s="11">
        <v>10.352</v>
      </c>
      <c r="AE471" s="11">
        <v>23</v>
      </c>
      <c r="AF471" s="11">
        <v>22</v>
      </c>
      <c r="AG471" s="11">
        <v>22</v>
      </c>
      <c r="AH471" s="11">
        <v>22</v>
      </c>
    </row>
    <row r="472" spans="1:34" s="33" customFormat="1" x14ac:dyDescent="0.2">
      <c r="A472" s="11">
        <v>597</v>
      </c>
      <c r="B472" s="11"/>
      <c r="C472" s="11"/>
      <c r="D472" s="11"/>
      <c r="E472" s="11"/>
      <c r="F472" s="11" t="s">
        <v>76</v>
      </c>
      <c r="G472" s="11" t="s">
        <v>77</v>
      </c>
      <c r="H472" s="56" t="str">
        <f>VLOOKUP(Table6[[#This Row],[ICD Code]],ICD_summary!$I$3:$M$38,5,0)</f>
        <v>Dystonia, other</v>
      </c>
      <c r="I472" s="12">
        <v>61.9</v>
      </c>
      <c r="J4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2" s="11" t="s">
        <v>52</v>
      </c>
      <c r="L472" s="11"/>
      <c r="M472" s="11"/>
      <c r="N472" s="11">
        <v>28.344999999999999</v>
      </c>
      <c r="O472" s="11">
        <v>41.783000000000001</v>
      </c>
      <c r="P472" s="11">
        <v>69.66</v>
      </c>
      <c r="Q472" s="11">
        <v>70.156999999999996</v>
      </c>
      <c r="R472" s="11">
        <v>37.341999999999999</v>
      </c>
      <c r="S472" s="11">
        <v>37.731000000000002</v>
      </c>
      <c r="T472" s="11">
        <v>63.994999999999997</v>
      </c>
      <c r="U472" s="11">
        <v>64.572999999999993</v>
      </c>
      <c r="V472" s="11">
        <v>55.134</v>
      </c>
      <c r="W472" s="11">
        <v>73.513000000000005</v>
      </c>
      <c r="X472" s="11">
        <v>44.866</v>
      </c>
      <c r="Y472" s="11">
        <v>26.486999999999998</v>
      </c>
      <c r="Z472" s="11">
        <v>13.098000000000001</v>
      </c>
      <c r="AA472" s="11">
        <v>16.024000000000001</v>
      </c>
      <c r="AB472" s="11">
        <v>26.486999999999998</v>
      </c>
      <c r="AC472" s="11">
        <v>44.866</v>
      </c>
      <c r="AD472" s="11">
        <v>23.385000000000002</v>
      </c>
      <c r="AE472" s="11">
        <v>12</v>
      </c>
      <c r="AF472" s="11">
        <v>13</v>
      </c>
      <c r="AG472" s="11">
        <v>12</v>
      </c>
      <c r="AH472" s="11">
        <v>12</v>
      </c>
    </row>
    <row r="473" spans="1:34" s="33" customFormat="1" x14ac:dyDescent="0.2">
      <c r="A473" s="11">
        <v>598</v>
      </c>
      <c r="B473" s="11"/>
      <c r="C473" s="11"/>
      <c r="D473" s="11"/>
      <c r="E473" s="11"/>
      <c r="F473" s="11" t="s">
        <v>68</v>
      </c>
      <c r="G473" s="11" t="s">
        <v>69</v>
      </c>
      <c r="H473" s="56" t="str">
        <f>VLOOKUP(Table6[[#This Row],[ICD Code]],ICD_summary!$I$3:$M$38,5,0)</f>
        <v>Tremor, essential tremor</v>
      </c>
      <c r="I473" s="12">
        <v>73.3</v>
      </c>
      <c r="J4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3" s="11" t="s">
        <v>52</v>
      </c>
      <c r="L473" s="11"/>
      <c r="M473" s="11"/>
      <c r="N473" s="11">
        <v>66.183000000000007</v>
      </c>
      <c r="O473" s="11">
        <v>60.88</v>
      </c>
      <c r="P473" s="11">
        <v>127.099</v>
      </c>
      <c r="Q473" s="11">
        <v>127.279</v>
      </c>
      <c r="R473" s="11">
        <v>121.786</v>
      </c>
      <c r="S473" s="11">
        <v>121.94499999999999</v>
      </c>
      <c r="T473" s="11">
        <v>114.38</v>
      </c>
      <c r="U473" s="11">
        <v>114.49</v>
      </c>
      <c r="V473" s="11">
        <v>62.996000000000002</v>
      </c>
      <c r="W473" s="11">
        <v>61.802999999999997</v>
      </c>
      <c r="X473" s="11">
        <v>37.003999999999998</v>
      </c>
      <c r="Y473" s="11">
        <v>38.197000000000003</v>
      </c>
      <c r="Z473" s="11">
        <v>13.069000000000001</v>
      </c>
      <c r="AA473" s="11">
        <v>12.481</v>
      </c>
      <c r="AB473" s="11">
        <v>38.197000000000003</v>
      </c>
      <c r="AC473" s="11">
        <v>37.003999999999998</v>
      </c>
      <c r="AD473" s="11">
        <v>13.504</v>
      </c>
      <c r="AE473" s="11">
        <v>15</v>
      </c>
      <c r="AF473" s="11">
        <v>17</v>
      </c>
      <c r="AG473" s="11">
        <v>15</v>
      </c>
      <c r="AH473" s="11">
        <v>15</v>
      </c>
    </row>
    <row r="474" spans="1:34" s="33" customFormat="1" x14ac:dyDescent="0.2">
      <c r="A474" s="11">
        <v>599</v>
      </c>
      <c r="B474" s="11"/>
      <c r="C474" s="11"/>
      <c r="D474" s="11"/>
      <c r="E474" s="11"/>
      <c r="F474" s="11" t="s">
        <v>62</v>
      </c>
      <c r="G474" s="11" t="s">
        <v>63</v>
      </c>
      <c r="H474" s="56" t="str">
        <f>VLOOKUP(Table6[[#This Row],[ICD Code]],ICD_summary!$I$3:$M$38,5,0)</f>
        <v>PD</v>
      </c>
      <c r="I474" s="12">
        <v>54.4</v>
      </c>
      <c r="J4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4" s="11" t="s">
        <v>52</v>
      </c>
      <c r="L474" s="11"/>
      <c r="M474" s="11"/>
      <c r="N474" s="11">
        <v>50.238</v>
      </c>
      <c r="O474" s="11">
        <v>59.17</v>
      </c>
      <c r="P474" s="11">
        <v>109.842</v>
      </c>
      <c r="Q474" s="11">
        <v>110.251</v>
      </c>
      <c r="R474" s="11">
        <v>98.677999999999997</v>
      </c>
      <c r="S474" s="11">
        <v>98.82</v>
      </c>
      <c r="T474" s="11">
        <v>107.545</v>
      </c>
      <c r="U474" s="11">
        <v>107.26900000000001</v>
      </c>
      <c r="V474" s="11">
        <v>63.04</v>
      </c>
      <c r="W474" s="11">
        <v>63.476999999999997</v>
      </c>
      <c r="X474" s="11">
        <v>36.96</v>
      </c>
      <c r="Y474" s="11">
        <v>36.523000000000003</v>
      </c>
      <c r="Z474" s="11">
        <v>12.412000000000001</v>
      </c>
      <c r="AA474" s="11">
        <v>14.276999999999999</v>
      </c>
      <c r="AB474" s="11">
        <v>36.523000000000003</v>
      </c>
      <c r="AC474" s="11">
        <v>36.96</v>
      </c>
      <c r="AD474" s="11">
        <v>12.577999999999999</v>
      </c>
      <c r="AE474" s="11">
        <v>22</v>
      </c>
      <c r="AF474" s="11">
        <v>22</v>
      </c>
      <c r="AG474" s="11">
        <v>22</v>
      </c>
      <c r="AH474" s="11">
        <v>22</v>
      </c>
    </row>
    <row r="475" spans="1:34" s="33" customFormat="1" x14ac:dyDescent="0.2">
      <c r="A475" s="11">
        <v>600</v>
      </c>
      <c r="B475" s="11"/>
      <c r="C475" s="11"/>
      <c r="D475" s="11"/>
      <c r="E475" s="11"/>
      <c r="F475" s="11" t="s">
        <v>62</v>
      </c>
      <c r="G475" s="11" t="s">
        <v>63</v>
      </c>
      <c r="H475" s="56" t="str">
        <f>VLOOKUP(Table6[[#This Row],[ICD Code]],ICD_summary!$I$3:$M$38,5,0)</f>
        <v>PD</v>
      </c>
      <c r="I475" s="12">
        <v>54</v>
      </c>
      <c r="J4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5" s="11" t="s">
        <v>55</v>
      </c>
      <c r="L475" s="11"/>
      <c r="M475" s="11"/>
      <c r="N475" s="11">
        <v>64.353999999999999</v>
      </c>
      <c r="O475" s="11">
        <v>58.533000000000001</v>
      </c>
      <c r="P475" s="11">
        <v>123.583</v>
      </c>
      <c r="Q475" s="11">
        <v>122.71299999999999</v>
      </c>
      <c r="R475" s="11">
        <v>114.718</v>
      </c>
      <c r="S475" s="11">
        <v>113.626</v>
      </c>
      <c r="T475" s="11">
        <v>111.06399999999999</v>
      </c>
      <c r="U475" s="11">
        <v>110.911</v>
      </c>
      <c r="V475" s="11">
        <v>64.597999999999999</v>
      </c>
      <c r="W475" s="11">
        <v>63.412999999999997</v>
      </c>
      <c r="X475" s="11">
        <v>35.402000000000001</v>
      </c>
      <c r="Y475" s="11">
        <v>36.587000000000003</v>
      </c>
      <c r="Z475" s="11">
        <v>12.944000000000001</v>
      </c>
      <c r="AA475" s="11">
        <v>15.233000000000001</v>
      </c>
      <c r="AB475" s="11">
        <v>36.587000000000003</v>
      </c>
      <c r="AC475" s="11">
        <v>35.402000000000001</v>
      </c>
      <c r="AD475" s="11">
        <v>11.003</v>
      </c>
      <c r="AE475" s="11">
        <v>19</v>
      </c>
      <c r="AF475" s="11">
        <v>19</v>
      </c>
      <c r="AG475" s="11">
        <v>19</v>
      </c>
      <c r="AH475" s="11">
        <v>19</v>
      </c>
    </row>
    <row r="476" spans="1:34" s="33" customFormat="1" x14ac:dyDescent="0.2">
      <c r="A476" s="11">
        <v>601</v>
      </c>
      <c r="B476" s="11"/>
      <c r="C476" s="11"/>
      <c r="D476" s="11"/>
      <c r="E476" s="11"/>
      <c r="F476" s="11" t="s">
        <v>74</v>
      </c>
      <c r="G476" s="11" t="s">
        <v>75</v>
      </c>
      <c r="H476" s="56" t="str">
        <f>VLOOKUP(Table6[[#This Row],[ICD Code]],ICD_summary!$I$3:$M$38,5,0)</f>
        <v>Tremor, other</v>
      </c>
      <c r="I476" s="12">
        <v>999</v>
      </c>
      <c r="J4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76" s="11" t="s">
        <v>51</v>
      </c>
      <c r="L476" s="11"/>
      <c r="M476" s="11"/>
      <c r="N476" s="11">
        <v>21.061</v>
      </c>
      <c r="O476" s="11">
        <v>33.814999999999998</v>
      </c>
      <c r="P476" s="11">
        <v>55.698</v>
      </c>
      <c r="Q476" s="11">
        <v>54.649000000000001</v>
      </c>
      <c r="R476" s="11">
        <v>32.209000000000003</v>
      </c>
      <c r="S476" s="11">
        <v>32.228000000000002</v>
      </c>
      <c r="T476" s="11">
        <v>69.783000000000001</v>
      </c>
      <c r="U476" s="11">
        <v>70.412999999999997</v>
      </c>
      <c r="V476" s="11">
        <v>80.316000000000003</v>
      </c>
      <c r="W476" s="11">
        <v>73.614999999999995</v>
      </c>
      <c r="X476" s="11">
        <v>19.684000000000001</v>
      </c>
      <c r="Y476" s="11">
        <v>26.385000000000002</v>
      </c>
      <c r="Z476" s="11">
        <v>28.748999999999999</v>
      </c>
      <c r="AA476" s="11">
        <v>25.454999999999998</v>
      </c>
      <c r="AB476" s="11">
        <v>26.385000000000002</v>
      </c>
      <c r="AC476" s="11">
        <v>19.684000000000001</v>
      </c>
      <c r="AD476" s="11">
        <v>13.172000000000001</v>
      </c>
      <c r="AE476" s="11">
        <v>22</v>
      </c>
      <c r="AF476" s="11">
        <v>23</v>
      </c>
      <c r="AG476" s="11">
        <v>22</v>
      </c>
      <c r="AH476" s="11">
        <v>22</v>
      </c>
    </row>
    <row r="477" spans="1:34" s="33" customFormat="1" x14ac:dyDescent="0.2">
      <c r="A477" s="11">
        <v>602</v>
      </c>
      <c r="B477" s="11"/>
      <c r="C477" s="11"/>
      <c r="D477" s="11"/>
      <c r="E477" s="11"/>
      <c r="F477" s="11" t="s">
        <v>68</v>
      </c>
      <c r="G477" s="11" t="s">
        <v>69</v>
      </c>
      <c r="H477" s="56" t="str">
        <f>VLOOKUP(Table6[[#This Row],[ICD Code]],ICD_summary!$I$3:$M$38,5,0)</f>
        <v>Tremor, essential tremor</v>
      </c>
      <c r="I477" s="12">
        <v>67.3</v>
      </c>
      <c r="J4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7" s="11" t="s">
        <v>55</v>
      </c>
      <c r="L477" s="11"/>
      <c r="M477" s="11"/>
      <c r="N477" s="11">
        <v>41.292000000000002</v>
      </c>
      <c r="O477" s="11">
        <v>42.610999999999997</v>
      </c>
      <c r="P477" s="11">
        <v>83.388999999999996</v>
      </c>
      <c r="Q477" s="11">
        <v>84.176000000000002</v>
      </c>
      <c r="R477" s="11">
        <v>65.17</v>
      </c>
      <c r="S477" s="11">
        <v>65.274000000000001</v>
      </c>
      <c r="T477" s="11">
        <v>93.349000000000004</v>
      </c>
      <c r="U477" s="11">
        <v>92.983999999999995</v>
      </c>
      <c r="V477" s="11">
        <v>65.269000000000005</v>
      </c>
      <c r="W477" s="11">
        <v>65.647000000000006</v>
      </c>
      <c r="X477" s="11">
        <v>34.731000000000002</v>
      </c>
      <c r="Y477" s="11">
        <v>34.353000000000002</v>
      </c>
      <c r="Z477" s="11">
        <v>15.989000000000001</v>
      </c>
      <c r="AA477" s="11">
        <v>14.766</v>
      </c>
      <c r="AB477" s="11">
        <v>34.353000000000002</v>
      </c>
      <c r="AC477" s="11">
        <v>34.731000000000002</v>
      </c>
      <c r="AD477" s="11">
        <v>11.43</v>
      </c>
      <c r="AE477" s="11">
        <v>13</v>
      </c>
      <c r="AF477" s="11">
        <v>16</v>
      </c>
      <c r="AG477" s="11">
        <v>13</v>
      </c>
      <c r="AH477" s="11">
        <v>13</v>
      </c>
    </row>
    <row r="478" spans="1:34" s="33" customFormat="1" x14ac:dyDescent="0.2">
      <c r="A478" s="11">
        <v>603</v>
      </c>
      <c r="B478" s="11"/>
      <c r="C478" s="11"/>
      <c r="D478" s="11"/>
      <c r="E478" s="11"/>
      <c r="F478" s="11" t="s">
        <v>68</v>
      </c>
      <c r="G478" s="11" t="s">
        <v>69</v>
      </c>
      <c r="H478" s="56" t="str">
        <f>VLOOKUP(Table6[[#This Row],[ICD Code]],ICD_summary!$I$3:$M$38,5,0)</f>
        <v>Tremor, essential tremor</v>
      </c>
      <c r="I478" s="12">
        <v>73.3</v>
      </c>
      <c r="J4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8" s="11" t="s">
        <v>55</v>
      </c>
      <c r="L478" s="11"/>
      <c r="M478" s="11"/>
      <c r="N478" s="11">
        <v>44.447000000000003</v>
      </c>
      <c r="O478" s="11">
        <v>42.938000000000002</v>
      </c>
      <c r="P478" s="11">
        <v>87.387</v>
      </c>
      <c r="Q478" s="11">
        <v>87.734999999999999</v>
      </c>
      <c r="R478" s="11">
        <v>77.527000000000001</v>
      </c>
      <c r="S478" s="11">
        <v>78.194000000000003</v>
      </c>
      <c r="T478" s="11">
        <v>106.268</v>
      </c>
      <c r="U478" s="11">
        <v>106.416</v>
      </c>
      <c r="V478" s="11">
        <v>63.414000000000001</v>
      </c>
      <c r="W478" s="11">
        <v>63.423999999999999</v>
      </c>
      <c r="X478" s="11">
        <v>36.585999999999999</v>
      </c>
      <c r="Y478" s="11">
        <v>36.576000000000001</v>
      </c>
      <c r="Z478" s="11">
        <v>14.49</v>
      </c>
      <c r="AA478" s="11">
        <v>12.644</v>
      </c>
      <c r="AB478" s="11">
        <v>36.576000000000001</v>
      </c>
      <c r="AC478" s="11">
        <v>36.585999999999999</v>
      </c>
      <c r="AD478" s="11">
        <v>17.216999999999999</v>
      </c>
      <c r="AE478" s="11">
        <v>23</v>
      </c>
      <c r="AF478" s="11">
        <v>18</v>
      </c>
      <c r="AG478" s="11">
        <v>18</v>
      </c>
      <c r="AH478" s="11">
        <v>18</v>
      </c>
    </row>
    <row r="479" spans="1:34" s="33" customFormat="1" x14ac:dyDescent="0.2">
      <c r="A479" s="11">
        <v>604</v>
      </c>
      <c r="B479" s="11"/>
      <c r="C479" s="11"/>
      <c r="D479" s="11"/>
      <c r="E479" s="11"/>
      <c r="F479" s="11" t="s">
        <v>62</v>
      </c>
      <c r="G479" s="11" t="s">
        <v>63</v>
      </c>
      <c r="H479" s="56" t="str">
        <f>VLOOKUP(Table6[[#This Row],[ICD Code]],ICD_summary!$I$3:$M$38,5,0)</f>
        <v>PD</v>
      </c>
      <c r="I479" s="12">
        <v>75.7</v>
      </c>
      <c r="J4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9" s="11" t="s">
        <v>52</v>
      </c>
      <c r="L479" s="11"/>
      <c r="M479" s="11"/>
      <c r="N479" s="11">
        <v>67.298000000000002</v>
      </c>
      <c r="O479" s="11">
        <v>67.3</v>
      </c>
      <c r="P479" s="11">
        <v>133.00200000000001</v>
      </c>
      <c r="Q479" s="11">
        <v>135.28700000000001</v>
      </c>
      <c r="R479" s="11">
        <v>113.544</v>
      </c>
      <c r="S479" s="11">
        <v>113.61</v>
      </c>
      <c r="T479" s="11">
        <v>102.42700000000001</v>
      </c>
      <c r="U479" s="11">
        <v>101.202</v>
      </c>
      <c r="V479" s="11">
        <v>63.689</v>
      </c>
      <c r="W479" s="11">
        <v>61.863</v>
      </c>
      <c r="X479" s="11">
        <v>36.311</v>
      </c>
      <c r="Y479" s="11">
        <v>38.137</v>
      </c>
      <c r="Z479" s="11">
        <v>14.637</v>
      </c>
      <c r="AA479" s="11">
        <v>12.122</v>
      </c>
      <c r="AB479" s="11">
        <v>38.137</v>
      </c>
      <c r="AC479" s="11">
        <v>36.311</v>
      </c>
      <c r="AD479" s="11">
        <v>10.766999999999999</v>
      </c>
      <c r="AE479" s="11">
        <v>14</v>
      </c>
      <c r="AF479" s="11">
        <v>15</v>
      </c>
      <c r="AG479" s="11">
        <v>14</v>
      </c>
      <c r="AH479" s="11">
        <v>14</v>
      </c>
    </row>
    <row r="480" spans="1:34" s="33" customFormat="1" x14ac:dyDescent="0.2">
      <c r="A480" s="11">
        <v>605</v>
      </c>
      <c r="B480" s="11"/>
      <c r="C480" s="11"/>
      <c r="D480" s="11"/>
      <c r="E480" s="11"/>
      <c r="F480" s="11" t="s">
        <v>80</v>
      </c>
      <c r="G480" s="11" t="s">
        <v>81</v>
      </c>
      <c r="H480" s="56" t="str">
        <f>VLOOKUP(Table6[[#This Row],[ICD Code]],ICD_summary!$I$3:$M$38,5,0)</f>
        <v>Dystonia, cervical</v>
      </c>
      <c r="I480" s="12">
        <v>29.3</v>
      </c>
      <c r="J4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80" s="11" t="s">
        <v>55</v>
      </c>
      <c r="L480" s="11"/>
      <c r="M480" s="11"/>
      <c r="N480" s="11">
        <v>61.264000000000003</v>
      </c>
      <c r="O480" s="11">
        <v>58.832000000000001</v>
      </c>
      <c r="P480" s="11">
        <v>119.914</v>
      </c>
      <c r="Q480" s="11">
        <v>120.401</v>
      </c>
      <c r="R480" s="11">
        <v>135.58799999999999</v>
      </c>
      <c r="S480" s="11">
        <v>136.22300000000001</v>
      </c>
      <c r="T480" s="11">
        <v>135.88300000000001</v>
      </c>
      <c r="U480" s="11">
        <v>136.38300000000001</v>
      </c>
      <c r="V480" s="11">
        <v>60.598999999999997</v>
      </c>
      <c r="W480" s="11">
        <v>59.22</v>
      </c>
      <c r="X480" s="11">
        <v>39.401000000000003</v>
      </c>
      <c r="Y480" s="11">
        <v>40.78</v>
      </c>
      <c r="Z480" s="11">
        <v>9.8119999999999994</v>
      </c>
      <c r="AA480" s="11">
        <v>10.361000000000001</v>
      </c>
      <c r="AB480" s="11">
        <v>40.78</v>
      </c>
      <c r="AC480" s="11">
        <v>39.401000000000003</v>
      </c>
      <c r="AD480" s="11">
        <v>12.116</v>
      </c>
      <c r="AE480" s="11">
        <v>21</v>
      </c>
      <c r="AF480" s="11">
        <v>23</v>
      </c>
      <c r="AG480" s="11">
        <v>21</v>
      </c>
      <c r="AH480" s="11">
        <v>21</v>
      </c>
    </row>
    <row r="481" spans="1:34" s="33" customFormat="1" x14ac:dyDescent="0.2">
      <c r="A481" s="11">
        <v>606</v>
      </c>
      <c r="B481" s="11"/>
      <c r="C481" s="11"/>
      <c r="D481" s="11"/>
      <c r="E481" s="11"/>
      <c r="F481" s="11" t="s">
        <v>62</v>
      </c>
      <c r="G481" s="11" t="s">
        <v>63</v>
      </c>
      <c r="H481" s="56" t="str">
        <f>VLOOKUP(Table6[[#This Row],[ICD Code]],ICD_summary!$I$3:$M$38,5,0)</f>
        <v>PD</v>
      </c>
      <c r="I481" s="12">
        <v>46.6</v>
      </c>
      <c r="J4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1" s="11" t="s">
        <v>52</v>
      </c>
      <c r="L481" s="11"/>
      <c r="M481" s="11"/>
      <c r="N481" s="11">
        <v>76.724999999999994</v>
      </c>
      <c r="O481" s="11">
        <v>77.009</v>
      </c>
      <c r="P481" s="11">
        <v>154.053</v>
      </c>
      <c r="Q481" s="11">
        <v>154.369</v>
      </c>
      <c r="R481" s="11">
        <v>141.97800000000001</v>
      </c>
      <c r="S481" s="11">
        <v>143.41200000000001</v>
      </c>
      <c r="T481" s="11">
        <v>109.90600000000001</v>
      </c>
      <c r="U481" s="11">
        <v>110.887</v>
      </c>
      <c r="V481" s="11">
        <v>61.42</v>
      </c>
      <c r="W481" s="11">
        <v>61.582999999999998</v>
      </c>
      <c r="X481" s="11">
        <v>38.58</v>
      </c>
      <c r="Y481" s="11">
        <v>38.417000000000002</v>
      </c>
      <c r="Z481" s="11">
        <v>12.042999999999999</v>
      </c>
      <c r="AA481" s="11">
        <v>11.863</v>
      </c>
      <c r="AB481" s="11">
        <v>38.417000000000002</v>
      </c>
      <c r="AC481" s="11">
        <v>38.58</v>
      </c>
      <c r="AD481" s="11">
        <v>14.705</v>
      </c>
      <c r="AE481" s="11">
        <v>14</v>
      </c>
      <c r="AF481" s="11">
        <v>12</v>
      </c>
      <c r="AG481" s="11">
        <v>12</v>
      </c>
      <c r="AH481" s="11">
        <v>12</v>
      </c>
    </row>
    <row r="482" spans="1:34" s="33" customFormat="1" x14ac:dyDescent="0.2">
      <c r="A482" s="11">
        <v>607</v>
      </c>
      <c r="B482" s="11"/>
      <c r="C482" s="11"/>
      <c r="D482" s="11"/>
      <c r="E482" s="11"/>
      <c r="F482" s="11" t="s">
        <v>80</v>
      </c>
      <c r="G482" s="11" t="s">
        <v>81</v>
      </c>
      <c r="H482" s="56" t="str">
        <f>VLOOKUP(Table6[[#This Row],[ICD Code]],ICD_summary!$I$3:$M$38,5,0)</f>
        <v>Dystonia, cervical</v>
      </c>
      <c r="I482" s="12">
        <v>66.5</v>
      </c>
      <c r="J4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2" s="11" t="s">
        <v>55</v>
      </c>
      <c r="L482" s="11"/>
      <c r="M482" s="11"/>
      <c r="N482" s="11">
        <v>54.920999999999999</v>
      </c>
      <c r="O482" s="11">
        <v>56.36</v>
      </c>
      <c r="P482" s="11">
        <v>111.11499999999999</v>
      </c>
      <c r="Q482" s="11">
        <v>111.69</v>
      </c>
      <c r="R482" s="11">
        <v>90.287999999999997</v>
      </c>
      <c r="S482" s="11">
        <v>90.028000000000006</v>
      </c>
      <c r="T482" s="11">
        <v>96.867999999999995</v>
      </c>
      <c r="U482" s="11">
        <v>96.257999999999996</v>
      </c>
      <c r="V482" s="11">
        <v>63.960999999999999</v>
      </c>
      <c r="W482" s="11">
        <v>64.661000000000001</v>
      </c>
      <c r="X482" s="11">
        <v>36.039000000000001</v>
      </c>
      <c r="Y482" s="11">
        <v>35.338999999999999</v>
      </c>
      <c r="Z482" s="11">
        <v>14.776</v>
      </c>
      <c r="AA482" s="11">
        <v>14.35</v>
      </c>
      <c r="AB482" s="11">
        <v>35.338999999999999</v>
      </c>
      <c r="AC482" s="11">
        <v>36.039000000000001</v>
      </c>
      <c r="AD482" s="11">
        <v>8.9</v>
      </c>
      <c r="AE482" s="11">
        <v>10</v>
      </c>
      <c r="AF482" s="11">
        <v>10</v>
      </c>
      <c r="AG482" s="11">
        <v>10</v>
      </c>
      <c r="AH482" s="11">
        <v>10</v>
      </c>
    </row>
    <row r="483" spans="1:34" s="33" customFormat="1" x14ac:dyDescent="0.2">
      <c r="A483" s="11">
        <v>608</v>
      </c>
      <c r="B483" s="11"/>
      <c r="C483" s="11"/>
      <c r="D483" s="11"/>
      <c r="E483" s="11"/>
      <c r="F483" s="11" t="s">
        <v>51</v>
      </c>
      <c r="G483" s="11" t="s">
        <v>51</v>
      </c>
      <c r="H483" s="56" t="str">
        <f>VLOOKUP(Table6[[#This Row],[ICD Code]],ICD_summary!$I$3:$M$38,5,0)</f>
        <v>Misc/Other</v>
      </c>
      <c r="I483" s="12">
        <v>999</v>
      </c>
      <c r="J4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83" s="11" t="s">
        <v>51</v>
      </c>
      <c r="L483" s="11"/>
      <c r="M483" s="11"/>
      <c r="N483" s="11">
        <v>63.552</v>
      </c>
      <c r="O483" s="11">
        <v>64.486999999999995</v>
      </c>
      <c r="P483" s="11">
        <v>128.435</v>
      </c>
      <c r="Q483" s="11">
        <v>128.59899999999999</v>
      </c>
      <c r="R483" s="11">
        <v>122.169</v>
      </c>
      <c r="S483" s="11">
        <v>122.24299999999999</v>
      </c>
      <c r="T483" s="11">
        <v>114.82599999999999</v>
      </c>
      <c r="U483" s="11">
        <v>114.461</v>
      </c>
      <c r="V483" s="11">
        <v>60.658000000000001</v>
      </c>
      <c r="W483" s="11">
        <v>61.151000000000003</v>
      </c>
      <c r="X483" s="11">
        <v>39.341999999999999</v>
      </c>
      <c r="Y483" s="11">
        <v>38.848999999999997</v>
      </c>
      <c r="Z483" s="11">
        <v>10.557</v>
      </c>
      <c r="AA483" s="11">
        <v>11.602</v>
      </c>
      <c r="AB483" s="11">
        <v>38.848999999999997</v>
      </c>
      <c r="AC483" s="11">
        <v>39.341999999999999</v>
      </c>
      <c r="AD483" s="11">
        <v>14.393000000000001</v>
      </c>
      <c r="AE483" s="11">
        <v>20</v>
      </c>
      <c r="AF483" s="11">
        <v>20</v>
      </c>
      <c r="AG483" s="11">
        <v>20</v>
      </c>
      <c r="AH483" s="11">
        <v>20</v>
      </c>
    </row>
    <row r="484" spans="1:34" s="33" customFormat="1" x14ac:dyDescent="0.2">
      <c r="A484" s="11">
        <v>609</v>
      </c>
      <c r="B484" s="11"/>
      <c r="C484" s="11"/>
      <c r="D484" s="11"/>
      <c r="E484" s="11"/>
      <c r="F484" s="11" t="s">
        <v>68</v>
      </c>
      <c r="G484" s="11" t="s">
        <v>69</v>
      </c>
      <c r="H484" s="56" t="str">
        <f>VLOOKUP(Table6[[#This Row],[ICD Code]],ICD_summary!$I$3:$M$38,5,0)</f>
        <v>Tremor, essential tremor</v>
      </c>
      <c r="I484" s="12">
        <v>44.9</v>
      </c>
      <c r="J4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4" s="11" t="s">
        <v>52</v>
      </c>
      <c r="L484" s="11"/>
      <c r="M484" s="11"/>
      <c r="N484" s="11">
        <v>56.78</v>
      </c>
      <c r="O484" s="11">
        <v>55.064</v>
      </c>
      <c r="P484" s="11">
        <v>112.312</v>
      </c>
      <c r="Q484" s="11">
        <v>111.685</v>
      </c>
      <c r="R484" s="11">
        <v>100.511</v>
      </c>
      <c r="S484" s="11">
        <v>100.533</v>
      </c>
      <c r="T484" s="11">
        <v>107.628</v>
      </c>
      <c r="U484" s="11">
        <v>108.30500000000001</v>
      </c>
      <c r="V484" s="11">
        <v>61.66</v>
      </c>
      <c r="W484" s="11">
        <v>63.689</v>
      </c>
      <c r="X484" s="11">
        <v>38.340000000000003</v>
      </c>
      <c r="Y484" s="11">
        <v>36.311</v>
      </c>
      <c r="Z484" s="11">
        <v>13.711</v>
      </c>
      <c r="AA484" s="11">
        <v>11.95</v>
      </c>
      <c r="AB484" s="11">
        <v>36.311</v>
      </c>
      <c r="AC484" s="11">
        <v>38.340000000000003</v>
      </c>
      <c r="AD484" s="11">
        <v>12.851000000000001</v>
      </c>
      <c r="AE484" s="11">
        <v>20</v>
      </c>
      <c r="AF484" s="11">
        <v>19</v>
      </c>
      <c r="AG484" s="11">
        <v>19</v>
      </c>
      <c r="AH484" s="11">
        <v>19</v>
      </c>
    </row>
    <row r="485" spans="1:34" s="33" customFormat="1" x14ac:dyDescent="0.2">
      <c r="A485" s="11">
        <v>610</v>
      </c>
      <c r="B485" s="11"/>
      <c r="C485" s="11"/>
      <c r="D485" s="11"/>
      <c r="E485" s="11"/>
      <c r="F485" s="11" t="s">
        <v>62</v>
      </c>
      <c r="G485" s="11" t="s">
        <v>63</v>
      </c>
      <c r="H485" s="56" t="str">
        <f>VLOOKUP(Table6[[#This Row],[ICD Code]],ICD_summary!$I$3:$M$38,5,0)</f>
        <v>PD</v>
      </c>
      <c r="I485" s="12">
        <v>67.400000000000006</v>
      </c>
      <c r="J4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5" s="11" t="s">
        <v>55</v>
      </c>
      <c r="L485" s="11"/>
      <c r="M485" s="11"/>
      <c r="N485" s="11">
        <v>50.271999999999998</v>
      </c>
      <c r="O485" s="11">
        <v>54.533000000000001</v>
      </c>
      <c r="P485" s="11">
        <v>104.89100000000001</v>
      </c>
      <c r="Q485" s="11">
        <v>105.518</v>
      </c>
      <c r="R485" s="11">
        <v>100.239</v>
      </c>
      <c r="S485" s="11">
        <v>101.012</v>
      </c>
      <c r="T485" s="11">
        <v>114.846</v>
      </c>
      <c r="U485" s="11">
        <v>114.547</v>
      </c>
      <c r="V485" s="11">
        <v>63.668999999999997</v>
      </c>
      <c r="W485" s="11">
        <v>62.481000000000002</v>
      </c>
      <c r="X485" s="11">
        <v>36.331000000000003</v>
      </c>
      <c r="Y485" s="11">
        <v>37.518999999999998</v>
      </c>
      <c r="Z485" s="11">
        <v>15.026999999999999</v>
      </c>
      <c r="AA485" s="11">
        <v>11.218999999999999</v>
      </c>
      <c r="AB485" s="11">
        <v>37.518999999999998</v>
      </c>
      <c r="AC485" s="11">
        <v>36.331000000000003</v>
      </c>
      <c r="AD485" s="11">
        <v>13.558</v>
      </c>
      <c r="AE485" s="11">
        <v>14</v>
      </c>
      <c r="AF485" s="11">
        <v>17</v>
      </c>
      <c r="AG485" s="11">
        <v>14</v>
      </c>
      <c r="AH485" s="11">
        <v>14</v>
      </c>
    </row>
    <row r="486" spans="1:34" s="33" customFormat="1" x14ac:dyDescent="0.2">
      <c r="A486" s="11">
        <v>611</v>
      </c>
      <c r="B486" s="11"/>
      <c r="C486" s="11"/>
      <c r="D486" s="11"/>
      <c r="E486" s="11"/>
      <c r="F486" s="11" t="s">
        <v>80</v>
      </c>
      <c r="G486" s="11" t="s">
        <v>81</v>
      </c>
      <c r="H486" s="56" t="str">
        <f>VLOOKUP(Table6[[#This Row],[ICD Code]],ICD_summary!$I$3:$M$38,5,0)</f>
        <v>Dystonia, cervical</v>
      </c>
      <c r="I486" s="12">
        <v>67.5</v>
      </c>
      <c r="J4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6" s="11" t="s">
        <v>55</v>
      </c>
      <c r="L486" s="11"/>
      <c r="M486" s="11"/>
      <c r="N486" s="11">
        <v>45.491</v>
      </c>
      <c r="O486" s="11">
        <v>42.61</v>
      </c>
      <c r="P486" s="11">
        <v>87.944999999999993</v>
      </c>
      <c r="Q486" s="11">
        <v>88.724999999999994</v>
      </c>
      <c r="R486" s="11">
        <v>73.948999999999998</v>
      </c>
      <c r="S486" s="11">
        <v>73.975999999999999</v>
      </c>
      <c r="T486" s="11">
        <v>100.89100000000001</v>
      </c>
      <c r="U486" s="11">
        <v>100.78700000000001</v>
      </c>
      <c r="V486" s="11">
        <v>66.691000000000003</v>
      </c>
      <c r="W486" s="11">
        <v>64.869</v>
      </c>
      <c r="X486" s="11">
        <v>33.308999999999997</v>
      </c>
      <c r="Y486" s="11">
        <v>35.131</v>
      </c>
      <c r="Z486" s="11">
        <v>15.295999999999999</v>
      </c>
      <c r="AA486" s="11">
        <v>16.068999999999999</v>
      </c>
      <c r="AB486" s="11">
        <v>35.131</v>
      </c>
      <c r="AC486" s="11">
        <v>33.308999999999997</v>
      </c>
      <c r="AD486" s="11">
        <v>19.334</v>
      </c>
      <c r="AE486" s="11">
        <v>18</v>
      </c>
      <c r="AF486" s="11">
        <v>19</v>
      </c>
      <c r="AG486" s="11">
        <v>18</v>
      </c>
      <c r="AH486" s="11">
        <v>18</v>
      </c>
    </row>
    <row r="487" spans="1:34" s="33" customFormat="1" x14ac:dyDescent="0.2">
      <c r="A487" s="11">
        <v>612</v>
      </c>
      <c r="B487" s="11"/>
      <c r="C487" s="11"/>
      <c r="D487" s="11"/>
      <c r="E487" s="11"/>
      <c r="F487" s="11" t="s">
        <v>62</v>
      </c>
      <c r="G487" s="11" t="s">
        <v>63</v>
      </c>
      <c r="H487" s="56" t="str">
        <f>VLOOKUP(Table6[[#This Row],[ICD Code]],ICD_summary!$I$3:$M$38,5,0)</f>
        <v>PD</v>
      </c>
      <c r="I487" s="12">
        <v>55.5</v>
      </c>
      <c r="J4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87" s="11" t="s">
        <v>52</v>
      </c>
      <c r="L487" s="11"/>
      <c r="M487" s="11"/>
      <c r="N487" s="11">
        <v>59.36</v>
      </c>
      <c r="O487" s="11">
        <v>60.451999999999998</v>
      </c>
      <c r="P487" s="11">
        <v>119.678</v>
      </c>
      <c r="Q487" s="11">
        <v>119.661</v>
      </c>
      <c r="R487" s="11">
        <v>128.83699999999999</v>
      </c>
      <c r="S487" s="11">
        <v>128.38800000000001</v>
      </c>
      <c r="T487" s="11">
        <v>129.35900000000001</v>
      </c>
      <c r="U487" s="11">
        <v>128.96100000000001</v>
      </c>
      <c r="V487" s="11">
        <v>60.951999999999998</v>
      </c>
      <c r="W487" s="11">
        <v>64.290999999999997</v>
      </c>
      <c r="X487" s="11">
        <v>39.048000000000002</v>
      </c>
      <c r="Y487" s="11">
        <v>35.709000000000003</v>
      </c>
      <c r="Z487" s="11">
        <v>13.317</v>
      </c>
      <c r="AA487" s="11">
        <v>12.372999999999999</v>
      </c>
      <c r="AB487" s="11">
        <v>35.709000000000003</v>
      </c>
      <c r="AC487" s="11">
        <v>39.048000000000002</v>
      </c>
      <c r="AD487" s="11">
        <v>13.127000000000001</v>
      </c>
      <c r="AE487" s="11">
        <v>18</v>
      </c>
      <c r="AF487" s="11">
        <v>19</v>
      </c>
      <c r="AG487" s="11">
        <v>18</v>
      </c>
      <c r="AH487" s="11">
        <v>18</v>
      </c>
    </row>
    <row r="488" spans="1:34" s="33" customFormat="1" x14ac:dyDescent="0.2">
      <c r="A488" s="11">
        <v>613</v>
      </c>
      <c r="B488" s="11"/>
      <c r="C488" s="11"/>
      <c r="D488" s="11"/>
      <c r="E488" s="11"/>
      <c r="F488" s="11" t="s">
        <v>76</v>
      </c>
      <c r="G488" s="11" t="s">
        <v>77</v>
      </c>
      <c r="H488" s="56" t="str">
        <f>VLOOKUP(Table6[[#This Row],[ICD Code]],ICD_summary!$I$3:$M$38,5,0)</f>
        <v>Dystonia, other</v>
      </c>
      <c r="I488" s="12">
        <v>32.4</v>
      </c>
      <c r="J4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88" s="11" t="s">
        <v>52</v>
      </c>
      <c r="L488" s="11"/>
      <c r="M488" s="11"/>
      <c r="N488" s="11">
        <v>62.698</v>
      </c>
      <c r="O488" s="11">
        <v>64.572999999999993</v>
      </c>
      <c r="P488" s="11">
        <v>127.239</v>
      </c>
      <c r="Q488" s="11">
        <v>127.123</v>
      </c>
      <c r="R488" s="11">
        <v>97.253</v>
      </c>
      <c r="S488" s="11">
        <v>96.944000000000003</v>
      </c>
      <c r="T488" s="11">
        <v>92.022000000000006</v>
      </c>
      <c r="U488" s="11">
        <v>91.274000000000001</v>
      </c>
      <c r="V488" s="11">
        <v>59.555</v>
      </c>
      <c r="W488" s="11">
        <v>63.570999999999998</v>
      </c>
      <c r="X488" s="11">
        <v>40.445</v>
      </c>
      <c r="Y488" s="11">
        <v>36.429000000000002</v>
      </c>
      <c r="Z488" s="11">
        <v>8.68</v>
      </c>
      <c r="AA488" s="11">
        <v>14.215</v>
      </c>
      <c r="AB488" s="11">
        <v>36.429000000000002</v>
      </c>
      <c r="AC488" s="11">
        <v>40.445</v>
      </c>
      <c r="AD488" s="11">
        <v>15.82</v>
      </c>
      <c r="AE488" s="11">
        <v>10</v>
      </c>
      <c r="AF488" s="11">
        <v>12</v>
      </c>
      <c r="AG488" s="11">
        <v>10</v>
      </c>
      <c r="AH488" s="11">
        <v>10</v>
      </c>
    </row>
    <row r="489" spans="1:34" s="33" customFormat="1" x14ac:dyDescent="0.2">
      <c r="A489" s="11">
        <v>615</v>
      </c>
      <c r="B489" s="11"/>
      <c r="C489" s="11"/>
      <c r="D489" s="11"/>
      <c r="E489" s="11"/>
      <c r="F489" s="11" t="s">
        <v>72</v>
      </c>
      <c r="G489" s="11" t="s">
        <v>73</v>
      </c>
      <c r="H489" s="56" t="str">
        <f>VLOOKUP(Table6[[#This Row],[ICD Code]],ICD_summary!$I$3:$M$38,5,0)</f>
        <v>Tremor, other</v>
      </c>
      <c r="I489" s="12">
        <v>48.8</v>
      </c>
      <c r="J4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9" s="11" t="s">
        <v>52</v>
      </c>
      <c r="L489" s="11"/>
      <c r="M489" s="11"/>
      <c r="N489" s="11">
        <v>43.56</v>
      </c>
      <c r="O489" s="11">
        <v>52.125</v>
      </c>
      <c r="P489" s="11">
        <v>95.795000000000002</v>
      </c>
      <c r="Q489" s="11">
        <v>95.963999999999999</v>
      </c>
      <c r="R489" s="11">
        <v>66.093000000000004</v>
      </c>
      <c r="S489" s="11">
        <v>66.668999999999997</v>
      </c>
      <c r="T489" s="11">
        <v>83.143000000000001</v>
      </c>
      <c r="U489" s="11">
        <v>83.335999999999999</v>
      </c>
      <c r="V489" s="11">
        <v>74.265000000000001</v>
      </c>
      <c r="W489" s="11">
        <v>58.468000000000004</v>
      </c>
      <c r="X489" s="11">
        <v>25.734999999999999</v>
      </c>
      <c r="Y489" s="11">
        <v>41.531999999999996</v>
      </c>
      <c r="Z489" s="11">
        <v>18.393000000000001</v>
      </c>
      <c r="AA489" s="11">
        <v>14.525</v>
      </c>
      <c r="AB489" s="11">
        <v>41.531999999999996</v>
      </c>
      <c r="AC489" s="11">
        <v>25.734999999999999</v>
      </c>
      <c r="AD489" s="11">
        <v>16.524000000000001</v>
      </c>
      <c r="AE489" s="11">
        <v>18</v>
      </c>
      <c r="AF489" s="11">
        <v>17</v>
      </c>
      <c r="AG489" s="11">
        <v>17</v>
      </c>
      <c r="AH489" s="11">
        <v>17</v>
      </c>
    </row>
    <row r="490" spans="1:34" s="33" customFormat="1" x14ac:dyDescent="0.2">
      <c r="A490" s="11">
        <v>616</v>
      </c>
      <c r="B490" s="11"/>
      <c r="C490" s="11"/>
      <c r="D490" s="11"/>
      <c r="E490" s="11"/>
      <c r="F490" s="11" t="s">
        <v>68</v>
      </c>
      <c r="G490" s="11" t="s">
        <v>69</v>
      </c>
      <c r="H490" s="56" t="str">
        <f>VLOOKUP(Table6[[#This Row],[ICD Code]],ICD_summary!$I$3:$M$38,5,0)</f>
        <v>Tremor, essential tremor</v>
      </c>
      <c r="I490" s="12">
        <v>59.4</v>
      </c>
      <c r="J4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0" s="11" t="s">
        <v>52</v>
      </c>
      <c r="L490" s="11"/>
      <c r="M490" s="11"/>
      <c r="N490" s="11">
        <v>39.798999999999999</v>
      </c>
      <c r="O490" s="11">
        <v>43.234999999999999</v>
      </c>
      <c r="P490" s="11">
        <v>83.355999999999995</v>
      </c>
      <c r="Q490" s="11">
        <v>82.951999999999998</v>
      </c>
      <c r="R490" s="11">
        <v>75.707999999999998</v>
      </c>
      <c r="S490" s="11">
        <v>75.558999999999997</v>
      </c>
      <c r="T490" s="11">
        <v>109.506</v>
      </c>
      <c r="U490" s="11">
        <v>109.449</v>
      </c>
      <c r="V490" s="11">
        <v>63.357999999999997</v>
      </c>
      <c r="W490" s="11">
        <v>70.638000000000005</v>
      </c>
      <c r="X490" s="11">
        <v>36.642000000000003</v>
      </c>
      <c r="Y490" s="11">
        <v>29.361999999999998</v>
      </c>
      <c r="Z490" s="11">
        <v>20.32</v>
      </c>
      <c r="AA490" s="11">
        <v>13.801</v>
      </c>
      <c r="AB490" s="11">
        <v>29.361999999999998</v>
      </c>
      <c r="AC490" s="11">
        <v>36.642000000000003</v>
      </c>
      <c r="AD490" s="11">
        <v>22.876000000000001</v>
      </c>
      <c r="AE490" s="11">
        <v>20</v>
      </c>
      <c r="AF490" s="11">
        <v>20</v>
      </c>
      <c r="AG490" s="11">
        <v>20</v>
      </c>
      <c r="AH490" s="11">
        <v>20</v>
      </c>
    </row>
    <row r="491" spans="1:34" s="33" customFormat="1" x14ac:dyDescent="0.2">
      <c r="A491" s="11">
        <v>617</v>
      </c>
      <c r="B491" s="11"/>
      <c r="C491" s="11"/>
      <c r="D491" s="11"/>
      <c r="E491" s="11"/>
      <c r="F491" s="11" t="s">
        <v>76</v>
      </c>
      <c r="G491" s="11" t="s">
        <v>77</v>
      </c>
      <c r="H491" s="56" t="str">
        <f>VLOOKUP(Table6[[#This Row],[ICD Code]],ICD_summary!$I$3:$M$38,5,0)</f>
        <v>Dystonia, other</v>
      </c>
      <c r="I491" s="12">
        <v>71.7</v>
      </c>
      <c r="J4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91" s="11" t="s">
        <v>52</v>
      </c>
      <c r="L491" s="11"/>
      <c r="M491" s="11"/>
      <c r="N491" s="11">
        <v>58.210999999999999</v>
      </c>
      <c r="O491" s="11">
        <v>57.482999999999997</v>
      </c>
      <c r="P491" s="11">
        <v>115.99</v>
      </c>
      <c r="Q491" s="11">
        <v>115.14400000000001</v>
      </c>
      <c r="R491" s="11">
        <v>106.72499999999999</v>
      </c>
      <c r="S491" s="11">
        <v>106.21</v>
      </c>
      <c r="T491" s="11">
        <v>110.373</v>
      </c>
      <c r="U491" s="11">
        <v>110.461</v>
      </c>
      <c r="V491" s="11">
        <v>62.777999999999999</v>
      </c>
      <c r="W491" s="11">
        <v>61.029000000000003</v>
      </c>
      <c r="X491" s="11">
        <v>37.222000000000001</v>
      </c>
      <c r="Y491" s="11">
        <v>38.970999999999997</v>
      </c>
      <c r="Z491" s="11">
        <v>11.956</v>
      </c>
      <c r="AA491" s="11">
        <v>11.894</v>
      </c>
      <c r="AB491" s="11">
        <v>38.970999999999997</v>
      </c>
      <c r="AC491" s="11">
        <v>37.222000000000001</v>
      </c>
      <c r="AD491" s="11">
        <v>12.295999999999999</v>
      </c>
      <c r="AE491" s="11">
        <v>26</v>
      </c>
      <c r="AF491" s="11">
        <v>23</v>
      </c>
      <c r="AG491" s="11">
        <v>23</v>
      </c>
      <c r="AH491" s="11">
        <v>23</v>
      </c>
    </row>
    <row r="492" spans="1:34" s="33" customFormat="1" x14ac:dyDescent="0.2">
      <c r="A492" s="11">
        <v>618</v>
      </c>
      <c r="B492" s="11"/>
      <c r="C492" s="11"/>
      <c r="D492" s="11"/>
      <c r="E492" s="11"/>
      <c r="F492" s="11" t="s">
        <v>72</v>
      </c>
      <c r="G492" s="11" t="s">
        <v>73</v>
      </c>
      <c r="H492" s="56" t="str">
        <f>VLOOKUP(Table6[[#This Row],[ICD Code]],ICD_summary!$I$3:$M$38,5,0)</f>
        <v>Tremor, other</v>
      </c>
      <c r="I492" s="12">
        <v>55.4</v>
      </c>
      <c r="J4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2" s="11" t="s">
        <v>55</v>
      </c>
      <c r="L492" s="11"/>
      <c r="M492" s="11"/>
      <c r="N492" s="11">
        <v>57.683</v>
      </c>
      <c r="O492" s="11">
        <v>60.356000000000002</v>
      </c>
      <c r="P492" s="11">
        <v>118.07899999999999</v>
      </c>
      <c r="Q492" s="11">
        <v>117.974</v>
      </c>
      <c r="R492" s="11">
        <v>119.491</v>
      </c>
      <c r="S492" s="11">
        <v>119.636</v>
      </c>
      <c r="T492" s="11">
        <v>121.786</v>
      </c>
      <c r="U492" s="11">
        <v>121.664</v>
      </c>
      <c r="V492" s="11">
        <v>61.069000000000003</v>
      </c>
      <c r="W492" s="11">
        <v>62.668999999999997</v>
      </c>
      <c r="X492" s="11">
        <v>38.930999999999997</v>
      </c>
      <c r="Y492" s="11">
        <v>37.331000000000003</v>
      </c>
      <c r="Z492" s="11">
        <v>12.303000000000001</v>
      </c>
      <c r="AA492" s="11">
        <v>11.372</v>
      </c>
      <c r="AB492" s="11">
        <v>37.331000000000003</v>
      </c>
      <c r="AC492" s="11">
        <v>38.930999999999997</v>
      </c>
      <c r="AD492" s="11">
        <v>10.842000000000001</v>
      </c>
      <c r="AE492" s="11">
        <v>18</v>
      </c>
      <c r="AF492" s="11">
        <v>15</v>
      </c>
      <c r="AG492" s="11">
        <v>15</v>
      </c>
      <c r="AH492" s="11">
        <v>15</v>
      </c>
    </row>
    <row r="493" spans="1:34" s="33" customFormat="1" x14ac:dyDescent="0.2">
      <c r="A493" s="11">
        <v>619</v>
      </c>
      <c r="B493" s="11"/>
      <c r="C493" s="11"/>
      <c r="D493" s="11"/>
      <c r="E493" s="11"/>
      <c r="F493" s="11" t="s">
        <v>62</v>
      </c>
      <c r="G493" s="11" t="s">
        <v>63</v>
      </c>
      <c r="H493" s="56" t="str">
        <f>VLOOKUP(Table6[[#This Row],[ICD Code]],ICD_summary!$I$3:$M$38,5,0)</f>
        <v>PD</v>
      </c>
      <c r="I493" s="12">
        <v>54.1</v>
      </c>
      <c r="J4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3" s="11" t="s">
        <v>52</v>
      </c>
      <c r="L493" s="11"/>
      <c r="M493" s="11"/>
      <c r="N493" s="11">
        <v>48.97</v>
      </c>
      <c r="O493" s="11">
        <v>50.459000000000003</v>
      </c>
      <c r="P493" s="11">
        <v>99.31</v>
      </c>
      <c r="Q493" s="11">
        <v>99.438000000000002</v>
      </c>
      <c r="R493" s="11">
        <v>94.885000000000005</v>
      </c>
      <c r="S493" s="11">
        <v>95.155000000000001</v>
      </c>
      <c r="T493" s="11">
        <v>114.452</v>
      </c>
      <c r="U493" s="11">
        <v>114.303</v>
      </c>
      <c r="V493" s="11">
        <v>60.609000000000002</v>
      </c>
      <c r="W493" s="11">
        <v>63.1</v>
      </c>
      <c r="X493" s="11">
        <v>39.390999999999998</v>
      </c>
      <c r="Y493" s="11">
        <v>36.9</v>
      </c>
      <c r="Z493" s="11">
        <v>12.061999999999999</v>
      </c>
      <c r="AA493" s="11">
        <v>11.744999999999999</v>
      </c>
      <c r="AB493" s="11">
        <v>36.9</v>
      </c>
      <c r="AC493" s="11">
        <v>39.390999999999998</v>
      </c>
      <c r="AD493" s="11">
        <v>15.525</v>
      </c>
      <c r="AE493" s="11">
        <v>20</v>
      </c>
      <c r="AF493" s="11">
        <v>20</v>
      </c>
      <c r="AG493" s="11">
        <v>20</v>
      </c>
      <c r="AH493" s="11">
        <v>20</v>
      </c>
    </row>
    <row r="494" spans="1:34" s="33" customFormat="1" x14ac:dyDescent="0.2">
      <c r="A494" s="11">
        <v>620</v>
      </c>
      <c r="B494" s="11"/>
      <c r="C494" s="11"/>
      <c r="D494" s="11"/>
      <c r="E494" s="11"/>
      <c r="F494" s="11" t="s">
        <v>98</v>
      </c>
      <c r="G494" s="11" t="s">
        <v>99</v>
      </c>
      <c r="H494" s="56" t="str">
        <f>VLOOKUP(Table6[[#This Row],[ICD Code]],ICD_summary!$I$3:$M$38,5,0)</f>
        <v>Misc/Other</v>
      </c>
      <c r="I494" s="12">
        <v>24.8</v>
      </c>
      <c r="J4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94" s="11" t="s">
        <v>55</v>
      </c>
      <c r="L494" s="11"/>
      <c r="M494" s="11"/>
      <c r="N494" s="11">
        <v>38.908999999999999</v>
      </c>
      <c r="O494" s="11">
        <v>27.562999999999999</v>
      </c>
      <c r="P494" s="11">
        <v>70.945999999999998</v>
      </c>
      <c r="Q494" s="11">
        <v>67.668999999999997</v>
      </c>
      <c r="R494" s="11">
        <v>37.99</v>
      </c>
      <c r="S494" s="11">
        <v>37.728999999999999</v>
      </c>
      <c r="T494" s="11">
        <v>61.110999999999997</v>
      </c>
      <c r="U494" s="11">
        <v>62.195</v>
      </c>
      <c r="V494" s="11">
        <v>72.956000000000003</v>
      </c>
      <c r="W494" s="11">
        <v>77.334000000000003</v>
      </c>
      <c r="X494" s="11">
        <v>27.044</v>
      </c>
      <c r="Y494" s="11">
        <v>22.666</v>
      </c>
      <c r="Z494" s="11">
        <v>20.754999999999999</v>
      </c>
      <c r="AA494" s="11">
        <v>30.074999999999999</v>
      </c>
      <c r="AB494" s="11">
        <v>22.666</v>
      </c>
      <c r="AC494" s="11">
        <v>27.044</v>
      </c>
      <c r="AD494" s="11">
        <v>23.545000000000002</v>
      </c>
      <c r="AE494" s="11">
        <v>10</v>
      </c>
      <c r="AF494" s="11">
        <v>12</v>
      </c>
      <c r="AG494" s="11">
        <v>10</v>
      </c>
      <c r="AH494" s="11">
        <v>10</v>
      </c>
    </row>
    <row r="495" spans="1:34" s="33" customFormat="1" x14ac:dyDescent="0.2">
      <c r="A495" s="11">
        <v>621</v>
      </c>
      <c r="B495" s="11"/>
      <c r="C495" s="11"/>
      <c r="D495" s="11"/>
      <c r="E495" s="11"/>
      <c r="F495" s="11" t="s">
        <v>62</v>
      </c>
      <c r="G495" s="11" t="s">
        <v>63</v>
      </c>
      <c r="H495" s="56" t="str">
        <f>VLOOKUP(Table6[[#This Row],[ICD Code]],ICD_summary!$I$3:$M$38,5,0)</f>
        <v>PD</v>
      </c>
      <c r="I495" s="12">
        <v>65.2</v>
      </c>
      <c r="J4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5" s="11" t="s">
        <v>52</v>
      </c>
      <c r="L495" s="11"/>
      <c r="M495" s="11"/>
      <c r="N495" s="11">
        <v>66.929000000000002</v>
      </c>
      <c r="O495" s="11">
        <v>61.655999999999999</v>
      </c>
      <c r="P495" s="11">
        <v>128.50299999999999</v>
      </c>
      <c r="Q495" s="11">
        <v>129.541</v>
      </c>
      <c r="R495" s="11">
        <v>97.165999999999997</v>
      </c>
      <c r="S495" s="11">
        <v>96.965000000000003</v>
      </c>
      <c r="T495" s="11">
        <v>90.474999999999994</v>
      </c>
      <c r="U495" s="11">
        <v>90.185000000000002</v>
      </c>
      <c r="V495" s="11">
        <v>61.847000000000001</v>
      </c>
      <c r="W495" s="11">
        <v>64.016999999999996</v>
      </c>
      <c r="X495" s="11">
        <v>38.152999999999999</v>
      </c>
      <c r="Y495" s="11">
        <v>35.982999999999997</v>
      </c>
      <c r="Z495" s="11">
        <v>11.301</v>
      </c>
      <c r="AA495" s="11">
        <v>14.971</v>
      </c>
      <c r="AB495" s="11">
        <v>35.982999999999997</v>
      </c>
      <c r="AC495" s="11">
        <v>38.152999999999999</v>
      </c>
      <c r="AD495" s="11">
        <v>12.773</v>
      </c>
      <c r="AE495" s="11">
        <v>16</v>
      </c>
      <c r="AF495" s="11">
        <v>15</v>
      </c>
      <c r="AG495" s="11">
        <v>15</v>
      </c>
      <c r="AH495" s="11">
        <v>15</v>
      </c>
    </row>
    <row r="496" spans="1:34" s="33" customFormat="1" x14ac:dyDescent="0.2">
      <c r="A496" s="11">
        <v>622</v>
      </c>
      <c r="B496" s="11"/>
      <c r="C496" s="11"/>
      <c r="D496" s="11"/>
      <c r="E496" s="11"/>
      <c r="F496" s="11" t="s">
        <v>100</v>
      </c>
      <c r="G496" s="11" t="s">
        <v>101</v>
      </c>
      <c r="H496" s="56" t="str">
        <f>VLOOKUP(Table6[[#This Row],[ICD Code]],ICD_summary!$I$3:$M$38,5,0)</f>
        <v>Misc/Other</v>
      </c>
      <c r="I496" s="12">
        <v>17.5</v>
      </c>
      <c r="J4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496" s="11" t="s">
        <v>55</v>
      </c>
      <c r="L496" s="11"/>
      <c r="M496" s="11"/>
      <c r="N496" s="11">
        <v>67.591999999999999</v>
      </c>
      <c r="O496" s="11">
        <v>72.906000000000006</v>
      </c>
      <c r="P496" s="11">
        <v>142.02500000000001</v>
      </c>
      <c r="Q496" s="11">
        <v>140.351</v>
      </c>
      <c r="R496" s="11">
        <v>144.19900000000001</v>
      </c>
      <c r="S496" s="11">
        <v>142.589</v>
      </c>
      <c r="T496" s="11">
        <v>123.312</v>
      </c>
      <c r="U496" s="11">
        <v>123.369</v>
      </c>
      <c r="V496" s="11">
        <v>62.984000000000002</v>
      </c>
      <c r="W496" s="11">
        <v>63.551000000000002</v>
      </c>
      <c r="X496" s="11">
        <v>37.015999999999998</v>
      </c>
      <c r="Y496" s="11">
        <v>36.448999999999998</v>
      </c>
      <c r="Z496" s="11">
        <v>14.263999999999999</v>
      </c>
      <c r="AA496" s="11">
        <v>12.292</v>
      </c>
      <c r="AB496" s="11">
        <v>36.448999999999998</v>
      </c>
      <c r="AC496" s="11">
        <v>37.015999999999998</v>
      </c>
      <c r="AD496" s="11">
        <v>14.04</v>
      </c>
      <c r="AE496" s="11">
        <v>18</v>
      </c>
      <c r="AF496" s="11">
        <v>17</v>
      </c>
      <c r="AG496" s="11">
        <v>17</v>
      </c>
      <c r="AH496" s="11">
        <v>17</v>
      </c>
    </row>
    <row r="497" spans="1:34" s="33" customFormat="1" x14ac:dyDescent="0.2">
      <c r="A497" s="11">
        <v>623</v>
      </c>
      <c r="B497" s="11"/>
      <c r="C497" s="11"/>
      <c r="D497" s="11"/>
      <c r="E497" s="11"/>
      <c r="F497" s="11" t="s">
        <v>62</v>
      </c>
      <c r="G497" s="11" t="s">
        <v>63</v>
      </c>
      <c r="H497" s="56" t="str">
        <f>VLOOKUP(Table6[[#This Row],[ICD Code]],ICD_summary!$I$3:$M$38,5,0)</f>
        <v>PD</v>
      </c>
      <c r="I497" s="12">
        <v>63.6</v>
      </c>
      <c r="J4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7" s="11" t="s">
        <v>52</v>
      </c>
      <c r="L497" s="11"/>
      <c r="M497" s="11"/>
      <c r="N497" s="11">
        <v>67.167000000000002</v>
      </c>
      <c r="O497" s="11">
        <v>70.334000000000003</v>
      </c>
      <c r="P497" s="11">
        <v>137.94999999999999</v>
      </c>
      <c r="Q497" s="11">
        <v>137.18100000000001</v>
      </c>
      <c r="R497" s="11">
        <v>123.429</v>
      </c>
      <c r="S497" s="11">
        <v>124.318</v>
      </c>
      <c r="T497" s="11">
        <v>107.441</v>
      </c>
      <c r="U497" s="11">
        <v>108.29900000000001</v>
      </c>
      <c r="V497" s="11">
        <v>62.606999999999999</v>
      </c>
      <c r="W497" s="11">
        <v>61.603999999999999</v>
      </c>
      <c r="X497" s="11">
        <v>37.393000000000001</v>
      </c>
      <c r="Y497" s="11">
        <v>38.396000000000001</v>
      </c>
      <c r="Z497" s="11">
        <v>11.743</v>
      </c>
      <c r="AA497" s="11">
        <v>12.239000000000001</v>
      </c>
      <c r="AB497" s="11">
        <v>38.396000000000001</v>
      </c>
      <c r="AC497" s="11">
        <v>37.393000000000001</v>
      </c>
      <c r="AD497" s="11">
        <v>10.250999999999999</v>
      </c>
      <c r="AE497" s="11">
        <v>16</v>
      </c>
      <c r="AF497" s="11">
        <v>14</v>
      </c>
      <c r="AG497" s="11">
        <v>14</v>
      </c>
      <c r="AH497" s="11">
        <v>14</v>
      </c>
    </row>
    <row r="498" spans="1:34" s="33" customFormat="1" x14ac:dyDescent="0.2">
      <c r="A498" s="11">
        <v>624</v>
      </c>
      <c r="B498" s="11"/>
      <c r="C498" s="11"/>
      <c r="D498" s="11"/>
      <c r="E498" s="11"/>
      <c r="F498" s="11" t="s">
        <v>62</v>
      </c>
      <c r="G498" s="11" t="s">
        <v>63</v>
      </c>
      <c r="H498" s="56" t="str">
        <f>VLOOKUP(Table6[[#This Row],[ICD Code]],ICD_summary!$I$3:$M$38,5,0)</f>
        <v>PD</v>
      </c>
      <c r="I498" s="12">
        <v>69.400000000000006</v>
      </c>
      <c r="J4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8" s="11" t="s">
        <v>52</v>
      </c>
      <c r="L498" s="11"/>
      <c r="M498" s="11"/>
      <c r="N498" s="11">
        <v>50.774000000000001</v>
      </c>
      <c r="O498" s="11">
        <v>50.207999999999998</v>
      </c>
      <c r="P498" s="11">
        <v>101.361</v>
      </c>
      <c r="Q498" s="11">
        <v>100.84399999999999</v>
      </c>
      <c r="R498" s="11">
        <v>101.28700000000001</v>
      </c>
      <c r="S498" s="11">
        <v>99.058000000000007</v>
      </c>
      <c r="T498" s="11">
        <v>120.61199999999999</v>
      </c>
      <c r="U498" s="11">
        <v>118.726</v>
      </c>
      <c r="V498" s="11">
        <v>64.120999999999995</v>
      </c>
      <c r="W498" s="11">
        <v>64.983000000000004</v>
      </c>
      <c r="X498" s="11">
        <v>35.878999999999998</v>
      </c>
      <c r="Y498" s="11">
        <v>35.017000000000003</v>
      </c>
      <c r="Z498" s="11">
        <v>14.651999999999999</v>
      </c>
      <c r="AA498" s="11">
        <v>14.943</v>
      </c>
      <c r="AB498" s="11">
        <v>35.017000000000003</v>
      </c>
      <c r="AC498" s="11">
        <v>35.878999999999998</v>
      </c>
      <c r="AD498" s="11">
        <v>7.6970000000000001</v>
      </c>
      <c r="AE498" s="11">
        <v>19</v>
      </c>
      <c r="AF498" s="11">
        <v>21</v>
      </c>
      <c r="AG498" s="11">
        <v>19</v>
      </c>
      <c r="AH498" s="11">
        <v>19</v>
      </c>
    </row>
    <row r="499" spans="1:34" s="33" customFormat="1" x14ac:dyDescent="0.2">
      <c r="A499" s="11">
        <v>625</v>
      </c>
      <c r="B499" s="11"/>
      <c r="C499" s="11"/>
      <c r="D499" s="11"/>
      <c r="E499" s="11"/>
      <c r="F499" s="11" t="s">
        <v>62</v>
      </c>
      <c r="G499" s="11" t="s">
        <v>63</v>
      </c>
      <c r="H499" s="56" t="str">
        <f>VLOOKUP(Table6[[#This Row],[ICD Code]],ICD_summary!$I$3:$M$38,5,0)</f>
        <v>PD</v>
      </c>
      <c r="I499" s="12">
        <v>44</v>
      </c>
      <c r="J4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99" s="11" t="s">
        <v>55</v>
      </c>
      <c r="L499" s="11"/>
      <c r="M499" s="11"/>
      <c r="N499" s="11">
        <v>53.74</v>
      </c>
      <c r="O499" s="11">
        <v>55.554000000000002</v>
      </c>
      <c r="P499" s="11">
        <v>109.146</v>
      </c>
      <c r="Q499" s="11">
        <v>109.422</v>
      </c>
      <c r="R499" s="11">
        <v>97.063000000000002</v>
      </c>
      <c r="S499" s="11">
        <v>97.597999999999999</v>
      </c>
      <c r="T499" s="11">
        <v>106.71599999999999</v>
      </c>
      <c r="U499" s="11">
        <v>106.886</v>
      </c>
      <c r="V499" s="11">
        <v>63.914000000000001</v>
      </c>
      <c r="W499" s="11">
        <v>64.165999999999997</v>
      </c>
      <c r="X499" s="11">
        <v>36.085999999999999</v>
      </c>
      <c r="Y499" s="11">
        <v>35.834000000000003</v>
      </c>
      <c r="Z499" s="11">
        <v>13.831</v>
      </c>
      <c r="AA499" s="11">
        <v>14.754</v>
      </c>
      <c r="AB499" s="11">
        <v>35.834000000000003</v>
      </c>
      <c r="AC499" s="11">
        <v>36.085999999999999</v>
      </c>
      <c r="AD499" s="11">
        <v>14.477</v>
      </c>
      <c r="AE499" s="11">
        <v>18</v>
      </c>
      <c r="AF499" s="11">
        <v>20</v>
      </c>
      <c r="AG499" s="11">
        <v>18</v>
      </c>
      <c r="AH499" s="11">
        <v>18</v>
      </c>
    </row>
    <row r="500" spans="1:34" s="33" customFormat="1" x14ac:dyDescent="0.2">
      <c r="A500" s="11">
        <v>626</v>
      </c>
      <c r="B500" s="11"/>
      <c r="C500" s="11"/>
      <c r="D500" s="11"/>
      <c r="E500" s="11"/>
      <c r="F500" s="11" t="s">
        <v>62</v>
      </c>
      <c r="G500" s="11" t="s">
        <v>63</v>
      </c>
      <c r="H500" s="56" t="str">
        <f>VLOOKUP(Table6[[#This Row],[ICD Code]],ICD_summary!$I$3:$M$38,5,0)</f>
        <v>PD</v>
      </c>
      <c r="I500" s="12">
        <v>54.5</v>
      </c>
      <c r="J5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00" s="11" t="s">
        <v>55</v>
      </c>
      <c r="L500" s="11"/>
      <c r="M500" s="11"/>
      <c r="N500" s="11" t="s">
        <v>51</v>
      </c>
      <c r="O500" s="11" t="s">
        <v>51</v>
      </c>
      <c r="P500" s="11" t="s">
        <v>51</v>
      </c>
      <c r="Q500" s="11" t="s">
        <v>51</v>
      </c>
      <c r="R500" s="11" t="s">
        <v>51</v>
      </c>
      <c r="S500" s="11" t="s">
        <v>51</v>
      </c>
      <c r="T500" s="11" t="s">
        <v>51</v>
      </c>
      <c r="U500" s="11" t="s">
        <v>51</v>
      </c>
      <c r="V500" s="11" t="s">
        <v>51</v>
      </c>
      <c r="W500" s="11" t="s">
        <v>51</v>
      </c>
      <c r="X500" s="11" t="s">
        <v>51</v>
      </c>
      <c r="Y500" s="11" t="s">
        <v>51</v>
      </c>
      <c r="Z500" s="11" t="s">
        <v>51</v>
      </c>
      <c r="AA500" s="11" t="s">
        <v>51</v>
      </c>
      <c r="AB500" s="11" t="s">
        <v>51</v>
      </c>
      <c r="AC500" s="11" t="s">
        <v>51</v>
      </c>
      <c r="AD500" s="11" t="s">
        <v>51</v>
      </c>
      <c r="AE500" s="11" t="s">
        <v>51</v>
      </c>
      <c r="AF500" s="11" t="s">
        <v>51</v>
      </c>
      <c r="AG500" s="11" t="s">
        <v>51</v>
      </c>
      <c r="AH500" s="11" t="s">
        <v>51</v>
      </c>
    </row>
    <row r="501" spans="1:34" s="33" customFormat="1" x14ac:dyDescent="0.2">
      <c r="A501" s="11">
        <v>627</v>
      </c>
      <c r="B501" s="11"/>
      <c r="C501" s="11"/>
      <c r="D501" s="11"/>
      <c r="E501" s="11"/>
      <c r="F501" s="11" t="s">
        <v>94</v>
      </c>
      <c r="G501" s="11" t="s">
        <v>95</v>
      </c>
      <c r="H501" s="56" t="str">
        <f>VLOOKUP(Table6[[#This Row],[ICD Code]],ICD_summary!$I$3:$M$38,5,0)</f>
        <v>Misc/Other</v>
      </c>
      <c r="I501" s="12">
        <v>80.400000000000006</v>
      </c>
      <c r="J5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01" s="11" t="s">
        <v>52</v>
      </c>
      <c r="L501" s="11"/>
      <c r="M501" s="11"/>
      <c r="N501" s="11">
        <v>42.945</v>
      </c>
      <c r="O501" s="11">
        <v>41.838000000000001</v>
      </c>
      <c r="P501" s="11">
        <v>84.712000000000003</v>
      </c>
      <c r="Q501" s="11">
        <v>84.572999999999993</v>
      </c>
      <c r="R501" s="11">
        <v>82.203000000000003</v>
      </c>
      <c r="S501" s="11">
        <v>82.01</v>
      </c>
      <c r="T501" s="11">
        <v>116.349</v>
      </c>
      <c r="U501" s="11">
        <v>115.95</v>
      </c>
      <c r="V501" s="11">
        <v>65.323999999999998</v>
      </c>
      <c r="W501" s="11">
        <v>61.997</v>
      </c>
      <c r="X501" s="11">
        <v>34.676000000000002</v>
      </c>
      <c r="Y501" s="11">
        <v>38.003</v>
      </c>
      <c r="Z501" s="11">
        <v>13.919</v>
      </c>
      <c r="AA501" s="11">
        <v>13.170999999999999</v>
      </c>
      <c r="AB501" s="11">
        <v>38.003</v>
      </c>
      <c r="AC501" s="11">
        <v>34.676000000000002</v>
      </c>
      <c r="AD501" s="11">
        <v>16.283999999999999</v>
      </c>
      <c r="AE501" s="11">
        <v>22</v>
      </c>
      <c r="AF501" s="11">
        <v>24</v>
      </c>
      <c r="AG501" s="11">
        <v>22</v>
      </c>
      <c r="AH501" s="11">
        <v>22</v>
      </c>
    </row>
    <row r="502" spans="1:34" s="33" customFormat="1" x14ac:dyDescent="0.2">
      <c r="A502" s="11">
        <v>628</v>
      </c>
      <c r="B502" s="11"/>
      <c r="C502" s="11"/>
      <c r="D502" s="11"/>
      <c r="E502" s="11"/>
      <c r="F502" s="11" t="s">
        <v>62</v>
      </c>
      <c r="G502" s="11" t="s">
        <v>63</v>
      </c>
      <c r="H502" s="56" t="str">
        <f>VLOOKUP(Table6[[#This Row],[ICD Code]],ICD_summary!$I$3:$M$38,5,0)</f>
        <v>PD</v>
      </c>
      <c r="I502" s="12">
        <v>77.5</v>
      </c>
      <c r="J5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2" s="11" t="s">
        <v>52</v>
      </c>
      <c r="L502" s="11"/>
      <c r="M502" s="11"/>
      <c r="N502" s="11">
        <v>32.764000000000003</v>
      </c>
      <c r="O502" s="11">
        <v>41.862000000000002</v>
      </c>
      <c r="P502" s="11">
        <v>73.587999999999994</v>
      </c>
      <c r="Q502" s="11">
        <v>74.822999999999993</v>
      </c>
      <c r="R502" s="11">
        <v>70.067999999999998</v>
      </c>
      <c r="S502" s="11">
        <v>70.308000000000007</v>
      </c>
      <c r="T502" s="11">
        <v>114.52</v>
      </c>
      <c r="U502" s="11">
        <v>113.899</v>
      </c>
      <c r="V502" s="11">
        <v>64.953999999999994</v>
      </c>
      <c r="W502" s="11">
        <v>62.813000000000002</v>
      </c>
      <c r="X502" s="11">
        <v>35.045999999999999</v>
      </c>
      <c r="Y502" s="11">
        <v>37.186999999999998</v>
      </c>
      <c r="Z502" s="11">
        <v>14.502000000000001</v>
      </c>
      <c r="AA502" s="11">
        <v>13.531000000000001</v>
      </c>
      <c r="AB502" s="11">
        <v>37.186999999999998</v>
      </c>
      <c r="AC502" s="11">
        <v>35.045999999999999</v>
      </c>
      <c r="AD502" s="11">
        <v>12.394</v>
      </c>
      <c r="AE502" s="11">
        <v>24</v>
      </c>
      <c r="AF502" s="11">
        <v>25</v>
      </c>
      <c r="AG502" s="11">
        <v>24</v>
      </c>
      <c r="AH502" s="11">
        <v>24</v>
      </c>
    </row>
    <row r="503" spans="1:34" s="33" customFormat="1" x14ac:dyDescent="0.2">
      <c r="A503" s="11">
        <v>629</v>
      </c>
      <c r="B503" s="11"/>
      <c r="C503" s="11"/>
      <c r="D503" s="11"/>
      <c r="E503" s="11"/>
      <c r="F503" s="11" t="s">
        <v>62</v>
      </c>
      <c r="G503" s="11" t="s">
        <v>63</v>
      </c>
      <c r="H503" s="56" t="str">
        <f>VLOOKUP(Table6[[#This Row],[ICD Code]],ICD_summary!$I$3:$M$38,5,0)</f>
        <v>PD</v>
      </c>
      <c r="I503" s="12">
        <v>72.099999999999994</v>
      </c>
      <c r="J5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3" s="11" t="s">
        <v>52</v>
      </c>
      <c r="L503" s="11"/>
      <c r="M503" s="11"/>
      <c r="N503" s="11">
        <v>46.274000000000001</v>
      </c>
      <c r="O503" s="11">
        <v>52.512999999999998</v>
      </c>
      <c r="P503" s="11">
        <v>98.968000000000004</v>
      </c>
      <c r="Q503" s="11">
        <v>98.188999999999993</v>
      </c>
      <c r="R503" s="11">
        <v>99.763999999999996</v>
      </c>
      <c r="S503" s="11">
        <v>99.051000000000002</v>
      </c>
      <c r="T503" s="11">
        <v>120.749</v>
      </c>
      <c r="U503" s="11">
        <v>121.142</v>
      </c>
      <c r="V503" s="11">
        <v>63.637</v>
      </c>
      <c r="W503" s="11">
        <v>64.313999999999993</v>
      </c>
      <c r="X503" s="11">
        <v>36.363</v>
      </c>
      <c r="Y503" s="11">
        <v>35.686</v>
      </c>
      <c r="Z503" s="11">
        <v>14.81</v>
      </c>
      <c r="AA503" s="11">
        <v>13.121</v>
      </c>
      <c r="AB503" s="11">
        <v>35.686</v>
      </c>
      <c r="AC503" s="11">
        <v>36.363</v>
      </c>
      <c r="AD503" s="11">
        <v>7.68</v>
      </c>
      <c r="AE503" s="11">
        <v>18</v>
      </c>
      <c r="AF503" s="11">
        <v>18</v>
      </c>
      <c r="AG503" s="11">
        <v>18</v>
      </c>
      <c r="AH503" s="11">
        <v>18</v>
      </c>
    </row>
    <row r="504" spans="1:34" s="33" customFormat="1" x14ac:dyDescent="0.2">
      <c r="A504" s="11">
        <v>630</v>
      </c>
      <c r="B504" s="11"/>
      <c r="C504" s="11"/>
      <c r="D504" s="11"/>
      <c r="E504" s="11"/>
      <c r="F504" s="11" t="s">
        <v>62</v>
      </c>
      <c r="G504" s="11" t="s">
        <v>63</v>
      </c>
      <c r="H504" s="56" t="str">
        <f>VLOOKUP(Table6[[#This Row],[ICD Code]],ICD_summary!$I$3:$M$38,5,0)</f>
        <v>PD</v>
      </c>
      <c r="I504" s="12">
        <v>67.099999999999994</v>
      </c>
      <c r="J5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04" s="11" t="s">
        <v>55</v>
      </c>
      <c r="L504" s="11"/>
      <c r="M504" s="11"/>
      <c r="N504" s="11">
        <v>56.521000000000001</v>
      </c>
      <c r="O504" s="11">
        <v>54.515999999999998</v>
      </c>
      <c r="P504" s="11">
        <v>110.149</v>
      </c>
      <c r="Q504" s="11">
        <v>115.786</v>
      </c>
      <c r="R504" s="11">
        <v>88.805999999999997</v>
      </c>
      <c r="S504" s="11">
        <v>89.893000000000001</v>
      </c>
      <c r="T504" s="11">
        <v>96.634</v>
      </c>
      <c r="U504" s="11">
        <v>95.813999999999993</v>
      </c>
      <c r="V504" s="11">
        <v>61.154000000000003</v>
      </c>
      <c r="W504" s="11">
        <v>60.203000000000003</v>
      </c>
      <c r="X504" s="11">
        <v>38.845999999999997</v>
      </c>
      <c r="Y504" s="11">
        <v>39.796999999999997</v>
      </c>
      <c r="Z504" s="11">
        <v>12.638</v>
      </c>
      <c r="AA504" s="11">
        <v>9.5359999999999996</v>
      </c>
      <c r="AB504" s="11">
        <v>39.796999999999997</v>
      </c>
      <c r="AC504" s="11">
        <v>38.845999999999997</v>
      </c>
      <c r="AD504" s="11">
        <v>8.7279999999999998</v>
      </c>
      <c r="AE504" s="11">
        <v>22</v>
      </c>
      <c r="AF504" s="11">
        <v>18</v>
      </c>
      <c r="AG504" s="11">
        <v>18</v>
      </c>
      <c r="AH504" s="11">
        <v>18</v>
      </c>
    </row>
    <row r="505" spans="1:34" s="33" customFormat="1" x14ac:dyDescent="0.2">
      <c r="A505" s="11">
        <v>631</v>
      </c>
      <c r="B505" s="11"/>
      <c r="C505" s="11"/>
      <c r="D505" s="11"/>
      <c r="E505" s="11"/>
      <c r="F505" s="11" t="s">
        <v>51</v>
      </c>
      <c r="G505" s="11" t="s">
        <v>51</v>
      </c>
      <c r="H505" s="56" t="str">
        <f>VLOOKUP(Table6[[#This Row],[ICD Code]],ICD_summary!$I$3:$M$38,5,0)</f>
        <v>Misc/Other</v>
      </c>
      <c r="I505" s="12">
        <v>999</v>
      </c>
      <c r="J5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05" s="11" t="s">
        <v>51</v>
      </c>
      <c r="L505" s="11"/>
      <c r="M505" s="11"/>
      <c r="N505" s="11">
        <v>64.552000000000007</v>
      </c>
      <c r="O505" s="11">
        <v>59.091000000000001</v>
      </c>
      <c r="P505" s="11">
        <v>123.544</v>
      </c>
      <c r="Q505" s="11">
        <v>124.423</v>
      </c>
      <c r="R505" s="11">
        <v>100.64400000000001</v>
      </c>
      <c r="S505" s="11">
        <v>101.407</v>
      </c>
      <c r="T505" s="11">
        <v>98.492999999999995</v>
      </c>
      <c r="U505" s="11">
        <v>98.048000000000002</v>
      </c>
      <c r="V505" s="11">
        <v>60.210999999999999</v>
      </c>
      <c r="W505" s="11">
        <v>63.043999999999997</v>
      </c>
      <c r="X505" s="11">
        <v>39.789000000000001</v>
      </c>
      <c r="Y505" s="11">
        <v>36.956000000000003</v>
      </c>
      <c r="Z505" s="11">
        <v>9.9459999999999997</v>
      </c>
      <c r="AA505" s="11">
        <v>13.781000000000001</v>
      </c>
      <c r="AB505" s="11">
        <v>36.956000000000003</v>
      </c>
      <c r="AC505" s="11">
        <v>39.789000000000001</v>
      </c>
      <c r="AD505" s="11">
        <v>15.092000000000001</v>
      </c>
      <c r="AE505" s="11">
        <v>19</v>
      </c>
      <c r="AF505" s="11">
        <v>15</v>
      </c>
      <c r="AG505" s="11">
        <v>15</v>
      </c>
      <c r="AH505" s="11">
        <v>15</v>
      </c>
    </row>
    <row r="506" spans="1:34" s="33" customFormat="1" x14ac:dyDescent="0.2">
      <c r="A506" s="11">
        <v>632</v>
      </c>
      <c r="B506" s="11"/>
      <c r="C506" s="11"/>
      <c r="D506" s="11"/>
      <c r="E506" s="11"/>
      <c r="F506" s="11" t="s">
        <v>62</v>
      </c>
      <c r="G506" s="11" t="s">
        <v>63</v>
      </c>
      <c r="H506" s="56" t="str">
        <f>VLOOKUP(Table6[[#This Row],[ICD Code]],ICD_summary!$I$3:$M$38,5,0)</f>
        <v>PD</v>
      </c>
      <c r="I506" s="12">
        <v>82.8</v>
      </c>
      <c r="J5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06" s="11" t="s">
        <v>52</v>
      </c>
      <c r="L506" s="11"/>
      <c r="M506" s="11"/>
      <c r="N506" s="11">
        <v>50.210999999999999</v>
      </c>
      <c r="O506" s="11">
        <v>47.113</v>
      </c>
      <c r="P506" s="11">
        <v>98.088999999999999</v>
      </c>
      <c r="Q506" s="11">
        <v>97.117999999999995</v>
      </c>
      <c r="R506" s="11">
        <v>111.08499999999999</v>
      </c>
      <c r="S506" s="11">
        <v>110.69199999999999</v>
      </c>
      <c r="T506" s="11">
        <v>136.404</v>
      </c>
      <c r="U506" s="11">
        <v>137.96100000000001</v>
      </c>
      <c r="V506" s="11">
        <v>59.088000000000001</v>
      </c>
      <c r="W506" s="11">
        <v>59.728999999999999</v>
      </c>
      <c r="X506" s="11">
        <v>40.911999999999999</v>
      </c>
      <c r="Y506" s="11">
        <v>40.271000000000001</v>
      </c>
      <c r="Z506" s="11">
        <v>10.417</v>
      </c>
      <c r="AA506" s="11">
        <v>8.7629999999999999</v>
      </c>
      <c r="AB506" s="11">
        <v>40.271000000000001</v>
      </c>
      <c r="AC506" s="11">
        <v>40.911999999999999</v>
      </c>
      <c r="AD506" s="11">
        <v>9.6039999999999992</v>
      </c>
      <c r="AE506" s="11">
        <v>25</v>
      </c>
      <c r="AF506" s="11">
        <v>27</v>
      </c>
      <c r="AG506" s="11">
        <v>25</v>
      </c>
      <c r="AH506" s="11">
        <v>25</v>
      </c>
    </row>
    <row r="507" spans="1:34" s="33" customFormat="1" x14ac:dyDescent="0.2">
      <c r="A507" s="11">
        <v>633</v>
      </c>
      <c r="B507" s="11"/>
      <c r="C507" s="11"/>
      <c r="D507" s="11"/>
      <c r="E507" s="11"/>
      <c r="F507" s="11" t="s">
        <v>68</v>
      </c>
      <c r="G507" s="11" t="s">
        <v>69</v>
      </c>
      <c r="H507" s="56" t="str">
        <f>VLOOKUP(Table6[[#This Row],[ICD Code]],ICD_summary!$I$3:$M$38,5,0)</f>
        <v>Tremor, essential tremor</v>
      </c>
      <c r="I507" s="12">
        <v>73.5</v>
      </c>
      <c r="J5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7" s="11" t="s">
        <v>52</v>
      </c>
      <c r="L507" s="11"/>
      <c r="M507" s="11"/>
      <c r="N507" s="11">
        <v>66.168000000000006</v>
      </c>
      <c r="O507" s="11">
        <v>67.186000000000007</v>
      </c>
      <c r="P507" s="11">
        <v>133.459</v>
      </c>
      <c r="Q507" s="11">
        <v>135.018</v>
      </c>
      <c r="R507" s="11">
        <v>137.24700000000001</v>
      </c>
      <c r="S507" s="11">
        <v>138.09399999999999</v>
      </c>
      <c r="T507" s="11">
        <v>123.191</v>
      </c>
      <c r="U507" s="11">
        <v>123.026</v>
      </c>
      <c r="V507" s="11">
        <v>61.970999999999997</v>
      </c>
      <c r="W507" s="11">
        <v>61</v>
      </c>
      <c r="X507" s="11">
        <v>38.029000000000003</v>
      </c>
      <c r="Y507" s="11">
        <v>39</v>
      </c>
      <c r="Z507" s="11">
        <v>11.573</v>
      </c>
      <c r="AA507" s="11">
        <v>11.808999999999999</v>
      </c>
      <c r="AB507" s="11">
        <v>39</v>
      </c>
      <c r="AC507" s="11">
        <v>38.029000000000003</v>
      </c>
      <c r="AD507" s="11">
        <v>11.827999999999999</v>
      </c>
      <c r="AE507" s="11">
        <v>13</v>
      </c>
      <c r="AF507" s="11">
        <v>12</v>
      </c>
      <c r="AG507" s="11">
        <v>12</v>
      </c>
      <c r="AH507" s="11">
        <v>12</v>
      </c>
    </row>
    <row r="508" spans="1:34" s="33" customFormat="1" x14ac:dyDescent="0.2">
      <c r="A508" s="11">
        <v>634</v>
      </c>
      <c r="B508" s="11"/>
      <c r="C508" s="11"/>
      <c r="D508" s="11"/>
      <c r="E508" s="11"/>
      <c r="F508" s="11" t="s">
        <v>51</v>
      </c>
      <c r="G508" s="11" t="s">
        <v>51</v>
      </c>
      <c r="H508" s="56" t="str">
        <f>VLOOKUP(Table6[[#This Row],[ICD Code]],ICD_summary!$I$3:$M$38,5,0)</f>
        <v>Misc/Other</v>
      </c>
      <c r="I508" s="12">
        <v>999</v>
      </c>
      <c r="J5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08" s="11" t="s">
        <v>51</v>
      </c>
      <c r="L508" s="11"/>
      <c r="M508" s="11"/>
      <c r="N508" s="11" t="s">
        <v>51</v>
      </c>
      <c r="O508" s="11" t="s">
        <v>51</v>
      </c>
      <c r="P508" s="11" t="s">
        <v>51</v>
      </c>
      <c r="Q508" s="11" t="s">
        <v>51</v>
      </c>
      <c r="R508" s="11" t="s">
        <v>51</v>
      </c>
      <c r="S508" s="11" t="s">
        <v>51</v>
      </c>
      <c r="T508" s="11" t="s">
        <v>51</v>
      </c>
      <c r="U508" s="11" t="s">
        <v>51</v>
      </c>
      <c r="V508" s="11" t="s">
        <v>51</v>
      </c>
      <c r="W508" s="11" t="s">
        <v>51</v>
      </c>
      <c r="X508" s="11" t="s">
        <v>51</v>
      </c>
      <c r="Y508" s="11" t="s">
        <v>51</v>
      </c>
      <c r="Z508" s="11" t="s">
        <v>51</v>
      </c>
      <c r="AA508" s="11" t="s">
        <v>51</v>
      </c>
      <c r="AB508" s="11" t="s">
        <v>51</v>
      </c>
      <c r="AC508" s="11" t="s">
        <v>51</v>
      </c>
      <c r="AD508" s="11" t="s">
        <v>51</v>
      </c>
      <c r="AE508" s="11" t="s">
        <v>51</v>
      </c>
      <c r="AF508" s="11" t="s">
        <v>51</v>
      </c>
      <c r="AG508" s="11" t="s">
        <v>51</v>
      </c>
      <c r="AH508" s="11" t="s">
        <v>51</v>
      </c>
    </row>
    <row r="509" spans="1:34" s="33" customFormat="1" x14ac:dyDescent="0.2">
      <c r="A509" s="11">
        <v>635</v>
      </c>
      <c r="B509" s="11"/>
      <c r="C509" s="11"/>
      <c r="D509" s="11"/>
      <c r="E509" s="11"/>
      <c r="F509" s="11" t="s">
        <v>68</v>
      </c>
      <c r="G509" s="11" t="s">
        <v>69</v>
      </c>
      <c r="H509" s="56" t="str">
        <f>VLOOKUP(Table6[[#This Row],[ICD Code]],ICD_summary!$I$3:$M$38,5,0)</f>
        <v>Tremor, essential tremor</v>
      </c>
      <c r="I509" s="12">
        <v>67.900000000000006</v>
      </c>
      <c r="J5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09" s="11" t="s">
        <v>52</v>
      </c>
      <c r="L509" s="11"/>
      <c r="M509" s="11"/>
      <c r="N509" s="11">
        <v>61.203000000000003</v>
      </c>
      <c r="O509" s="11">
        <v>59.078000000000003</v>
      </c>
      <c r="P509" s="11">
        <v>120.402</v>
      </c>
      <c r="Q509" s="11">
        <v>121.25700000000001</v>
      </c>
      <c r="R509" s="11">
        <v>111.667</v>
      </c>
      <c r="S509" s="11">
        <v>112.33</v>
      </c>
      <c r="T509" s="11">
        <v>110.99299999999999</v>
      </c>
      <c r="U509" s="11">
        <v>111.377</v>
      </c>
      <c r="V509" s="11">
        <v>64.835999999999999</v>
      </c>
      <c r="W509" s="11">
        <v>62.7</v>
      </c>
      <c r="X509" s="11">
        <v>35.164000000000001</v>
      </c>
      <c r="Y509" s="11">
        <v>37.299999999999997</v>
      </c>
      <c r="Z509" s="11">
        <v>13.24</v>
      </c>
      <c r="AA509" s="11">
        <v>14.978999999999999</v>
      </c>
      <c r="AB509" s="11">
        <v>37.299999999999997</v>
      </c>
      <c r="AC509" s="11">
        <v>35.164000000000001</v>
      </c>
      <c r="AD509" s="11">
        <v>11.79</v>
      </c>
      <c r="AE509" s="11">
        <v>20</v>
      </c>
      <c r="AF509" s="11">
        <v>16</v>
      </c>
      <c r="AG509" s="11">
        <v>16</v>
      </c>
      <c r="AH509" s="11">
        <v>16</v>
      </c>
    </row>
    <row r="510" spans="1:34" s="33" customFormat="1" x14ac:dyDescent="0.2">
      <c r="A510" s="11">
        <v>636</v>
      </c>
      <c r="B510" s="11"/>
      <c r="C510" s="11"/>
      <c r="D510" s="11"/>
      <c r="E510" s="11"/>
      <c r="F510" s="11" t="s">
        <v>68</v>
      </c>
      <c r="G510" s="11" t="s">
        <v>69</v>
      </c>
      <c r="H510" s="56" t="str">
        <f>VLOOKUP(Table6[[#This Row],[ICD Code]],ICD_summary!$I$3:$M$38,5,0)</f>
        <v>Tremor, essential tremor</v>
      </c>
      <c r="I510" s="12">
        <v>66.3</v>
      </c>
      <c r="J5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0" s="11" t="s">
        <v>55</v>
      </c>
      <c r="L510" s="11"/>
      <c r="M510" s="11"/>
      <c r="N510" s="11">
        <v>43.664000000000001</v>
      </c>
      <c r="O510" s="11">
        <v>43.771999999999998</v>
      </c>
      <c r="P510" s="11">
        <v>87.515000000000001</v>
      </c>
      <c r="Q510" s="11">
        <v>87.665999999999997</v>
      </c>
      <c r="R510" s="11">
        <v>89.081999999999994</v>
      </c>
      <c r="S510" s="11">
        <v>89.191000000000003</v>
      </c>
      <c r="T510" s="11">
        <v>122.303</v>
      </c>
      <c r="U510" s="11">
        <v>122.3</v>
      </c>
      <c r="V510" s="11">
        <v>65.506</v>
      </c>
      <c r="W510" s="11">
        <v>63.720999999999997</v>
      </c>
      <c r="X510" s="11">
        <v>34.494</v>
      </c>
      <c r="Y510" s="11">
        <v>36.279000000000003</v>
      </c>
      <c r="Z510" s="11">
        <v>15.397</v>
      </c>
      <c r="AA510" s="11">
        <v>14.082000000000001</v>
      </c>
      <c r="AB510" s="11">
        <v>36.279000000000003</v>
      </c>
      <c r="AC510" s="11">
        <v>34.494</v>
      </c>
      <c r="AD510" s="11">
        <v>10.35</v>
      </c>
      <c r="AE510" s="11">
        <v>19</v>
      </c>
      <c r="AF510" s="11">
        <v>18</v>
      </c>
      <c r="AG510" s="11">
        <v>18</v>
      </c>
      <c r="AH510" s="11">
        <v>18</v>
      </c>
    </row>
    <row r="511" spans="1:34" s="33" customFormat="1" x14ac:dyDescent="0.2">
      <c r="A511" s="11">
        <v>637</v>
      </c>
      <c r="B511" s="11"/>
      <c r="C511" s="11"/>
      <c r="D511" s="11"/>
      <c r="E511" s="11"/>
      <c r="F511" s="11" t="s">
        <v>62</v>
      </c>
      <c r="G511" s="11" t="s">
        <v>63</v>
      </c>
      <c r="H511" s="56" t="str">
        <f>VLOOKUP(Table6[[#This Row],[ICD Code]],ICD_summary!$I$3:$M$38,5,0)</f>
        <v>PD</v>
      </c>
      <c r="I511" s="12">
        <v>57.3</v>
      </c>
      <c r="J5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1" s="11" t="s">
        <v>52</v>
      </c>
      <c r="L511" s="11"/>
      <c r="M511" s="11"/>
      <c r="N511" s="11" t="s">
        <v>51</v>
      </c>
      <c r="O511" s="11" t="s">
        <v>51</v>
      </c>
      <c r="P511" s="11" t="s">
        <v>51</v>
      </c>
      <c r="Q511" s="11" t="s">
        <v>51</v>
      </c>
      <c r="R511" s="11" t="s">
        <v>51</v>
      </c>
      <c r="S511" s="11" t="s">
        <v>51</v>
      </c>
      <c r="T511" s="11" t="s">
        <v>51</v>
      </c>
      <c r="U511" s="11" t="s">
        <v>51</v>
      </c>
      <c r="V511" s="11" t="s">
        <v>51</v>
      </c>
      <c r="W511" s="11" t="s">
        <v>51</v>
      </c>
      <c r="X511" s="11" t="s">
        <v>51</v>
      </c>
      <c r="Y511" s="11" t="s">
        <v>51</v>
      </c>
      <c r="Z511" s="11" t="s">
        <v>51</v>
      </c>
      <c r="AA511" s="11" t="s">
        <v>51</v>
      </c>
      <c r="AB511" s="11" t="s">
        <v>51</v>
      </c>
      <c r="AC511" s="11" t="s">
        <v>51</v>
      </c>
      <c r="AD511" s="11" t="s">
        <v>51</v>
      </c>
      <c r="AE511" s="11" t="s">
        <v>51</v>
      </c>
      <c r="AF511" s="11" t="s">
        <v>51</v>
      </c>
      <c r="AG511" s="11" t="s">
        <v>51</v>
      </c>
      <c r="AH511" s="11" t="s">
        <v>51</v>
      </c>
    </row>
    <row r="512" spans="1:34" s="33" customFormat="1" x14ac:dyDescent="0.2">
      <c r="A512" s="11">
        <v>638</v>
      </c>
      <c r="B512" s="11"/>
      <c r="C512" s="11"/>
      <c r="D512" s="11"/>
      <c r="E512" s="11"/>
      <c r="F512" s="11" t="s">
        <v>51</v>
      </c>
      <c r="G512" s="11" t="s">
        <v>51</v>
      </c>
      <c r="H512" s="56" t="str">
        <f>VLOOKUP(Table6[[#This Row],[ICD Code]],ICD_summary!$I$3:$M$38,5,0)</f>
        <v>Misc/Other</v>
      </c>
      <c r="I512" s="12">
        <v>999</v>
      </c>
      <c r="J5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12" s="11" t="s">
        <v>51</v>
      </c>
      <c r="L512" s="11"/>
      <c r="M512" s="11"/>
      <c r="N512" s="11" t="s">
        <v>51</v>
      </c>
      <c r="O512" s="11" t="s">
        <v>51</v>
      </c>
      <c r="P512" s="11" t="s">
        <v>51</v>
      </c>
      <c r="Q512" s="11" t="s">
        <v>51</v>
      </c>
      <c r="R512" s="11" t="s">
        <v>51</v>
      </c>
      <c r="S512" s="11" t="s">
        <v>51</v>
      </c>
      <c r="T512" s="11" t="s">
        <v>51</v>
      </c>
      <c r="U512" s="11" t="s">
        <v>51</v>
      </c>
      <c r="V512" s="11" t="s">
        <v>51</v>
      </c>
      <c r="W512" s="11" t="s">
        <v>51</v>
      </c>
      <c r="X512" s="11" t="s">
        <v>51</v>
      </c>
      <c r="Y512" s="11" t="s">
        <v>51</v>
      </c>
      <c r="Z512" s="11" t="s">
        <v>51</v>
      </c>
      <c r="AA512" s="11" t="s">
        <v>51</v>
      </c>
      <c r="AB512" s="11" t="s">
        <v>51</v>
      </c>
      <c r="AC512" s="11" t="s">
        <v>51</v>
      </c>
      <c r="AD512" s="11" t="s">
        <v>51</v>
      </c>
      <c r="AE512" s="11" t="s">
        <v>51</v>
      </c>
      <c r="AF512" s="11" t="s">
        <v>51</v>
      </c>
      <c r="AG512" s="11" t="s">
        <v>51</v>
      </c>
      <c r="AH512" s="11" t="s">
        <v>51</v>
      </c>
    </row>
    <row r="513" spans="1:34" s="33" customFormat="1" x14ac:dyDescent="0.2">
      <c r="A513" s="11">
        <v>639</v>
      </c>
      <c r="B513" s="11"/>
      <c r="C513" s="11"/>
      <c r="D513" s="11"/>
      <c r="E513" s="11"/>
      <c r="F513" s="11" t="s">
        <v>62</v>
      </c>
      <c r="G513" s="11" t="s">
        <v>63</v>
      </c>
      <c r="H513" s="56" t="str">
        <f>VLOOKUP(Table6[[#This Row],[ICD Code]],ICD_summary!$I$3:$M$38,5,0)</f>
        <v>PD</v>
      </c>
      <c r="I513" s="12">
        <v>74.8</v>
      </c>
      <c r="J5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3" s="11" t="s">
        <v>52</v>
      </c>
      <c r="L513" s="11"/>
      <c r="M513" s="11"/>
      <c r="N513" s="11" t="s">
        <v>51</v>
      </c>
      <c r="O513" s="11" t="s">
        <v>51</v>
      </c>
      <c r="P513" s="11" t="s">
        <v>51</v>
      </c>
      <c r="Q513" s="11" t="s">
        <v>51</v>
      </c>
      <c r="R513" s="11" t="s">
        <v>51</v>
      </c>
      <c r="S513" s="11" t="s">
        <v>51</v>
      </c>
      <c r="T513" s="11" t="s">
        <v>51</v>
      </c>
      <c r="U513" s="11" t="s">
        <v>51</v>
      </c>
      <c r="V513" s="11" t="s">
        <v>51</v>
      </c>
      <c r="W513" s="11" t="s">
        <v>51</v>
      </c>
      <c r="X513" s="11" t="s">
        <v>51</v>
      </c>
      <c r="Y513" s="11" t="s">
        <v>51</v>
      </c>
      <c r="Z513" s="11" t="s">
        <v>51</v>
      </c>
      <c r="AA513" s="11" t="s">
        <v>51</v>
      </c>
      <c r="AB513" s="11" t="s">
        <v>51</v>
      </c>
      <c r="AC513" s="11" t="s">
        <v>51</v>
      </c>
      <c r="AD513" s="11" t="s">
        <v>51</v>
      </c>
      <c r="AE513" s="11" t="s">
        <v>51</v>
      </c>
      <c r="AF513" s="11" t="s">
        <v>51</v>
      </c>
      <c r="AG513" s="11" t="s">
        <v>51</v>
      </c>
      <c r="AH513" s="11" t="s">
        <v>51</v>
      </c>
    </row>
    <row r="514" spans="1:34" s="33" customFormat="1" x14ac:dyDescent="0.2">
      <c r="A514" s="11">
        <v>640</v>
      </c>
      <c r="B514" s="11"/>
      <c r="C514" s="11"/>
      <c r="D514" s="11"/>
      <c r="E514" s="11"/>
      <c r="F514" s="11" t="s">
        <v>62</v>
      </c>
      <c r="G514" s="11" t="s">
        <v>63</v>
      </c>
      <c r="H514" s="56" t="str">
        <f>VLOOKUP(Table6[[#This Row],[ICD Code]],ICD_summary!$I$3:$M$38,5,0)</f>
        <v>PD</v>
      </c>
      <c r="I514" s="12">
        <v>61.1</v>
      </c>
      <c r="J5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4" s="11" t="s">
        <v>52</v>
      </c>
      <c r="L514" s="11"/>
      <c r="M514" s="11"/>
      <c r="N514" s="11">
        <v>45.883000000000003</v>
      </c>
      <c r="O514" s="11">
        <v>49.59</v>
      </c>
      <c r="P514" s="11">
        <v>95.126000000000005</v>
      </c>
      <c r="Q514" s="11">
        <v>95.522000000000006</v>
      </c>
      <c r="R514" s="11">
        <v>78.411000000000001</v>
      </c>
      <c r="S514" s="11">
        <v>78.289000000000001</v>
      </c>
      <c r="T514" s="11">
        <v>98.896000000000001</v>
      </c>
      <c r="U514" s="11">
        <v>98.784000000000006</v>
      </c>
      <c r="V514" s="11">
        <v>62.898000000000003</v>
      </c>
      <c r="W514" s="11">
        <v>65.805000000000007</v>
      </c>
      <c r="X514" s="11">
        <v>37.101999999999997</v>
      </c>
      <c r="Y514" s="11">
        <v>34.195</v>
      </c>
      <c r="Z514" s="11">
        <v>13.673</v>
      </c>
      <c r="AA514" s="11">
        <v>15.084</v>
      </c>
      <c r="AB514" s="11">
        <v>34.195</v>
      </c>
      <c r="AC514" s="11">
        <v>37.101999999999997</v>
      </c>
      <c r="AD514" s="11">
        <v>12.92</v>
      </c>
      <c r="AE514" s="11">
        <v>20</v>
      </c>
      <c r="AF514" s="11">
        <v>19</v>
      </c>
      <c r="AG514" s="11">
        <v>19</v>
      </c>
      <c r="AH514" s="11">
        <v>19</v>
      </c>
    </row>
    <row r="515" spans="1:34" s="33" customFormat="1" x14ac:dyDescent="0.2">
      <c r="A515" s="11">
        <v>641</v>
      </c>
      <c r="B515" s="11"/>
      <c r="C515" s="11"/>
      <c r="D515" s="11"/>
      <c r="E515" s="11"/>
      <c r="F515" s="11" t="s">
        <v>62</v>
      </c>
      <c r="G515" s="11" t="s">
        <v>63</v>
      </c>
      <c r="H515" s="56" t="str">
        <f>VLOOKUP(Table6[[#This Row],[ICD Code]],ICD_summary!$I$3:$M$38,5,0)</f>
        <v>PD</v>
      </c>
      <c r="I515" s="12">
        <v>54.4</v>
      </c>
      <c r="J5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5" s="11" t="s">
        <v>52</v>
      </c>
      <c r="L515" s="11"/>
      <c r="M515" s="11"/>
      <c r="N515" s="11">
        <v>1.3680000000000001</v>
      </c>
      <c r="O515" s="11">
        <v>16.274000000000001</v>
      </c>
      <c r="P515" s="11">
        <v>18.149000000000001</v>
      </c>
      <c r="Q515" s="11">
        <v>17.308</v>
      </c>
      <c r="R515" s="11">
        <v>10.45</v>
      </c>
      <c r="S515" s="11">
        <v>9.3350000000000009</v>
      </c>
      <c r="T515" s="11">
        <v>72.257000000000005</v>
      </c>
      <c r="U515" s="11">
        <v>68.971000000000004</v>
      </c>
      <c r="V515" s="11">
        <v>78.992000000000004</v>
      </c>
      <c r="W515" s="11">
        <v>75.852999999999994</v>
      </c>
      <c r="X515" s="11">
        <v>21.007999999999999</v>
      </c>
      <c r="Y515" s="11">
        <v>24.146999999999998</v>
      </c>
      <c r="Z515" s="11">
        <v>24.666</v>
      </c>
      <c r="AA515" s="11">
        <v>28.774000000000001</v>
      </c>
      <c r="AB515" s="11">
        <v>24.146999999999998</v>
      </c>
      <c r="AC515" s="11">
        <v>21.007999999999999</v>
      </c>
      <c r="AD515" s="11">
        <v>11.393000000000001</v>
      </c>
      <c r="AE515" s="11">
        <v>10</v>
      </c>
      <c r="AF515" s="11">
        <v>8</v>
      </c>
      <c r="AG515" s="11">
        <v>8</v>
      </c>
      <c r="AH515" s="11">
        <v>8</v>
      </c>
    </row>
    <row r="516" spans="1:34" s="33" customFormat="1" x14ac:dyDescent="0.2">
      <c r="A516" s="11">
        <v>642</v>
      </c>
      <c r="B516" s="11"/>
      <c r="C516" s="11"/>
      <c r="D516" s="11"/>
      <c r="E516" s="11"/>
      <c r="F516" s="11" t="s">
        <v>68</v>
      </c>
      <c r="G516" s="11" t="s">
        <v>69</v>
      </c>
      <c r="H516" s="56" t="str">
        <f>VLOOKUP(Table6[[#This Row],[ICD Code]],ICD_summary!$I$3:$M$38,5,0)</f>
        <v>Tremor, essential tremor</v>
      </c>
      <c r="I516" s="12">
        <v>87.8</v>
      </c>
      <c r="J5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16" s="11" t="s">
        <v>55</v>
      </c>
      <c r="L516" s="11"/>
      <c r="M516" s="11"/>
      <c r="N516" s="11">
        <v>21.305</v>
      </c>
      <c r="O516" s="11">
        <v>20.38</v>
      </c>
      <c r="P516" s="11">
        <v>42.168999999999997</v>
      </c>
      <c r="Q516" s="11">
        <v>41.183999999999997</v>
      </c>
      <c r="R516" s="11">
        <v>33.478000000000002</v>
      </c>
      <c r="S516" s="11">
        <v>33.156999999999996</v>
      </c>
      <c r="T516" s="11">
        <v>97.716999999999999</v>
      </c>
      <c r="U516" s="11">
        <v>97.570999999999998</v>
      </c>
      <c r="V516" s="11">
        <v>71.823999999999998</v>
      </c>
      <c r="W516" s="11">
        <v>68.984999999999999</v>
      </c>
      <c r="X516" s="11">
        <v>28.175999999999998</v>
      </c>
      <c r="Y516" s="11">
        <v>31.015000000000001</v>
      </c>
      <c r="Z516" s="11">
        <v>20.850999999999999</v>
      </c>
      <c r="AA516" s="11">
        <v>20.582000000000001</v>
      </c>
      <c r="AB516" s="11">
        <v>31.015000000000001</v>
      </c>
      <c r="AC516" s="11">
        <v>28.175999999999998</v>
      </c>
      <c r="AD516" s="11">
        <v>19.841999999999999</v>
      </c>
      <c r="AE516" s="11">
        <v>22</v>
      </c>
      <c r="AF516" s="11">
        <v>21</v>
      </c>
      <c r="AG516" s="11">
        <v>21</v>
      </c>
      <c r="AH516" s="11">
        <v>21</v>
      </c>
    </row>
    <row r="517" spans="1:34" s="33" customFormat="1" x14ac:dyDescent="0.2">
      <c r="A517" s="11">
        <v>643</v>
      </c>
      <c r="B517" s="11"/>
      <c r="C517" s="11"/>
      <c r="D517" s="11"/>
      <c r="E517" s="11"/>
      <c r="F517" s="11" t="s">
        <v>68</v>
      </c>
      <c r="G517" s="11" t="s">
        <v>69</v>
      </c>
      <c r="H517" s="56" t="str">
        <f>VLOOKUP(Table6[[#This Row],[ICD Code]],ICD_summary!$I$3:$M$38,5,0)</f>
        <v>Tremor, essential tremor</v>
      </c>
      <c r="I517" s="12">
        <v>72.900000000000006</v>
      </c>
      <c r="J5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7" s="11" t="s">
        <v>55</v>
      </c>
      <c r="L517" s="11"/>
      <c r="M517" s="11"/>
      <c r="N517" s="11" t="s">
        <v>51</v>
      </c>
      <c r="O517" s="11" t="s">
        <v>51</v>
      </c>
      <c r="P517" s="11" t="s">
        <v>51</v>
      </c>
      <c r="Q517" s="11" t="s">
        <v>51</v>
      </c>
      <c r="R517" s="11" t="s">
        <v>51</v>
      </c>
      <c r="S517" s="11" t="s">
        <v>51</v>
      </c>
      <c r="T517" s="11" t="s">
        <v>51</v>
      </c>
      <c r="U517" s="11" t="s">
        <v>51</v>
      </c>
      <c r="V517" s="11" t="s">
        <v>51</v>
      </c>
      <c r="W517" s="11" t="s">
        <v>51</v>
      </c>
      <c r="X517" s="11" t="s">
        <v>51</v>
      </c>
      <c r="Y517" s="11" t="s">
        <v>51</v>
      </c>
      <c r="Z517" s="11" t="s">
        <v>51</v>
      </c>
      <c r="AA517" s="11" t="s">
        <v>51</v>
      </c>
      <c r="AB517" s="11" t="s">
        <v>51</v>
      </c>
      <c r="AC517" s="11" t="s">
        <v>51</v>
      </c>
      <c r="AD517" s="11" t="s">
        <v>51</v>
      </c>
      <c r="AE517" s="11" t="s">
        <v>51</v>
      </c>
      <c r="AF517" s="11" t="s">
        <v>51</v>
      </c>
      <c r="AG517" s="11" t="s">
        <v>51</v>
      </c>
      <c r="AH517" s="11" t="s">
        <v>51</v>
      </c>
    </row>
    <row r="518" spans="1:34" s="33" customFormat="1" x14ac:dyDescent="0.2">
      <c r="A518" s="11">
        <v>644</v>
      </c>
      <c r="B518" s="11"/>
      <c r="C518" s="11"/>
      <c r="D518" s="11"/>
      <c r="E518" s="11"/>
      <c r="F518" s="11" t="s">
        <v>62</v>
      </c>
      <c r="G518" s="11" t="s">
        <v>63</v>
      </c>
      <c r="H518" s="56" t="str">
        <f>VLOOKUP(Table6[[#This Row],[ICD Code]],ICD_summary!$I$3:$M$38,5,0)</f>
        <v>PD</v>
      </c>
      <c r="I518" s="12">
        <v>74.599999999999994</v>
      </c>
      <c r="J5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8" s="11" t="s">
        <v>55</v>
      </c>
      <c r="L518" s="11"/>
      <c r="M518" s="11"/>
      <c r="N518" s="11">
        <v>46.496000000000002</v>
      </c>
      <c r="O518" s="11">
        <v>36.956000000000003</v>
      </c>
      <c r="P518" s="11">
        <v>83.575999999999993</v>
      </c>
      <c r="Q518" s="11">
        <v>83.233999999999995</v>
      </c>
      <c r="R518" s="11">
        <v>65.3</v>
      </c>
      <c r="S518" s="11">
        <v>64.491</v>
      </c>
      <c r="T518" s="11">
        <v>93.631</v>
      </c>
      <c r="U518" s="11">
        <v>93.242000000000004</v>
      </c>
      <c r="V518" s="11">
        <v>64.858000000000004</v>
      </c>
      <c r="W518" s="11">
        <v>64.322999999999993</v>
      </c>
      <c r="X518" s="11">
        <v>35.142000000000003</v>
      </c>
      <c r="Y518" s="11">
        <v>35.677</v>
      </c>
      <c r="Z518" s="11">
        <v>13.058999999999999</v>
      </c>
      <c r="AA518" s="11">
        <v>16.792999999999999</v>
      </c>
      <c r="AB518" s="11">
        <v>35.677</v>
      </c>
      <c r="AC518" s="11">
        <v>35.142000000000003</v>
      </c>
      <c r="AD518" s="11">
        <v>11.887</v>
      </c>
      <c r="AE518" s="11">
        <v>14</v>
      </c>
      <c r="AF518" s="11">
        <v>14</v>
      </c>
      <c r="AG518" s="11">
        <v>14</v>
      </c>
      <c r="AH518" s="11">
        <v>14</v>
      </c>
    </row>
    <row r="519" spans="1:34" s="33" customFormat="1" x14ac:dyDescent="0.2">
      <c r="A519" s="11">
        <v>645</v>
      </c>
      <c r="B519" s="11"/>
      <c r="C519" s="11"/>
      <c r="D519" s="11"/>
      <c r="E519" s="11"/>
      <c r="F519" s="11" t="s">
        <v>68</v>
      </c>
      <c r="G519" s="11" t="s">
        <v>69</v>
      </c>
      <c r="H519" s="56" t="str">
        <f>VLOOKUP(Table6[[#This Row],[ICD Code]],ICD_summary!$I$3:$M$38,5,0)</f>
        <v>Tremor, essential tremor</v>
      </c>
      <c r="I519" s="12">
        <v>66.400000000000006</v>
      </c>
      <c r="J5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9" s="11" t="s">
        <v>55</v>
      </c>
      <c r="L519" s="11"/>
      <c r="M519" s="11"/>
      <c r="N519" s="11">
        <v>51.850999999999999</v>
      </c>
      <c r="O519" s="11">
        <v>54.753999999999998</v>
      </c>
      <c r="P519" s="11">
        <v>106.483</v>
      </c>
      <c r="Q519" s="11">
        <v>106.60599999999999</v>
      </c>
      <c r="R519" s="11">
        <v>94.772000000000006</v>
      </c>
      <c r="S519" s="11">
        <v>94.629000000000005</v>
      </c>
      <c r="T519" s="11">
        <v>106.34</v>
      </c>
      <c r="U519" s="11">
        <v>106.452</v>
      </c>
      <c r="V519" s="11">
        <v>63.564999999999998</v>
      </c>
      <c r="W519" s="11">
        <v>62.656999999999996</v>
      </c>
      <c r="X519" s="11">
        <v>36.435000000000002</v>
      </c>
      <c r="Y519" s="11">
        <v>37.343000000000004</v>
      </c>
      <c r="Z519" s="11">
        <v>13.082000000000001</v>
      </c>
      <c r="AA519" s="11">
        <v>13.451000000000001</v>
      </c>
      <c r="AB519" s="11">
        <v>37.343000000000004</v>
      </c>
      <c r="AC519" s="11">
        <v>36.435000000000002</v>
      </c>
      <c r="AD519" s="11">
        <v>9.7349999999999994</v>
      </c>
      <c r="AE519" s="11">
        <v>11</v>
      </c>
      <c r="AF519" s="11">
        <v>15</v>
      </c>
      <c r="AG519" s="11">
        <v>11</v>
      </c>
      <c r="AH519" s="11">
        <v>11</v>
      </c>
    </row>
    <row r="520" spans="1:34" s="33" customFormat="1" x14ac:dyDescent="0.2">
      <c r="A520" s="11">
        <v>647</v>
      </c>
      <c r="B520" s="11"/>
      <c r="C520" s="11"/>
      <c r="D520" s="11"/>
      <c r="E520" s="11"/>
      <c r="F520" s="11" t="s">
        <v>68</v>
      </c>
      <c r="G520" s="11" t="s">
        <v>69</v>
      </c>
      <c r="H520" s="56" t="str">
        <f>VLOOKUP(Table6[[#This Row],[ICD Code]],ICD_summary!$I$3:$M$38,5,0)</f>
        <v>Tremor, essential tremor</v>
      </c>
      <c r="I520" s="12">
        <v>50.3</v>
      </c>
      <c r="J5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0" s="11" t="s">
        <v>52</v>
      </c>
      <c r="L520" s="11"/>
      <c r="M520" s="11"/>
      <c r="N520" s="11">
        <v>32.31</v>
      </c>
      <c r="O520" s="11">
        <v>36.07</v>
      </c>
      <c r="P520" s="11">
        <v>68.679000000000002</v>
      </c>
      <c r="Q520" s="11">
        <v>68.635000000000005</v>
      </c>
      <c r="R520" s="11">
        <v>49.890999999999998</v>
      </c>
      <c r="S520" s="11">
        <v>49.168999999999997</v>
      </c>
      <c r="T520" s="11">
        <v>85.501999999999995</v>
      </c>
      <c r="U520" s="11">
        <v>84.86</v>
      </c>
      <c r="V520" s="11">
        <v>68.445999999999998</v>
      </c>
      <c r="W520" s="11">
        <v>68.575000000000003</v>
      </c>
      <c r="X520" s="11">
        <v>31.553999999999998</v>
      </c>
      <c r="Y520" s="11">
        <v>31.425000000000001</v>
      </c>
      <c r="Z520" s="11">
        <v>19.158999999999999</v>
      </c>
      <c r="AA520" s="11">
        <v>17.745999999999999</v>
      </c>
      <c r="AB520" s="11">
        <v>31.425000000000001</v>
      </c>
      <c r="AC520" s="11">
        <v>31.553999999999998</v>
      </c>
      <c r="AD520" s="11">
        <v>15.007</v>
      </c>
      <c r="AE520" s="11">
        <v>14</v>
      </c>
      <c r="AF520" s="11">
        <v>14</v>
      </c>
      <c r="AG520" s="11">
        <v>14</v>
      </c>
      <c r="AH520" s="11">
        <v>14</v>
      </c>
    </row>
    <row r="521" spans="1:34" s="33" customFormat="1" x14ac:dyDescent="0.2">
      <c r="A521" s="11">
        <v>648</v>
      </c>
      <c r="B521" s="11"/>
      <c r="C521" s="11"/>
      <c r="D521" s="11"/>
      <c r="E521" s="11"/>
      <c r="F521" s="11" t="s">
        <v>51</v>
      </c>
      <c r="G521" s="11" t="s">
        <v>51</v>
      </c>
      <c r="H521" s="56" t="str">
        <f>VLOOKUP(Table6[[#This Row],[ICD Code]],ICD_summary!$I$3:$M$38,5,0)</f>
        <v>Misc/Other</v>
      </c>
      <c r="I521" s="12">
        <v>999</v>
      </c>
      <c r="J5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21" s="11" t="s">
        <v>51</v>
      </c>
      <c r="L521" s="11"/>
      <c r="M521" s="11"/>
      <c r="N521" s="11">
        <v>56.679000000000002</v>
      </c>
      <c r="O521" s="11">
        <v>54.454999999999998</v>
      </c>
      <c r="P521" s="11">
        <v>111.255</v>
      </c>
      <c r="Q521" s="11">
        <v>111.345</v>
      </c>
      <c r="R521" s="11">
        <v>101.322</v>
      </c>
      <c r="S521" s="11">
        <v>102.03100000000001</v>
      </c>
      <c r="T521" s="11">
        <v>109.03100000000001</v>
      </c>
      <c r="U521" s="11">
        <v>109.622</v>
      </c>
      <c r="V521" s="11">
        <v>62.253</v>
      </c>
      <c r="W521" s="11">
        <v>61.35</v>
      </c>
      <c r="X521" s="11">
        <v>37.747</v>
      </c>
      <c r="Y521" s="11">
        <v>38.65</v>
      </c>
      <c r="Z521" s="11">
        <v>11.849</v>
      </c>
      <c r="AA521" s="11">
        <v>12.068</v>
      </c>
      <c r="AB521" s="11">
        <v>38.65</v>
      </c>
      <c r="AC521" s="11">
        <v>37.747</v>
      </c>
      <c r="AD521" s="11">
        <v>12.202999999999999</v>
      </c>
      <c r="AE521" s="11">
        <v>15</v>
      </c>
      <c r="AF521" s="11">
        <v>15</v>
      </c>
      <c r="AG521" s="11">
        <v>15</v>
      </c>
      <c r="AH521" s="11">
        <v>15</v>
      </c>
    </row>
    <row r="522" spans="1:34" s="33" customFormat="1" x14ac:dyDescent="0.2">
      <c r="A522" s="11">
        <v>649</v>
      </c>
      <c r="B522" s="11"/>
      <c r="C522" s="11"/>
      <c r="D522" s="11"/>
      <c r="E522" s="11"/>
      <c r="F522" s="11" t="s">
        <v>62</v>
      </c>
      <c r="G522" s="11" t="s">
        <v>63</v>
      </c>
      <c r="H522" s="56" t="str">
        <f>VLOOKUP(Table6[[#This Row],[ICD Code]],ICD_summary!$I$3:$M$38,5,0)</f>
        <v>PD</v>
      </c>
      <c r="I522" s="12">
        <v>51.7</v>
      </c>
      <c r="J5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2" s="11" t="s">
        <v>52</v>
      </c>
      <c r="L522" s="11"/>
      <c r="M522" s="11"/>
      <c r="N522" s="11">
        <v>32.624000000000002</v>
      </c>
      <c r="O522" s="11">
        <v>36.963000000000001</v>
      </c>
      <c r="P522" s="11">
        <v>69.382000000000005</v>
      </c>
      <c r="Q522" s="11">
        <v>69.988</v>
      </c>
      <c r="R522" s="11">
        <v>74.986000000000004</v>
      </c>
      <c r="S522" s="11">
        <v>75.834000000000003</v>
      </c>
      <c r="T522" s="11">
        <v>129.006</v>
      </c>
      <c r="U522" s="11">
        <v>129.511</v>
      </c>
      <c r="V522" s="11">
        <v>63.947000000000003</v>
      </c>
      <c r="W522" s="11">
        <v>63.65</v>
      </c>
      <c r="X522" s="11">
        <v>36.052999999999997</v>
      </c>
      <c r="Y522" s="11">
        <v>36.35</v>
      </c>
      <c r="Z522" s="11">
        <v>11.955</v>
      </c>
      <c r="AA522" s="11">
        <v>15.92</v>
      </c>
      <c r="AB522" s="11">
        <v>36.35</v>
      </c>
      <c r="AC522" s="11">
        <v>36.052999999999997</v>
      </c>
      <c r="AD522" s="11">
        <v>16.149999999999999</v>
      </c>
      <c r="AE522" s="11">
        <v>20</v>
      </c>
      <c r="AF522" s="11">
        <v>20</v>
      </c>
      <c r="AG522" s="11">
        <v>20</v>
      </c>
      <c r="AH522" s="11">
        <v>20</v>
      </c>
    </row>
    <row r="523" spans="1:34" s="33" customFormat="1" x14ac:dyDescent="0.2">
      <c r="A523" s="11">
        <v>650</v>
      </c>
      <c r="B523" s="11"/>
      <c r="C523" s="11"/>
      <c r="D523" s="11"/>
      <c r="E523" s="11"/>
      <c r="F523" s="11" t="s">
        <v>68</v>
      </c>
      <c r="G523" s="11" t="s">
        <v>69</v>
      </c>
      <c r="H523" s="56" t="str">
        <f>VLOOKUP(Table6[[#This Row],[ICD Code]],ICD_summary!$I$3:$M$38,5,0)</f>
        <v>Tremor, essential tremor</v>
      </c>
      <c r="I523" s="12">
        <v>62.3</v>
      </c>
      <c r="J5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3" s="11" t="s">
        <v>52</v>
      </c>
      <c r="L523" s="11"/>
      <c r="M523" s="11"/>
      <c r="N523" s="11">
        <v>45.744999999999997</v>
      </c>
      <c r="O523" s="11">
        <v>47.856000000000002</v>
      </c>
      <c r="P523" s="11">
        <v>94.278000000000006</v>
      </c>
      <c r="Q523" s="11">
        <v>93.504000000000005</v>
      </c>
      <c r="R523" s="11">
        <v>83.427999999999997</v>
      </c>
      <c r="S523" s="11">
        <v>83.537999999999997</v>
      </c>
      <c r="T523" s="11">
        <v>106.28</v>
      </c>
      <c r="U523" s="11">
        <v>106.78100000000001</v>
      </c>
      <c r="V523" s="11">
        <v>62.387</v>
      </c>
      <c r="W523" s="11">
        <v>63.051000000000002</v>
      </c>
      <c r="X523" s="11">
        <v>37.613</v>
      </c>
      <c r="Y523" s="11">
        <v>36.948999999999998</v>
      </c>
      <c r="Z523" s="11">
        <v>12.648999999999999</v>
      </c>
      <c r="AA523" s="11">
        <v>13.42</v>
      </c>
      <c r="AB523" s="11">
        <v>36.948999999999998</v>
      </c>
      <c r="AC523" s="11">
        <v>37.613</v>
      </c>
      <c r="AD523" s="11">
        <v>10.163</v>
      </c>
      <c r="AE523" s="11">
        <v>18</v>
      </c>
      <c r="AF523" s="11">
        <v>20</v>
      </c>
      <c r="AG523" s="11">
        <v>18</v>
      </c>
      <c r="AH523" s="11">
        <v>18</v>
      </c>
    </row>
    <row r="524" spans="1:34" s="33" customFormat="1" x14ac:dyDescent="0.2">
      <c r="A524" s="11">
        <v>651</v>
      </c>
      <c r="B524" s="11"/>
      <c r="C524" s="11"/>
      <c r="D524" s="11"/>
      <c r="E524" s="11"/>
      <c r="F524" s="11" t="s">
        <v>68</v>
      </c>
      <c r="G524" s="11" t="s">
        <v>69</v>
      </c>
      <c r="H524" s="56" t="str">
        <f>VLOOKUP(Table6[[#This Row],[ICD Code]],ICD_summary!$I$3:$M$38,5,0)</f>
        <v>Tremor, essential tremor</v>
      </c>
      <c r="I524" s="12">
        <v>73.8</v>
      </c>
      <c r="J5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24" s="11" t="s">
        <v>52</v>
      </c>
      <c r="L524" s="11"/>
      <c r="M524" s="11"/>
      <c r="N524" s="11" t="s">
        <v>51</v>
      </c>
      <c r="O524" s="11" t="s">
        <v>51</v>
      </c>
      <c r="P524" s="11" t="s">
        <v>51</v>
      </c>
      <c r="Q524" s="11" t="s">
        <v>51</v>
      </c>
      <c r="R524" s="11" t="s">
        <v>51</v>
      </c>
      <c r="S524" s="11" t="s">
        <v>51</v>
      </c>
      <c r="T524" s="11" t="s">
        <v>51</v>
      </c>
      <c r="U524" s="11" t="s">
        <v>51</v>
      </c>
      <c r="V524" s="11" t="s">
        <v>51</v>
      </c>
      <c r="W524" s="11" t="s">
        <v>51</v>
      </c>
      <c r="X524" s="11" t="s">
        <v>51</v>
      </c>
      <c r="Y524" s="11" t="s">
        <v>51</v>
      </c>
      <c r="Z524" s="11" t="s">
        <v>51</v>
      </c>
      <c r="AA524" s="11" t="s">
        <v>51</v>
      </c>
      <c r="AB524" s="11" t="s">
        <v>51</v>
      </c>
      <c r="AC524" s="11" t="s">
        <v>51</v>
      </c>
      <c r="AD524" s="11" t="s">
        <v>51</v>
      </c>
      <c r="AE524" s="11" t="s">
        <v>51</v>
      </c>
      <c r="AF524" s="11" t="s">
        <v>51</v>
      </c>
      <c r="AG524" s="11" t="s">
        <v>51</v>
      </c>
      <c r="AH524" s="11" t="s">
        <v>51</v>
      </c>
    </row>
    <row r="525" spans="1:34" s="33" customFormat="1" x14ac:dyDescent="0.2">
      <c r="A525" s="11">
        <v>652</v>
      </c>
      <c r="B525" s="11"/>
      <c r="C525" s="11"/>
      <c r="D525" s="11"/>
      <c r="E525" s="11"/>
      <c r="F525" s="11" t="s">
        <v>72</v>
      </c>
      <c r="G525" s="11" t="s">
        <v>73</v>
      </c>
      <c r="H525" s="56" t="str">
        <f>VLOOKUP(Table6[[#This Row],[ICD Code]],ICD_summary!$I$3:$M$38,5,0)</f>
        <v>Tremor, other</v>
      </c>
      <c r="I525" s="12">
        <v>52.7</v>
      </c>
      <c r="J5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5" s="11" t="s">
        <v>55</v>
      </c>
      <c r="L525" s="11"/>
      <c r="M525" s="11"/>
      <c r="N525" s="11">
        <v>54.110999999999997</v>
      </c>
      <c r="O525" s="11">
        <v>52.631999999999998</v>
      </c>
      <c r="P525" s="11">
        <v>106.767</v>
      </c>
      <c r="Q525" s="11">
        <v>106.871</v>
      </c>
      <c r="R525" s="11">
        <v>92.15</v>
      </c>
      <c r="S525" s="11">
        <v>92.066000000000003</v>
      </c>
      <c r="T525" s="11">
        <v>103.47799999999999</v>
      </c>
      <c r="U525" s="11">
        <v>103.304</v>
      </c>
      <c r="V525" s="11">
        <v>64.534000000000006</v>
      </c>
      <c r="W525" s="11">
        <v>63.908000000000001</v>
      </c>
      <c r="X525" s="11">
        <v>35.466000000000001</v>
      </c>
      <c r="Y525" s="11">
        <v>36.091999999999999</v>
      </c>
      <c r="Z525" s="11">
        <v>15.172000000000001</v>
      </c>
      <c r="AA525" s="11">
        <v>13.382</v>
      </c>
      <c r="AB525" s="11">
        <v>36.091999999999999</v>
      </c>
      <c r="AC525" s="11">
        <v>35.466000000000001</v>
      </c>
      <c r="AD525" s="11">
        <v>12.273999999999999</v>
      </c>
      <c r="AE525" s="11">
        <v>15</v>
      </c>
      <c r="AF525" s="11">
        <v>15</v>
      </c>
      <c r="AG525" s="11">
        <v>15</v>
      </c>
      <c r="AH525" s="11">
        <v>15</v>
      </c>
    </row>
    <row r="526" spans="1:34" s="33" customFormat="1" x14ac:dyDescent="0.2">
      <c r="A526" s="11">
        <v>653</v>
      </c>
      <c r="B526" s="11"/>
      <c r="C526" s="11"/>
      <c r="D526" s="11"/>
      <c r="E526" s="11"/>
      <c r="F526" s="11" t="s">
        <v>62</v>
      </c>
      <c r="G526" s="11" t="s">
        <v>63</v>
      </c>
      <c r="H526" s="56" t="str">
        <f>VLOOKUP(Table6[[#This Row],[ICD Code]],ICD_summary!$I$3:$M$38,5,0)</f>
        <v>PD</v>
      </c>
      <c r="I526" s="12">
        <v>64.900000000000006</v>
      </c>
      <c r="J5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6" s="11" t="s">
        <v>52</v>
      </c>
      <c r="L526" s="11"/>
      <c r="M526" s="11"/>
      <c r="N526" s="11">
        <v>60.588000000000001</v>
      </c>
      <c r="O526" s="11">
        <v>60.454999999999998</v>
      </c>
      <c r="P526" s="11">
        <v>120.864</v>
      </c>
      <c r="Q526" s="11">
        <v>121.093</v>
      </c>
      <c r="R526" s="11">
        <v>96.334000000000003</v>
      </c>
      <c r="S526" s="11">
        <v>96.816000000000003</v>
      </c>
      <c r="T526" s="11">
        <v>95.981999999999999</v>
      </c>
      <c r="U526" s="11">
        <v>95.572999999999993</v>
      </c>
      <c r="V526" s="11">
        <v>66.272000000000006</v>
      </c>
      <c r="W526" s="11">
        <v>65.448999999999998</v>
      </c>
      <c r="X526" s="11">
        <v>33.728000000000002</v>
      </c>
      <c r="Y526" s="11">
        <v>34.551000000000002</v>
      </c>
      <c r="Z526" s="11">
        <v>16.561</v>
      </c>
      <c r="AA526" s="11">
        <v>15.241</v>
      </c>
      <c r="AB526" s="11">
        <v>34.551000000000002</v>
      </c>
      <c r="AC526" s="11">
        <v>33.728000000000002</v>
      </c>
      <c r="AD526" s="11">
        <v>9.6929999999999996</v>
      </c>
      <c r="AE526" s="11">
        <v>16</v>
      </c>
      <c r="AF526" s="11">
        <v>13</v>
      </c>
      <c r="AG526" s="11">
        <v>13</v>
      </c>
      <c r="AH526" s="11">
        <v>13</v>
      </c>
    </row>
    <row r="527" spans="1:34" s="33" customFormat="1" x14ac:dyDescent="0.2">
      <c r="A527" s="11">
        <v>654</v>
      </c>
      <c r="B527" s="11"/>
      <c r="C527" s="11"/>
      <c r="D527" s="11"/>
      <c r="E527" s="11"/>
      <c r="F527" s="11" t="s">
        <v>62</v>
      </c>
      <c r="G527" s="11" t="s">
        <v>63</v>
      </c>
      <c r="H527" s="56" t="str">
        <f>VLOOKUP(Table6[[#This Row],[ICD Code]],ICD_summary!$I$3:$M$38,5,0)</f>
        <v>PD</v>
      </c>
      <c r="I527" s="12">
        <v>74</v>
      </c>
      <c r="J5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27" s="11" t="s">
        <v>52</v>
      </c>
      <c r="L527" s="11"/>
      <c r="M527" s="11"/>
      <c r="N527" s="11">
        <v>10.87</v>
      </c>
      <c r="O527" s="11">
        <v>14.063000000000001</v>
      </c>
      <c r="P527" s="11">
        <v>25.105</v>
      </c>
      <c r="Q527" s="11">
        <v>25.018000000000001</v>
      </c>
      <c r="R527" s="11">
        <v>23.169</v>
      </c>
      <c r="S527" s="11">
        <v>23.248000000000001</v>
      </c>
      <c r="T527" s="11">
        <v>111.84</v>
      </c>
      <c r="U527" s="11">
        <v>111.428</v>
      </c>
      <c r="V527" s="11">
        <v>71.019000000000005</v>
      </c>
      <c r="W527" s="11">
        <v>72.064999999999998</v>
      </c>
      <c r="X527" s="11">
        <v>28.981000000000002</v>
      </c>
      <c r="Y527" s="11">
        <v>27.934000000000001</v>
      </c>
      <c r="Z527" s="11">
        <v>25.242000000000001</v>
      </c>
      <c r="AA527" s="11">
        <v>17.946000000000002</v>
      </c>
      <c r="AB527" s="11">
        <v>27.934000000000001</v>
      </c>
      <c r="AC527" s="11">
        <v>28.981000000000002</v>
      </c>
      <c r="AD527" s="11">
        <v>13.09</v>
      </c>
      <c r="AE527" s="11">
        <v>24</v>
      </c>
      <c r="AF527" s="11">
        <v>24</v>
      </c>
      <c r="AG527" s="11">
        <v>24</v>
      </c>
      <c r="AH527" s="11">
        <v>24</v>
      </c>
    </row>
    <row r="528" spans="1:34" s="33" customFormat="1" x14ac:dyDescent="0.2">
      <c r="A528" s="11">
        <v>655</v>
      </c>
      <c r="B528" s="11"/>
      <c r="C528" s="11"/>
      <c r="D528" s="11"/>
      <c r="E528" s="11"/>
      <c r="F528" s="11" t="s">
        <v>74</v>
      </c>
      <c r="G528" s="11" t="s">
        <v>75</v>
      </c>
      <c r="H528" s="56" t="str">
        <f>VLOOKUP(Table6[[#This Row],[ICD Code]],ICD_summary!$I$3:$M$38,5,0)</f>
        <v>Tremor, other</v>
      </c>
      <c r="I528" s="12">
        <v>62.1</v>
      </c>
      <c r="J5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8" s="11" t="s">
        <v>55</v>
      </c>
      <c r="L528" s="11"/>
      <c r="M528" s="11"/>
      <c r="N528" s="11" t="s">
        <v>51</v>
      </c>
      <c r="O528" s="11" t="s">
        <v>51</v>
      </c>
      <c r="P528" s="11" t="s">
        <v>51</v>
      </c>
      <c r="Q528" s="11" t="s">
        <v>51</v>
      </c>
      <c r="R528" s="11" t="s">
        <v>51</v>
      </c>
      <c r="S528" s="11" t="s">
        <v>51</v>
      </c>
      <c r="T528" s="11" t="s">
        <v>51</v>
      </c>
      <c r="U528" s="11" t="s">
        <v>51</v>
      </c>
      <c r="V528" s="11" t="s">
        <v>51</v>
      </c>
      <c r="W528" s="11" t="s">
        <v>51</v>
      </c>
      <c r="X528" s="11" t="s">
        <v>51</v>
      </c>
      <c r="Y528" s="11" t="s">
        <v>51</v>
      </c>
      <c r="Z528" s="11" t="s">
        <v>51</v>
      </c>
      <c r="AA528" s="11" t="s">
        <v>51</v>
      </c>
      <c r="AB528" s="11" t="s">
        <v>51</v>
      </c>
      <c r="AC528" s="11" t="s">
        <v>51</v>
      </c>
      <c r="AD528" s="11" t="s">
        <v>51</v>
      </c>
      <c r="AE528" s="11" t="s">
        <v>51</v>
      </c>
      <c r="AF528" s="11" t="s">
        <v>51</v>
      </c>
      <c r="AG528" s="11" t="s">
        <v>51</v>
      </c>
      <c r="AH528" s="11" t="s">
        <v>51</v>
      </c>
    </row>
    <row r="529" spans="1:34" s="33" customFormat="1" x14ac:dyDescent="0.2">
      <c r="A529" s="11">
        <v>656</v>
      </c>
      <c r="B529" s="11"/>
      <c r="C529" s="11"/>
      <c r="D529" s="11"/>
      <c r="E529" s="11"/>
      <c r="F529" s="11" t="s">
        <v>68</v>
      </c>
      <c r="G529" s="11" t="s">
        <v>69</v>
      </c>
      <c r="H529" s="56" t="str">
        <f>VLOOKUP(Table6[[#This Row],[ICD Code]],ICD_summary!$I$3:$M$38,5,0)</f>
        <v>Tremor, essential tremor</v>
      </c>
      <c r="I529" s="12">
        <v>30.3</v>
      </c>
      <c r="J5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529" s="11" t="s">
        <v>52</v>
      </c>
      <c r="L529" s="11"/>
      <c r="M529" s="11"/>
      <c r="N529" s="11">
        <v>60.171999999999997</v>
      </c>
      <c r="O529" s="11">
        <v>59.912999999999997</v>
      </c>
      <c r="P529" s="11">
        <v>120.167</v>
      </c>
      <c r="Q529" s="11">
        <v>120.22</v>
      </c>
      <c r="R529" s="11">
        <v>105.623</v>
      </c>
      <c r="S529" s="11">
        <v>105.453</v>
      </c>
      <c r="T529" s="11">
        <v>105.761</v>
      </c>
      <c r="U529" s="11">
        <v>105.389</v>
      </c>
      <c r="V529" s="11">
        <v>62.453000000000003</v>
      </c>
      <c r="W529" s="11">
        <v>62.783000000000001</v>
      </c>
      <c r="X529" s="11">
        <v>37.546999999999997</v>
      </c>
      <c r="Y529" s="11">
        <v>37.216999999999999</v>
      </c>
      <c r="Z529" s="11">
        <v>13.164999999999999</v>
      </c>
      <c r="AA529" s="11">
        <v>12.252000000000001</v>
      </c>
      <c r="AB529" s="11">
        <v>37.216999999999999</v>
      </c>
      <c r="AC529" s="11">
        <v>37.546999999999997</v>
      </c>
      <c r="AD529" s="11">
        <v>11.718999999999999</v>
      </c>
      <c r="AE529" s="11">
        <v>20</v>
      </c>
      <c r="AF529" s="11">
        <v>15</v>
      </c>
      <c r="AG529" s="11">
        <v>15</v>
      </c>
      <c r="AH529" s="11">
        <v>15</v>
      </c>
    </row>
    <row r="530" spans="1:34" s="33" customFormat="1" x14ac:dyDescent="0.2">
      <c r="A530" s="11">
        <v>658</v>
      </c>
      <c r="B530" s="11"/>
      <c r="C530" s="11"/>
      <c r="D530" s="11"/>
      <c r="E530" s="11"/>
      <c r="F530" s="11" t="s">
        <v>72</v>
      </c>
      <c r="G530" s="11" t="s">
        <v>73</v>
      </c>
      <c r="H530" s="56" t="str">
        <f>VLOOKUP(Table6[[#This Row],[ICD Code]],ICD_summary!$I$3:$M$38,5,0)</f>
        <v>Tremor, other</v>
      </c>
      <c r="I530" s="12">
        <v>53.8</v>
      </c>
      <c r="J5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0" s="11" t="s">
        <v>55</v>
      </c>
      <c r="L530" s="11"/>
      <c r="M530" s="11"/>
      <c r="N530" s="11">
        <v>28.06</v>
      </c>
      <c r="O530" s="11">
        <v>34.768999999999998</v>
      </c>
      <c r="P530" s="11">
        <v>63.241</v>
      </c>
      <c r="Q530" s="11">
        <v>62.55</v>
      </c>
      <c r="R530" s="11">
        <v>50.076999999999998</v>
      </c>
      <c r="S530" s="11">
        <v>48.75</v>
      </c>
      <c r="T530" s="11">
        <v>94.552999999999997</v>
      </c>
      <c r="U530" s="11">
        <v>92.831000000000003</v>
      </c>
      <c r="V530" s="11">
        <v>71.138000000000005</v>
      </c>
      <c r="W530" s="11">
        <v>70.087999999999994</v>
      </c>
      <c r="X530" s="11">
        <v>28.861999999999998</v>
      </c>
      <c r="Y530" s="11">
        <v>29.911999999999999</v>
      </c>
      <c r="Z530" s="11">
        <v>21.696000000000002</v>
      </c>
      <c r="AA530" s="11">
        <v>19.728999999999999</v>
      </c>
      <c r="AB530" s="11">
        <v>29.911999999999999</v>
      </c>
      <c r="AC530" s="11">
        <v>28.861999999999998</v>
      </c>
      <c r="AD530" s="11">
        <v>22.378</v>
      </c>
      <c r="AE530" s="11">
        <v>15</v>
      </c>
      <c r="AF530" s="11">
        <v>14</v>
      </c>
      <c r="AG530" s="11">
        <v>14</v>
      </c>
      <c r="AH530" s="11">
        <v>14</v>
      </c>
    </row>
    <row r="531" spans="1:34" s="33" customFormat="1" x14ac:dyDescent="0.2">
      <c r="A531" s="11">
        <v>659</v>
      </c>
      <c r="B531" s="11"/>
      <c r="C531" s="11"/>
      <c r="D531" s="11"/>
      <c r="E531" s="11"/>
      <c r="F531" s="11" t="s">
        <v>62</v>
      </c>
      <c r="G531" s="11" t="s">
        <v>63</v>
      </c>
      <c r="H531" s="56" t="str">
        <f>VLOOKUP(Table6[[#This Row],[ICD Code]],ICD_summary!$I$3:$M$38,5,0)</f>
        <v>PD</v>
      </c>
      <c r="I531" s="12">
        <v>62.8</v>
      </c>
      <c r="J5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1" s="11" t="s">
        <v>55</v>
      </c>
      <c r="L531" s="11"/>
      <c r="M531" s="11"/>
      <c r="N531" s="11">
        <v>49.661999999999999</v>
      </c>
      <c r="O531" s="11">
        <v>49.539000000000001</v>
      </c>
      <c r="P531" s="11">
        <v>99.132999999999996</v>
      </c>
      <c r="Q531" s="11">
        <v>99.667000000000002</v>
      </c>
      <c r="R531" s="11">
        <v>94.677000000000007</v>
      </c>
      <c r="S531" s="11">
        <v>95.087000000000003</v>
      </c>
      <c r="T531" s="11">
        <v>113.767</v>
      </c>
      <c r="U531" s="11">
        <v>114.328</v>
      </c>
      <c r="V531" s="11">
        <v>62.378</v>
      </c>
      <c r="W531" s="11">
        <v>63.817</v>
      </c>
      <c r="X531" s="11">
        <v>37.622</v>
      </c>
      <c r="Y531" s="11">
        <v>36.183</v>
      </c>
      <c r="Z531" s="11">
        <v>12.695</v>
      </c>
      <c r="AA531" s="11">
        <v>13.686999999999999</v>
      </c>
      <c r="AB531" s="11">
        <v>36.183</v>
      </c>
      <c r="AC531" s="11">
        <v>37.622</v>
      </c>
      <c r="AD531" s="11">
        <v>8.2759999999999998</v>
      </c>
      <c r="AE531" s="11">
        <v>12</v>
      </c>
      <c r="AF531" s="11">
        <v>12</v>
      </c>
      <c r="AG531" s="11">
        <v>12</v>
      </c>
      <c r="AH531" s="11">
        <v>12</v>
      </c>
    </row>
    <row r="532" spans="1:34" s="33" customFormat="1" x14ac:dyDescent="0.2">
      <c r="A532" s="11">
        <v>660</v>
      </c>
      <c r="B532" s="11"/>
      <c r="C532" s="11"/>
      <c r="D532" s="11"/>
      <c r="E532" s="11"/>
      <c r="F532" s="11" t="s">
        <v>66</v>
      </c>
      <c r="G532" s="11" t="s">
        <v>67</v>
      </c>
      <c r="H532" s="56" t="str">
        <f>VLOOKUP(Table6[[#This Row],[ICD Code]],ICD_summary!$I$3:$M$38,5,0)</f>
        <v>Dystonia, other</v>
      </c>
      <c r="I532" s="12">
        <v>68.7</v>
      </c>
      <c r="J5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2" s="11" t="s">
        <v>52</v>
      </c>
      <c r="L532" s="11"/>
      <c r="M532" s="11"/>
      <c r="N532" s="11">
        <v>65.573999999999998</v>
      </c>
      <c r="O532" s="11">
        <v>62.185000000000002</v>
      </c>
      <c r="P532" s="11">
        <v>128.09200000000001</v>
      </c>
      <c r="Q532" s="11">
        <v>127.82899999999999</v>
      </c>
      <c r="R532" s="11">
        <v>105.94499999999999</v>
      </c>
      <c r="S532" s="11">
        <v>105.806</v>
      </c>
      <c r="T532" s="11">
        <v>98.575999999999993</v>
      </c>
      <c r="U532" s="11">
        <v>98.480999999999995</v>
      </c>
      <c r="V532" s="11">
        <v>63.048999999999999</v>
      </c>
      <c r="W532" s="11">
        <v>64.194000000000003</v>
      </c>
      <c r="X532" s="11">
        <v>36.951000000000001</v>
      </c>
      <c r="Y532" s="11">
        <v>35.805999999999997</v>
      </c>
      <c r="Z532" s="11">
        <v>12.237</v>
      </c>
      <c r="AA532" s="11">
        <v>15.539</v>
      </c>
      <c r="AB532" s="11">
        <v>35.805999999999997</v>
      </c>
      <c r="AC532" s="11">
        <v>36.951000000000001</v>
      </c>
      <c r="AD532" s="11">
        <v>16.547999999999998</v>
      </c>
      <c r="AE532" s="11">
        <v>8</v>
      </c>
      <c r="AF532" s="11">
        <v>7</v>
      </c>
      <c r="AG532" s="11">
        <v>7</v>
      </c>
      <c r="AH532" s="11">
        <v>7</v>
      </c>
    </row>
    <row r="533" spans="1:34" s="33" customFormat="1" x14ac:dyDescent="0.2">
      <c r="A533" s="11">
        <v>661</v>
      </c>
      <c r="B533" s="11"/>
      <c r="C533" s="11"/>
      <c r="D533" s="11"/>
      <c r="E533" s="11"/>
      <c r="F533" s="11" t="s">
        <v>62</v>
      </c>
      <c r="G533" s="11" t="s">
        <v>63</v>
      </c>
      <c r="H533" s="56" t="str">
        <f>VLOOKUP(Table6[[#This Row],[ICD Code]],ICD_summary!$I$3:$M$38,5,0)</f>
        <v>PD</v>
      </c>
      <c r="I533" s="12">
        <v>60.4</v>
      </c>
      <c r="J5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3" s="11" t="s">
        <v>52</v>
      </c>
      <c r="L533" s="11"/>
      <c r="M533" s="11"/>
      <c r="N533" s="11">
        <v>39.783999999999999</v>
      </c>
      <c r="O533" s="11">
        <v>46.058999999999997</v>
      </c>
      <c r="P533" s="11">
        <v>85.372</v>
      </c>
      <c r="Q533" s="11">
        <v>86.314999999999998</v>
      </c>
      <c r="R533" s="11">
        <v>85.638000000000005</v>
      </c>
      <c r="S533" s="11">
        <v>86.182000000000002</v>
      </c>
      <c r="T533" s="11">
        <v>121.044</v>
      </c>
      <c r="U533" s="11">
        <v>118.98</v>
      </c>
      <c r="V533" s="11">
        <v>64.813000000000002</v>
      </c>
      <c r="W533" s="11">
        <v>65.373000000000005</v>
      </c>
      <c r="X533" s="11">
        <v>35.186999999999998</v>
      </c>
      <c r="Y533" s="11">
        <v>34.627000000000002</v>
      </c>
      <c r="Z533" s="11">
        <v>15.407</v>
      </c>
      <c r="AA533" s="11">
        <v>15.023999999999999</v>
      </c>
      <c r="AB533" s="11">
        <v>34.627000000000002</v>
      </c>
      <c r="AC533" s="11">
        <v>35.186999999999998</v>
      </c>
      <c r="AD533" s="11">
        <v>15.446</v>
      </c>
      <c r="AE533" s="11">
        <v>14</v>
      </c>
      <c r="AF533" s="11">
        <v>15</v>
      </c>
      <c r="AG533" s="11">
        <v>14</v>
      </c>
      <c r="AH533" s="11">
        <v>14</v>
      </c>
    </row>
    <row r="534" spans="1:34" s="33" customFormat="1" x14ac:dyDescent="0.2">
      <c r="A534" s="11">
        <v>662</v>
      </c>
      <c r="B534" s="11"/>
      <c r="C534" s="11"/>
      <c r="D534" s="11"/>
      <c r="E534" s="11"/>
      <c r="F534" s="11" t="s">
        <v>68</v>
      </c>
      <c r="G534" s="11" t="s">
        <v>69</v>
      </c>
      <c r="H534" s="56" t="str">
        <f>VLOOKUP(Table6[[#This Row],[ICD Code]],ICD_summary!$I$3:$M$38,5,0)</f>
        <v>Tremor, essential tremor</v>
      </c>
      <c r="I534" s="12">
        <v>74.900000000000006</v>
      </c>
      <c r="J5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34" s="11" t="s">
        <v>55</v>
      </c>
      <c r="L534" s="11"/>
      <c r="M534" s="11"/>
      <c r="N534" s="11">
        <v>29.082999999999998</v>
      </c>
      <c r="O534" s="11">
        <v>28.998999999999999</v>
      </c>
      <c r="P534" s="11">
        <v>58.511000000000003</v>
      </c>
      <c r="Q534" s="11">
        <v>57.962000000000003</v>
      </c>
      <c r="R534" s="11">
        <v>56.387999999999998</v>
      </c>
      <c r="S534" s="11">
        <v>56.722999999999999</v>
      </c>
      <c r="T534" s="11">
        <v>116.026</v>
      </c>
      <c r="U534" s="11">
        <v>116.029</v>
      </c>
      <c r="V534" s="11">
        <v>68.548000000000002</v>
      </c>
      <c r="W534" s="11">
        <v>67.135000000000005</v>
      </c>
      <c r="X534" s="11">
        <v>31.452000000000002</v>
      </c>
      <c r="Y534" s="11">
        <v>32.865000000000002</v>
      </c>
      <c r="Z534" s="11">
        <v>16.655000000000001</v>
      </c>
      <c r="AA534" s="11">
        <v>18.655999999999999</v>
      </c>
      <c r="AB534" s="11">
        <v>32.865000000000002</v>
      </c>
      <c r="AC534" s="11">
        <v>31.452000000000002</v>
      </c>
      <c r="AD534" s="11">
        <v>18.896000000000001</v>
      </c>
      <c r="AE534" s="11">
        <v>17</v>
      </c>
      <c r="AF534" s="11">
        <v>17</v>
      </c>
      <c r="AG534" s="11">
        <v>17</v>
      </c>
      <c r="AH534" s="11">
        <v>17</v>
      </c>
    </row>
    <row r="535" spans="1:34" s="33" customFormat="1" x14ac:dyDescent="0.2">
      <c r="A535" s="11">
        <v>663</v>
      </c>
      <c r="B535" s="11"/>
      <c r="C535" s="11"/>
      <c r="D535" s="11"/>
      <c r="E535" s="11"/>
      <c r="F535" s="11" t="s">
        <v>51</v>
      </c>
      <c r="G535" s="11" t="s">
        <v>51</v>
      </c>
      <c r="H535" s="56" t="str">
        <f>VLOOKUP(Table6[[#This Row],[ICD Code]],ICD_summary!$I$3:$M$38,5,0)</f>
        <v>Misc/Other</v>
      </c>
      <c r="I535" s="12">
        <v>999</v>
      </c>
      <c r="J5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35" s="11" t="s">
        <v>51</v>
      </c>
      <c r="L535" s="11"/>
      <c r="M535" s="11"/>
      <c r="N535" s="11">
        <v>58.301000000000002</v>
      </c>
      <c r="O535" s="11">
        <v>57.912999999999997</v>
      </c>
      <c r="P535" s="11">
        <v>115.114</v>
      </c>
      <c r="Q535" s="11">
        <v>116.776</v>
      </c>
      <c r="R535" s="11">
        <v>98.257000000000005</v>
      </c>
      <c r="S535" s="11">
        <v>98.463999999999999</v>
      </c>
      <c r="T535" s="11">
        <v>102.334</v>
      </c>
      <c r="U535" s="11">
        <v>101.404</v>
      </c>
      <c r="V535" s="11">
        <v>62.131</v>
      </c>
      <c r="W535" s="11">
        <v>61.725999999999999</v>
      </c>
      <c r="X535" s="11">
        <v>37.869</v>
      </c>
      <c r="Y535" s="11">
        <v>38.274000000000001</v>
      </c>
      <c r="Z535" s="11">
        <v>12.51</v>
      </c>
      <c r="AA535" s="11">
        <v>12.484999999999999</v>
      </c>
      <c r="AB535" s="11">
        <v>38.274000000000001</v>
      </c>
      <c r="AC535" s="11">
        <v>37.869</v>
      </c>
      <c r="AD535" s="11">
        <v>9.0079999999999991</v>
      </c>
      <c r="AE535" s="11">
        <v>6</v>
      </c>
      <c r="AF535" s="11">
        <v>9</v>
      </c>
      <c r="AG535" s="11">
        <v>6</v>
      </c>
      <c r="AH535" s="11">
        <v>6</v>
      </c>
    </row>
    <row r="536" spans="1:34" s="33" customFormat="1" x14ac:dyDescent="0.2">
      <c r="A536" s="11">
        <v>664</v>
      </c>
      <c r="B536" s="11"/>
      <c r="C536" s="11"/>
      <c r="D536" s="11"/>
      <c r="E536" s="11"/>
      <c r="F536" s="11" t="s">
        <v>62</v>
      </c>
      <c r="G536" s="11" t="s">
        <v>63</v>
      </c>
      <c r="H536" s="56" t="str">
        <f>VLOOKUP(Table6[[#This Row],[ICD Code]],ICD_summary!$I$3:$M$38,5,0)</f>
        <v>PD</v>
      </c>
      <c r="I536" s="12">
        <v>51.9</v>
      </c>
      <c r="J5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6" s="11" t="s">
        <v>52</v>
      </c>
      <c r="L536" s="11"/>
      <c r="M536" s="11"/>
      <c r="N536" s="11">
        <v>65.42</v>
      </c>
      <c r="O536" s="11">
        <v>64.661000000000001</v>
      </c>
      <c r="P536" s="11">
        <v>130.476</v>
      </c>
      <c r="Q536" s="11">
        <v>130.22200000000001</v>
      </c>
      <c r="R536" s="11">
        <v>123.65</v>
      </c>
      <c r="S536" s="11">
        <v>123.944</v>
      </c>
      <c r="T536" s="11">
        <v>113.044</v>
      </c>
      <c r="U536" s="11">
        <v>113.809</v>
      </c>
      <c r="V536" s="11">
        <v>61.110999999999997</v>
      </c>
      <c r="W536" s="11">
        <v>61.284999999999997</v>
      </c>
      <c r="X536" s="11">
        <v>38.889000000000003</v>
      </c>
      <c r="Y536" s="11">
        <v>38.715000000000003</v>
      </c>
      <c r="Z536" s="11">
        <v>11.590999999999999</v>
      </c>
      <c r="AA536" s="11">
        <v>10.82</v>
      </c>
      <c r="AB536" s="11">
        <v>38.715000000000003</v>
      </c>
      <c r="AC536" s="11">
        <v>38.889000000000003</v>
      </c>
      <c r="AD536" s="11">
        <v>9.1780000000000008</v>
      </c>
      <c r="AE536" s="11">
        <v>9</v>
      </c>
      <c r="AF536" s="11">
        <v>10</v>
      </c>
      <c r="AG536" s="11">
        <v>9</v>
      </c>
      <c r="AH536" s="11">
        <v>9</v>
      </c>
    </row>
    <row r="537" spans="1:34" s="33" customFormat="1" x14ac:dyDescent="0.2">
      <c r="A537" s="11">
        <v>665</v>
      </c>
      <c r="B537" s="11"/>
      <c r="C537" s="11"/>
      <c r="D537" s="11"/>
      <c r="E537" s="11"/>
      <c r="F537" s="11" t="s">
        <v>72</v>
      </c>
      <c r="G537" s="11" t="s">
        <v>73</v>
      </c>
      <c r="H537" s="56" t="str">
        <f>VLOOKUP(Table6[[#This Row],[ICD Code]],ICD_summary!$I$3:$M$38,5,0)</f>
        <v>Tremor, other</v>
      </c>
      <c r="I537" s="12">
        <v>50.7</v>
      </c>
      <c r="J5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7" s="11" t="s">
        <v>55</v>
      </c>
      <c r="L537" s="11"/>
      <c r="M537" s="11"/>
      <c r="N537" s="11">
        <v>52.000999999999998</v>
      </c>
      <c r="O537" s="11">
        <v>53.3</v>
      </c>
      <c r="P537" s="11">
        <v>105.57899999999999</v>
      </c>
      <c r="Q537" s="11">
        <v>105.197</v>
      </c>
      <c r="R537" s="11">
        <v>95.180999999999997</v>
      </c>
      <c r="S537" s="11">
        <v>94.947000000000003</v>
      </c>
      <c r="T537" s="11">
        <v>108.071</v>
      </c>
      <c r="U537" s="11">
        <v>108.455</v>
      </c>
      <c r="V537" s="11">
        <v>62.448999999999998</v>
      </c>
      <c r="W537" s="11">
        <v>63.238</v>
      </c>
      <c r="X537" s="11">
        <v>37.551000000000002</v>
      </c>
      <c r="Y537" s="11">
        <v>36.762</v>
      </c>
      <c r="Z537" s="11">
        <v>14.08</v>
      </c>
      <c r="AA537" s="11">
        <v>12.920999999999999</v>
      </c>
      <c r="AB537" s="11">
        <v>36.762</v>
      </c>
      <c r="AC537" s="11">
        <v>37.551000000000002</v>
      </c>
      <c r="AD537" s="11">
        <v>10.808</v>
      </c>
      <c r="AE537" s="11">
        <v>12</v>
      </c>
      <c r="AF537" s="11">
        <v>12</v>
      </c>
      <c r="AG537" s="11">
        <v>12</v>
      </c>
      <c r="AH537" s="11">
        <v>12</v>
      </c>
    </row>
    <row r="538" spans="1:34" s="33" customFormat="1" x14ac:dyDescent="0.2">
      <c r="A538" s="11">
        <v>666</v>
      </c>
      <c r="B538" s="11"/>
      <c r="C538" s="11"/>
      <c r="D538" s="11"/>
      <c r="E538" s="11"/>
      <c r="F538" s="11" t="s">
        <v>72</v>
      </c>
      <c r="G538" s="11" t="s">
        <v>73</v>
      </c>
      <c r="H538" s="56" t="str">
        <f>VLOOKUP(Table6[[#This Row],[ICD Code]],ICD_summary!$I$3:$M$38,5,0)</f>
        <v>Tremor, other</v>
      </c>
      <c r="I538" s="12">
        <v>74.7</v>
      </c>
      <c r="J5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38" s="11" t="s">
        <v>55</v>
      </c>
      <c r="L538" s="11"/>
      <c r="M538" s="11"/>
      <c r="N538" s="11">
        <v>42.664000000000001</v>
      </c>
      <c r="O538" s="11">
        <v>33.427999999999997</v>
      </c>
      <c r="P538" s="11">
        <v>76.052999999999997</v>
      </c>
      <c r="Q538" s="11">
        <v>75.369</v>
      </c>
      <c r="R538" s="11">
        <v>65.584999999999994</v>
      </c>
      <c r="S538" s="11">
        <v>64.869</v>
      </c>
      <c r="T538" s="11">
        <v>104.411</v>
      </c>
      <c r="U538" s="11">
        <v>103.224</v>
      </c>
      <c r="V538" s="11">
        <v>67.754000000000005</v>
      </c>
      <c r="W538" s="11">
        <v>64.102000000000004</v>
      </c>
      <c r="X538" s="11">
        <v>32.246000000000002</v>
      </c>
      <c r="Y538" s="11">
        <v>35.898000000000003</v>
      </c>
      <c r="Z538" s="11">
        <v>18.341999999999999</v>
      </c>
      <c r="AA538" s="11">
        <v>14.49</v>
      </c>
      <c r="AB538" s="11">
        <v>35.898000000000003</v>
      </c>
      <c r="AC538" s="11">
        <v>32.246000000000002</v>
      </c>
      <c r="AD538" s="11">
        <v>12.933999999999999</v>
      </c>
      <c r="AE538" s="11">
        <v>16</v>
      </c>
      <c r="AF538" s="11">
        <v>16</v>
      </c>
      <c r="AG538" s="11">
        <v>16</v>
      </c>
      <c r="AH538" s="11">
        <v>16</v>
      </c>
    </row>
    <row r="539" spans="1:34" s="33" customFormat="1" x14ac:dyDescent="0.2">
      <c r="A539" s="11">
        <v>667</v>
      </c>
      <c r="B539" s="11"/>
      <c r="C539" s="11"/>
      <c r="D539" s="11"/>
      <c r="E539" s="11"/>
      <c r="F539" s="11" t="s">
        <v>62</v>
      </c>
      <c r="G539" s="11" t="s">
        <v>63</v>
      </c>
      <c r="H539" s="56" t="str">
        <f>VLOOKUP(Table6[[#This Row],[ICD Code]],ICD_summary!$I$3:$M$38,5,0)</f>
        <v>PD</v>
      </c>
      <c r="I539" s="12">
        <v>58.7</v>
      </c>
      <c r="J5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9" s="11" t="s">
        <v>52</v>
      </c>
      <c r="L539" s="11"/>
      <c r="M539" s="11"/>
      <c r="N539" s="11" t="s">
        <v>51</v>
      </c>
      <c r="O539" s="11" t="s">
        <v>51</v>
      </c>
      <c r="P539" s="11" t="s">
        <v>51</v>
      </c>
      <c r="Q539" s="11" t="s">
        <v>51</v>
      </c>
      <c r="R539" s="11" t="s">
        <v>51</v>
      </c>
      <c r="S539" s="11" t="s">
        <v>51</v>
      </c>
      <c r="T539" s="11" t="s">
        <v>51</v>
      </c>
      <c r="U539" s="11" t="s">
        <v>51</v>
      </c>
      <c r="V539" s="11" t="s">
        <v>51</v>
      </c>
      <c r="W539" s="11" t="s">
        <v>51</v>
      </c>
      <c r="X539" s="11" t="s">
        <v>51</v>
      </c>
      <c r="Y539" s="11" t="s">
        <v>51</v>
      </c>
      <c r="Z539" s="11" t="s">
        <v>51</v>
      </c>
      <c r="AA539" s="11" t="s">
        <v>51</v>
      </c>
      <c r="AB539" s="11" t="s">
        <v>51</v>
      </c>
      <c r="AC539" s="11" t="s">
        <v>51</v>
      </c>
      <c r="AD539" s="11" t="s">
        <v>51</v>
      </c>
      <c r="AE539" s="11" t="s">
        <v>51</v>
      </c>
      <c r="AF539" s="11" t="s">
        <v>51</v>
      </c>
      <c r="AG539" s="11" t="s">
        <v>51</v>
      </c>
      <c r="AH539" s="11" t="s">
        <v>51</v>
      </c>
    </row>
    <row r="540" spans="1:34" s="33" customFormat="1" x14ac:dyDescent="0.2">
      <c r="A540" s="11">
        <v>668</v>
      </c>
      <c r="B540" s="11"/>
      <c r="C540" s="11"/>
      <c r="D540" s="11"/>
      <c r="E540" s="11"/>
      <c r="F540" s="11" t="s">
        <v>62</v>
      </c>
      <c r="G540" s="11" t="s">
        <v>63</v>
      </c>
      <c r="H540" s="56" t="str">
        <f>VLOOKUP(Table6[[#This Row],[ICD Code]],ICD_summary!$I$3:$M$38,5,0)</f>
        <v>PD</v>
      </c>
      <c r="I540" s="12">
        <v>69.400000000000006</v>
      </c>
      <c r="J5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0" s="11" t="s">
        <v>52</v>
      </c>
      <c r="L540" s="11"/>
      <c r="M540" s="11"/>
      <c r="N540" s="11">
        <v>45.055999999999997</v>
      </c>
      <c r="O540" s="11">
        <v>42.816000000000003</v>
      </c>
      <c r="P540" s="11">
        <v>86.748000000000005</v>
      </c>
      <c r="Q540" s="11">
        <v>88.51</v>
      </c>
      <c r="R540" s="11">
        <v>88.620999999999995</v>
      </c>
      <c r="S540" s="11">
        <v>89.334999999999994</v>
      </c>
      <c r="T540" s="11">
        <v>124.277</v>
      </c>
      <c r="U540" s="11">
        <v>123.232</v>
      </c>
      <c r="V540" s="11">
        <v>62.935000000000002</v>
      </c>
      <c r="W540" s="11">
        <v>60.777999999999999</v>
      </c>
      <c r="X540" s="11">
        <v>37.064999999999998</v>
      </c>
      <c r="Y540" s="11">
        <v>39.222000000000001</v>
      </c>
      <c r="Z540" s="11">
        <v>14.105</v>
      </c>
      <c r="AA540" s="11">
        <v>10.58</v>
      </c>
      <c r="AB540" s="11">
        <v>39.222000000000001</v>
      </c>
      <c r="AC540" s="11">
        <v>37.064999999999998</v>
      </c>
      <c r="AD540" s="11">
        <v>13.348000000000001</v>
      </c>
      <c r="AE540" s="11">
        <v>12</v>
      </c>
      <c r="AF540" s="11">
        <v>13</v>
      </c>
      <c r="AG540" s="11">
        <v>12</v>
      </c>
      <c r="AH540" s="11">
        <v>12</v>
      </c>
    </row>
    <row r="541" spans="1:34" s="33" customFormat="1" x14ac:dyDescent="0.2">
      <c r="A541" s="11">
        <v>669</v>
      </c>
      <c r="B541" s="11"/>
      <c r="C541" s="11"/>
      <c r="D541" s="11"/>
      <c r="E541" s="11"/>
      <c r="F541" s="11" t="s">
        <v>62</v>
      </c>
      <c r="G541" s="11" t="s">
        <v>63</v>
      </c>
      <c r="H541" s="56" t="str">
        <f>VLOOKUP(Table6[[#This Row],[ICD Code]],ICD_summary!$I$3:$M$38,5,0)</f>
        <v>PD</v>
      </c>
      <c r="I541" s="12">
        <v>66.8</v>
      </c>
      <c r="J5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1" s="11" t="s">
        <v>52</v>
      </c>
      <c r="L541" s="11"/>
      <c r="M541" s="11"/>
      <c r="N541" s="11">
        <v>44.878</v>
      </c>
      <c r="O541" s="11">
        <v>46.98</v>
      </c>
      <c r="P541" s="11">
        <v>93.448999999999998</v>
      </c>
      <c r="Q541" s="11">
        <v>90.816999999999993</v>
      </c>
      <c r="R541" s="11">
        <v>73.534999999999997</v>
      </c>
      <c r="S541" s="11">
        <v>72.796999999999997</v>
      </c>
      <c r="T541" s="11">
        <v>95.123999999999995</v>
      </c>
      <c r="U541" s="11">
        <v>95.653999999999996</v>
      </c>
      <c r="V541" s="11">
        <v>66.747</v>
      </c>
      <c r="W541" s="11">
        <v>62.616999999999997</v>
      </c>
      <c r="X541" s="11">
        <v>33.253</v>
      </c>
      <c r="Y541" s="11">
        <v>37.383000000000003</v>
      </c>
      <c r="Z541" s="11">
        <v>14.699</v>
      </c>
      <c r="AA541" s="11">
        <v>15.435</v>
      </c>
      <c r="AB541" s="11">
        <v>37.383000000000003</v>
      </c>
      <c r="AC541" s="11">
        <v>33.253</v>
      </c>
      <c r="AD541" s="11">
        <v>8.75</v>
      </c>
      <c r="AE541" s="11">
        <v>11</v>
      </c>
      <c r="AF541" s="11">
        <v>13</v>
      </c>
      <c r="AG541" s="11">
        <v>11</v>
      </c>
      <c r="AH541" s="11">
        <v>11</v>
      </c>
    </row>
    <row r="542" spans="1:34" s="33" customFormat="1" x14ac:dyDescent="0.2">
      <c r="A542" s="11">
        <v>670</v>
      </c>
      <c r="B542" s="11"/>
      <c r="C542" s="11"/>
      <c r="D542" s="11"/>
      <c r="E542" s="11"/>
      <c r="F542" s="11" t="s">
        <v>51</v>
      </c>
      <c r="G542" s="11" t="s">
        <v>51</v>
      </c>
      <c r="H542" s="56" t="str">
        <f>VLOOKUP(Table6[[#This Row],[ICD Code]],ICD_summary!$I$3:$M$38,5,0)</f>
        <v>Misc/Other</v>
      </c>
      <c r="I542" s="12">
        <v>999</v>
      </c>
      <c r="J5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42" s="11" t="s">
        <v>51</v>
      </c>
      <c r="L542" s="11"/>
      <c r="M542" s="11"/>
      <c r="N542" s="11">
        <v>57.481000000000002</v>
      </c>
      <c r="O542" s="11">
        <v>56.652000000000001</v>
      </c>
      <c r="P542" s="11">
        <v>114.25</v>
      </c>
      <c r="Q542" s="11">
        <v>114.276</v>
      </c>
      <c r="R542" s="11">
        <v>104.605</v>
      </c>
      <c r="S542" s="11">
        <v>105.01300000000001</v>
      </c>
      <c r="T542" s="11">
        <v>110.53700000000001</v>
      </c>
      <c r="U542" s="11">
        <v>110.989</v>
      </c>
      <c r="V542" s="11">
        <v>63.158000000000001</v>
      </c>
      <c r="W542" s="11">
        <v>65.179000000000002</v>
      </c>
      <c r="X542" s="11">
        <v>36.841999999999999</v>
      </c>
      <c r="Y542" s="11">
        <v>34.820999999999998</v>
      </c>
      <c r="Z542" s="11">
        <v>12.507</v>
      </c>
      <c r="AA542" s="11">
        <v>16.09</v>
      </c>
      <c r="AB542" s="11">
        <v>34.820999999999998</v>
      </c>
      <c r="AC542" s="11">
        <v>36.841999999999999</v>
      </c>
      <c r="AD542" s="11">
        <v>11.055999999999999</v>
      </c>
      <c r="AE542" s="11">
        <v>10</v>
      </c>
      <c r="AF542" s="11">
        <v>10</v>
      </c>
      <c r="AG542" s="11">
        <v>10</v>
      </c>
      <c r="AH542" s="11">
        <v>10</v>
      </c>
    </row>
    <row r="543" spans="1:34" s="33" customFormat="1" x14ac:dyDescent="0.2">
      <c r="A543" s="11">
        <v>671</v>
      </c>
      <c r="B543" s="11"/>
      <c r="C543" s="11"/>
      <c r="D543" s="11"/>
      <c r="E543" s="11"/>
      <c r="F543" s="11" t="s">
        <v>51</v>
      </c>
      <c r="G543" s="11" t="s">
        <v>51</v>
      </c>
      <c r="H543" s="56" t="str">
        <f>VLOOKUP(Table6[[#This Row],[ICD Code]],ICD_summary!$I$3:$M$38,5,0)</f>
        <v>Misc/Other</v>
      </c>
      <c r="I543" s="12">
        <v>999</v>
      </c>
      <c r="J5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43" s="11" t="s">
        <v>51</v>
      </c>
      <c r="L543" s="11"/>
      <c r="M543" s="11"/>
      <c r="N543" s="11">
        <v>37.915999999999997</v>
      </c>
      <c r="O543" s="11">
        <v>38.594999999999999</v>
      </c>
      <c r="P543" s="11">
        <v>76.325000000000003</v>
      </c>
      <c r="Q543" s="11">
        <v>76.444999999999993</v>
      </c>
      <c r="R543" s="11">
        <v>62.881999999999998</v>
      </c>
      <c r="S543" s="11">
        <v>63.677</v>
      </c>
      <c r="T543" s="11">
        <v>99.183999999999997</v>
      </c>
      <c r="U543" s="11">
        <v>99.775000000000006</v>
      </c>
      <c r="V543" s="11">
        <v>66.128</v>
      </c>
      <c r="W543" s="11">
        <v>67.272000000000006</v>
      </c>
      <c r="X543" s="11">
        <v>33.872</v>
      </c>
      <c r="Y543" s="11">
        <v>32.728000000000002</v>
      </c>
      <c r="Z543" s="11">
        <v>15.702999999999999</v>
      </c>
      <c r="AA543" s="11">
        <v>17.876999999999999</v>
      </c>
      <c r="AB543" s="11">
        <v>32.728000000000002</v>
      </c>
      <c r="AC543" s="11">
        <v>33.872</v>
      </c>
      <c r="AD543" s="11">
        <v>12.89</v>
      </c>
      <c r="AE543" s="11">
        <v>15</v>
      </c>
      <c r="AF543" s="11">
        <v>18</v>
      </c>
      <c r="AG543" s="11">
        <v>15</v>
      </c>
      <c r="AH543" s="11">
        <v>15</v>
      </c>
    </row>
    <row r="544" spans="1:34" s="33" customFormat="1" x14ac:dyDescent="0.2">
      <c r="A544" s="11">
        <v>672</v>
      </c>
      <c r="B544" s="11"/>
      <c r="C544" s="11"/>
      <c r="D544" s="11"/>
      <c r="E544" s="11"/>
      <c r="F544" s="11" t="s">
        <v>62</v>
      </c>
      <c r="G544" s="11" t="s">
        <v>63</v>
      </c>
      <c r="H544" s="56" t="str">
        <f>VLOOKUP(Table6[[#This Row],[ICD Code]],ICD_summary!$I$3:$M$38,5,0)</f>
        <v>PD</v>
      </c>
      <c r="I544" s="12">
        <v>70.900000000000006</v>
      </c>
      <c r="J5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44" s="11" t="s">
        <v>55</v>
      </c>
      <c r="L544" s="11"/>
      <c r="M544" s="11"/>
      <c r="N544" s="11" t="s">
        <v>51</v>
      </c>
      <c r="O544" s="11" t="s">
        <v>51</v>
      </c>
      <c r="P544" s="11" t="s">
        <v>51</v>
      </c>
      <c r="Q544" s="11" t="s">
        <v>51</v>
      </c>
      <c r="R544" s="11" t="s">
        <v>51</v>
      </c>
      <c r="S544" s="11" t="s">
        <v>51</v>
      </c>
      <c r="T544" s="11" t="s">
        <v>51</v>
      </c>
      <c r="U544" s="11" t="s">
        <v>51</v>
      </c>
      <c r="V544" s="11" t="s">
        <v>51</v>
      </c>
      <c r="W544" s="11" t="s">
        <v>51</v>
      </c>
      <c r="X544" s="11" t="s">
        <v>51</v>
      </c>
      <c r="Y544" s="11" t="s">
        <v>51</v>
      </c>
      <c r="Z544" s="11" t="s">
        <v>51</v>
      </c>
      <c r="AA544" s="11" t="s">
        <v>51</v>
      </c>
      <c r="AB544" s="11" t="s">
        <v>51</v>
      </c>
      <c r="AC544" s="11" t="s">
        <v>51</v>
      </c>
      <c r="AD544" s="11" t="s">
        <v>51</v>
      </c>
      <c r="AE544" s="11" t="s">
        <v>51</v>
      </c>
      <c r="AF544" s="11" t="s">
        <v>51</v>
      </c>
      <c r="AG544" s="11" t="s">
        <v>51</v>
      </c>
      <c r="AH544" s="11" t="s">
        <v>51</v>
      </c>
    </row>
    <row r="545" spans="1:34" s="33" customFormat="1" x14ac:dyDescent="0.2">
      <c r="A545" s="11">
        <v>673</v>
      </c>
      <c r="B545" s="11"/>
      <c r="C545" s="11"/>
      <c r="D545" s="11"/>
      <c r="E545" s="11"/>
      <c r="F545" s="11" t="s">
        <v>62</v>
      </c>
      <c r="G545" s="11" t="s">
        <v>63</v>
      </c>
      <c r="H545" s="56" t="str">
        <f>VLOOKUP(Table6[[#This Row],[ICD Code]],ICD_summary!$I$3:$M$38,5,0)</f>
        <v>PD</v>
      </c>
      <c r="I545" s="12">
        <v>67.3</v>
      </c>
      <c r="J5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5" s="11" t="s">
        <v>52</v>
      </c>
      <c r="L545" s="11"/>
      <c r="M545" s="11"/>
      <c r="N545" s="11" t="s">
        <v>51</v>
      </c>
      <c r="O545" s="11" t="s">
        <v>51</v>
      </c>
      <c r="P545" s="11" t="s">
        <v>51</v>
      </c>
      <c r="Q545" s="11" t="s">
        <v>51</v>
      </c>
      <c r="R545" s="11" t="s">
        <v>51</v>
      </c>
      <c r="S545" s="11" t="s">
        <v>51</v>
      </c>
      <c r="T545" s="11" t="s">
        <v>51</v>
      </c>
      <c r="U545" s="11" t="s">
        <v>51</v>
      </c>
      <c r="V545" s="11" t="s">
        <v>51</v>
      </c>
      <c r="W545" s="11" t="s">
        <v>51</v>
      </c>
      <c r="X545" s="11" t="s">
        <v>51</v>
      </c>
      <c r="Y545" s="11" t="s">
        <v>51</v>
      </c>
      <c r="Z545" s="11" t="s">
        <v>51</v>
      </c>
      <c r="AA545" s="11" t="s">
        <v>51</v>
      </c>
      <c r="AB545" s="11" t="s">
        <v>51</v>
      </c>
      <c r="AC545" s="11" t="s">
        <v>51</v>
      </c>
      <c r="AD545" s="11" t="s">
        <v>51</v>
      </c>
      <c r="AE545" s="11" t="s">
        <v>51</v>
      </c>
      <c r="AF545" s="11" t="s">
        <v>51</v>
      </c>
      <c r="AG545" s="11" t="s">
        <v>51</v>
      </c>
      <c r="AH545" s="11" t="s">
        <v>51</v>
      </c>
    </row>
    <row r="546" spans="1:34" s="33" customFormat="1" x14ac:dyDescent="0.2">
      <c r="A546" s="11">
        <v>674</v>
      </c>
      <c r="B546" s="11"/>
      <c r="C546" s="11"/>
      <c r="D546" s="11"/>
      <c r="E546" s="11"/>
      <c r="F546" s="11" t="s">
        <v>62</v>
      </c>
      <c r="G546" s="11" t="s">
        <v>63</v>
      </c>
      <c r="H546" s="56" t="str">
        <f>VLOOKUP(Table6[[#This Row],[ICD Code]],ICD_summary!$I$3:$M$38,5,0)</f>
        <v>PD</v>
      </c>
      <c r="I546" s="12">
        <v>59.4</v>
      </c>
      <c r="J5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46" s="11" t="s">
        <v>55</v>
      </c>
      <c r="L546" s="11"/>
      <c r="M546" s="11"/>
      <c r="N546" s="11">
        <v>38.545000000000002</v>
      </c>
      <c r="O546" s="11">
        <v>34.243000000000002</v>
      </c>
      <c r="P546" s="11">
        <v>72.584999999999994</v>
      </c>
      <c r="Q546" s="11">
        <v>72.935000000000002</v>
      </c>
      <c r="R546" s="11">
        <v>57.7</v>
      </c>
      <c r="S546" s="11">
        <v>58.265000000000001</v>
      </c>
      <c r="T546" s="11">
        <v>95.337000000000003</v>
      </c>
      <c r="U546" s="11">
        <v>96.132000000000005</v>
      </c>
      <c r="V546" s="11">
        <v>68.649000000000001</v>
      </c>
      <c r="W546" s="11">
        <v>68.11</v>
      </c>
      <c r="X546" s="11">
        <v>31.350999999999999</v>
      </c>
      <c r="Y546" s="11">
        <v>31.89</v>
      </c>
      <c r="Z546" s="11">
        <v>17.986999999999998</v>
      </c>
      <c r="AA546" s="11">
        <v>18.844000000000001</v>
      </c>
      <c r="AB546" s="11">
        <v>31.89</v>
      </c>
      <c r="AC546" s="11">
        <v>31.350999999999999</v>
      </c>
      <c r="AD546" s="11">
        <v>6.16</v>
      </c>
      <c r="AE546" s="11">
        <v>15</v>
      </c>
      <c r="AF546" s="11">
        <v>15</v>
      </c>
      <c r="AG546" s="11">
        <v>15</v>
      </c>
      <c r="AH546" s="11">
        <v>15</v>
      </c>
    </row>
    <row r="547" spans="1:34" s="33" customFormat="1" x14ac:dyDescent="0.2">
      <c r="A547" s="11">
        <v>675</v>
      </c>
      <c r="B547" s="11"/>
      <c r="C547" s="11"/>
      <c r="D547" s="11"/>
      <c r="E547" s="11"/>
      <c r="F547" s="11" t="s">
        <v>62</v>
      </c>
      <c r="G547" s="11" t="s">
        <v>63</v>
      </c>
      <c r="H547" s="56" t="str">
        <f>VLOOKUP(Table6[[#This Row],[ICD Code]],ICD_summary!$I$3:$M$38,5,0)</f>
        <v>PD</v>
      </c>
      <c r="I547" s="12">
        <v>67.7</v>
      </c>
      <c r="J5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7" s="11" t="s">
        <v>52</v>
      </c>
      <c r="L547" s="11"/>
      <c r="M547" s="11"/>
      <c r="N547" s="11">
        <v>33.228000000000002</v>
      </c>
      <c r="O547" s="11">
        <v>34.131</v>
      </c>
      <c r="P547" s="11">
        <v>67.09</v>
      </c>
      <c r="Q547" s="11">
        <v>67.197000000000003</v>
      </c>
      <c r="R547" s="11">
        <v>72.057000000000002</v>
      </c>
      <c r="S547" s="11">
        <v>71.600999999999999</v>
      </c>
      <c r="T547" s="11">
        <v>129.023</v>
      </c>
      <c r="U547" s="11">
        <v>128.30099999999999</v>
      </c>
      <c r="V547" s="11">
        <v>65.064999999999998</v>
      </c>
      <c r="W547" s="11">
        <v>62.588999999999999</v>
      </c>
      <c r="X547" s="11">
        <v>34.935000000000002</v>
      </c>
      <c r="Y547" s="11">
        <v>37.411000000000001</v>
      </c>
      <c r="Z547" s="11">
        <v>14.442</v>
      </c>
      <c r="AA547" s="11">
        <v>13.105</v>
      </c>
      <c r="AB547" s="11">
        <v>37.411000000000001</v>
      </c>
      <c r="AC547" s="11">
        <v>34.935000000000002</v>
      </c>
      <c r="AD547" s="11">
        <v>8.5060000000000002</v>
      </c>
      <c r="AE547" s="11">
        <v>15</v>
      </c>
      <c r="AF547" s="11">
        <v>14</v>
      </c>
      <c r="AG547" s="11">
        <v>14</v>
      </c>
      <c r="AH547" s="11">
        <v>14</v>
      </c>
    </row>
    <row r="548" spans="1:34" s="33" customFormat="1" x14ac:dyDescent="0.2">
      <c r="A548" s="11">
        <v>676</v>
      </c>
      <c r="B548" s="11"/>
      <c r="C548" s="11"/>
      <c r="D548" s="11"/>
      <c r="E548" s="11"/>
      <c r="F548" s="11" t="s">
        <v>51</v>
      </c>
      <c r="G548" s="11" t="s">
        <v>51</v>
      </c>
      <c r="H548" s="56" t="str">
        <f>VLOOKUP(Table6[[#This Row],[ICD Code]],ICD_summary!$I$3:$M$38,5,0)</f>
        <v>Misc/Other</v>
      </c>
      <c r="I548" s="12">
        <v>71.7</v>
      </c>
      <c r="J5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48" s="11" t="s">
        <v>52</v>
      </c>
      <c r="L548" s="11"/>
      <c r="M548" s="11"/>
      <c r="N548" s="11">
        <v>27.167000000000002</v>
      </c>
      <c r="O548" s="11">
        <v>24.486000000000001</v>
      </c>
      <c r="P548" s="11">
        <v>51.087000000000003</v>
      </c>
      <c r="Q548" s="11">
        <v>52.017000000000003</v>
      </c>
      <c r="R548" s="11">
        <v>57.527000000000001</v>
      </c>
      <c r="S548" s="11">
        <v>57.68</v>
      </c>
      <c r="T548" s="11">
        <v>134.21600000000001</v>
      </c>
      <c r="U548" s="11">
        <v>132.65</v>
      </c>
      <c r="V548" s="11">
        <v>67.197000000000003</v>
      </c>
      <c r="W548" s="11">
        <v>63.731999999999999</v>
      </c>
      <c r="X548" s="11">
        <v>32.802999999999997</v>
      </c>
      <c r="Y548" s="11">
        <v>36.268000000000001</v>
      </c>
      <c r="Z548" s="11">
        <v>15.756</v>
      </c>
      <c r="AA548" s="11">
        <v>15.079000000000001</v>
      </c>
      <c r="AB548" s="11">
        <v>36.268000000000001</v>
      </c>
      <c r="AC548" s="11">
        <v>32.802999999999997</v>
      </c>
      <c r="AD548" s="11">
        <v>9.0820000000000007</v>
      </c>
      <c r="AE548" s="11">
        <v>16</v>
      </c>
      <c r="AF548" s="11">
        <v>15</v>
      </c>
      <c r="AG548" s="11">
        <v>15</v>
      </c>
      <c r="AH548" s="11">
        <v>15</v>
      </c>
    </row>
    <row r="549" spans="1:34" s="33" customFormat="1" x14ac:dyDescent="0.2">
      <c r="A549" s="11">
        <v>677</v>
      </c>
      <c r="B549" s="11"/>
      <c r="C549" s="11"/>
      <c r="D549" s="11"/>
      <c r="E549" s="11"/>
      <c r="F549" s="11" t="s">
        <v>51</v>
      </c>
      <c r="G549" s="11" t="s">
        <v>51</v>
      </c>
      <c r="H549" s="56" t="str">
        <f>VLOOKUP(Table6[[#This Row],[ICD Code]],ICD_summary!$I$3:$M$38,5,0)</f>
        <v>Misc/Other</v>
      </c>
      <c r="I549" s="12">
        <v>63.2</v>
      </c>
      <c r="J5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9" s="11" t="s">
        <v>52</v>
      </c>
      <c r="L549" s="11"/>
      <c r="M549" s="11"/>
      <c r="N549" s="11">
        <v>53.936999999999998</v>
      </c>
      <c r="O549" s="11">
        <v>54.241999999999997</v>
      </c>
      <c r="P549" s="11">
        <v>108.30500000000001</v>
      </c>
      <c r="Q549" s="11">
        <v>107.7</v>
      </c>
      <c r="R549" s="11">
        <v>93.397999999999996</v>
      </c>
      <c r="S549" s="11">
        <v>93.897999999999996</v>
      </c>
      <c r="T549" s="11">
        <v>103.092</v>
      </c>
      <c r="U549" s="11">
        <v>103.181</v>
      </c>
      <c r="V549" s="11">
        <v>63.651000000000003</v>
      </c>
      <c r="W549" s="11">
        <v>63.838999999999999</v>
      </c>
      <c r="X549" s="11">
        <v>36.348999999999997</v>
      </c>
      <c r="Y549" s="11">
        <v>36.161000000000001</v>
      </c>
      <c r="Z549" s="11">
        <v>13.657</v>
      </c>
      <c r="AA549" s="11">
        <v>13.965999999999999</v>
      </c>
      <c r="AB549" s="11">
        <v>36.161000000000001</v>
      </c>
      <c r="AC549" s="11">
        <v>36.348999999999997</v>
      </c>
      <c r="AD549" s="11">
        <v>7.7919999999999998</v>
      </c>
      <c r="AE549" s="11">
        <v>10</v>
      </c>
      <c r="AF549" s="11">
        <v>8</v>
      </c>
      <c r="AG549" s="11">
        <v>8</v>
      </c>
      <c r="AH549" s="11">
        <v>8</v>
      </c>
    </row>
    <row r="550" spans="1:34" s="33" customFormat="1" x14ac:dyDescent="0.2">
      <c r="A550" s="11">
        <v>678</v>
      </c>
      <c r="B550" s="11"/>
      <c r="C550" s="11"/>
      <c r="D550" s="11"/>
      <c r="E550" s="11"/>
      <c r="F550" s="11" t="s">
        <v>102</v>
      </c>
      <c r="G550" s="11" t="s">
        <v>103</v>
      </c>
      <c r="H550" s="56" t="str">
        <f>VLOOKUP(Table6[[#This Row],[ICD Code]],ICD_summary!$I$3:$M$38,5,0)</f>
        <v>Gait, other abnormalities</v>
      </c>
      <c r="I550" s="12">
        <v>73.400000000000006</v>
      </c>
      <c r="J5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0" s="11" t="s">
        <v>52</v>
      </c>
      <c r="L550" s="11"/>
      <c r="M550" s="11"/>
      <c r="N550" s="11">
        <v>24.012</v>
      </c>
      <c r="O550" s="11">
        <v>20.741</v>
      </c>
      <c r="P550" s="11">
        <v>44.570999999999998</v>
      </c>
      <c r="Q550" s="11">
        <v>45.273000000000003</v>
      </c>
      <c r="R550" s="11">
        <v>40.701999999999998</v>
      </c>
      <c r="S550" s="11">
        <v>41.048000000000002</v>
      </c>
      <c r="T550" s="11">
        <v>108.455</v>
      </c>
      <c r="U550" s="11">
        <v>108.776</v>
      </c>
      <c r="V550" s="11">
        <v>70.299000000000007</v>
      </c>
      <c r="W550" s="11">
        <v>69.718999999999994</v>
      </c>
      <c r="X550" s="11">
        <v>29.701000000000001</v>
      </c>
      <c r="Y550" s="11">
        <v>30.280999999999999</v>
      </c>
      <c r="Z550" s="11">
        <v>21.276</v>
      </c>
      <c r="AA550" s="11">
        <v>18.817</v>
      </c>
      <c r="AB550" s="11">
        <v>30.280999999999999</v>
      </c>
      <c r="AC550" s="11">
        <v>29.701000000000001</v>
      </c>
      <c r="AD550" s="11">
        <v>21.562000000000001</v>
      </c>
      <c r="AE550" s="11">
        <v>23</v>
      </c>
      <c r="AF550" s="11">
        <v>21</v>
      </c>
      <c r="AG550" s="11">
        <v>21</v>
      </c>
      <c r="AH550" s="11">
        <v>21</v>
      </c>
    </row>
    <row r="551" spans="1:34" s="33" customFormat="1" x14ac:dyDescent="0.2">
      <c r="A551" s="11">
        <v>679</v>
      </c>
      <c r="B551" s="11"/>
      <c r="C551" s="11"/>
      <c r="D551" s="11"/>
      <c r="E551" s="11"/>
      <c r="F551" s="11" t="s">
        <v>51</v>
      </c>
      <c r="G551" s="11" t="s">
        <v>51</v>
      </c>
      <c r="H551" s="56" t="str">
        <f>VLOOKUP(Table6[[#This Row],[ICD Code]],ICD_summary!$I$3:$M$38,5,0)</f>
        <v>Misc/Other</v>
      </c>
      <c r="I551" s="12">
        <v>999</v>
      </c>
      <c r="J5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1" s="11" t="s">
        <v>51</v>
      </c>
      <c r="L551" s="11"/>
      <c r="M551" s="11"/>
      <c r="N551" s="11">
        <v>52.048999999999999</v>
      </c>
      <c r="O551" s="11">
        <v>42.981000000000002</v>
      </c>
      <c r="P551" s="11">
        <v>95.763999999999996</v>
      </c>
      <c r="Q551" s="11">
        <v>94.861999999999995</v>
      </c>
      <c r="R551" s="11">
        <v>76.581000000000003</v>
      </c>
      <c r="S551" s="11">
        <v>76.31</v>
      </c>
      <c r="T551" s="11">
        <v>96.052999999999997</v>
      </c>
      <c r="U551" s="11">
        <v>97.15</v>
      </c>
      <c r="V551" s="11">
        <v>66.364000000000004</v>
      </c>
      <c r="W551" s="11">
        <v>66.933999999999997</v>
      </c>
      <c r="X551" s="11">
        <v>33.636000000000003</v>
      </c>
      <c r="Y551" s="11">
        <v>33.066000000000003</v>
      </c>
      <c r="Z551" s="11">
        <v>16.213999999999999</v>
      </c>
      <c r="AA551" s="11">
        <v>17.763999999999999</v>
      </c>
      <c r="AB551" s="11">
        <v>33.066000000000003</v>
      </c>
      <c r="AC551" s="11">
        <v>33.636000000000003</v>
      </c>
      <c r="AD551" s="11">
        <v>9.0559999999999992</v>
      </c>
      <c r="AE551" s="11">
        <v>11</v>
      </c>
      <c r="AF551" s="11">
        <v>11</v>
      </c>
      <c r="AG551" s="11">
        <v>11</v>
      </c>
      <c r="AH551" s="11">
        <v>11</v>
      </c>
    </row>
    <row r="552" spans="1:34" s="33" customFormat="1" x14ac:dyDescent="0.2">
      <c r="A552" s="11">
        <v>680</v>
      </c>
      <c r="B552" s="11"/>
      <c r="C552" s="11"/>
      <c r="D552" s="11"/>
      <c r="E552" s="11"/>
      <c r="F552" s="11" t="s">
        <v>51</v>
      </c>
      <c r="G552" s="11" t="s">
        <v>51</v>
      </c>
      <c r="H552" s="56" t="str">
        <f>VLOOKUP(Table6[[#This Row],[ICD Code]],ICD_summary!$I$3:$M$38,5,0)</f>
        <v>Misc/Other</v>
      </c>
      <c r="I552" s="12">
        <v>999</v>
      </c>
      <c r="J5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2" s="11" t="s">
        <v>51</v>
      </c>
      <c r="L552" s="11"/>
      <c r="M552" s="11"/>
      <c r="N552" s="11">
        <v>46.326999999999998</v>
      </c>
      <c r="O552" s="11">
        <v>47.472000000000001</v>
      </c>
      <c r="P552" s="11">
        <v>94.456000000000003</v>
      </c>
      <c r="Q552" s="11">
        <v>93.695999999999998</v>
      </c>
      <c r="R552" s="11">
        <v>93.228999999999999</v>
      </c>
      <c r="S552" s="11">
        <v>93.165000000000006</v>
      </c>
      <c r="T552" s="11">
        <v>117.636</v>
      </c>
      <c r="U552" s="11">
        <v>118.175</v>
      </c>
      <c r="V552" s="11">
        <v>66.614000000000004</v>
      </c>
      <c r="W552" s="11">
        <v>65.456000000000003</v>
      </c>
      <c r="X552" s="11">
        <v>33.386000000000003</v>
      </c>
      <c r="Y552" s="11">
        <v>34.543999999999997</v>
      </c>
      <c r="Z552" s="11">
        <v>16.561</v>
      </c>
      <c r="AA552" s="11">
        <v>15.244999999999999</v>
      </c>
      <c r="AB552" s="11">
        <v>34.543999999999997</v>
      </c>
      <c r="AC552" s="11">
        <v>33.386000000000003</v>
      </c>
      <c r="AD552" s="11">
        <v>16.78</v>
      </c>
      <c r="AE552" s="11">
        <v>10</v>
      </c>
      <c r="AF552" s="11">
        <v>14</v>
      </c>
      <c r="AG552" s="11">
        <v>10</v>
      </c>
      <c r="AH552" s="11">
        <v>10</v>
      </c>
    </row>
    <row r="553" spans="1:34" s="33" customFormat="1" x14ac:dyDescent="0.2">
      <c r="A553" s="11">
        <v>681</v>
      </c>
      <c r="B553" s="11"/>
      <c r="C553" s="11"/>
      <c r="D553" s="11"/>
      <c r="E553" s="11"/>
      <c r="F553" s="11" t="s">
        <v>72</v>
      </c>
      <c r="G553" s="11" t="s">
        <v>73</v>
      </c>
      <c r="H553" s="56" t="str">
        <f>VLOOKUP(Table6[[#This Row],[ICD Code]],ICD_summary!$I$3:$M$38,5,0)</f>
        <v>Tremor, other</v>
      </c>
      <c r="I553" s="12">
        <v>79.900000000000006</v>
      </c>
      <c r="J5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3" s="11" t="s">
        <v>55</v>
      </c>
      <c r="L553" s="11"/>
      <c r="M553" s="11"/>
      <c r="N553" s="11" t="s">
        <v>51</v>
      </c>
      <c r="O553" s="11" t="s">
        <v>51</v>
      </c>
      <c r="P553" s="11" t="s">
        <v>51</v>
      </c>
      <c r="Q553" s="11" t="s">
        <v>51</v>
      </c>
      <c r="R553" s="11" t="s">
        <v>51</v>
      </c>
      <c r="S553" s="11" t="s">
        <v>51</v>
      </c>
      <c r="T553" s="11" t="s">
        <v>51</v>
      </c>
      <c r="U553" s="11" t="s">
        <v>51</v>
      </c>
      <c r="V553" s="11" t="s">
        <v>51</v>
      </c>
      <c r="W553" s="11" t="s">
        <v>51</v>
      </c>
      <c r="X553" s="11" t="s">
        <v>51</v>
      </c>
      <c r="Y553" s="11" t="s">
        <v>51</v>
      </c>
      <c r="Z553" s="11" t="s">
        <v>51</v>
      </c>
      <c r="AA553" s="11" t="s">
        <v>51</v>
      </c>
      <c r="AB553" s="11" t="s">
        <v>51</v>
      </c>
      <c r="AC553" s="11" t="s">
        <v>51</v>
      </c>
      <c r="AD553" s="11" t="s">
        <v>51</v>
      </c>
      <c r="AE553" s="11" t="s">
        <v>51</v>
      </c>
      <c r="AF553" s="11" t="s">
        <v>51</v>
      </c>
      <c r="AG553" s="11" t="s">
        <v>51</v>
      </c>
      <c r="AH553" s="11" t="s">
        <v>51</v>
      </c>
    </row>
    <row r="554" spans="1:34" s="33" customFormat="1" x14ac:dyDescent="0.2">
      <c r="A554" s="11">
        <v>682</v>
      </c>
      <c r="B554" s="11"/>
      <c r="C554" s="11"/>
      <c r="D554" s="11"/>
      <c r="E554" s="11"/>
      <c r="F554" s="11" t="s">
        <v>68</v>
      </c>
      <c r="G554" s="11" t="s">
        <v>69</v>
      </c>
      <c r="H554" s="56" t="str">
        <f>VLOOKUP(Table6[[#This Row],[ICD Code]],ICD_summary!$I$3:$M$38,5,0)</f>
        <v>Tremor, essential tremor</v>
      </c>
      <c r="I554" s="12">
        <v>83.6</v>
      </c>
      <c r="J5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54" s="11" t="s">
        <v>55</v>
      </c>
      <c r="L554" s="11"/>
      <c r="M554" s="11"/>
      <c r="N554" s="11">
        <v>35.64</v>
      </c>
      <c r="O554" s="11">
        <v>35.524999999999999</v>
      </c>
      <c r="P554" s="11">
        <v>71.353999999999999</v>
      </c>
      <c r="Q554" s="11">
        <v>70.92</v>
      </c>
      <c r="R554" s="11">
        <v>59.792000000000002</v>
      </c>
      <c r="S554" s="11">
        <v>59.927</v>
      </c>
      <c r="T554" s="11">
        <v>100.89</v>
      </c>
      <c r="U554" s="11">
        <v>101.199</v>
      </c>
      <c r="V554" s="11">
        <v>69.567999999999998</v>
      </c>
      <c r="W554" s="11">
        <v>71.453999999999994</v>
      </c>
      <c r="X554" s="11">
        <v>30.431999999999999</v>
      </c>
      <c r="Y554" s="11">
        <v>28.545999999999999</v>
      </c>
      <c r="Z554" s="11">
        <v>19.306999999999999</v>
      </c>
      <c r="AA554" s="11">
        <v>21.524999999999999</v>
      </c>
      <c r="AB554" s="11">
        <v>28.545999999999999</v>
      </c>
      <c r="AC554" s="11">
        <v>30.431999999999999</v>
      </c>
      <c r="AD554" s="11">
        <v>15.042</v>
      </c>
      <c r="AE554" s="11">
        <v>15</v>
      </c>
      <c r="AF554" s="11">
        <v>14</v>
      </c>
      <c r="AG554" s="11">
        <v>14</v>
      </c>
      <c r="AH554" s="11">
        <v>14</v>
      </c>
    </row>
    <row r="555" spans="1:34" s="33" customFormat="1" x14ac:dyDescent="0.2">
      <c r="A555" s="11">
        <v>683</v>
      </c>
      <c r="B555" s="11"/>
      <c r="C555" s="11"/>
      <c r="D555" s="11"/>
      <c r="E555" s="11"/>
      <c r="F555" s="11" t="s">
        <v>62</v>
      </c>
      <c r="G555" s="11" t="s">
        <v>63</v>
      </c>
      <c r="H555" s="56" t="str">
        <f>VLOOKUP(Table6[[#This Row],[ICD Code]],ICD_summary!$I$3:$M$38,5,0)</f>
        <v>PD</v>
      </c>
      <c r="I555" s="12">
        <v>70.2</v>
      </c>
      <c r="J5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5" s="11" t="s">
        <v>52</v>
      </c>
      <c r="L555" s="11"/>
      <c r="M555" s="11"/>
      <c r="N555" s="11">
        <v>73.376000000000005</v>
      </c>
      <c r="O555" s="11">
        <v>71.599000000000004</v>
      </c>
      <c r="P555" s="11">
        <v>145.54599999999999</v>
      </c>
      <c r="Q555" s="11">
        <v>144.97499999999999</v>
      </c>
      <c r="R555" s="11">
        <v>132.73500000000001</v>
      </c>
      <c r="S555" s="11">
        <v>131.035</v>
      </c>
      <c r="T555" s="11">
        <v>107.96</v>
      </c>
      <c r="U555" s="11">
        <v>108.127</v>
      </c>
      <c r="V555" s="11">
        <v>62.368000000000002</v>
      </c>
      <c r="W555" s="11">
        <v>61.262</v>
      </c>
      <c r="X555" s="11">
        <v>37.631999999999998</v>
      </c>
      <c r="Y555" s="11">
        <v>38.738</v>
      </c>
      <c r="Z555" s="11">
        <v>12.744999999999999</v>
      </c>
      <c r="AA555" s="11">
        <v>11.477</v>
      </c>
      <c r="AB555" s="11">
        <v>38.738</v>
      </c>
      <c r="AC555" s="11">
        <v>37.631999999999998</v>
      </c>
      <c r="AD555" s="11">
        <v>9.9939999999999998</v>
      </c>
      <c r="AE555" s="11">
        <v>5</v>
      </c>
      <c r="AF555" s="11">
        <v>10</v>
      </c>
      <c r="AG555" s="11">
        <v>5</v>
      </c>
      <c r="AH555" s="11">
        <v>5</v>
      </c>
    </row>
    <row r="556" spans="1:34" s="33" customFormat="1" x14ac:dyDescent="0.2">
      <c r="A556" s="11">
        <v>684</v>
      </c>
      <c r="B556" s="11"/>
      <c r="C556" s="11"/>
      <c r="D556" s="11"/>
      <c r="E556" s="11"/>
      <c r="F556" s="11" t="s">
        <v>80</v>
      </c>
      <c r="G556" s="11" t="s">
        <v>81</v>
      </c>
      <c r="H556" s="56" t="str">
        <f>VLOOKUP(Table6[[#This Row],[ICD Code]],ICD_summary!$I$3:$M$38,5,0)</f>
        <v>Dystonia, cervical</v>
      </c>
      <c r="I556" s="12">
        <v>69.400000000000006</v>
      </c>
      <c r="J5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56" s="11" t="s">
        <v>55</v>
      </c>
      <c r="L556" s="11"/>
      <c r="M556" s="11"/>
      <c r="N556" s="11">
        <v>52.576000000000001</v>
      </c>
      <c r="O556" s="11">
        <v>49.305999999999997</v>
      </c>
      <c r="P556" s="11">
        <v>102.276</v>
      </c>
      <c r="Q556" s="11">
        <v>102.36799999999999</v>
      </c>
      <c r="R556" s="11">
        <v>93.739000000000004</v>
      </c>
      <c r="S556" s="11">
        <v>93.239000000000004</v>
      </c>
      <c r="T556" s="11">
        <v>109.562</v>
      </c>
      <c r="U556" s="11">
        <v>109.34099999999999</v>
      </c>
      <c r="V556" s="11">
        <v>63.804000000000002</v>
      </c>
      <c r="W556" s="11">
        <v>62.866</v>
      </c>
      <c r="X556" s="11">
        <v>36.195999999999998</v>
      </c>
      <c r="Y556" s="11">
        <v>37.134</v>
      </c>
      <c r="Z556" s="11">
        <v>13.178000000000001</v>
      </c>
      <c r="AA556" s="11">
        <v>13.951000000000001</v>
      </c>
      <c r="AB556" s="11">
        <v>37.134</v>
      </c>
      <c r="AC556" s="11">
        <v>36.195999999999998</v>
      </c>
      <c r="AD556" s="11">
        <v>8.35</v>
      </c>
      <c r="AE556" s="11">
        <v>12</v>
      </c>
      <c r="AF556" s="11">
        <v>13</v>
      </c>
      <c r="AG556" s="11">
        <v>12</v>
      </c>
      <c r="AH556" s="11">
        <v>12</v>
      </c>
    </row>
    <row r="557" spans="1:34" s="33" customFormat="1" x14ac:dyDescent="0.2">
      <c r="A557" s="11">
        <v>685</v>
      </c>
      <c r="B557" s="11"/>
      <c r="C557" s="11"/>
      <c r="D557" s="11"/>
      <c r="E557" s="11"/>
      <c r="F557" s="11" t="s">
        <v>51</v>
      </c>
      <c r="G557" s="11" t="s">
        <v>51</v>
      </c>
      <c r="H557" s="56" t="str">
        <f>VLOOKUP(Table6[[#This Row],[ICD Code]],ICD_summary!$I$3:$M$38,5,0)</f>
        <v>Misc/Other</v>
      </c>
      <c r="I557" s="12">
        <v>999</v>
      </c>
      <c r="J5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7" s="11" t="s">
        <v>51</v>
      </c>
      <c r="L557" s="11"/>
      <c r="M557" s="11"/>
      <c r="N557" s="11">
        <v>17.933</v>
      </c>
      <c r="O557" s="11">
        <v>25.247</v>
      </c>
      <c r="P557" s="11">
        <v>43.523000000000003</v>
      </c>
      <c r="Q557" s="11">
        <v>42.613</v>
      </c>
      <c r="R557" s="11">
        <v>38.877000000000002</v>
      </c>
      <c r="S557" s="11">
        <v>38.246000000000002</v>
      </c>
      <c r="T557" s="11">
        <v>107.28</v>
      </c>
      <c r="U557" s="11">
        <v>107.91800000000001</v>
      </c>
      <c r="V557" s="11">
        <v>69.524000000000001</v>
      </c>
      <c r="W557" s="11">
        <v>67.132000000000005</v>
      </c>
      <c r="X557" s="11">
        <v>30.477</v>
      </c>
      <c r="Y557" s="11">
        <v>32.868000000000002</v>
      </c>
      <c r="Z557" s="11">
        <v>17.332999999999998</v>
      </c>
      <c r="AA557" s="11">
        <v>19.777999999999999</v>
      </c>
      <c r="AB557" s="11">
        <v>32.868000000000002</v>
      </c>
      <c r="AC557" s="11">
        <v>30.477</v>
      </c>
      <c r="AD557" s="11">
        <v>12.744</v>
      </c>
      <c r="AE557" s="11">
        <v>18</v>
      </c>
      <c r="AF557" s="11">
        <v>17</v>
      </c>
      <c r="AG557" s="11">
        <v>17</v>
      </c>
      <c r="AH557" s="11">
        <v>17</v>
      </c>
    </row>
    <row r="558" spans="1:34" s="33" customFormat="1" x14ac:dyDescent="0.2">
      <c r="A558" s="11">
        <v>686</v>
      </c>
      <c r="B558" s="11"/>
      <c r="C558" s="11"/>
      <c r="D558" s="11"/>
      <c r="E558" s="11"/>
      <c r="F558" s="11" t="s">
        <v>62</v>
      </c>
      <c r="G558" s="11" t="s">
        <v>63</v>
      </c>
      <c r="H558" s="56" t="str">
        <f>VLOOKUP(Table6[[#This Row],[ICD Code]],ICD_summary!$I$3:$M$38,5,0)</f>
        <v>PD</v>
      </c>
      <c r="I558" s="12">
        <v>77.2</v>
      </c>
      <c r="J5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8" s="11" t="s">
        <v>55</v>
      </c>
      <c r="L558" s="11"/>
      <c r="M558" s="11"/>
      <c r="N558" s="11">
        <v>40.957000000000001</v>
      </c>
      <c r="O558" s="11">
        <v>38.142000000000003</v>
      </c>
      <c r="P558" s="11">
        <v>78.727000000000004</v>
      </c>
      <c r="Q558" s="11">
        <v>79.162999999999997</v>
      </c>
      <c r="R558" s="11">
        <v>62.633000000000003</v>
      </c>
      <c r="S558" s="11">
        <v>61.981999999999999</v>
      </c>
      <c r="T558" s="11">
        <v>94.686000000000007</v>
      </c>
      <c r="U558" s="11">
        <v>94.201999999999998</v>
      </c>
      <c r="V558" s="11">
        <v>67.721999999999994</v>
      </c>
      <c r="W558" s="11">
        <v>64.884</v>
      </c>
      <c r="X558" s="11">
        <v>32.277999999999999</v>
      </c>
      <c r="Y558" s="11">
        <v>35.116</v>
      </c>
      <c r="Z558" s="11">
        <v>14.385999999999999</v>
      </c>
      <c r="AA558" s="11">
        <v>18.573</v>
      </c>
      <c r="AB558" s="11">
        <v>35.116</v>
      </c>
      <c r="AC558" s="11">
        <v>32.277999999999999</v>
      </c>
      <c r="AD558" s="11">
        <v>11.272</v>
      </c>
      <c r="AE558" s="11">
        <v>15</v>
      </c>
      <c r="AF558" s="11">
        <v>15</v>
      </c>
      <c r="AG558" s="11">
        <v>15</v>
      </c>
      <c r="AH558" s="11">
        <v>15</v>
      </c>
    </row>
    <row r="559" spans="1:34" s="33" customFormat="1" x14ac:dyDescent="0.2">
      <c r="A559" s="11">
        <v>687</v>
      </c>
      <c r="B559" s="11"/>
      <c r="C559" s="11"/>
      <c r="D559" s="11"/>
      <c r="E559" s="11"/>
      <c r="F559" s="11" t="s">
        <v>62</v>
      </c>
      <c r="G559" s="11" t="s">
        <v>63</v>
      </c>
      <c r="H559" s="56" t="str">
        <f>VLOOKUP(Table6[[#This Row],[ICD Code]],ICD_summary!$I$3:$M$38,5,0)</f>
        <v>PD</v>
      </c>
      <c r="I559" s="12">
        <v>68.2</v>
      </c>
      <c r="J5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59" s="11" t="s">
        <v>55</v>
      </c>
      <c r="L559" s="11"/>
      <c r="M559" s="11"/>
      <c r="N559" s="11">
        <v>40.165999999999997</v>
      </c>
      <c r="O559" s="11">
        <v>32.773000000000003</v>
      </c>
      <c r="P559" s="11">
        <v>72.641999999999996</v>
      </c>
      <c r="Q559" s="11">
        <v>72.921999999999997</v>
      </c>
      <c r="R559" s="11">
        <v>64.793000000000006</v>
      </c>
      <c r="S559" s="11">
        <v>64.486000000000004</v>
      </c>
      <c r="T559" s="11">
        <v>106.51900000000001</v>
      </c>
      <c r="U559" s="11">
        <v>105.889</v>
      </c>
      <c r="V559" s="11">
        <v>64.096000000000004</v>
      </c>
      <c r="W559" s="11">
        <v>66.918000000000006</v>
      </c>
      <c r="X559" s="11">
        <v>35.904000000000003</v>
      </c>
      <c r="Y559" s="11">
        <v>33.082000000000001</v>
      </c>
      <c r="Z559" s="11">
        <v>15.81</v>
      </c>
      <c r="AA559" s="11">
        <v>16.007999999999999</v>
      </c>
      <c r="AB559" s="11">
        <v>33.082000000000001</v>
      </c>
      <c r="AC559" s="11">
        <v>35.904000000000003</v>
      </c>
      <c r="AD559" s="11">
        <v>8.1620000000000008</v>
      </c>
      <c r="AE559" s="11">
        <v>16</v>
      </c>
      <c r="AF559" s="11">
        <v>16</v>
      </c>
      <c r="AG559" s="11">
        <v>16</v>
      </c>
      <c r="AH559" s="11">
        <v>16</v>
      </c>
    </row>
    <row r="560" spans="1:34" s="33" customFormat="1" x14ac:dyDescent="0.2">
      <c r="A560" s="11">
        <v>688</v>
      </c>
      <c r="B560" s="11"/>
      <c r="C560" s="11"/>
      <c r="D560" s="11"/>
      <c r="E560" s="11"/>
      <c r="F560" s="11" t="s">
        <v>62</v>
      </c>
      <c r="G560" s="11" t="s">
        <v>63</v>
      </c>
      <c r="H560" s="56" t="str">
        <f>VLOOKUP(Table6[[#This Row],[ICD Code]],ICD_summary!$I$3:$M$38,5,0)</f>
        <v>PD</v>
      </c>
      <c r="I560" s="12">
        <v>56.4</v>
      </c>
      <c r="J5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60" s="11" t="s">
        <v>55</v>
      </c>
      <c r="L560" s="11"/>
      <c r="M560" s="11"/>
      <c r="N560" s="11" t="s">
        <v>51</v>
      </c>
      <c r="O560" s="11" t="s">
        <v>51</v>
      </c>
      <c r="P560" s="11" t="s">
        <v>51</v>
      </c>
      <c r="Q560" s="11" t="s">
        <v>51</v>
      </c>
      <c r="R560" s="11" t="s">
        <v>51</v>
      </c>
      <c r="S560" s="11" t="s">
        <v>51</v>
      </c>
      <c r="T560" s="11" t="s">
        <v>51</v>
      </c>
      <c r="U560" s="11" t="s">
        <v>51</v>
      </c>
      <c r="V560" s="11" t="s">
        <v>51</v>
      </c>
      <c r="W560" s="11" t="s">
        <v>51</v>
      </c>
      <c r="X560" s="11" t="s">
        <v>51</v>
      </c>
      <c r="Y560" s="11" t="s">
        <v>51</v>
      </c>
      <c r="Z560" s="11" t="s">
        <v>51</v>
      </c>
      <c r="AA560" s="11" t="s">
        <v>51</v>
      </c>
      <c r="AB560" s="11" t="s">
        <v>51</v>
      </c>
      <c r="AC560" s="11" t="s">
        <v>51</v>
      </c>
      <c r="AD560" s="11" t="s">
        <v>51</v>
      </c>
      <c r="AE560" s="11" t="s">
        <v>51</v>
      </c>
      <c r="AF560" s="11" t="s">
        <v>51</v>
      </c>
      <c r="AG560" s="11" t="s">
        <v>51</v>
      </c>
      <c r="AH560" s="11" t="s">
        <v>51</v>
      </c>
    </row>
    <row r="561" spans="1:34" s="33" customFormat="1" x14ac:dyDescent="0.2">
      <c r="A561" s="11">
        <v>689</v>
      </c>
      <c r="B561" s="11"/>
      <c r="C561" s="11"/>
      <c r="D561" s="11"/>
      <c r="E561" s="11"/>
      <c r="F561" s="11" t="s">
        <v>62</v>
      </c>
      <c r="G561" s="11" t="s">
        <v>63</v>
      </c>
      <c r="H561" s="56" t="str">
        <f>VLOOKUP(Table6[[#This Row],[ICD Code]],ICD_summary!$I$3:$M$38,5,0)</f>
        <v>PD</v>
      </c>
      <c r="I561" s="12">
        <v>65.099999999999994</v>
      </c>
      <c r="J5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1" s="11" t="s">
        <v>52</v>
      </c>
      <c r="L561" s="11"/>
      <c r="M561" s="11"/>
      <c r="N561" s="11">
        <v>50.454999999999998</v>
      </c>
      <c r="O561" s="11">
        <v>53.674999999999997</v>
      </c>
      <c r="P561" s="11">
        <v>104.358</v>
      </c>
      <c r="Q561" s="11">
        <v>103.279</v>
      </c>
      <c r="R561" s="11">
        <v>84.363</v>
      </c>
      <c r="S561" s="11">
        <v>84.408000000000001</v>
      </c>
      <c r="T561" s="11">
        <v>95.683000000000007</v>
      </c>
      <c r="U561" s="11">
        <v>97.691999999999993</v>
      </c>
      <c r="V561" s="11">
        <v>66.040000000000006</v>
      </c>
      <c r="W561" s="11">
        <v>64.052000000000007</v>
      </c>
      <c r="X561" s="11">
        <v>33.96</v>
      </c>
      <c r="Y561" s="11">
        <v>35.948</v>
      </c>
      <c r="Z561" s="11">
        <v>15.111000000000001</v>
      </c>
      <c r="AA561" s="11">
        <v>14.683999999999999</v>
      </c>
      <c r="AB561" s="11">
        <v>35.948</v>
      </c>
      <c r="AC561" s="11">
        <v>33.96</v>
      </c>
      <c r="AD561" s="11">
        <v>12.18</v>
      </c>
      <c r="AE561" s="11">
        <v>12</v>
      </c>
      <c r="AF561" s="11">
        <v>12</v>
      </c>
      <c r="AG561" s="11">
        <v>12</v>
      </c>
      <c r="AH561" s="11">
        <v>12</v>
      </c>
    </row>
    <row r="562" spans="1:34" s="33" customFormat="1" x14ac:dyDescent="0.2">
      <c r="A562" s="11">
        <v>690</v>
      </c>
      <c r="B562" s="11"/>
      <c r="C562" s="11"/>
      <c r="D562" s="11"/>
      <c r="E562" s="11"/>
      <c r="F562" s="11" t="s">
        <v>62</v>
      </c>
      <c r="G562" s="11" t="s">
        <v>63</v>
      </c>
      <c r="H562" s="56" t="str">
        <f>VLOOKUP(Table6[[#This Row],[ICD Code]],ICD_summary!$I$3:$M$38,5,0)</f>
        <v>PD</v>
      </c>
      <c r="I562" s="12">
        <v>66.599999999999994</v>
      </c>
      <c r="J5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2" s="11" t="s">
        <v>55</v>
      </c>
      <c r="L562" s="11"/>
      <c r="M562" s="11"/>
      <c r="N562" s="11" t="s">
        <v>51</v>
      </c>
      <c r="O562" s="11" t="s">
        <v>51</v>
      </c>
      <c r="P562" s="11" t="s">
        <v>51</v>
      </c>
      <c r="Q562" s="11" t="s">
        <v>51</v>
      </c>
      <c r="R562" s="11" t="s">
        <v>51</v>
      </c>
      <c r="S562" s="11" t="s">
        <v>51</v>
      </c>
      <c r="T562" s="11" t="s">
        <v>51</v>
      </c>
      <c r="U562" s="11" t="s">
        <v>51</v>
      </c>
      <c r="V562" s="11" t="s">
        <v>51</v>
      </c>
      <c r="W562" s="11" t="s">
        <v>51</v>
      </c>
      <c r="X562" s="11" t="s">
        <v>51</v>
      </c>
      <c r="Y562" s="11" t="s">
        <v>51</v>
      </c>
      <c r="Z562" s="11" t="s">
        <v>51</v>
      </c>
      <c r="AA562" s="11" t="s">
        <v>51</v>
      </c>
      <c r="AB562" s="11" t="s">
        <v>51</v>
      </c>
      <c r="AC562" s="11" t="s">
        <v>51</v>
      </c>
      <c r="AD562" s="11" t="s">
        <v>51</v>
      </c>
      <c r="AE562" s="11" t="s">
        <v>51</v>
      </c>
      <c r="AF562" s="11" t="s">
        <v>51</v>
      </c>
      <c r="AG562" s="11" t="s">
        <v>51</v>
      </c>
      <c r="AH562" s="11" t="s">
        <v>51</v>
      </c>
    </row>
    <row r="563" spans="1:34" s="33" customFormat="1" x14ac:dyDescent="0.2">
      <c r="A563" s="11">
        <v>691</v>
      </c>
      <c r="B563" s="11"/>
      <c r="C563" s="11"/>
      <c r="D563" s="11"/>
      <c r="E563" s="11"/>
      <c r="F563" s="11" t="s">
        <v>104</v>
      </c>
      <c r="G563" s="11" t="s">
        <v>105</v>
      </c>
      <c r="H563" s="56" t="str">
        <f>VLOOKUP(Table6[[#This Row],[ICD Code]],ICD_summary!$I$3:$M$38,5,0)</f>
        <v>Misc/Other</v>
      </c>
      <c r="I563" s="12">
        <v>66.099999999999994</v>
      </c>
      <c r="J5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3" s="11" t="s">
        <v>52</v>
      </c>
      <c r="L563" s="11"/>
      <c r="M563" s="11"/>
      <c r="N563" s="11">
        <v>58.752000000000002</v>
      </c>
      <c r="O563" s="11">
        <v>54.978999999999999</v>
      </c>
      <c r="P563" s="11">
        <v>114.42700000000001</v>
      </c>
      <c r="Q563" s="11">
        <v>113.369</v>
      </c>
      <c r="R563" s="11">
        <v>105.84699999999999</v>
      </c>
      <c r="S563" s="11">
        <v>105.476</v>
      </c>
      <c r="T563" s="11">
        <v>110.59</v>
      </c>
      <c r="U563" s="11">
        <v>111.328</v>
      </c>
      <c r="V563" s="11">
        <v>62.290999999999997</v>
      </c>
      <c r="W563" s="11">
        <v>62.606000000000002</v>
      </c>
      <c r="X563" s="11">
        <v>37.709000000000003</v>
      </c>
      <c r="Y563" s="11">
        <v>37.393999999999998</v>
      </c>
      <c r="Z563" s="11">
        <v>13.565</v>
      </c>
      <c r="AA563" s="11">
        <v>11.742000000000001</v>
      </c>
      <c r="AB563" s="11">
        <v>37.393999999999998</v>
      </c>
      <c r="AC563" s="11">
        <v>37.709000000000003</v>
      </c>
      <c r="AD563" s="11">
        <v>17.585999999999999</v>
      </c>
      <c r="AE563" s="11">
        <v>9</v>
      </c>
      <c r="AF563" s="11">
        <v>10</v>
      </c>
      <c r="AG563" s="11">
        <v>9</v>
      </c>
      <c r="AH563" s="11">
        <v>9</v>
      </c>
    </row>
    <row r="564" spans="1:34" s="33" customFormat="1" x14ac:dyDescent="0.2">
      <c r="A564" s="11">
        <v>692</v>
      </c>
      <c r="B564" s="11"/>
      <c r="C564" s="11"/>
      <c r="D564" s="11"/>
      <c r="E564" s="11"/>
      <c r="F564" s="11" t="s">
        <v>68</v>
      </c>
      <c r="G564" s="11" t="s">
        <v>69</v>
      </c>
      <c r="H564" s="56" t="str">
        <f>VLOOKUP(Table6[[#This Row],[ICD Code]],ICD_summary!$I$3:$M$38,5,0)</f>
        <v>Tremor, essential tremor</v>
      </c>
      <c r="I564" s="12">
        <v>70.3</v>
      </c>
      <c r="J5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4" s="11" t="s">
        <v>55</v>
      </c>
      <c r="L564" s="11"/>
      <c r="M564" s="11"/>
      <c r="N564" s="11" t="s">
        <v>51</v>
      </c>
      <c r="O564" s="11" t="s">
        <v>51</v>
      </c>
      <c r="P564" s="11" t="s">
        <v>51</v>
      </c>
      <c r="Q564" s="11" t="s">
        <v>51</v>
      </c>
      <c r="R564" s="11" t="s">
        <v>51</v>
      </c>
      <c r="S564" s="11" t="s">
        <v>51</v>
      </c>
      <c r="T564" s="11" t="s">
        <v>51</v>
      </c>
      <c r="U564" s="11" t="s">
        <v>51</v>
      </c>
      <c r="V564" s="11" t="s">
        <v>51</v>
      </c>
      <c r="W564" s="11" t="s">
        <v>51</v>
      </c>
      <c r="X564" s="11" t="s">
        <v>51</v>
      </c>
      <c r="Y564" s="11" t="s">
        <v>51</v>
      </c>
      <c r="Z564" s="11" t="s">
        <v>51</v>
      </c>
      <c r="AA564" s="11" t="s">
        <v>51</v>
      </c>
      <c r="AB564" s="11" t="s">
        <v>51</v>
      </c>
      <c r="AC564" s="11" t="s">
        <v>51</v>
      </c>
      <c r="AD564" s="11" t="s">
        <v>51</v>
      </c>
      <c r="AE564" s="11" t="s">
        <v>51</v>
      </c>
      <c r="AF564" s="11" t="s">
        <v>51</v>
      </c>
      <c r="AG564" s="11" t="s">
        <v>51</v>
      </c>
      <c r="AH564" s="11" t="s">
        <v>51</v>
      </c>
    </row>
    <row r="565" spans="1:34" s="33" customFormat="1" x14ac:dyDescent="0.2">
      <c r="A565" s="11">
        <v>693</v>
      </c>
      <c r="B565" s="11"/>
      <c r="C565" s="11"/>
      <c r="D565" s="11"/>
      <c r="E565" s="11"/>
      <c r="F565" s="11" t="s">
        <v>51</v>
      </c>
      <c r="G565" s="11" t="s">
        <v>51</v>
      </c>
      <c r="H565" s="56" t="str">
        <f>VLOOKUP(Table6[[#This Row],[ICD Code]],ICD_summary!$I$3:$M$38,5,0)</f>
        <v>Misc/Other</v>
      </c>
      <c r="I565" s="12">
        <v>71.2</v>
      </c>
      <c r="J5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5" s="11" t="s">
        <v>52</v>
      </c>
      <c r="L565" s="11"/>
      <c r="M565" s="11"/>
      <c r="N565" s="11" t="s">
        <v>51</v>
      </c>
      <c r="O565" s="11" t="s">
        <v>51</v>
      </c>
      <c r="P565" s="11" t="s">
        <v>51</v>
      </c>
      <c r="Q565" s="11" t="s">
        <v>51</v>
      </c>
      <c r="R565" s="11" t="s">
        <v>51</v>
      </c>
      <c r="S565" s="11" t="s">
        <v>51</v>
      </c>
      <c r="T565" s="11" t="s">
        <v>51</v>
      </c>
      <c r="U565" s="11" t="s">
        <v>51</v>
      </c>
      <c r="V565" s="11" t="s">
        <v>51</v>
      </c>
      <c r="W565" s="11" t="s">
        <v>51</v>
      </c>
      <c r="X565" s="11" t="s">
        <v>51</v>
      </c>
      <c r="Y565" s="11" t="s">
        <v>51</v>
      </c>
      <c r="Z565" s="11" t="s">
        <v>51</v>
      </c>
      <c r="AA565" s="11" t="s">
        <v>51</v>
      </c>
      <c r="AB565" s="11" t="s">
        <v>51</v>
      </c>
      <c r="AC565" s="11" t="s">
        <v>51</v>
      </c>
      <c r="AD565" s="11" t="s">
        <v>51</v>
      </c>
      <c r="AE565" s="11" t="s">
        <v>51</v>
      </c>
      <c r="AF565" s="11" t="s">
        <v>51</v>
      </c>
      <c r="AG565" s="11" t="s">
        <v>51</v>
      </c>
      <c r="AH565" s="11" t="s">
        <v>51</v>
      </c>
    </row>
    <row r="566" spans="1:34" s="33" customFormat="1" x14ac:dyDescent="0.2">
      <c r="A566" s="11">
        <v>694</v>
      </c>
      <c r="B566" s="11"/>
      <c r="C566" s="11"/>
      <c r="D566" s="11"/>
      <c r="E566" s="11"/>
      <c r="F566" s="11" t="s">
        <v>62</v>
      </c>
      <c r="G566" s="11" t="s">
        <v>63</v>
      </c>
      <c r="H566" s="56" t="str">
        <f>VLOOKUP(Table6[[#This Row],[ICD Code]],ICD_summary!$I$3:$M$38,5,0)</f>
        <v>PD</v>
      </c>
      <c r="I566" s="12">
        <v>65.3</v>
      </c>
      <c r="J5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6" s="11" t="s">
        <v>52</v>
      </c>
      <c r="L566" s="11"/>
      <c r="M566" s="11"/>
      <c r="N566" s="11">
        <v>45.411999999999999</v>
      </c>
      <c r="O566" s="11">
        <v>62.674999999999997</v>
      </c>
      <c r="P566" s="11">
        <v>108.248</v>
      </c>
      <c r="Q566" s="11">
        <v>108.633</v>
      </c>
      <c r="R566" s="11">
        <v>83.222999999999999</v>
      </c>
      <c r="S566" s="11">
        <v>83.28</v>
      </c>
      <c r="T566" s="11">
        <v>92.158000000000001</v>
      </c>
      <c r="U566" s="11">
        <v>91.521000000000001</v>
      </c>
      <c r="V566" s="11">
        <v>65.388000000000005</v>
      </c>
      <c r="W566" s="11">
        <v>69.911000000000001</v>
      </c>
      <c r="X566" s="11">
        <v>34.612000000000002</v>
      </c>
      <c r="Y566" s="11">
        <v>30.088999999999999</v>
      </c>
      <c r="Z566" s="11">
        <v>17.795000000000002</v>
      </c>
      <c r="AA566" s="11">
        <v>17.431999999999999</v>
      </c>
      <c r="AB566" s="11">
        <v>30.088999999999999</v>
      </c>
      <c r="AC566" s="11">
        <v>34.612000000000002</v>
      </c>
      <c r="AD566" s="11">
        <v>13.4</v>
      </c>
      <c r="AE566" s="11">
        <v>11</v>
      </c>
      <c r="AF566" s="11">
        <v>11</v>
      </c>
      <c r="AG566" s="11">
        <v>11</v>
      </c>
      <c r="AH566" s="11">
        <v>11</v>
      </c>
    </row>
    <row r="567" spans="1:34" s="33" customFormat="1" x14ac:dyDescent="0.2">
      <c r="A567" s="11">
        <v>695</v>
      </c>
      <c r="B567" s="11"/>
      <c r="C567" s="11"/>
      <c r="D567" s="11"/>
      <c r="E567" s="11"/>
      <c r="F567" s="11" t="s">
        <v>62</v>
      </c>
      <c r="G567" s="11" t="s">
        <v>63</v>
      </c>
      <c r="H567" s="56" t="str">
        <f>VLOOKUP(Table6[[#This Row],[ICD Code]],ICD_summary!$I$3:$M$38,5,0)</f>
        <v>PD</v>
      </c>
      <c r="I567" s="12">
        <v>48.7</v>
      </c>
      <c r="J5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67" s="11" t="s">
        <v>52</v>
      </c>
      <c r="L567" s="11"/>
      <c r="M567" s="11"/>
      <c r="N567" s="11">
        <v>21.760999999999999</v>
      </c>
      <c r="O567" s="11">
        <v>46.603000000000002</v>
      </c>
      <c r="P567" s="11">
        <v>68.200999999999993</v>
      </c>
      <c r="Q567" s="11">
        <v>68.408000000000001</v>
      </c>
      <c r="R567" s="11">
        <v>72.346000000000004</v>
      </c>
      <c r="S567" s="11">
        <v>71.849000000000004</v>
      </c>
      <c r="T567" s="11">
        <v>124.595</v>
      </c>
      <c r="U567" s="11">
        <v>125.17</v>
      </c>
      <c r="V567" s="11">
        <v>66.19</v>
      </c>
      <c r="W567" s="11">
        <v>61.832000000000001</v>
      </c>
      <c r="X567" s="11">
        <v>33.81</v>
      </c>
      <c r="Y567" s="11">
        <v>38.167999999999999</v>
      </c>
      <c r="Z567" s="11">
        <v>12.874000000000001</v>
      </c>
      <c r="AA567" s="11">
        <v>14.249000000000001</v>
      </c>
      <c r="AB567" s="11">
        <v>38.167999999999999</v>
      </c>
      <c r="AC567" s="11">
        <v>33.81</v>
      </c>
      <c r="AD567" s="11">
        <v>13.99</v>
      </c>
      <c r="AE567" s="11">
        <v>18</v>
      </c>
      <c r="AF567" s="11">
        <v>17</v>
      </c>
      <c r="AG567" s="11">
        <v>17</v>
      </c>
      <c r="AH567" s="11">
        <v>17</v>
      </c>
    </row>
    <row r="568" spans="1:34" s="33" customFormat="1" x14ac:dyDescent="0.2">
      <c r="A568" s="11">
        <v>696</v>
      </c>
      <c r="B568" s="11"/>
      <c r="C568" s="11"/>
      <c r="D568" s="11"/>
      <c r="E568" s="11"/>
      <c r="F568" s="11" t="s">
        <v>64</v>
      </c>
      <c r="G568" s="11" t="s">
        <v>65</v>
      </c>
      <c r="H568" s="56" t="str">
        <f>VLOOKUP(Table6[[#This Row],[ICD Code]],ICD_summary!$I$3:$M$38,5,0)</f>
        <v>Gait, other abnormalities</v>
      </c>
      <c r="I568" s="12">
        <v>85.6</v>
      </c>
      <c r="J5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68" s="11" t="s">
        <v>52</v>
      </c>
      <c r="L568" s="11"/>
      <c r="M568" s="11"/>
      <c r="N568" s="11">
        <v>43.634</v>
      </c>
      <c r="O568" s="11">
        <v>37.85</v>
      </c>
      <c r="P568" s="11">
        <v>81.447999999999993</v>
      </c>
      <c r="Q568" s="11">
        <v>82.441999999999993</v>
      </c>
      <c r="R568" s="11">
        <v>60.762</v>
      </c>
      <c r="S568" s="11">
        <v>61.393000000000001</v>
      </c>
      <c r="T568" s="11">
        <v>89.644999999999996</v>
      </c>
      <c r="U568" s="11">
        <v>89.619</v>
      </c>
      <c r="V568" s="11">
        <v>66.56</v>
      </c>
      <c r="W568" s="11">
        <v>70.391000000000005</v>
      </c>
      <c r="X568" s="11">
        <v>33.44</v>
      </c>
      <c r="Y568" s="11">
        <v>29.609000000000002</v>
      </c>
      <c r="Z568" s="11">
        <v>18.896999999999998</v>
      </c>
      <c r="AA568" s="11">
        <v>18.268000000000001</v>
      </c>
      <c r="AB568" s="11">
        <v>29.609000000000002</v>
      </c>
      <c r="AC568" s="11">
        <v>33.44</v>
      </c>
      <c r="AD568" s="11">
        <v>9.5380000000000003</v>
      </c>
      <c r="AE568" s="11">
        <v>13</v>
      </c>
      <c r="AF568" s="11">
        <v>12</v>
      </c>
      <c r="AG568" s="11">
        <v>12</v>
      </c>
      <c r="AH568" s="11">
        <v>12</v>
      </c>
    </row>
    <row r="569" spans="1:34" s="33" customFormat="1" x14ac:dyDescent="0.2">
      <c r="A569" s="11">
        <v>697</v>
      </c>
      <c r="B569" s="11"/>
      <c r="C569" s="11"/>
      <c r="D569" s="11"/>
      <c r="E569" s="11"/>
      <c r="F569" s="11" t="s">
        <v>102</v>
      </c>
      <c r="G569" s="11" t="s">
        <v>103</v>
      </c>
      <c r="H569" s="56" t="str">
        <f>VLOOKUP(Table6[[#This Row],[ICD Code]],ICD_summary!$I$3:$M$38,5,0)</f>
        <v>Gait, other abnormalities</v>
      </c>
      <c r="I569" s="12">
        <v>77</v>
      </c>
      <c r="J5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9" s="11" t="s">
        <v>52</v>
      </c>
      <c r="L569" s="11"/>
      <c r="M569" s="11"/>
      <c r="N569" s="11">
        <v>40.393000000000001</v>
      </c>
      <c r="O569" s="11">
        <v>38.817999999999998</v>
      </c>
      <c r="P569" s="11">
        <v>79.959000000000003</v>
      </c>
      <c r="Q569" s="11">
        <v>78.710999999999999</v>
      </c>
      <c r="R569" s="11">
        <v>67.588999999999999</v>
      </c>
      <c r="S569" s="11">
        <v>67.114999999999995</v>
      </c>
      <c r="T569" s="11">
        <v>101.59099999999999</v>
      </c>
      <c r="U569" s="11">
        <v>101.40300000000001</v>
      </c>
      <c r="V569" s="11">
        <v>66.006</v>
      </c>
      <c r="W569" s="11">
        <v>67.394999999999996</v>
      </c>
      <c r="X569" s="11">
        <v>33.994</v>
      </c>
      <c r="Y569" s="11">
        <v>32.604999999999997</v>
      </c>
      <c r="Z569" s="11">
        <v>15.542999999999999</v>
      </c>
      <c r="AA569" s="11">
        <v>17.375</v>
      </c>
      <c r="AB569" s="11">
        <v>32.604999999999997</v>
      </c>
      <c r="AC569" s="11">
        <v>33.994</v>
      </c>
      <c r="AD569" s="11">
        <v>11.125</v>
      </c>
      <c r="AE569" s="11">
        <v>12</v>
      </c>
      <c r="AF569" s="11">
        <v>13</v>
      </c>
      <c r="AG569" s="11">
        <v>12</v>
      </c>
      <c r="AH569" s="11">
        <v>12</v>
      </c>
    </row>
    <row r="570" spans="1:34" s="33" customFormat="1" x14ac:dyDescent="0.2">
      <c r="A570" s="11">
        <v>698</v>
      </c>
      <c r="B570" s="11"/>
      <c r="C570" s="11"/>
      <c r="D570" s="11"/>
      <c r="E570" s="11"/>
      <c r="F570" s="11" t="s">
        <v>62</v>
      </c>
      <c r="G570" s="11" t="s">
        <v>63</v>
      </c>
      <c r="H570" s="56" t="str">
        <f>VLOOKUP(Table6[[#This Row],[ICD Code]],ICD_summary!$I$3:$M$38,5,0)</f>
        <v>PD</v>
      </c>
      <c r="I570" s="12">
        <v>70.099999999999994</v>
      </c>
      <c r="J5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0" s="11" t="s">
        <v>55</v>
      </c>
      <c r="L570" s="11"/>
      <c r="M570" s="11"/>
      <c r="N570" s="11">
        <v>18.728000000000002</v>
      </c>
      <c r="O570" s="11">
        <v>19.027000000000001</v>
      </c>
      <c r="P570" s="11">
        <v>37.755000000000003</v>
      </c>
      <c r="Q570" s="11">
        <v>38.401000000000003</v>
      </c>
      <c r="R570" s="11">
        <v>30.109000000000002</v>
      </c>
      <c r="S570" s="11">
        <v>30.279</v>
      </c>
      <c r="T570" s="11">
        <v>95.5</v>
      </c>
      <c r="U570" s="11">
        <v>95.3</v>
      </c>
      <c r="V570" s="11">
        <v>74.421000000000006</v>
      </c>
      <c r="W570" s="11">
        <v>74.19</v>
      </c>
      <c r="X570" s="11">
        <v>25.579000000000001</v>
      </c>
      <c r="Y570" s="11">
        <v>25.81</v>
      </c>
      <c r="Z570" s="11">
        <v>21.713000000000001</v>
      </c>
      <c r="AA570" s="11">
        <v>27.562000000000001</v>
      </c>
      <c r="AB570" s="11">
        <v>25.81</v>
      </c>
      <c r="AC570" s="11">
        <v>25.579000000000001</v>
      </c>
      <c r="AD570" s="11">
        <v>16.77</v>
      </c>
      <c r="AE570" s="11">
        <v>14</v>
      </c>
      <c r="AF570" s="11">
        <v>12</v>
      </c>
      <c r="AG570" s="11">
        <v>12</v>
      </c>
      <c r="AH570" s="11">
        <v>12</v>
      </c>
    </row>
    <row r="571" spans="1:34" s="33" customFormat="1" x14ac:dyDescent="0.2">
      <c r="A571" s="11">
        <v>699</v>
      </c>
      <c r="B571" s="11"/>
      <c r="C571" s="11"/>
      <c r="D571" s="11"/>
      <c r="E571" s="11"/>
      <c r="F571" s="11" t="s">
        <v>62</v>
      </c>
      <c r="G571" s="11" t="s">
        <v>63</v>
      </c>
      <c r="H571" s="56" t="str">
        <f>VLOOKUP(Table6[[#This Row],[ICD Code]],ICD_summary!$I$3:$M$38,5,0)</f>
        <v>PD</v>
      </c>
      <c r="I571" s="12">
        <v>74.900000000000006</v>
      </c>
      <c r="J5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1" s="11" t="s">
        <v>52</v>
      </c>
      <c r="L571" s="11"/>
      <c r="M571" s="11"/>
      <c r="N571" s="11">
        <v>61.869</v>
      </c>
      <c r="O571" s="11">
        <v>68.323999999999998</v>
      </c>
      <c r="P571" s="11">
        <v>130.38900000000001</v>
      </c>
      <c r="Q571" s="11">
        <v>129.88399999999999</v>
      </c>
      <c r="R571" s="11">
        <v>115.88500000000001</v>
      </c>
      <c r="S571" s="11">
        <v>115.46299999999999</v>
      </c>
      <c r="T571" s="11">
        <v>105.9</v>
      </c>
      <c r="U571" s="11">
        <v>105.837</v>
      </c>
      <c r="V571" s="11">
        <v>60.784999999999997</v>
      </c>
      <c r="W571" s="11">
        <v>62.088999999999999</v>
      </c>
      <c r="X571" s="11">
        <v>39.215000000000003</v>
      </c>
      <c r="Y571" s="11">
        <v>37.911000000000001</v>
      </c>
      <c r="Z571" s="11">
        <v>11.763999999999999</v>
      </c>
      <c r="AA571" s="11">
        <v>11.302</v>
      </c>
      <c r="AB571" s="11">
        <v>37.911000000000001</v>
      </c>
      <c r="AC571" s="11">
        <v>39.215000000000003</v>
      </c>
      <c r="AD571" s="11">
        <v>9.1039999999999992</v>
      </c>
      <c r="AE571" s="11">
        <v>6</v>
      </c>
      <c r="AF571" s="11">
        <v>10</v>
      </c>
      <c r="AG571" s="11">
        <v>6</v>
      </c>
      <c r="AH571" s="11">
        <v>6</v>
      </c>
    </row>
    <row r="572" spans="1:34" s="33" customFormat="1" x14ac:dyDescent="0.2">
      <c r="A572" s="11">
        <v>700</v>
      </c>
      <c r="B572" s="11"/>
      <c r="C572" s="11"/>
      <c r="D572" s="11"/>
      <c r="E572" s="11"/>
      <c r="F572" s="11" t="s">
        <v>51</v>
      </c>
      <c r="G572" s="11" t="s">
        <v>51</v>
      </c>
      <c r="H572" s="56" t="str">
        <f>VLOOKUP(Table6[[#This Row],[ICD Code]],ICD_summary!$I$3:$M$38,5,0)</f>
        <v>Misc/Other</v>
      </c>
      <c r="I572" s="12">
        <v>999</v>
      </c>
      <c r="J5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72" s="11" t="s">
        <v>51</v>
      </c>
      <c r="L572" s="11"/>
      <c r="M572" s="11"/>
      <c r="N572" s="11">
        <v>48.417999999999999</v>
      </c>
      <c r="O572" s="11">
        <v>51.093000000000004</v>
      </c>
      <c r="P572" s="11">
        <v>99.789000000000001</v>
      </c>
      <c r="Q572" s="11">
        <v>99.13</v>
      </c>
      <c r="R572" s="11">
        <v>99.337999999999994</v>
      </c>
      <c r="S572" s="11">
        <v>99.209000000000003</v>
      </c>
      <c r="T572" s="11">
        <v>119.083</v>
      </c>
      <c r="U572" s="11">
        <v>118.90600000000001</v>
      </c>
      <c r="V572" s="11">
        <v>61.383000000000003</v>
      </c>
      <c r="W572" s="11">
        <v>61.886000000000003</v>
      </c>
      <c r="X572" s="11">
        <v>38.616999999999997</v>
      </c>
      <c r="Y572" s="11">
        <v>38.113999999999997</v>
      </c>
      <c r="Z572" s="11">
        <v>11.938000000000001</v>
      </c>
      <c r="AA572" s="11">
        <v>11.002000000000001</v>
      </c>
      <c r="AB572" s="11">
        <v>38.113999999999997</v>
      </c>
      <c r="AC572" s="11">
        <v>38.616999999999997</v>
      </c>
      <c r="AD572" s="11">
        <v>13.808</v>
      </c>
      <c r="AE572" s="11">
        <v>11</v>
      </c>
      <c r="AF572" s="11">
        <v>12</v>
      </c>
      <c r="AG572" s="11">
        <v>11</v>
      </c>
      <c r="AH572" s="11">
        <v>11</v>
      </c>
    </row>
    <row r="573" spans="1:34" s="33" customFormat="1" x14ac:dyDescent="0.2">
      <c r="A573" s="11">
        <v>701</v>
      </c>
      <c r="B573" s="11"/>
      <c r="C573" s="11"/>
      <c r="D573" s="11"/>
      <c r="E573" s="11"/>
      <c r="F573" s="11" t="s">
        <v>72</v>
      </c>
      <c r="G573" s="11" t="s">
        <v>73</v>
      </c>
      <c r="H573" s="56" t="str">
        <f>VLOOKUP(Table6[[#This Row],[ICD Code]],ICD_summary!$I$3:$M$38,5,0)</f>
        <v>Tremor, other</v>
      </c>
      <c r="I573" s="12">
        <v>60.2</v>
      </c>
      <c r="J5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73" s="11" t="s">
        <v>52</v>
      </c>
      <c r="L573" s="11"/>
      <c r="M573" s="11"/>
      <c r="N573" s="11">
        <v>40.497</v>
      </c>
      <c r="O573" s="11">
        <v>43.978999999999999</v>
      </c>
      <c r="P573" s="11">
        <v>84.301000000000002</v>
      </c>
      <c r="Q573" s="11">
        <v>84.168999999999997</v>
      </c>
      <c r="R573" s="11">
        <v>70.762</v>
      </c>
      <c r="S573" s="11">
        <v>71.287000000000006</v>
      </c>
      <c r="T573" s="11">
        <v>100.52500000000001</v>
      </c>
      <c r="U573" s="11">
        <v>101.523</v>
      </c>
      <c r="V573" s="11">
        <v>60.853000000000002</v>
      </c>
      <c r="W573" s="11">
        <v>66.132999999999996</v>
      </c>
      <c r="X573" s="11">
        <v>39.146999999999998</v>
      </c>
      <c r="Y573" s="11">
        <v>33.866999999999997</v>
      </c>
      <c r="Z573" s="11">
        <v>13.944000000000001</v>
      </c>
      <c r="AA573" s="11">
        <v>13.417</v>
      </c>
      <c r="AB573" s="11">
        <v>33.866999999999997</v>
      </c>
      <c r="AC573" s="11">
        <v>39.146999999999998</v>
      </c>
      <c r="AD573" s="11">
        <v>9.452</v>
      </c>
      <c r="AE573" s="11">
        <v>13</v>
      </c>
      <c r="AF573" s="11">
        <v>15</v>
      </c>
      <c r="AG573" s="11">
        <v>13</v>
      </c>
      <c r="AH573" s="11">
        <v>13</v>
      </c>
    </row>
    <row r="574" spans="1:34" s="33" customFormat="1" x14ac:dyDescent="0.2">
      <c r="A574" s="11">
        <v>702</v>
      </c>
      <c r="B574" s="11"/>
      <c r="C574" s="11"/>
      <c r="D574" s="11"/>
      <c r="E574" s="11"/>
      <c r="F574" s="11" t="s">
        <v>102</v>
      </c>
      <c r="G574" s="11" t="s">
        <v>103</v>
      </c>
      <c r="H574" s="56" t="str">
        <f>VLOOKUP(Table6[[#This Row],[ICD Code]],ICD_summary!$I$3:$M$38,5,0)</f>
        <v>Gait, other abnormalities</v>
      </c>
      <c r="I574" s="12">
        <v>73</v>
      </c>
      <c r="J5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4" s="11" t="s">
        <v>52</v>
      </c>
      <c r="L574" s="11"/>
      <c r="M574" s="11"/>
      <c r="N574" s="11">
        <v>60.898000000000003</v>
      </c>
      <c r="O574" s="11">
        <v>57.442999999999998</v>
      </c>
      <c r="P574" s="11">
        <v>118.13500000000001</v>
      </c>
      <c r="Q574" s="11">
        <v>118.818</v>
      </c>
      <c r="R574" s="11">
        <v>119.113</v>
      </c>
      <c r="S574" s="11">
        <v>119.444</v>
      </c>
      <c r="T574" s="11">
        <v>121.36799999999999</v>
      </c>
      <c r="U574" s="11">
        <v>120.264</v>
      </c>
      <c r="V574" s="11">
        <v>63.601999999999997</v>
      </c>
      <c r="W574" s="11">
        <v>62.951000000000001</v>
      </c>
      <c r="X574" s="11">
        <v>36.396999999999998</v>
      </c>
      <c r="Y574" s="11">
        <v>37.048999999999999</v>
      </c>
      <c r="Z574" s="11">
        <v>13.896000000000001</v>
      </c>
      <c r="AA574" s="11">
        <v>12.73</v>
      </c>
      <c r="AB574" s="11">
        <v>37.048999999999999</v>
      </c>
      <c r="AC574" s="11">
        <v>36.396999999999998</v>
      </c>
      <c r="AD574" s="11">
        <v>20.062000000000001</v>
      </c>
      <c r="AE574" s="11">
        <v>8</v>
      </c>
      <c r="AF574" s="11">
        <v>10</v>
      </c>
      <c r="AG574" s="11">
        <v>8</v>
      </c>
      <c r="AH574" s="11">
        <v>8</v>
      </c>
    </row>
    <row r="575" spans="1:34" s="33" customFormat="1" x14ac:dyDescent="0.2">
      <c r="A575" s="11">
        <v>703</v>
      </c>
      <c r="B575" s="11"/>
      <c r="C575" s="11"/>
      <c r="D575" s="11"/>
      <c r="E575" s="11"/>
      <c r="F575" s="11" t="s">
        <v>62</v>
      </c>
      <c r="G575" s="11" t="s">
        <v>63</v>
      </c>
      <c r="H575" s="56" t="str">
        <f>VLOOKUP(Table6[[#This Row],[ICD Code]],ICD_summary!$I$3:$M$38,5,0)</f>
        <v>PD</v>
      </c>
      <c r="I575" s="12">
        <v>63.8</v>
      </c>
      <c r="J5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75" s="11" t="s">
        <v>55</v>
      </c>
      <c r="L575" s="11"/>
      <c r="M575" s="11"/>
      <c r="N575" s="11">
        <v>43.491999999999997</v>
      </c>
      <c r="O575" s="11">
        <v>39.869</v>
      </c>
      <c r="P575" s="11">
        <v>83.769000000000005</v>
      </c>
      <c r="Q575" s="11">
        <v>83.608000000000004</v>
      </c>
      <c r="R575" s="11">
        <v>79.497</v>
      </c>
      <c r="S575" s="11">
        <v>78.831000000000003</v>
      </c>
      <c r="T575" s="11">
        <v>113.602</v>
      </c>
      <c r="U575" s="11">
        <v>113.26</v>
      </c>
      <c r="V575" s="11">
        <v>61.585999999999999</v>
      </c>
      <c r="W575" s="11">
        <v>63.576999999999998</v>
      </c>
      <c r="X575" s="11">
        <v>38.414000000000001</v>
      </c>
      <c r="Y575" s="11">
        <v>36.423000000000002</v>
      </c>
      <c r="Z575" s="11">
        <v>13.646000000000001</v>
      </c>
      <c r="AA575" s="11">
        <v>12.177</v>
      </c>
      <c r="AB575" s="11">
        <v>36.423000000000002</v>
      </c>
      <c r="AC575" s="11">
        <v>38.414000000000001</v>
      </c>
      <c r="AD575" s="11">
        <v>8.5719999999999992</v>
      </c>
      <c r="AE575" s="11">
        <v>11</v>
      </c>
      <c r="AF575" s="11">
        <v>9</v>
      </c>
      <c r="AG575" s="11">
        <v>9</v>
      </c>
      <c r="AH575" s="11">
        <v>9</v>
      </c>
    </row>
    <row r="576" spans="1:34" s="33" customFormat="1" x14ac:dyDescent="0.2">
      <c r="A576" s="11">
        <v>704</v>
      </c>
      <c r="B576" s="11"/>
      <c r="C576" s="11"/>
      <c r="D576" s="11"/>
      <c r="E576" s="11"/>
      <c r="F576" s="11" t="s">
        <v>102</v>
      </c>
      <c r="G576" s="11" t="s">
        <v>103</v>
      </c>
      <c r="H576" s="56" t="str">
        <f>VLOOKUP(Table6[[#This Row],[ICD Code]],ICD_summary!$I$3:$M$38,5,0)</f>
        <v>Gait, other abnormalities</v>
      </c>
      <c r="I576" s="12">
        <v>76.400000000000006</v>
      </c>
      <c r="J5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6" s="11" t="s">
        <v>52</v>
      </c>
      <c r="L576" s="11"/>
      <c r="M576" s="11"/>
      <c r="N576" s="11">
        <v>58.881</v>
      </c>
      <c r="O576" s="11">
        <v>57.820999999999998</v>
      </c>
      <c r="P576" s="11">
        <v>116.83499999999999</v>
      </c>
      <c r="Q576" s="11">
        <v>116.41200000000001</v>
      </c>
      <c r="R576" s="11">
        <v>95.572000000000003</v>
      </c>
      <c r="S576" s="11">
        <v>95.924999999999997</v>
      </c>
      <c r="T576" s="11">
        <v>97.614000000000004</v>
      </c>
      <c r="U576" s="11">
        <v>98.715999999999994</v>
      </c>
      <c r="V576" s="11">
        <v>63.143000000000001</v>
      </c>
      <c r="W576" s="11">
        <v>63.341000000000001</v>
      </c>
      <c r="X576" s="11">
        <v>36.856999999999999</v>
      </c>
      <c r="Y576" s="11">
        <v>36.658999999999999</v>
      </c>
      <c r="Z576" s="11">
        <v>13.954000000000001</v>
      </c>
      <c r="AA576" s="11">
        <v>12.253</v>
      </c>
      <c r="AB576" s="11">
        <v>36.658999999999999</v>
      </c>
      <c r="AC576" s="11">
        <v>36.856999999999999</v>
      </c>
      <c r="AD576" s="11">
        <v>9.6980000000000004</v>
      </c>
      <c r="AE576" s="11">
        <v>10</v>
      </c>
      <c r="AF576" s="11">
        <v>9</v>
      </c>
      <c r="AG576" s="11">
        <v>9</v>
      </c>
      <c r="AH576" s="11">
        <v>9</v>
      </c>
    </row>
    <row r="577" spans="1:34" s="33" customFormat="1" x14ac:dyDescent="0.2">
      <c r="A577" s="11">
        <v>705</v>
      </c>
      <c r="B577" s="11"/>
      <c r="C577" s="11"/>
      <c r="D577" s="11"/>
      <c r="E577" s="11"/>
      <c r="F577" s="11" t="s">
        <v>62</v>
      </c>
      <c r="G577" s="11" t="s">
        <v>63</v>
      </c>
      <c r="H577" s="56" t="str">
        <f>VLOOKUP(Table6[[#This Row],[ICD Code]],ICD_summary!$I$3:$M$38,5,0)</f>
        <v>PD</v>
      </c>
      <c r="I577" s="12">
        <v>87.6</v>
      </c>
      <c r="J5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77" s="11" t="s">
        <v>55</v>
      </c>
      <c r="L577" s="11"/>
      <c r="M577" s="11"/>
      <c r="N577" s="11">
        <v>32.872</v>
      </c>
      <c r="O577" s="11">
        <v>28.795000000000002</v>
      </c>
      <c r="P577" s="11">
        <v>62.353000000000002</v>
      </c>
      <c r="Q577" s="11">
        <v>61.326999999999998</v>
      </c>
      <c r="R577" s="11">
        <v>48.567999999999998</v>
      </c>
      <c r="S577" s="11">
        <v>47.487000000000002</v>
      </c>
      <c r="T577" s="11">
        <v>92.551000000000002</v>
      </c>
      <c r="U577" s="11">
        <v>92.728999999999999</v>
      </c>
      <c r="V577" s="11">
        <v>65.97</v>
      </c>
      <c r="W577" s="11">
        <v>65.528000000000006</v>
      </c>
      <c r="X577" s="11">
        <v>34.03</v>
      </c>
      <c r="Y577" s="11">
        <v>34.472000000000001</v>
      </c>
      <c r="Z577" s="11">
        <v>17.555</v>
      </c>
      <c r="AA577" s="11">
        <v>14.635999999999999</v>
      </c>
      <c r="AB577" s="11">
        <v>34.472000000000001</v>
      </c>
      <c r="AC577" s="11">
        <v>34.03</v>
      </c>
      <c r="AD577" s="11">
        <v>7.8929999999999998</v>
      </c>
      <c r="AE577" s="11">
        <v>11</v>
      </c>
      <c r="AF577" s="11">
        <v>12</v>
      </c>
      <c r="AG577" s="11">
        <v>11</v>
      </c>
      <c r="AH577" s="11">
        <v>11</v>
      </c>
    </row>
    <row r="578" spans="1:34" s="33" customFormat="1" x14ac:dyDescent="0.2">
      <c r="A578" s="11">
        <v>706</v>
      </c>
      <c r="B578" s="11"/>
      <c r="C578" s="11"/>
      <c r="D578" s="11"/>
      <c r="E578" s="11"/>
      <c r="F578" s="11" t="s">
        <v>62</v>
      </c>
      <c r="G578" s="11" t="s">
        <v>63</v>
      </c>
      <c r="H578" s="56" t="str">
        <f>VLOOKUP(Table6[[#This Row],[ICD Code]],ICD_summary!$I$3:$M$38,5,0)</f>
        <v>PD</v>
      </c>
      <c r="I578" s="12">
        <v>78</v>
      </c>
      <c r="J5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8" s="11" t="s">
        <v>52</v>
      </c>
      <c r="L578" s="11"/>
      <c r="M578" s="11"/>
      <c r="N578" s="11">
        <v>53.667999999999999</v>
      </c>
      <c r="O578" s="11">
        <v>52.862000000000002</v>
      </c>
      <c r="P578" s="11">
        <v>106.03</v>
      </c>
      <c r="Q578" s="11">
        <v>106.79600000000001</v>
      </c>
      <c r="R578" s="11">
        <v>94.414000000000001</v>
      </c>
      <c r="S578" s="11">
        <v>95.076999999999998</v>
      </c>
      <c r="T578" s="11">
        <v>107.324</v>
      </c>
      <c r="U578" s="11">
        <v>107.319</v>
      </c>
      <c r="V578" s="11">
        <v>65.691999999999993</v>
      </c>
      <c r="W578" s="11">
        <v>64.744</v>
      </c>
      <c r="X578" s="11">
        <v>34.308</v>
      </c>
      <c r="Y578" s="11">
        <v>35.256</v>
      </c>
      <c r="Z578" s="11">
        <v>15.903</v>
      </c>
      <c r="AA578" s="11">
        <v>14.284000000000001</v>
      </c>
      <c r="AB578" s="11">
        <v>35.256</v>
      </c>
      <c r="AC578" s="11">
        <v>34.308</v>
      </c>
      <c r="AD578" s="11">
        <v>11.9</v>
      </c>
      <c r="AE578" s="11">
        <v>11</v>
      </c>
      <c r="AF578" s="11">
        <v>12</v>
      </c>
      <c r="AG578" s="11">
        <v>11</v>
      </c>
      <c r="AH578" s="11">
        <v>11</v>
      </c>
    </row>
    <row r="579" spans="1:34" s="33" customFormat="1" x14ac:dyDescent="0.2">
      <c r="A579" s="11">
        <v>707</v>
      </c>
      <c r="B579" s="11"/>
      <c r="C579" s="11"/>
      <c r="D579" s="11"/>
      <c r="E579" s="11"/>
      <c r="F579" s="11" t="s">
        <v>74</v>
      </c>
      <c r="G579" s="11" t="s">
        <v>75</v>
      </c>
      <c r="H579" s="56" t="str">
        <f>VLOOKUP(Table6[[#This Row],[ICD Code]],ICD_summary!$I$3:$M$38,5,0)</f>
        <v>Tremor, other</v>
      </c>
      <c r="I579" s="12">
        <v>70.3</v>
      </c>
      <c r="J5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9" s="11" t="s">
        <v>52</v>
      </c>
      <c r="L579" s="11"/>
      <c r="M579" s="11"/>
      <c r="N579" s="11">
        <v>49.848999999999997</v>
      </c>
      <c r="O579" s="11">
        <v>50.674999999999997</v>
      </c>
      <c r="P579" s="11">
        <v>100.93899999999999</v>
      </c>
      <c r="Q579" s="11">
        <v>100.658</v>
      </c>
      <c r="R579" s="11">
        <v>92.893000000000001</v>
      </c>
      <c r="S579" s="11">
        <v>93.438000000000002</v>
      </c>
      <c r="T579" s="11">
        <v>110.30200000000001</v>
      </c>
      <c r="U579" s="11">
        <v>110.99299999999999</v>
      </c>
      <c r="V579" s="11">
        <v>62.351999999999997</v>
      </c>
      <c r="W579" s="11">
        <v>62.454000000000001</v>
      </c>
      <c r="X579" s="11">
        <v>37.648000000000003</v>
      </c>
      <c r="Y579" s="11">
        <v>37.545999999999999</v>
      </c>
      <c r="Z579" s="11">
        <v>12.13</v>
      </c>
      <c r="AA579" s="11">
        <v>12.638999999999999</v>
      </c>
      <c r="AB579" s="11">
        <v>37.545999999999999</v>
      </c>
      <c r="AC579" s="11">
        <v>37.648000000000003</v>
      </c>
      <c r="AD579" s="11">
        <v>15.598000000000001</v>
      </c>
      <c r="AE579" s="11">
        <v>12</v>
      </c>
      <c r="AF579" s="11">
        <v>12</v>
      </c>
      <c r="AG579" s="11">
        <v>12</v>
      </c>
      <c r="AH579" s="11">
        <v>12</v>
      </c>
    </row>
    <row r="580" spans="1:34" s="33" customFormat="1" x14ac:dyDescent="0.2">
      <c r="A580" s="11">
        <v>708</v>
      </c>
      <c r="B580" s="11"/>
      <c r="C580" s="11"/>
      <c r="D580" s="11"/>
      <c r="E580" s="11"/>
      <c r="F580" s="11" t="s">
        <v>64</v>
      </c>
      <c r="G580" s="11" t="s">
        <v>65</v>
      </c>
      <c r="H580" s="56" t="str">
        <f>VLOOKUP(Table6[[#This Row],[ICD Code]],ICD_summary!$I$3:$M$38,5,0)</f>
        <v>Gait, other abnormalities</v>
      </c>
      <c r="I580" s="12">
        <v>79.599999999999994</v>
      </c>
      <c r="J5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0" s="11" t="s">
        <v>52</v>
      </c>
      <c r="L580" s="11"/>
      <c r="M580" s="11"/>
      <c r="N580" s="11">
        <v>41.283000000000001</v>
      </c>
      <c r="O580" s="11">
        <v>50.71</v>
      </c>
      <c r="P580" s="11">
        <v>92.23</v>
      </c>
      <c r="Q580" s="11">
        <v>92.031999999999996</v>
      </c>
      <c r="R580" s="11">
        <v>80.305000000000007</v>
      </c>
      <c r="S580" s="11">
        <v>80.022000000000006</v>
      </c>
      <c r="T580" s="11">
        <v>104</v>
      </c>
      <c r="U580" s="11">
        <v>104.02</v>
      </c>
      <c r="V580" s="11">
        <v>64.192999999999998</v>
      </c>
      <c r="W580" s="11">
        <v>62.691000000000003</v>
      </c>
      <c r="X580" s="11">
        <v>35.807000000000002</v>
      </c>
      <c r="Y580" s="11">
        <v>37.308999999999997</v>
      </c>
      <c r="Z580" s="11">
        <v>14.371</v>
      </c>
      <c r="AA580" s="11">
        <v>12.452</v>
      </c>
      <c r="AB580" s="11">
        <v>37.308999999999997</v>
      </c>
      <c r="AC580" s="11">
        <v>35.807000000000002</v>
      </c>
      <c r="AD580" s="11">
        <v>10.994999999999999</v>
      </c>
      <c r="AE580" s="11">
        <v>10</v>
      </c>
      <c r="AF580" s="11">
        <v>12</v>
      </c>
      <c r="AG580" s="11">
        <v>10</v>
      </c>
      <c r="AH580" s="11">
        <v>10</v>
      </c>
    </row>
    <row r="581" spans="1:34" s="33" customFormat="1" x14ac:dyDescent="0.2">
      <c r="A581" s="11">
        <v>709</v>
      </c>
      <c r="B581" s="11"/>
      <c r="C581" s="11"/>
      <c r="D581" s="11"/>
      <c r="E581" s="11"/>
      <c r="F581" s="11" t="s">
        <v>68</v>
      </c>
      <c r="G581" s="11" t="s">
        <v>69</v>
      </c>
      <c r="H581" s="56" t="str">
        <f>VLOOKUP(Table6[[#This Row],[ICD Code]],ICD_summary!$I$3:$M$38,5,0)</f>
        <v>Tremor, essential tremor</v>
      </c>
      <c r="I581" s="12">
        <v>55.1</v>
      </c>
      <c r="J5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81" s="11" t="s">
        <v>55</v>
      </c>
      <c r="L581" s="11"/>
      <c r="M581" s="11"/>
      <c r="N581" s="11">
        <v>45.207000000000001</v>
      </c>
      <c r="O581" s="11">
        <v>47.896000000000001</v>
      </c>
      <c r="P581" s="11">
        <v>92.683000000000007</v>
      </c>
      <c r="Q581" s="11">
        <v>93.462000000000003</v>
      </c>
      <c r="R581" s="11">
        <v>85.656000000000006</v>
      </c>
      <c r="S581" s="11">
        <v>86.682000000000002</v>
      </c>
      <c r="T581" s="11">
        <v>110.357</v>
      </c>
      <c r="U581" s="11">
        <v>111.19199999999999</v>
      </c>
      <c r="V581" s="11">
        <v>64.293999999999997</v>
      </c>
      <c r="W581" s="11">
        <v>66.548000000000002</v>
      </c>
      <c r="X581" s="11">
        <v>35.706000000000003</v>
      </c>
      <c r="Y581" s="11">
        <v>33.451999999999998</v>
      </c>
      <c r="Z581" s="11">
        <v>15.853999999999999</v>
      </c>
      <c r="AA581" s="11">
        <v>14.727</v>
      </c>
      <c r="AB581" s="11">
        <v>33.451999999999998</v>
      </c>
      <c r="AC581" s="11">
        <v>35.706000000000003</v>
      </c>
      <c r="AD581" s="11">
        <v>11.146000000000001</v>
      </c>
      <c r="AE581" s="11">
        <v>13</v>
      </c>
      <c r="AF581" s="11">
        <v>10</v>
      </c>
      <c r="AG581" s="11">
        <v>10</v>
      </c>
      <c r="AH581" s="11">
        <v>10</v>
      </c>
    </row>
    <row r="582" spans="1:34" s="33" customFormat="1" x14ac:dyDescent="0.2">
      <c r="A582" s="11">
        <v>710</v>
      </c>
      <c r="B582" s="11"/>
      <c r="C582" s="11"/>
      <c r="D582" s="11"/>
      <c r="E582" s="11"/>
      <c r="F582" s="11" t="s">
        <v>62</v>
      </c>
      <c r="G582" s="11" t="s">
        <v>63</v>
      </c>
      <c r="H582" s="56" t="str">
        <f>VLOOKUP(Table6[[#This Row],[ICD Code]],ICD_summary!$I$3:$M$38,5,0)</f>
        <v>PD</v>
      </c>
      <c r="I582" s="12">
        <v>66.5</v>
      </c>
      <c r="J5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2" s="11" t="s">
        <v>52</v>
      </c>
      <c r="L582" s="11"/>
      <c r="M582" s="11"/>
      <c r="N582" s="11">
        <v>47.819000000000003</v>
      </c>
      <c r="O582" s="11">
        <v>55.11</v>
      </c>
      <c r="P582" s="11">
        <v>102.527</v>
      </c>
      <c r="Q582" s="11">
        <v>102.19199999999999</v>
      </c>
      <c r="R582" s="11">
        <v>92.858999999999995</v>
      </c>
      <c r="S582" s="11">
        <v>92.89</v>
      </c>
      <c r="T582" s="11">
        <v>107.376</v>
      </c>
      <c r="U582" s="11">
        <v>106.887</v>
      </c>
      <c r="V582" s="11">
        <v>64.555000000000007</v>
      </c>
      <c r="W582" s="11">
        <v>65.807000000000002</v>
      </c>
      <c r="X582" s="11">
        <v>35.445</v>
      </c>
      <c r="Y582" s="11">
        <v>34.192999999999998</v>
      </c>
      <c r="Z582" s="11">
        <v>14.363</v>
      </c>
      <c r="AA582" s="11">
        <v>16.161000000000001</v>
      </c>
      <c r="AB582" s="11">
        <v>34.192999999999998</v>
      </c>
      <c r="AC582" s="11">
        <v>35.445</v>
      </c>
      <c r="AD582" s="11">
        <v>13.97</v>
      </c>
      <c r="AE582" s="11">
        <v>12</v>
      </c>
      <c r="AF582" s="11">
        <v>12</v>
      </c>
      <c r="AG582" s="11">
        <v>12</v>
      </c>
      <c r="AH582" s="11">
        <v>12</v>
      </c>
    </row>
    <row r="583" spans="1:34" s="33" customFormat="1" x14ac:dyDescent="0.2">
      <c r="A583" s="11">
        <v>711</v>
      </c>
      <c r="B583" s="11"/>
      <c r="C583" s="11"/>
      <c r="D583" s="11"/>
      <c r="E583" s="11"/>
      <c r="F583" s="11" t="s">
        <v>62</v>
      </c>
      <c r="G583" s="11" t="s">
        <v>63</v>
      </c>
      <c r="H583" s="56" t="str">
        <f>VLOOKUP(Table6[[#This Row],[ICD Code]],ICD_summary!$I$3:$M$38,5,0)</f>
        <v>PD</v>
      </c>
      <c r="I583" s="12">
        <v>68.5</v>
      </c>
      <c r="J5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3" s="11" t="s">
        <v>52</v>
      </c>
      <c r="L583" s="11"/>
      <c r="M583" s="11"/>
      <c r="N583" s="11">
        <v>44.856999999999999</v>
      </c>
      <c r="O583" s="11">
        <v>43.762999999999998</v>
      </c>
      <c r="P583" s="11">
        <v>88.253</v>
      </c>
      <c r="Q583" s="11">
        <v>88.855999999999995</v>
      </c>
      <c r="R583" s="11">
        <v>73.527000000000001</v>
      </c>
      <c r="S583" s="11">
        <v>74.123999999999995</v>
      </c>
      <c r="T583" s="11">
        <v>99.061999999999998</v>
      </c>
      <c r="U583" s="11">
        <v>99.403000000000006</v>
      </c>
      <c r="V583" s="11">
        <v>65.272000000000006</v>
      </c>
      <c r="W583" s="11">
        <v>65.364999999999995</v>
      </c>
      <c r="X583" s="11">
        <v>34.728000000000002</v>
      </c>
      <c r="Y583" s="11">
        <v>34.634999999999998</v>
      </c>
      <c r="Z583" s="11">
        <v>17.248000000000001</v>
      </c>
      <c r="AA583" s="11">
        <v>13.484</v>
      </c>
      <c r="AB583" s="11">
        <v>34.634999999999998</v>
      </c>
      <c r="AC583" s="11">
        <v>34.728000000000002</v>
      </c>
      <c r="AD583" s="11">
        <v>9.2569999999999997</v>
      </c>
      <c r="AE583" s="11">
        <v>12</v>
      </c>
      <c r="AF583" s="11">
        <v>11</v>
      </c>
      <c r="AG583" s="11">
        <v>11</v>
      </c>
      <c r="AH583" s="11">
        <v>11</v>
      </c>
    </row>
    <row r="584" spans="1:34" s="33" customFormat="1" x14ac:dyDescent="0.2">
      <c r="A584" s="11">
        <v>712</v>
      </c>
      <c r="B584" s="11"/>
      <c r="C584" s="11"/>
      <c r="D584" s="11"/>
      <c r="E584" s="11"/>
      <c r="F584" s="11" t="s">
        <v>102</v>
      </c>
      <c r="G584" s="11" t="s">
        <v>103</v>
      </c>
      <c r="H584" s="56" t="str">
        <f>VLOOKUP(Table6[[#This Row],[ICD Code]],ICD_summary!$I$3:$M$38,5,0)</f>
        <v>Gait, other abnormalities</v>
      </c>
      <c r="I584" s="12">
        <v>76</v>
      </c>
      <c r="J5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4" s="11" t="s">
        <v>52</v>
      </c>
      <c r="L584" s="11"/>
      <c r="M584" s="11"/>
      <c r="N584" s="11">
        <v>48.292999999999999</v>
      </c>
      <c r="O584" s="11">
        <v>50.752000000000002</v>
      </c>
      <c r="P584" s="11">
        <v>100.1</v>
      </c>
      <c r="Q584" s="11">
        <v>98.509</v>
      </c>
      <c r="R584" s="11">
        <v>91.414000000000001</v>
      </c>
      <c r="S584" s="11">
        <v>89.908000000000001</v>
      </c>
      <c r="T584" s="11">
        <v>109.53</v>
      </c>
      <c r="U584" s="11">
        <v>109.09</v>
      </c>
      <c r="V584" s="11">
        <v>64.307000000000002</v>
      </c>
      <c r="W584" s="11">
        <v>65.164000000000001</v>
      </c>
      <c r="X584" s="11">
        <v>35.692999999999998</v>
      </c>
      <c r="Y584" s="11">
        <v>34.835999999999999</v>
      </c>
      <c r="Z584" s="11">
        <v>13.673</v>
      </c>
      <c r="AA584" s="11">
        <v>16.338000000000001</v>
      </c>
      <c r="AB584" s="11">
        <v>34.835999999999999</v>
      </c>
      <c r="AC584" s="11">
        <v>35.692999999999998</v>
      </c>
      <c r="AD584" s="11">
        <v>12.564</v>
      </c>
      <c r="AE584" s="11">
        <v>11</v>
      </c>
      <c r="AF584" s="11">
        <v>14</v>
      </c>
      <c r="AG584" s="11">
        <v>11</v>
      </c>
      <c r="AH584" s="11">
        <v>11</v>
      </c>
    </row>
    <row r="585" spans="1:34" s="33" customFormat="1" x14ac:dyDescent="0.2">
      <c r="A585" s="11">
        <v>713</v>
      </c>
      <c r="B585" s="11"/>
      <c r="C585" s="11"/>
      <c r="D585" s="11"/>
      <c r="E585" s="11"/>
      <c r="F585" s="11" t="s">
        <v>68</v>
      </c>
      <c r="G585" s="11" t="s">
        <v>69</v>
      </c>
      <c r="H585" s="56" t="str">
        <f>VLOOKUP(Table6[[#This Row],[ICD Code]],ICD_summary!$I$3:$M$38,5,0)</f>
        <v>Tremor, essential tremor</v>
      </c>
      <c r="I585" s="12">
        <v>76.3</v>
      </c>
      <c r="J5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5" s="11" t="s">
        <v>52</v>
      </c>
      <c r="L585" s="11"/>
      <c r="M585" s="11"/>
      <c r="N585" s="11">
        <v>65.150000000000006</v>
      </c>
      <c r="O585" s="11">
        <v>61.915999999999997</v>
      </c>
      <c r="P585" s="11">
        <v>127.126</v>
      </c>
      <c r="Q585" s="11">
        <v>127.411</v>
      </c>
      <c r="R585" s="11">
        <v>110.703</v>
      </c>
      <c r="S585" s="11">
        <v>111.17100000000001</v>
      </c>
      <c r="T585" s="11">
        <v>105.074</v>
      </c>
      <c r="U585" s="11">
        <v>105.077</v>
      </c>
      <c r="V585" s="11">
        <v>61.670999999999999</v>
      </c>
      <c r="W585" s="11">
        <v>62.162999999999997</v>
      </c>
      <c r="X585" s="11">
        <v>38.329000000000001</v>
      </c>
      <c r="Y585" s="11">
        <v>37.837000000000003</v>
      </c>
      <c r="Z585" s="11">
        <v>11.907</v>
      </c>
      <c r="AA585" s="11">
        <v>11.323</v>
      </c>
      <c r="AB585" s="11">
        <v>37.837000000000003</v>
      </c>
      <c r="AC585" s="11">
        <v>38.329000000000001</v>
      </c>
      <c r="AD585" s="11">
        <v>10.5</v>
      </c>
      <c r="AE585" s="11">
        <v>9</v>
      </c>
      <c r="AF585" s="11">
        <v>10</v>
      </c>
      <c r="AG585" s="11">
        <v>9</v>
      </c>
      <c r="AH585" s="11">
        <v>9</v>
      </c>
    </row>
    <row r="586" spans="1:34" s="33" customFormat="1" x14ac:dyDescent="0.2">
      <c r="A586" s="11">
        <v>714</v>
      </c>
      <c r="B586" s="11"/>
      <c r="C586" s="11"/>
      <c r="D586" s="11"/>
      <c r="E586" s="11"/>
      <c r="F586" s="11" t="s">
        <v>72</v>
      </c>
      <c r="G586" s="11" t="s">
        <v>73</v>
      </c>
      <c r="H586" s="56" t="str">
        <f>VLOOKUP(Table6[[#This Row],[ICD Code]],ICD_summary!$I$3:$M$38,5,0)</f>
        <v>Tremor, other</v>
      </c>
      <c r="I586" s="12">
        <v>73.3</v>
      </c>
      <c r="J5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6" s="11" t="s">
        <v>55</v>
      </c>
      <c r="L586" s="11"/>
      <c r="M586" s="11"/>
      <c r="N586" s="11">
        <v>36.734999999999999</v>
      </c>
      <c r="O586" s="11">
        <v>41.472999999999999</v>
      </c>
      <c r="P586" s="11">
        <v>78.370999999999995</v>
      </c>
      <c r="Q586" s="11">
        <v>78.242999999999995</v>
      </c>
      <c r="R586" s="11">
        <v>60.43</v>
      </c>
      <c r="S586" s="11">
        <v>61.286000000000001</v>
      </c>
      <c r="T586" s="11">
        <v>93.516999999999996</v>
      </c>
      <c r="U586" s="11">
        <v>94.29</v>
      </c>
      <c r="V586" s="11">
        <v>68.117999999999995</v>
      </c>
      <c r="W586" s="11">
        <v>69.801000000000002</v>
      </c>
      <c r="X586" s="11">
        <v>31.882000000000001</v>
      </c>
      <c r="Y586" s="11">
        <v>30.199000000000002</v>
      </c>
      <c r="Z586" s="11">
        <v>20.506</v>
      </c>
      <c r="AA586" s="11">
        <v>17.495000000000001</v>
      </c>
      <c r="AB586" s="11">
        <v>30.199000000000002</v>
      </c>
      <c r="AC586" s="11">
        <v>31.882000000000001</v>
      </c>
      <c r="AD586" s="11">
        <v>11.445</v>
      </c>
      <c r="AE586" s="11">
        <v>13</v>
      </c>
      <c r="AF586" s="11">
        <v>15</v>
      </c>
      <c r="AG586" s="11">
        <v>13</v>
      </c>
      <c r="AH586" s="11">
        <v>13</v>
      </c>
    </row>
    <row r="587" spans="1:34" s="33" customFormat="1" x14ac:dyDescent="0.2">
      <c r="A587" s="11">
        <v>715</v>
      </c>
      <c r="B587" s="11"/>
      <c r="C587" s="11"/>
      <c r="D587" s="11"/>
      <c r="E587" s="11"/>
      <c r="F587" s="11" t="s">
        <v>72</v>
      </c>
      <c r="G587" s="11" t="s">
        <v>73</v>
      </c>
      <c r="H587" s="56" t="str">
        <f>VLOOKUP(Table6[[#This Row],[ICD Code]],ICD_summary!$I$3:$M$38,5,0)</f>
        <v>Tremor, other</v>
      </c>
      <c r="I587" s="12">
        <v>68.7</v>
      </c>
      <c r="J5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7" s="11" t="s">
        <v>55</v>
      </c>
      <c r="L587" s="11"/>
      <c r="M587" s="11"/>
      <c r="N587" s="11">
        <v>43.188000000000002</v>
      </c>
      <c r="O587" s="11">
        <v>42.085000000000001</v>
      </c>
      <c r="P587" s="11">
        <v>85.373000000000005</v>
      </c>
      <c r="Q587" s="11">
        <v>86.241</v>
      </c>
      <c r="R587" s="11">
        <v>72.397999999999996</v>
      </c>
      <c r="S587" s="11">
        <v>73.073999999999998</v>
      </c>
      <c r="T587" s="11">
        <v>101.669</v>
      </c>
      <c r="U587" s="11">
        <v>101.876</v>
      </c>
      <c r="V587" s="11">
        <v>65.564999999999998</v>
      </c>
      <c r="W587" s="11">
        <v>63.313000000000002</v>
      </c>
      <c r="X587" s="11">
        <v>34.435000000000002</v>
      </c>
      <c r="Y587" s="11">
        <v>36.686999999999998</v>
      </c>
      <c r="Z587" s="11">
        <v>14.906000000000001</v>
      </c>
      <c r="AA587" s="11">
        <v>14.769</v>
      </c>
      <c r="AB587" s="11">
        <v>36.686999999999998</v>
      </c>
      <c r="AC587" s="11">
        <v>34.435000000000002</v>
      </c>
      <c r="AD587" s="11">
        <v>15.298</v>
      </c>
      <c r="AE587" s="11">
        <v>13</v>
      </c>
      <c r="AF587" s="11">
        <v>13</v>
      </c>
      <c r="AG587" s="11">
        <v>13</v>
      </c>
      <c r="AH587" s="11">
        <v>13</v>
      </c>
    </row>
    <row r="588" spans="1:34" s="33" customFormat="1" x14ac:dyDescent="0.2">
      <c r="A588" s="11">
        <v>716</v>
      </c>
      <c r="B588" s="11"/>
      <c r="C588" s="11"/>
      <c r="D588" s="11"/>
      <c r="E588" s="11"/>
      <c r="F588" s="11" t="s">
        <v>80</v>
      </c>
      <c r="G588" s="11" t="s">
        <v>81</v>
      </c>
      <c r="H588" s="56" t="str">
        <f>VLOOKUP(Table6[[#This Row],[ICD Code]],ICD_summary!$I$3:$M$38,5,0)</f>
        <v>Dystonia, cervical</v>
      </c>
      <c r="I588" s="12">
        <v>42.5</v>
      </c>
      <c r="J5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88" s="11" t="s">
        <v>55</v>
      </c>
      <c r="L588" s="11"/>
      <c r="M588" s="11"/>
      <c r="N588" s="11">
        <v>51.9</v>
      </c>
      <c r="O588" s="11">
        <v>55.543999999999997</v>
      </c>
      <c r="P588" s="11">
        <v>108.223</v>
      </c>
      <c r="Q588" s="11">
        <v>107.31</v>
      </c>
      <c r="R588" s="11">
        <v>96.491</v>
      </c>
      <c r="S588" s="11">
        <v>95.754000000000005</v>
      </c>
      <c r="T588" s="11">
        <v>106.648</v>
      </c>
      <c r="U588" s="11">
        <v>106.717</v>
      </c>
      <c r="V588" s="11">
        <v>62.994</v>
      </c>
      <c r="W588" s="11">
        <v>62.875</v>
      </c>
      <c r="X588" s="11">
        <v>37.006</v>
      </c>
      <c r="Y588" s="11">
        <v>37.125</v>
      </c>
      <c r="Z588" s="11">
        <v>13.519</v>
      </c>
      <c r="AA588" s="11">
        <v>12.103999999999999</v>
      </c>
      <c r="AB588" s="11">
        <v>37.125</v>
      </c>
      <c r="AC588" s="11">
        <v>37.006</v>
      </c>
      <c r="AD588" s="11">
        <v>11.991</v>
      </c>
      <c r="AE588" s="11">
        <v>17</v>
      </c>
      <c r="AF588" s="11">
        <v>23</v>
      </c>
      <c r="AG588" s="11">
        <v>17</v>
      </c>
      <c r="AH588" s="11">
        <v>17</v>
      </c>
    </row>
    <row r="589" spans="1:34" s="33" customFormat="1" x14ac:dyDescent="0.2">
      <c r="A589" s="11">
        <v>717</v>
      </c>
      <c r="B589" s="11"/>
      <c r="C589" s="11"/>
      <c r="D589" s="11"/>
      <c r="E589" s="11"/>
      <c r="F589" s="11" t="s">
        <v>62</v>
      </c>
      <c r="G589" s="11" t="s">
        <v>63</v>
      </c>
      <c r="H589" s="56" t="str">
        <f>VLOOKUP(Table6[[#This Row],[ICD Code]],ICD_summary!$I$3:$M$38,5,0)</f>
        <v>PD</v>
      </c>
      <c r="I589" s="12">
        <v>67.2</v>
      </c>
      <c r="J5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9" s="11" t="s">
        <v>55</v>
      </c>
      <c r="L589" s="11"/>
      <c r="M589" s="11"/>
      <c r="N589" s="11">
        <v>50.731000000000002</v>
      </c>
      <c r="O589" s="11">
        <v>55.634</v>
      </c>
      <c r="P589" s="11">
        <v>106.75</v>
      </c>
      <c r="Q589" s="11">
        <v>106.55200000000001</v>
      </c>
      <c r="R589" s="11">
        <v>128.43100000000001</v>
      </c>
      <c r="S589" s="11">
        <v>128.56700000000001</v>
      </c>
      <c r="T589" s="11">
        <v>144.203</v>
      </c>
      <c r="U589" s="11">
        <v>144.38200000000001</v>
      </c>
      <c r="V589" s="11">
        <v>61.985999999999997</v>
      </c>
      <c r="W589" s="11">
        <v>59.5</v>
      </c>
      <c r="X589" s="11">
        <v>38.014000000000003</v>
      </c>
      <c r="Y589" s="11">
        <v>40.5</v>
      </c>
      <c r="Z589" s="11">
        <v>11.407</v>
      </c>
      <c r="AA589" s="11">
        <v>10.337999999999999</v>
      </c>
      <c r="AB589" s="11">
        <v>40.5</v>
      </c>
      <c r="AC589" s="11">
        <v>38.014000000000003</v>
      </c>
      <c r="AD589" s="11">
        <v>9.1679999999999993</v>
      </c>
      <c r="AE589" s="11">
        <v>26</v>
      </c>
      <c r="AF589" s="11">
        <v>25</v>
      </c>
      <c r="AG589" s="11">
        <v>25</v>
      </c>
      <c r="AH589" s="11">
        <v>25</v>
      </c>
    </row>
    <row r="590" spans="1:34" s="33" customFormat="1" x14ac:dyDescent="0.2">
      <c r="A590" s="11">
        <v>718</v>
      </c>
      <c r="B590" s="11"/>
      <c r="C590" s="11"/>
      <c r="D590" s="11"/>
      <c r="E590" s="11"/>
      <c r="F590" s="11" t="s">
        <v>51</v>
      </c>
      <c r="G590" s="11" t="s">
        <v>51</v>
      </c>
      <c r="H590" s="56" t="str">
        <f>VLOOKUP(Table6[[#This Row],[ICD Code]],ICD_summary!$I$3:$M$38,5,0)</f>
        <v>Misc/Other</v>
      </c>
      <c r="I590" s="12">
        <v>999</v>
      </c>
      <c r="J5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90" s="11" t="s">
        <v>51</v>
      </c>
      <c r="L590" s="11"/>
      <c r="M590" s="11"/>
      <c r="N590" s="11">
        <v>34.901000000000003</v>
      </c>
      <c r="O590" s="11">
        <v>32.805999999999997</v>
      </c>
      <c r="P590" s="11">
        <v>67.649000000000001</v>
      </c>
      <c r="Q590" s="11">
        <v>68.754000000000005</v>
      </c>
      <c r="R590" s="11">
        <v>34.966999999999999</v>
      </c>
      <c r="S590" s="11">
        <v>34.25</v>
      </c>
      <c r="T590" s="11">
        <v>64.457999999999998</v>
      </c>
      <c r="U590" s="11">
        <v>60.04</v>
      </c>
      <c r="V590" s="11">
        <v>76.950999999999993</v>
      </c>
      <c r="W590" s="11">
        <v>72.02</v>
      </c>
      <c r="X590" s="11">
        <v>23.048999999999999</v>
      </c>
      <c r="Y590" s="11">
        <v>27.98</v>
      </c>
      <c r="Z590" s="11">
        <v>18.792999999999999</v>
      </c>
      <c r="AA590" s="11">
        <v>27.169</v>
      </c>
      <c r="AB590" s="11">
        <v>27.98</v>
      </c>
      <c r="AC590" s="11">
        <v>23.048999999999999</v>
      </c>
      <c r="AD590" s="11">
        <v>13.64</v>
      </c>
      <c r="AE590" s="11">
        <v>10</v>
      </c>
      <c r="AF590" s="11">
        <v>11</v>
      </c>
      <c r="AG590" s="11">
        <v>10</v>
      </c>
      <c r="AH590" s="11">
        <v>10</v>
      </c>
    </row>
    <row r="591" spans="1:34" s="33" customFormat="1" x14ac:dyDescent="0.2">
      <c r="A591" s="11">
        <v>719</v>
      </c>
      <c r="B591" s="11"/>
      <c r="C591" s="11"/>
      <c r="D591" s="11"/>
      <c r="E591" s="11"/>
      <c r="F591" s="11" t="s">
        <v>68</v>
      </c>
      <c r="G591" s="11" t="s">
        <v>69</v>
      </c>
      <c r="H591" s="56" t="str">
        <f>VLOOKUP(Table6[[#This Row],[ICD Code]],ICD_summary!$I$3:$M$38,5,0)</f>
        <v>Tremor, essential tremor</v>
      </c>
      <c r="I591" s="12">
        <v>74.7</v>
      </c>
      <c r="J5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1" s="11" t="s">
        <v>52</v>
      </c>
      <c r="L591" s="11"/>
      <c r="M591" s="11"/>
      <c r="N591" s="11">
        <v>44.136000000000003</v>
      </c>
      <c r="O591" s="11">
        <v>43.271999999999998</v>
      </c>
      <c r="P591" s="11">
        <v>87.185000000000002</v>
      </c>
      <c r="Q591" s="11">
        <v>88.974999999999994</v>
      </c>
      <c r="R591" s="11">
        <v>88.942999999999998</v>
      </c>
      <c r="S591" s="11">
        <v>90.617999999999995</v>
      </c>
      <c r="T591" s="11">
        <v>120.962</v>
      </c>
      <c r="U591" s="11">
        <v>121.69199999999999</v>
      </c>
      <c r="V591" s="11">
        <v>64.567999999999998</v>
      </c>
      <c r="W591" s="11">
        <v>64.072999999999993</v>
      </c>
      <c r="X591" s="11">
        <v>35.432000000000002</v>
      </c>
      <c r="Y591" s="11">
        <v>35.927</v>
      </c>
      <c r="Z591" s="11">
        <v>14.541</v>
      </c>
      <c r="AA591" s="11">
        <v>13.83</v>
      </c>
      <c r="AB591" s="11">
        <v>35.927</v>
      </c>
      <c r="AC591" s="11">
        <v>35.432000000000002</v>
      </c>
      <c r="AD591" s="11">
        <v>8.9209999999999994</v>
      </c>
      <c r="AE591" s="11">
        <v>21</v>
      </c>
      <c r="AF591" s="11">
        <v>21</v>
      </c>
      <c r="AG591" s="11">
        <v>21</v>
      </c>
      <c r="AH591" s="11">
        <v>21</v>
      </c>
    </row>
    <row r="592" spans="1:34" s="33" customFormat="1" x14ac:dyDescent="0.2">
      <c r="A592" s="11">
        <v>720</v>
      </c>
      <c r="B592" s="11"/>
      <c r="C592" s="11"/>
      <c r="D592" s="11"/>
      <c r="E592" s="11"/>
      <c r="F592" s="11" t="s">
        <v>62</v>
      </c>
      <c r="G592" s="11" t="s">
        <v>63</v>
      </c>
      <c r="H592" s="56" t="str">
        <f>VLOOKUP(Table6[[#This Row],[ICD Code]],ICD_summary!$I$3:$M$38,5,0)</f>
        <v>PD</v>
      </c>
      <c r="I592" s="12">
        <v>45.6</v>
      </c>
      <c r="J5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92" s="11" t="s">
        <v>55</v>
      </c>
      <c r="L592" s="11"/>
      <c r="M592" s="11"/>
      <c r="N592" s="11">
        <v>51.866</v>
      </c>
      <c r="O592" s="11">
        <v>52.582000000000001</v>
      </c>
      <c r="P592" s="11">
        <v>104.84699999999999</v>
      </c>
      <c r="Q592" s="11">
        <v>104.738</v>
      </c>
      <c r="R592" s="11">
        <v>94.293999999999997</v>
      </c>
      <c r="S592" s="11">
        <v>93.882000000000005</v>
      </c>
      <c r="T592" s="11">
        <v>107.59099999999999</v>
      </c>
      <c r="U592" s="11">
        <v>107.28</v>
      </c>
      <c r="V592" s="11">
        <v>63.96</v>
      </c>
      <c r="W592" s="11">
        <v>64.102999999999994</v>
      </c>
      <c r="X592" s="11">
        <v>36.04</v>
      </c>
      <c r="Y592" s="11">
        <v>35.896999999999998</v>
      </c>
      <c r="Z592" s="11">
        <v>13.824</v>
      </c>
      <c r="AA592" s="11">
        <v>13.997</v>
      </c>
      <c r="AB592" s="11">
        <v>35.896999999999998</v>
      </c>
      <c r="AC592" s="11">
        <v>36.04</v>
      </c>
      <c r="AD592" s="11">
        <v>11.818</v>
      </c>
      <c r="AE592" s="11">
        <v>16</v>
      </c>
      <c r="AF592" s="11">
        <v>15</v>
      </c>
      <c r="AG592" s="11">
        <v>15</v>
      </c>
      <c r="AH592" s="11">
        <v>15</v>
      </c>
    </row>
    <row r="593" spans="1:34" s="33" customFormat="1" x14ac:dyDescent="0.2">
      <c r="A593" s="11">
        <v>721</v>
      </c>
      <c r="B593" s="11"/>
      <c r="C593" s="11"/>
      <c r="D593" s="11"/>
      <c r="E593" s="11"/>
      <c r="F593" s="11" t="s">
        <v>51</v>
      </c>
      <c r="G593" s="11" t="s">
        <v>51</v>
      </c>
      <c r="H593" s="56" t="str">
        <f>VLOOKUP(Table6[[#This Row],[ICD Code]],ICD_summary!$I$3:$M$38,5,0)</f>
        <v>Misc/Other</v>
      </c>
      <c r="I593" s="12">
        <v>999</v>
      </c>
      <c r="J5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93" s="11" t="s">
        <v>51</v>
      </c>
      <c r="L593" s="11"/>
      <c r="M593" s="11"/>
      <c r="N593" s="11">
        <v>60.171999999999997</v>
      </c>
      <c r="O593" s="11">
        <v>63.055999999999997</v>
      </c>
      <c r="P593" s="11">
        <v>123.78</v>
      </c>
      <c r="Q593" s="11">
        <v>123.017</v>
      </c>
      <c r="R593" s="11">
        <v>107.80500000000001</v>
      </c>
      <c r="S593" s="11">
        <v>106.83199999999999</v>
      </c>
      <c r="T593" s="11">
        <v>104.09099999999999</v>
      </c>
      <c r="U593" s="11">
        <v>103.395</v>
      </c>
      <c r="V593" s="11">
        <v>63.542999999999999</v>
      </c>
      <c r="W593" s="11">
        <v>64.37</v>
      </c>
      <c r="X593" s="11">
        <v>36.457000000000001</v>
      </c>
      <c r="Y593" s="11">
        <v>35.630000000000003</v>
      </c>
      <c r="Z593" s="11">
        <v>13.377000000000001</v>
      </c>
      <c r="AA593" s="11">
        <v>14.757999999999999</v>
      </c>
      <c r="AB593" s="11">
        <v>35.630000000000003</v>
      </c>
      <c r="AC593" s="11">
        <v>36.457000000000001</v>
      </c>
      <c r="AD593" s="11">
        <v>9.1340000000000003</v>
      </c>
      <c r="AE593" s="11">
        <v>15</v>
      </c>
      <c r="AF593" s="11">
        <v>14</v>
      </c>
      <c r="AG593" s="11">
        <v>14</v>
      </c>
      <c r="AH593" s="11">
        <v>14</v>
      </c>
    </row>
    <row r="594" spans="1:34" s="33" customFormat="1" x14ac:dyDescent="0.2">
      <c r="A594" s="11">
        <v>722</v>
      </c>
      <c r="B594" s="11"/>
      <c r="C594" s="11"/>
      <c r="D594" s="11"/>
      <c r="E594" s="11"/>
      <c r="F594" s="11" t="s">
        <v>68</v>
      </c>
      <c r="G594" s="11" t="s">
        <v>69</v>
      </c>
      <c r="H594" s="56" t="str">
        <f>VLOOKUP(Table6[[#This Row],[ICD Code]],ICD_summary!$I$3:$M$38,5,0)</f>
        <v>Tremor, essential tremor</v>
      </c>
      <c r="I594" s="12">
        <v>90.9</v>
      </c>
      <c r="J5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K594" s="11" t="s">
        <v>55</v>
      </c>
      <c r="L594" s="11"/>
      <c r="M594" s="11"/>
      <c r="N594" s="11">
        <v>44.825000000000003</v>
      </c>
      <c r="O594" s="11">
        <v>43.295999999999999</v>
      </c>
      <c r="P594" s="11">
        <v>88.593000000000004</v>
      </c>
      <c r="Q594" s="11">
        <v>87.879000000000005</v>
      </c>
      <c r="R594" s="11">
        <v>74.494</v>
      </c>
      <c r="S594" s="11">
        <v>73.801000000000002</v>
      </c>
      <c r="T594" s="11">
        <v>100.63200000000001</v>
      </c>
      <c r="U594" s="11">
        <v>100.443</v>
      </c>
      <c r="V594" s="11">
        <v>62.183</v>
      </c>
      <c r="W594" s="11">
        <v>61.743000000000002</v>
      </c>
      <c r="X594" s="11">
        <v>37.817</v>
      </c>
      <c r="Y594" s="11">
        <v>38.256999999999998</v>
      </c>
      <c r="Z594" s="11">
        <v>11.435</v>
      </c>
      <c r="AA594" s="11">
        <v>12.394</v>
      </c>
      <c r="AB594" s="11">
        <v>38.256999999999998</v>
      </c>
      <c r="AC594" s="11">
        <v>37.817</v>
      </c>
      <c r="AD594" s="11">
        <v>11.954000000000001</v>
      </c>
      <c r="AE594" s="11">
        <v>15</v>
      </c>
      <c r="AF594" s="11">
        <v>17</v>
      </c>
      <c r="AG594" s="11">
        <v>15</v>
      </c>
      <c r="AH594" s="11">
        <v>15</v>
      </c>
    </row>
    <row r="595" spans="1:34" s="33" customFormat="1" x14ac:dyDescent="0.2">
      <c r="A595" s="11">
        <v>723</v>
      </c>
      <c r="B595" s="11"/>
      <c r="C595" s="11"/>
      <c r="D595" s="11"/>
      <c r="E595" s="11"/>
      <c r="F595" s="11" t="s">
        <v>80</v>
      </c>
      <c r="G595" s="11" t="s">
        <v>81</v>
      </c>
      <c r="H595" s="56" t="str">
        <f>VLOOKUP(Table6[[#This Row],[ICD Code]],ICD_summary!$I$3:$M$38,5,0)</f>
        <v>Dystonia, cervical</v>
      </c>
      <c r="I595" s="12">
        <v>72.8</v>
      </c>
      <c r="J5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5" s="11" t="s">
        <v>55</v>
      </c>
      <c r="L595" s="11"/>
      <c r="M595" s="11"/>
      <c r="N595" s="11">
        <v>24.067</v>
      </c>
      <c r="O595" s="11">
        <v>19.254999999999999</v>
      </c>
      <c r="P595" s="11">
        <v>43.037999999999997</v>
      </c>
      <c r="Q595" s="11">
        <v>43.459000000000003</v>
      </c>
      <c r="R595" s="11">
        <v>24.620999999999999</v>
      </c>
      <c r="S595" s="11">
        <v>24.861999999999998</v>
      </c>
      <c r="T595" s="11">
        <v>69.855000000000004</v>
      </c>
      <c r="U595" s="11">
        <v>69.289000000000001</v>
      </c>
      <c r="V595" s="11">
        <v>77.980999999999995</v>
      </c>
      <c r="W595" s="11">
        <v>76.12</v>
      </c>
      <c r="X595" s="11">
        <v>22.018999999999998</v>
      </c>
      <c r="Y595" s="11">
        <v>23.88</v>
      </c>
      <c r="Z595" s="11">
        <v>26.530999999999999</v>
      </c>
      <c r="AA595" s="11">
        <v>27.896999999999998</v>
      </c>
      <c r="AB595" s="11">
        <v>23.88</v>
      </c>
      <c r="AC595" s="11">
        <v>22.018999999999998</v>
      </c>
      <c r="AD595" s="11">
        <v>12.134</v>
      </c>
      <c r="AE595" s="11">
        <v>18</v>
      </c>
      <c r="AF595" s="11">
        <v>18</v>
      </c>
      <c r="AG595" s="11">
        <v>18</v>
      </c>
      <c r="AH595" s="11">
        <v>18</v>
      </c>
    </row>
    <row r="596" spans="1:34" s="33" customFormat="1" x14ac:dyDescent="0.2">
      <c r="A596" s="11">
        <v>724</v>
      </c>
      <c r="B596" s="11"/>
      <c r="C596" s="11"/>
      <c r="D596" s="11"/>
      <c r="E596" s="11"/>
      <c r="F596" s="11" t="s">
        <v>62</v>
      </c>
      <c r="G596" s="11" t="s">
        <v>63</v>
      </c>
      <c r="H596" s="56" t="str">
        <f>VLOOKUP(Table6[[#This Row],[ICD Code]],ICD_summary!$I$3:$M$38,5,0)</f>
        <v>PD</v>
      </c>
      <c r="I596" s="12">
        <v>72.8</v>
      </c>
      <c r="J5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6" s="11" t="s">
        <v>52</v>
      </c>
      <c r="L596" s="11"/>
      <c r="M596" s="11"/>
      <c r="N596" s="11">
        <v>65.450999999999993</v>
      </c>
      <c r="O596" s="11">
        <v>62.999000000000002</v>
      </c>
      <c r="P596" s="11">
        <v>128.066</v>
      </c>
      <c r="Q596" s="11">
        <v>129.17500000000001</v>
      </c>
      <c r="R596" s="11">
        <v>117.66500000000001</v>
      </c>
      <c r="S596" s="11">
        <v>118.158</v>
      </c>
      <c r="T596" s="11">
        <v>109.748</v>
      </c>
      <c r="U596" s="11">
        <v>109.23099999999999</v>
      </c>
      <c r="V596" s="11">
        <v>60.844000000000001</v>
      </c>
      <c r="W596" s="11">
        <v>61.267000000000003</v>
      </c>
      <c r="X596" s="11">
        <v>39.155999999999999</v>
      </c>
      <c r="Y596" s="11">
        <v>38.732999999999997</v>
      </c>
      <c r="Z596" s="11">
        <v>10.606999999999999</v>
      </c>
      <c r="AA596" s="11">
        <v>11.596</v>
      </c>
      <c r="AB596" s="11">
        <v>38.732999999999997</v>
      </c>
      <c r="AC596" s="11">
        <v>39.155999999999999</v>
      </c>
      <c r="AD596" s="11">
        <v>7.7709999999999999</v>
      </c>
      <c r="AE596" s="11">
        <v>13</v>
      </c>
      <c r="AF596" s="11">
        <v>14</v>
      </c>
      <c r="AG596" s="11">
        <v>13</v>
      </c>
      <c r="AH596" s="11">
        <v>13</v>
      </c>
    </row>
    <row r="597" spans="1:34" s="33" customFormat="1" x14ac:dyDescent="0.2">
      <c r="A597" s="11">
        <v>725</v>
      </c>
      <c r="B597" s="11"/>
      <c r="C597" s="11"/>
      <c r="D597" s="11"/>
      <c r="E597" s="11"/>
      <c r="F597" s="11" t="s">
        <v>92</v>
      </c>
      <c r="G597" s="11" t="s">
        <v>93</v>
      </c>
      <c r="H597" s="56" t="str">
        <f>VLOOKUP(Table6[[#This Row],[ICD Code]],ICD_summary!$I$3:$M$38,5,0)</f>
        <v>Misc/Other</v>
      </c>
      <c r="I597" s="12">
        <v>23.8</v>
      </c>
      <c r="J5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597" s="11" t="s">
        <v>55</v>
      </c>
      <c r="L597" s="11"/>
      <c r="M597" s="11"/>
      <c r="N597" s="11">
        <v>56.442999999999998</v>
      </c>
      <c r="O597" s="11">
        <v>57.415999999999997</v>
      </c>
      <c r="P597" s="11">
        <v>113.268</v>
      </c>
      <c r="Q597" s="11">
        <v>114.34099999999999</v>
      </c>
      <c r="R597" s="11">
        <v>103.584</v>
      </c>
      <c r="S597" s="11">
        <v>103.664</v>
      </c>
      <c r="T597" s="11">
        <v>110.19</v>
      </c>
      <c r="U597" s="11">
        <v>108.848</v>
      </c>
      <c r="V597" s="11">
        <v>60.74</v>
      </c>
      <c r="W597" s="11">
        <v>63.783000000000001</v>
      </c>
      <c r="X597" s="11">
        <v>39.26</v>
      </c>
      <c r="Y597" s="11">
        <v>36.216999999999999</v>
      </c>
      <c r="Z597" s="11">
        <v>11.359</v>
      </c>
      <c r="AA597" s="11">
        <v>13.29</v>
      </c>
      <c r="AB597" s="11">
        <v>36.216999999999999</v>
      </c>
      <c r="AC597" s="11">
        <v>39.26</v>
      </c>
      <c r="AD597" s="11">
        <v>13.253</v>
      </c>
      <c r="AE597" s="11">
        <v>15</v>
      </c>
      <c r="AF597" s="11">
        <v>16</v>
      </c>
      <c r="AG597" s="11">
        <v>15</v>
      </c>
      <c r="AH597" s="11">
        <v>15</v>
      </c>
    </row>
    <row r="598" spans="1:34" s="33" customFormat="1" x14ac:dyDescent="0.2">
      <c r="A598" s="11">
        <v>726</v>
      </c>
      <c r="B598" s="11"/>
      <c r="C598" s="11"/>
      <c r="D598" s="11"/>
      <c r="E598" s="11"/>
      <c r="F598" s="11" t="s">
        <v>68</v>
      </c>
      <c r="G598" s="11" t="s">
        <v>69</v>
      </c>
      <c r="H598" s="56" t="str">
        <f>VLOOKUP(Table6[[#This Row],[ICD Code]],ICD_summary!$I$3:$M$38,5,0)</f>
        <v>Tremor, essential tremor</v>
      </c>
      <c r="I598" s="12">
        <v>47</v>
      </c>
      <c r="J5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98" s="11" t="s">
        <v>55</v>
      </c>
      <c r="L598" s="11"/>
      <c r="M598" s="11"/>
      <c r="N598" s="11">
        <v>62.911999999999999</v>
      </c>
      <c r="O598" s="11">
        <v>61.904000000000003</v>
      </c>
      <c r="P598" s="11">
        <v>124.851</v>
      </c>
      <c r="Q598" s="11">
        <v>124.845</v>
      </c>
      <c r="R598" s="11">
        <v>111.813</v>
      </c>
      <c r="S598" s="11">
        <v>111.078</v>
      </c>
      <c r="T598" s="11">
        <v>107.821</v>
      </c>
      <c r="U598" s="11">
        <v>107.27200000000001</v>
      </c>
      <c r="V598" s="11">
        <v>64.775000000000006</v>
      </c>
      <c r="W598" s="11">
        <v>64.442999999999998</v>
      </c>
      <c r="X598" s="11">
        <v>35.225000000000001</v>
      </c>
      <c r="Y598" s="11">
        <v>35.557000000000002</v>
      </c>
      <c r="Z598" s="11">
        <v>15.191000000000001</v>
      </c>
      <c r="AA598" s="11">
        <v>13.935</v>
      </c>
      <c r="AB598" s="11">
        <v>35.557000000000002</v>
      </c>
      <c r="AC598" s="11">
        <v>35.225000000000001</v>
      </c>
      <c r="AD598" s="11">
        <v>10.115</v>
      </c>
      <c r="AE598" s="11">
        <v>16</v>
      </c>
      <c r="AF598" s="11">
        <v>17</v>
      </c>
      <c r="AG598" s="11">
        <v>16</v>
      </c>
      <c r="AH598" s="11">
        <v>16</v>
      </c>
    </row>
    <row r="599" spans="1:34" s="33" customFormat="1" x14ac:dyDescent="0.2">
      <c r="A599" s="11">
        <v>727</v>
      </c>
      <c r="B599" s="11"/>
      <c r="C599" s="11"/>
      <c r="D599" s="11"/>
      <c r="E599" s="11"/>
      <c r="F599" s="11" t="s">
        <v>80</v>
      </c>
      <c r="G599" s="11" t="s">
        <v>81</v>
      </c>
      <c r="H599" s="56" t="str">
        <f>VLOOKUP(Table6[[#This Row],[ICD Code]],ICD_summary!$I$3:$M$38,5,0)</f>
        <v>Dystonia, cervical</v>
      </c>
      <c r="I599" s="12">
        <v>56.9</v>
      </c>
      <c r="J5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99" s="11" t="s">
        <v>55</v>
      </c>
      <c r="L599" s="11"/>
      <c r="M599" s="11"/>
      <c r="N599" s="11">
        <v>58.198999999999998</v>
      </c>
      <c r="O599" s="11">
        <v>56.009</v>
      </c>
      <c r="P599" s="11">
        <v>113.815</v>
      </c>
      <c r="Q599" s="11">
        <v>114.61499999999999</v>
      </c>
      <c r="R599" s="11">
        <v>101.753</v>
      </c>
      <c r="S599" s="11">
        <v>102.834</v>
      </c>
      <c r="T599" s="11">
        <v>107.586</v>
      </c>
      <c r="U599" s="11">
        <v>107.44199999999999</v>
      </c>
      <c r="V599" s="11">
        <v>64.001000000000005</v>
      </c>
      <c r="W599" s="11">
        <v>63.061</v>
      </c>
      <c r="X599" s="11">
        <v>35.999000000000002</v>
      </c>
      <c r="Y599" s="11">
        <v>36.939</v>
      </c>
      <c r="Z599" s="11">
        <v>14.221</v>
      </c>
      <c r="AA599" s="11">
        <v>13.319000000000001</v>
      </c>
      <c r="AB599" s="11">
        <v>36.939</v>
      </c>
      <c r="AC599" s="11">
        <v>35.999000000000002</v>
      </c>
      <c r="AD599" s="11">
        <v>14.532999999999999</v>
      </c>
      <c r="AE599" s="11">
        <v>16</v>
      </c>
      <c r="AF599" s="11">
        <v>14</v>
      </c>
      <c r="AG599" s="11">
        <v>14</v>
      </c>
      <c r="AH599" s="11">
        <v>14</v>
      </c>
    </row>
    <row r="600" spans="1:34" s="33" customFormat="1" x14ac:dyDescent="0.2">
      <c r="A600" s="11">
        <v>728</v>
      </c>
      <c r="B600" s="11"/>
      <c r="C600" s="11"/>
      <c r="D600" s="11"/>
      <c r="E600" s="11"/>
      <c r="F600" s="11" t="s">
        <v>92</v>
      </c>
      <c r="G600" s="11" t="s">
        <v>93</v>
      </c>
      <c r="H600" s="56" t="str">
        <f>VLOOKUP(Table6[[#This Row],[ICD Code]],ICD_summary!$I$3:$M$38,5,0)</f>
        <v>Misc/Other</v>
      </c>
      <c r="I600" s="12">
        <v>31.5</v>
      </c>
      <c r="J6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00" s="11" t="s">
        <v>55</v>
      </c>
      <c r="L600" s="11"/>
      <c r="M600" s="11"/>
      <c r="N600" s="11">
        <v>59.420999999999999</v>
      </c>
      <c r="O600" s="11">
        <v>58.896000000000001</v>
      </c>
      <c r="P600" s="11">
        <v>118.71299999999999</v>
      </c>
      <c r="Q600" s="11">
        <v>118.212</v>
      </c>
      <c r="R600" s="11">
        <v>128.73699999999999</v>
      </c>
      <c r="S600" s="11">
        <v>128.79</v>
      </c>
      <c r="T600" s="11">
        <v>129.87799999999999</v>
      </c>
      <c r="U600" s="11">
        <v>130.26900000000001</v>
      </c>
      <c r="V600" s="11">
        <v>61.728000000000002</v>
      </c>
      <c r="W600" s="11">
        <v>61.55</v>
      </c>
      <c r="X600" s="11">
        <v>38.271999999999998</v>
      </c>
      <c r="Y600" s="11">
        <v>38.450000000000003</v>
      </c>
      <c r="Z600" s="11">
        <v>12.378</v>
      </c>
      <c r="AA600" s="11">
        <v>11.07</v>
      </c>
      <c r="AB600" s="11">
        <v>38.450000000000003</v>
      </c>
      <c r="AC600" s="11">
        <v>38.271999999999998</v>
      </c>
      <c r="AD600" s="11">
        <v>10.528</v>
      </c>
      <c r="AE600" s="11">
        <v>24</v>
      </c>
      <c r="AF600" s="11">
        <v>24</v>
      </c>
      <c r="AG600" s="11">
        <v>24</v>
      </c>
      <c r="AH600" s="11">
        <v>24</v>
      </c>
    </row>
    <row r="601" spans="1:34" s="33" customFormat="1" x14ac:dyDescent="0.2">
      <c r="A601" s="11">
        <v>729</v>
      </c>
      <c r="B601" s="11"/>
      <c r="C601" s="11"/>
      <c r="D601" s="11"/>
      <c r="E601" s="11"/>
      <c r="F601" s="11" t="s">
        <v>68</v>
      </c>
      <c r="G601" s="11" t="s">
        <v>69</v>
      </c>
      <c r="H601" s="56" t="str">
        <f>VLOOKUP(Table6[[#This Row],[ICD Code]],ICD_summary!$I$3:$M$38,5,0)</f>
        <v>Tremor, essential tremor</v>
      </c>
      <c r="I601" s="12">
        <v>24</v>
      </c>
      <c r="J6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01" s="11" t="s">
        <v>52</v>
      </c>
      <c r="L601" s="11"/>
      <c r="M601" s="11"/>
      <c r="N601" s="11">
        <v>62.173999999999999</v>
      </c>
      <c r="O601" s="11">
        <v>55.384</v>
      </c>
      <c r="P601" s="11">
        <v>117.952</v>
      </c>
      <c r="Q601" s="11">
        <v>117.861</v>
      </c>
      <c r="R601" s="11">
        <v>88.221000000000004</v>
      </c>
      <c r="S601" s="11">
        <v>88.040999999999997</v>
      </c>
      <c r="T601" s="11">
        <v>89.421000000000006</v>
      </c>
      <c r="U601" s="11">
        <v>89.15</v>
      </c>
      <c r="V601" s="11">
        <v>63.024999999999999</v>
      </c>
      <c r="W601" s="11">
        <v>63.521000000000001</v>
      </c>
      <c r="X601" s="11">
        <v>36.975000000000001</v>
      </c>
      <c r="Y601" s="11">
        <v>36.478999999999999</v>
      </c>
      <c r="Z601" s="11">
        <v>14.815</v>
      </c>
      <c r="AA601" s="11">
        <v>12.528</v>
      </c>
      <c r="AB601" s="11">
        <v>36.478999999999999</v>
      </c>
      <c r="AC601" s="11">
        <v>36.975000000000001</v>
      </c>
      <c r="AD601" s="11">
        <v>11.757999999999999</v>
      </c>
      <c r="AE601" s="11">
        <v>9</v>
      </c>
      <c r="AF601" s="11">
        <v>9</v>
      </c>
      <c r="AG601" s="11">
        <v>9</v>
      </c>
      <c r="AH601" s="11">
        <v>9</v>
      </c>
    </row>
    <row r="602" spans="1:34" s="33" customFormat="1" x14ac:dyDescent="0.2">
      <c r="A602" s="11">
        <v>730</v>
      </c>
      <c r="B602" s="11"/>
      <c r="C602" s="11"/>
      <c r="D602" s="11"/>
      <c r="E602" s="11"/>
      <c r="F602" s="11" t="s">
        <v>62</v>
      </c>
      <c r="G602" s="11" t="s">
        <v>63</v>
      </c>
      <c r="H602" s="56" t="str">
        <f>VLOOKUP(Table6[[#This Row],[ICD Code]],ICD_summary!$I$3:$M$38,5,0)</f>
        <v>PD</v>
      </c>
      <c r="I602" s="12">
        <v>57.5</v>
      </c>
      <c r="J6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02" s="11" t="s">
        <v>55</v>
      </c>
      <c r="L602" s="11"/>
      <c r="M602" s="11"/>
      <c r="N602" s="11">
        <v>48.71</v>
      </c>
      <c r="O602" s="11">
        <v>47.93</v>
      </c>
      <c r="P602" s="11">
        <v>96.384</v>
      </c>
      <c r="Q602" s="11">
        <v>97.143000000000001</v>
      </c>
      <c r="R602" s="11">
        <v>89.855000000000004</v>
      </c>
      <c r="S602" s="11">
        <v>90.376000000000005</v>
      </c>
      <c r="T602" s="11">
        <v>111.98699999999999</v>
      </c>
      <c r="U602" s="11">
        <v>111.712</v>
      </c>
      <c r="V602" s="11">
        <v>64.078999999999994</v>
      </c>
      <c r="W602" s="11">
        <v>64.326999999999998</v>
      </c>
      <c r="X602" s="11">
        <v>35.920999999999999</v>
      </c>
      <c r="Y602" s="11">
        <v>35.671999999999997</v>
      </c>
      <c r="Z602" s="11">
        <v>13.43</v>
      </c>
      <c r="AA602" s="11">
        <v>15.417999999999999</v>
      </c>
      <c r="AB602" s="11">
        <v>35.671999999999997</v>
      </c>
      <c r="AC602" s="11">
        <v>35.920999999999999</v>
      </c>
      <c r="AD602" s="11">
        <v>9.2680000000000007</v>
      </c>
      <c r="AE602" s="11">
        <v>17</v>
      </c>
      <c r="AF602" s="11">
        <v>18</v>
      </c>
      <c r="AG602" s="11">
        <v>17</v>
      </c>
      <c r="AH602" s="11">
        <v>17</v>
      </c>
    </row>
    <row r="603" spans="1:34" s="33" customFormat="1" x14ac:dyDescent="0.2">
      <c r="A603" s="11">
        <v>731</v>
      </c>
      <c r="B603" s="11"/>
      <c r="C603" s="11"/>
      <c r="D603" s="11"/>
      <c r="E603" s="11"/>
      <c r="F603" s="11" t="s">
        <v>68</v>
      </c>
      <c r="G603" s="11" t="s">
        <v>69</v>
      </c>
      <c r="H603" s="56" t="str">
        <f>VLOOKUP(Table6[[#This Row],[ICD Code]],ICD_summary!$I$3:$M$38,5,0)</f>
        <v>Tremor, essential tremor</v>
      </c>
      <c r="I603" s="12">
        <v>38.299999999999997</v>
      </c>
      <c r="J6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03" s="11" t="s">
        <v>52</v>
      </c>
      <c r="L603" s="11"/>
      <c r="M603" s="11"/>
      <c r="N603" s="11">
        <v>34.783999999999999</v>
      </c>
      <c r="O603" s="11">
        <v>40.728000000000002</v>
      </c>
      <c r="P603" s="11">
        <v>75.417000000000002</v>
      </c>
      <c r="Q603" s="11">
        <v>75.385000000000005</v>
      </c>
      <c r="R603" s="11">
        <v>65.881</v>
      </c>
      <c r="S603" s="11">
        <v>65.563000000000002</v>
      </c>
      <c r="T603" s="11">
        <v>104.57</v>
      </c>
      <c r="U603" s="11">
        <v>104.26</v>
      </c>
      <c r="V603" s="11">
        <v>72.852000000000004</v>
      </c>
      <c r="W603" s="11">
        <v>60.289000000000001</v>
      </c>
      <c r="X603" s="11">
        <v>27.148</v>
      </c>
      <c r="Y603" s="11">
        <v>39.710999999999999</v>
      </c>
      <c r="Z603" s="11">
        <v>16.021999999999998</v>
      </c>
      <c r="AA603" s="11">
        <v>17.356999999999999</v>
      </c>
      <c r="AB603" s="11">
        <v>39.710999999999999</v>
      </c>
      <c r="AC603" s="11">
        <v>27.148</v>
      </c>
      <c r="AD603" s="11">
        <v>16.606999999999999</v>
      </c>
      <c r="AE603" s="11">
        <v>14</v>
      </c>
      <c r="AF603" s="11">
        <v>16</v>
      </c>
      <c r="AG603" s="11">
        <v>14</v>
      </c>
      <c r="AH603" s="11">
        <v>14</v>
      </c>
    </row>
    <row r="604" spans="1:34" s="33" customFormat="1" x14ac:dyDescent="0.2">
      <c r="A604" s="11">
        <v>732</v>
      </c>
      <c r="B604" s="11"/>
      <c r="C604" s="11"/>
      <c r="D604" s="11"/>
      <c r="E604" s="11"/>
      <c r="F604" s="11" t="s">
        <v>62</v>
      </c>
      <c r="G604" s="11" t="s">
        <v>63</v>
      </c>
      <c r="H604" s="56" t="str">
        <f>VLOOKUP(Table6[[#This Row],[ICD Code]],ICD_summary!$I$3:$M$38,5,0)</f>
        <v>PD</v>
      </c>
      <c r="I604" s="12">
        <v>61.9</v>
      </c>
      <c r="J6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4" s="11" t="s">
        <v>52</v>
      </c>
      <c r="L604" s="11"/>
      <c r="M604" s="11"/>
      <c r="N604" s="11">
        <v>54.293999999999997</v>
      </c>
      <c r="O604" s="11">
        <v>49.497</v>
      </c>
      <c r="P604" s="11">
        <v>102.714</v>
      </c>
      <c r="Q604" s="11">
        <v>103.075</v>
      </c>
      <c r="R604" s="11">
        <v>79.19</v>
      </c>
      <c r="S604" s="11">
        <v>80.47</v>
      </c>
      <c r="T604" s="11">
        <v>94.320999999999998</v>
      </c>
      <c r="U604" s="11">
        <v>95.204999999999998</v>
      </c>
      <c r="V604" s="11">
        <v>64.540999999999997</v>
      </c>
      <c r="W604" s="11">
        <v>65.709999999999994</v>
      </c>
      <c r="X604" s="11">
        <v>35.459000000000003</v>
      </c>
      <c r="Y604" s="11">
        <v>34.29</v>
      </c>
      <c r="Z604" s="11">
        <v>14.048</v>
      </c>
      <c r="AA604" s="11">
        <v>16.759</v>
      </c>
      <c r="AB604" s="11">
        <v>34.29</v>
      </c>
      <c r="AC604" s="11">
        <v>35.459000000000003</v>
      </c>
      <c r="AD604" s="11">
        <v>19.260000000000002</v>
      </c>
      <c r="AE604" s="11">
        <v>17</v>
      </c>
      <c r="AF604" s="11">
        <v>14</v>
      </c>
      <c r="AG604" s="11">
        <v>14</v>
      </c>
      <c r="AH604" s="11">
        <v>14</v>
      </c>
    </row>
    <row r="605" spans="1:34" s="33" customFormat="1" x14ac:dyDescent="0.2">
      <c r="A605" s="11">
        <v>733</v>
      </c>
      <c r="B605" s="11"/>
      <c r="C605" s="11"/>
      <c r="D605" s="11"/>
      <c r="E605" s="11"/>
      <c r="F605" s="11" t="s">
        <v>68</v>
      </c>
      <c r="G605" s="11" t="s">
        <v>69</v>
      </c>
      <c r="H605" s="56" t="str">
        <f>VLOOKUP(Table6[[#This Row],[ICD Code]],ICD_summary!$I$3:$M$38,5,0)</f>
        <v>Tremor, essential tremor</v>
      </c>
      <c r="I605" s="12">
        <v>79.8</v>
      </c>
      <c r="J6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5" s="11" t="s">
        <v>52</v>
      </c>
      <c r="L605" s="11"/>
      <c r="M605" s="11"/>
      <c r="N605" s="11">
        <v>58.09</v>
      </c>
      <c r="O605" s="11">
        <v>57.253999999999998</v>
      </c>
      <c r="P605" s="11">
        <v>115.4</v>
      </c>
      <c r="Q605" s="11">
        <v>114.89700000000001</v>
      </c>
      <c r="R605" s="11">
        <v>101.85</v>
      </c>
      <c r="S605" s="11">
        <v>101.51600000000001</v>
      </c>
      <c r="T605" s="11">
        <v>105.741</v>
      </c>
      <c r="U605" s="11">
        <v>105.73699999999999</v>
      </c>
      <c r="V605" s="11">
        <v>61.154000000000003</v>
      </c>
      <c r="W605" s="11">
        <v>61.783000000000001</v>
      </c>
      <c r="X605" s="11">
        <v>38.845999999999997</v>
      </c>
      <c r="Y605" s="11">
        <v>38.216999999999999</v>
      </c>
      <c r="Z605" s="11">
        <v>13.377000000000001</v>
      </c>
      <c r="AA605" s="11">
        <v>9.9339999999999993</v>
      </c>
      <c r="AB605" s="11">
        <v>38.216999999999999</v>
      </c>
      <c r="AC605" s="11">
        <v>38.845999999999997</v>
      </c>
      <c r="AD605" s="11">
        <v>8.5549999999999997</v>
      </c>
      <c r="AE605" s="11">
        <v>13</v>
      </c>
      <c r="AF605" s="11">
        <v>13</v>
      </c>
      <c r="AG605" s="11">
        <v>13</v>
      </c>
      <c r="AH605" s="11">
        <v>13</v>
      </c>
    </row>
    <row r="606" spans="1:34" s="33" customFormat="1" x14ac:dyDescent="0.2">
      <c r="A606" s="11">
        <v>734</v>
      </c>
      <c r="B606" s="11"/>
      <c r="C606" s="11"/>
      <c r="D606" s="11"/>
      <c r="E606" s="11"/>
      <c r="F606" s="11" t="s">
        <v>51</v>
      </c>
      <c r="G606" s="11" t="s">
        <v>51</v>
      </c>
      <c r="H606" s="56" t="str">
        <f>VLOOKUP(Table6[[#This Row],[ICD Code]],ICD_summary!$I$3:$M$38,5,0)</f>
        <v>Misc/Other</v>
      </c>
      <c r="I606" s="12">
        <v>999</v>
      </c>
      <c r="J6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06" s="11" t="s">
        <v>51</v>
      </c>
      <c r="L606" s="11"/>
      <c r="M606" s="11"/>
      <c r="N606" s="11">
        <v>54.470999999999997</v>
      </c>
      <c r="O606" s="11">
        <v>55.267000000000003</v>
      </c>
      <c r="P606" s="11">
        <v>110.021</v>
      </c>
      <c r="Q606" s="11">
        <v>109.73699999999999</v>
      </c>
      <c r="R606" s="11">
        <v>96.980999999999995</v>
      </c>
      <c r="S606" s="11">
        <v>97.344999999999999</v>
      </c>
      <c r="T606" s="11">
        <v>106.288</v>
      </c>
      <c r="U606" s="11">
        <v>105.97</v>
      </c>
      <c r="V606" s="11">
        <v>63.776000000000003</v>
      </c>
      <c r="W606" s="11">
        <v>62.89</v>
      </c>
      <c r="X606" s="11">
        <v>36.223999999999997</v>
      </c>
      <c r="Y606" s="11">
        <v>37.11</v>
      </c>
      <c r="Z606" s="11">
        <v>13.227</v>
      </c>
      <c r="AA606" s="11">
        <v>13.933</v>
      </c>
      <c r="AB606" s="11">
        <v>37.11</v>
      </c>
      <c r="AC606" s="11">
        <v>36.223999999999997</v>
      </c>
      <c r="AD606" s="11">
        <v>10.74</v>
      </c>
      <c r="AE606" s="11">
        <v>18</v>
      </c>
      <c r="AF606" s="11">
        <v>16</v>
      </c>
      <c r="AG606" s="11">
        <v>16</v>
      </c>
      <c r="AH606" s="11">
        <v>16</v>
      </c>
    </row>
    <row r="607" spans="1:34" s="33" customFormat="1" x14ac:dyDescent="0.2">
      <c r="A607" s="11">
        <v>735</v>
      </c>
      <c r="B607" s="11"/>
      <c r="C607" s="11"/>
      <c r="D607" s="11"/>
      <c r="E607" s="11"/>
      <c r="F607" s="11" t="s">
        <v>62</v>
      </c>
      <c r="G607" s="11" t="s">
        <v>63</v>
      </c>
      <c r="H607" s="56" t="str">
        <f>VLOOKUP(Table6[[#This Row],[ICD Code]],ICD_summary!$I$3:$M$38,5,0)</f>
        <v>PD</v>
      </c>
      <c r="I607" s="12">
        <v>63.6</v>
      </c>
      <c r="J6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7" s="11" t="s">
        <v>52</v>
      </c>
      <c r="L607" s="11"/>
      <c r="M607" s="11"/>
      <c r="N607" s="11">
        <v>59.177999999999997</v>
      </c>
      <c r="O607" s="11">
        <v>70.497</v>
      </c>
      <c r="P607" s="11">
        <v>129.43299999999999</v>
      </c>
      <c r="Q607" s="11">
        <v>129.642</v>
      </c>
      <c r="R607" s="11">
        <v>106.85599999999999</v>
      </c>
      <c r="S607" s="11">
        <v>107.455</v>
      </c>
      <c r="T607" s="11">
        <v>99.004999999999995</v>
      </c>
      <c r="U607" s="11">
        <v>99.043999999999997</v>
      </c>
      <c r="V607" s="11">
        <v>60.923000000000002</v>
      </c>
      <c r="W607" s="11">
        <v>61.828000000000003</v>
      </c>
      <c r="X607" s="11">
        <v>39.076999999999998</v>
      </c>
      <c r="Y607" s="11">
        <v>38.171999999999997</v>
      </c>
      <c r="Z607" s="11">
        <v>10.423999999999999</v>
      </c>
      <c r="AA607" s="11">
        <v>12.492000000000001</v>
      </c>
      <c r="AB607" s="11">
        <v>38.171999999999997</v>
      </c>
      <c r="AC607" s="11">
        <v>39.076999999999998</v>
      </c>
      <c r="AD607" s="11">
        <v>11.643000000000001</v>
      </c>
      <c r="AE607" s="11">
        <v>12</v>
      </c>
      <c r="AF607" s="11">
        <v>12</v>
      </c>
      <c r="AG607" s="11">
        <v>12</v>
      </c>
      <c r="AH607" s="11">
        <v>12</v>
      </c>
    </row>
    <row r="608" spans="1:34" s="33" customFormat="1" x14ac:dyDescent="0.2">
      <c r="A608" s="11">
        <v>736</v>
      </c>
      <c r="B608" s="11"/>
      <c r="C608" s="11"/>
      <c r="D608" s="11"/>
      <c r="E608" s="11"/>
      <c r="F608" s="11" t="s">
        <v>68</v>
      </c>
      <c r="G608" s="11" t="s">
        <v>69</v>
      </c>
      <c r="H608" s="56" t="str">
        <f>VLOOKUP(Table6[[#This Row],[ICD Code]],ICD_summary!$I$3:$M$38,5,0)</f>
        <v>Tremor, essential tremor</v>
      </c>
      <c r="I608" s="12">
        <v>69.3</v>
      </c>
      <c r="J6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8" s="11" t="s">
        <v>55</v>
      </c>
      <c r="L608" s="11"/>
      <c r="M608" s="11"/>
      <c r="N608" s="11">
        <v>44.524999999999999</v>
      </c>
      <c r="O608" s="11">
        <v>46.966000000000001</v>
      </c>
      <c r="P608" s="11">
        <v>91.858000000000004</v>
      </c>
      <c r="Q608" s="11">
        <v>91.364000000000004</v>
      </c>
      <c r="R608" s="11">
        <v>68.927000000000007</v>
      </c>
      <c r="S608" s="11">
        <v>68.673000000000002</v>
      </c>
      <c r="T608" s="11">
        <v>89.448999999999998</v>
      </c>
      <c r="U608" s="11">
        <v>89.822000000000003</v>
      </c>
      <c r="V608" s="11">
        <v>68.486000000000004</v>
      </c>
      <c r="W608" s="11">
        <v>67.007999999999996</v>
      </c>
      <c r="X608" s="11">
        <v>31.513999999999999</v>
      </c>
      <c r="Y608" s="11">
        <v>32.991999999999997</v>
      </c>
      <c r="Z608" s="11">
        <v>17.058</v>
      </c>
      <c r="AA608" s="11">
        <v>17.571000000000002</v>
      </c>
      <c r="AB608" s="11">
        <v>32.991999999999997</v>
      </c>
      <c r="AC608" s="11">
        <v>31.513999999999999</v>
      </c>
      <c r="AD608" s="11">
        <v>7.7080000000000002</v>
      </c>
      <c r="AE608" s="11">
        <v>13</v>
      </c>
      <c r="AF608" s="11">
        <v>13</v>
      </c>
      <c r="AG608" s="11">
        <v>13</v>
      </c>
      <c r="AH608" s="11">
        <v>13</v>
      </c>
    </row>
    <row r="609" spans="1:34" s="33" customFormat="1" x14ac:dyDescent="0.2">
      <c r="A609" s="11">
        <v>737</v>
      </c>
      <c r="B609" s="11"/>
      <c r="C609" s="11"/>
      <c r="D609" s="11"/>
      <c r="E609" s="11"/>
      <c r="F609" s="11" t="s">
        <v>74</v>
      </c>
      <c r="G609" s="11" t="s">
        <v>75</v>
      </c>
      <c r="H609" s="56" t="str">
        <f>VLOOKUP(Table6[[#This Row],[ICD Code]],ICD_summary!$I$3:$M$38,5,0)</f>
        <v>Tremor, other</v>
      </c>
      <c r="I609" s="12">
        <v>70.400000000000006</v>
      </c>
      <c r="J6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9" s="11" t="s">
        <v>55</v>
      </c>
      <c r="L609" s="11"/>
      <c r="M609" s="11"/>
      <c r="N609" s="11">
        <v>43.338000000000001</v>
      </c>
      <c r="O609" s="11">
        <v>40.137999999999998</v>
      </c>
      <c r="P609" s="11">
        <v>84.102999999999994</v>
      </c>
      <c r="Q609" s="11">
        <v>83.468000000000004</v>
      </c>
      <c r="R609" s="11">
        <v>65.411000000000001</v>
      </c>
      <c r="S609" s="11">
        <v>64.951999999999998</v>
      </c>
      <c r="T609" s="11">
        <v>93.91</v>
      </c>
      <c r="U609" s="11">
        <v>93.674000000000007</v>
      </c>
      <c r="V609" s="11">
        <v>64.453000000000003</v>
      </c>
      <c r="W609" s="11">
        <v>65.814999999999998</v>
      </c>
      <c r="X609" s="11">
        <v>35.546999999999997</v>
      </c>
      <c r="Y609" s="11">
        <v>34.185000000000002</v>
      </c>
      <c r="Z609" s="11">
        <v>15.896000000000001</v>
      </c>
      <c r="AA609" s="11">
        <v>13.811</v>
      </c>
      <c r="AB609" s="11">
        <v>34.185000000000002</v>
      </c>
      <c r="AC609" s="11">
        <v>35.546999999999997</v>
      </c>
      <c r="AD609" s="11">
        <v>12.406000000000001</v>
      </c>
      <c r="AE609" s="11">
        <v>16</v>
      </c>
      <c r="AF609" s="11">
        <v>19</v>
      </c>
      <c r="AG609" s="11">
        <v>16</v>
      </c>
      <c r="AH609" s="11">
        <v>16</v>
      </c>
    </row>
    <row r="610" spans="1:34" s="33" customFormat="1" x14ac:dyDescent="0.2">
      <c r="A610" s="11">
        <v>738</v>
      </c>
      <c r="B610" s="11"/>
      <c r="C610" s="11"/>
      <c r="D610" s="11"/>
      <c r="E610" s="11"/>
      <c r="F610" s="11" t="s">
        <v>68</v>
      </c>
      <c r="G610" s="11" t="s">
        <v>69</v>
      </c>
      <c r="H610" s="56" t="str">
        <f>VLOOKUP(Table6[[#This Row],[ICD Code]],ICD_summary!$I$3:$M$38,5,0)</f>
        <v>Tremor, essential tremor</v>
      </c>
      <c r="I610" s="12">
        <v>61.4</v>
      </c>
      <c r="J6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10" s="11" t="s">
        <v>55</v>
      </c>
      <c r="L610" s="11"/>
      <c r="M610" s="11"/>
      <c r="N610" s="11">
        <v>40.895000000000003</v>
      </c>
      <c r="O610" s="11">
        <v>37.186999999999998</v>
      </c>
      <c r="P610" s="11">
        <v>78.629000000000005</v>
      </c>
      <c r="Q610" s="11">
        <v>78.381</v>
      </c>
      <c r="R610" s="11">
        <v>63.819000000000003</v>
      </c>
      <c r="S610" s="11">
        <v>64.119</v>
      </c>
      <c r="T610" s="11">
        <v>97.911000000000001</v>
      </c>
      <c r="U610" s="11">
        <v>97.796999999999997</v>
      </c>
      <c r="V610" s="11">
        <v>66.977000000000004</v>
      </c>
      <c r="W610" s="11">
        <v>68.385000000000005</v>
      </c>
      <c r="X610" s="11">
        <v>33.023000000000003</v>
      </c>
      <c r="Y610" s="11">
        <v>31.614999999999998</v>
      </c>
      <c r="Z610" s="11">
        <v>18.914000000000001</v>
      </c>
      <c r="AA610" s="11">
        <v>16.745000000000001</v>
      </c>
      <c r="AB610" s="11">
        <v>31.614999999999998</v>
      </c>
      <c r="AC610" s="11">
        <v>33.023000000000003</v>
      </c>
      <c r="AD610" s="11">
        <v>17.103999999999999</v>
      </c>
      <c r="AE610" s="11">
        <v>16</v>
      </c>
      <c r="AF610" s="11">
        <v>16</v>
      </c>
      <c r="AG610" s="11">
        <v>16</v>
      </c>
      <c r="AH610" s="11">
        <v>16</v>
      </c>
    </row>
    <row r="611" spans="1:34" s="33" customFormat="1" x14ac:dyDescent="0.2">
      <c r="A611" s="11">
        <v>739</v>
      </c>
      <c r="B611" s="11"/>
      <c r="C611" s="11"/>
      <c r="D611" s="11"/>
      <c r="E611" s="11"/>
      <c r="F611" s="11" t="s">
        <v>51</v>
      </c>
      <c r="G611" s="11" t="s">
        <v>51</v>
      </c>
      <c r="H611" s="56" t="str">
        <f>VLOOKUP(Table6[[#This Row],[ICD Code]],ICD_summary!$I$3:$M$38,5,0)</f>
        <v>Misc/Other</v>
      </c>
      <c r="I611" s="12">
        <v>999</v>
      </c>
      <c r="J6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1" s="11" t="s">
        <v>51</v>
      </c>
      <c r="L611" s="11"/>
      <c r="M611" s="11"/>
      <c r="N611" s="11">
        <v>67.486999999999995</v>
      </c>
      <c r="O611" s="11">
        <v>59.488999999999997</v>
      </c>
      <c r="P611" s="11">
        <v>127.14700000000001</v>
      </c>
      <c r="Q611" s="11">
        <v>126.886</v>
      </c>
      <c r="R611" s="11">
        <v>119.035</v>
      </c>
      <c r="S611" s="11">
        <v>118.80500000000001</v>
      </c>
      <c r="T611" s="11">
        <v>112.51600000000001</v>
      </c>
      <c r="U611" s="11">
        <v>112.251</v>
      </c>
      <c r="V611" s="11">
        <v>63.408999999999999</v>
      </c>
      <c r="W611" s="11">
        <v>62.993000000000002</v>
      </c>
      <c r="X611" s="11">
        <v>36.591000000000001</v>
      </c>
      <c r="Y611" s="11">
        <v>37.006999999999998</v>
      </c>
      <c r="Z611" s="11">
        <v>11.813000000000001</v>
      </c>
      <c r="AA611" s="11">
        <v>15.071</v>
      </c>
      <c r="AB611" s="11">
        <v>37.006999999999998</v>
      </c>
      <c r="AC611" s="11">
        <v>36.591000000000001</v>
      </c>
      <c r="AD611" s="11">
        <v>9.5920000000000005</v>
      </c>
      <c r="AE611" s="11">
        <v>17</v>
      </c>
      <c r="AF611" s="11">
        <v>12</v>
      </c>
      <c r="AG611" s="11">
        <v>12</v>
      </c>
      <c r="AH611" s="11">
        <v>12</v>
      </c>
    </row>
    <row r="612" spans="1:34" s="33" customFormat="1" x14ac:dyDescent="0.2">
      <c r="A612" s="11">
        <v>740</v>
      </c>
      <c r="B612" s="11"/>
      <c r="C612" s="11"/>
      <c r="D612" s="11"/>
      <c r="E612" s="11"/>
      <c r="F612" s="11" t="s">
        <v>51</v>
      </c>
      <c r="G612" s="11" t="s">
        <v>51</v>
      </c>
      <c r="H612" s="56" t="str">
        <f>VLOOKUP(Table6[[#This Row],[ICD Code]],ICD_summary!$I$3:$M$38,5,0)</f>
        <v>Misc/Other</v>
      </c>
      <c r="I612" s="12">
        <v>999</v>
      </c>
      <c r="J6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2" s="11" t="s">
        <v>51</v>
      </c>
      <c r="L612" s="11"/>
      <c r="M612" s="11"/>
      <c r="N612" s="11">
        <v>36.764000000000003</v>
      </c>
      <c r="O612" s="11">
        <v>41.137</v>
      </c>
      <c r="P612" s="11">
        <v>78.378</v>
      </c>
      <c r="Q612" s="11">
        <v>77.581000000000003</v>
      </c>
      <c r="R612" s="11">
        <v>47.445</v>
      </c>
      <c r="S612" s="11">
        <v>47.984999999999999</v>
      </c>
      <c r="T612" s="11">
        <v>72.650000000000006</v>
      </c>
      <c r="U612" s="11">
        <v>73.686999999999998</v>
      </c>
      <c r="V612" s="11">
        <v>65.48</v>
      </c>
      <c r="W612" s="11">
        <v>72.125</v>
      </c>
      <c r="X612" s="11">
        <v>34.520000000000003</v>
      </c>
      <c r="Y612" s="11">
        <v>27.875</v>
      </c>
      <c r="Z612" s="11">
        <v>15.794</v>
      </c>
      <c r="AA612" s="11">
        <v>21.721</v>
      </c>
      <c r="AB612" s="11">
        <v>27.875</v>
      </c>
      <c r="AC612" s="11">
        <v>34.520000000000003</v>
      </c>
      <c r="AD612" s="11">
        <v>18.783000000000001</v>
      </c>
      <c r="AE612" s="11">
        <v>15</v>
      </c>
      <c r="AF612" s="11">
        <v>14</v>
      </c>
      <c r="AG612" s="11">
        <v>14</v>
      </c>
      <c r="AH612" s="11">
        <v>14</v>
      </c>
    </row>
    <row r="613" spans="1:34" s="33" customFormat="1" x14ac:dyDescent="0.2">
      <c r="A613" s="11">
        <v>741</v>
      </c>
      <c r="B613" s="11"/>
      <c r="C613" s="11"/>
      <c r="D613" s="11"/>
      <c r="E613" s="11"/>
      <c r="F613" s="11" t="s">
        <v>51</v>
      </c>
      <c r="G613" s="11" t="s">
        <v>51</v>
      </c>
      <c r="H613" s="56" t="str">
        <f>VLOOKUP(Table6[[#This Row],[ICD Code]],ICD_summary!$I$3:$M$38,5,0)</f>
        <v>Misc/Other</v>
      </c>
      <c r="I613" s="12">
        <v>999</v>
      </c>
      <c r="J6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3" s="11" t="s">
        <v>51</v>
      </c>
      <c r="L613" s="11"/>
      <c r="M613" s="11"/>
      <c r="N613" s="11">
        <v>41.176000000000002</v>
      </c>
      <c r="O613" s="11">
        <v>43.496000000000002</v>
      </c>
      <c r="P613" s="11">
        <v>85.066000000000003</v>
      </c>
      <c r="Q613" s="11">
        <v>84.343000000000004</v>
      </c>
      <c r="R613" s="11">
        <v>67.741</v>
      </c>
      <c r="S613" s="11">
        <v>67.561999999999998</v>
      </c>
      <c r="T613" s="11">
        <v>95.278000000000006</v>
      </c>
      <c r="U613" s="11">
        <v>95.528999999999996</v>
      </c>
      <c r="V613" s="11">
        <v>68.322000000000003</v>
      </c>
      <c r="W613" s="11">
        <v>66.688000000000002</v>
      </c>
      <c r="X613" s="11">
        <v>31.678000000000001</v>
      </c>
      <c r="Y613" s="11">
        <v>33.311999999999998</v>
      </c>
      <c r="Z613" s="11">
        <v>18.117999999999999</v>
      </c>
      <c r="AA613" s="11">
        <v>16.579999999999998</v>
      </c>
      <c r="AB613" s="11">
        <v>33.311999999999998</v>
      </c>
      <c r="AC613" s="11">
        <v>31.678000000000001</v>
      </c>
      <c r="AD613" s="11">
        <v>12.574999999999999</v>
      </c>
      <c r="AE613" s="11">
        <v>14</v>
      </c>
      <c r="AF613" s="11">
        <v>15</v>
      </c>
      <c r="AG613" s="11">
        <v>14</v>
      </c>
      <c r="AH613" s="11">
        <v>14</v>
      </c>
    </row>
    <row r="614" spans="1:34" s="33" customFormat="1" x14ac:dyDescent="0.2">
      <c r="A614" s="11">
        <v>742</v>
      </c>
      <c r="B614" s="11"/>
      <c r="C614" s="11"/>
      <c r="D614" s="11"/>
      <c r="E614" s="11"/>
      <c r="F614" s="11" t="s">
        <v>106</v>
      </c>
      <c r="G614" s="11" t="s">
        <v>107</v>
      </c>
      <c r="H614" s="56" t="str">
        <f>VLOOKUP(Table6[[#This Row],[ICD Code]],ICD_summary!$I$3:$M$38,5,0)</f>
        <v>Ataxia</v>
      </c>
      <c r="I614" s="12">
        <v>36.200000000000003</v>
      </c>
      <c r="J6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14" s="11" t="s">
        <v>55</v>
      </c>
      <c r="L614" s="11"/>
      <c r="M614" s="11"/>
      <c r="N614" s="11">
        <v>37.07</v>
      </c>
      <c r="O614" s="11">
        <v>39.914000000000001</v>
      </c>
      <c r="P614" s="11">
        <v>77.62</v>
      </c>
      <c r="Q614" s="11">
        <v>76.528000000000006</v>
      </c>
      <c r="R614" s="11">
        <v>61.643999999999998</v>
      </c>
      <c r="S614" s="11">
        <v>60.506</v>
      </c>
      <c r="T614" s="11">
        <v>95.346999999999994</v>
      </c>
      <c r="U614" s="11">
        <v>95.266000000000005</v>
      </c>
      <c r="V614" s="11">
        <v>70.503</v>
      </c>
      <c r="W614" s="11">
        <v>67.043999999999997</v>
      </c>
      <c r="X614" s="11">
        <v>29.497</v>
      </c>
      <c r="Y614" s="11">
        <v>32.956000000000003</v>
      </c>
      <c r="Z614" s="11">
        <v>17.349</v>
      </c>
      <c r="AA614" s="11">
        <v>21.065000000000001</v>
      </c>
      <c r="AB614" s="11">
        <v>32.956000000000003</v>
      </c>
      <c r="AC614" s="11">
        <v>29.497</v>
      </c>
      <c r="AD614" s="11">
        <v>14.821999999999999</v>
      </c>
      <c r="AE614" s="11">
        <v>14</v>
      </c>
      <c r="AF614" s="11">
        <v>14</v>
      </c>
      <c r="AG614" s="11">
        <v>14</v>
      </c>
      <c r="AH614" s="11">
        <v>14</v>
      </c>
    </row>
    <row r="615" spans="1:34" s="33" customFormat="1" x14ac:dyDescent="0.2">
      <c r="A615" s="11">
        <v>743</v>
      </c>
      <c r="B615" s="11"/>
      <c r="C615" s="11"/>
      <c r="D615" s="11"/>
      <c r="E615" s="11"/>
      <c r="F615" s="11" t="s">
        <v>62</v>
      </c>
      <c r="G615" s="11" t="s">
        <v>63</v>
      </c>
      <c r="H615" s="56" t="str">
        <f>VLOOKUP(Table6[[#This Row],[ICD Code]],ICD_summary!$I$3:$M$38,5,0)</f>
        <v>PD</v>
      </c>
      <c r="I615" s="12">
        <v>60.2</v>
      </c>
      <c r="J6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15" s="11" t="s">
        <v>52</v>
      </c>
      <c r="L615" s="11"/>
      <c r="M615" s="11"/>
      <c r="N615" s="11">
        <v>59.037999999999997</v>
      </c>
      <c r="O615" s="11">
        <v>62.743000000000002</v>
      </c>
      <c r="P615" s="11">
        <v>122.25</v>
      </c>
      <c r="Q615" s="11">
        <v>122.258</v>
      </c>
      <c r="R615" s="11">
        <v>105.298</v>
      </c>
      <c r="S615" s="11">
        <v>106.321</v>
      </c>
      <c r="T615" s="11">
        <v>102.971</v>
      </c>
      <c r="U615" s="11">
        <v>104.14100000000001</v>
      </c>
      <c r="V615" s="11">
        <v>63.743000000000002</v>
      </c>
      <c r="W615" s="11">
        <v>63.375</v>
      </c>
      <c r="X615" s="11">
        <v>36.256999999999998</v>
      </c>
      <c r="Y615" s="11">
        <v>36.625</v>
      </c>
      <c r="Z615" s="11">
        <v>14.066000000000001</v>
      </c>
      <c r="AA615" s="11">
        <v>13.613</v>
      </c>
      <c r="AB615" s="11">
        <v>36.625</v>
      </c>
      <c r="AC615" s="11">
        <v>36.256999999999998</v>
      </c>
      <c r="AD615" s="11">
        <v>16.324999999999999</v>
      </c>
      <c r="AE615" s="11">
        <v>16</v>
      </c>
      <c r="AF615" s="11">
        <v>12</v>
      </c>
      <c r="AG615" s="11">
        <v>12</v>
      </c>
      <c r="AH615" s="11">
        <v>12</v>
      </c>
    </row>
    <row r="616" spans="1:34" s="33" customFormat="1" x14ac:dyDescent="0.2">
      <c r="A616" s="11">
        <v>744</v>
      </c>
      <c r="B616" s="11"/>
      <c r="C616" s="11"/>
      <c r="D616" s="11"/>
      <c r="E616" s="11"/>
      <c r="F616" s="11" t="s">
        <v>68</v>
      </c>
      <c r="G616" s="11" t="s">
        <v>69</v>
      </c>
      <c r="H616" s="56" t="str">
        <f>VLOOKUP(Table6[[#This Row],[ICD Code]],ICD_summary!$I$3:$M$38,5,0)</f>
        <v>Tremor, essential tremor</v>
      </c>
      <c r="I616" s="12">
        <v>72.3</v>
      </c>
      <c r="J6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6" s="11" t="s">
        <v>52</v>
      </c>
      <c r="L616" s="11"/>
      <c r="M616" s="11"/>
      <c r="N616" s="11">
        <v>66.540999999999997</v>
      </c>
      <c r="O616" s="11">
        <v>63.628999999999998</v>
      </c>
      <c r="P616" s="11">
        <v>130.41</v>
      </c>
      <c r="Q616" s="11">
        <v>130.53399999999999</v>
      </c>
      <c r="R616" s="11">
        <v>117.14700000000001</v>
      </c>
      <c r="S616" s="11">
        <v>116.979</v>
      </c>
      <c r="T616" s="11">
        <v>107.36199999999999</v>
      </c>
      <c r="U616" s="11">
        <v>107.345</v>
      </c>
      <c r="V616" s="11">
        <v>63.787999999999997</v>
      </c>
      <c r="W616" s="11">
        <v>63.914000000000001</v>
      </c>
      <c r="X616" s="11">
        <v>36.212000000000003</v>
      </c>
      <c r="Y616" s="11">
        <v>36.085999999999999</v>
      </c>
      <c r="Z616" s="11">
        <v>15.026999999999999</v>
      </c>
      <c r="AA616" s="11">
        <v>12.419</v>
      </c>
      <c r="AB616" s="11">
        <v>36.085999999999999</v>
      </c>
      <c r="AC616" s="11">
        <v>36.212000000000003</v>
      </c>
      <c r="AD616" s="11">
        <v>11.382999999999999</v>
      </c>
      <c r="AE616" s="11">
        <v>12</v>
      </c>
      <c r="AF616" s="11">
        <v>12</v>
      </c>
      <c r="AG616" s="11">
        <v>12</v>
      </c>
      <c r="AH616" s="11">
        <v>12</v>
      </c>
    </row>
    <row r="617" spans="1:34" s="33" customFormat="1" x14ac:dyDescent="0.2">
      <c r="A617" s="11">
        <v>745</v>
      </c>
      <c r="B617" s="11"/>
      <c r="C617" s="11"/>
      <c r="D617" s="11"/>
      <c r="E617" s="11"/>
      <c r="F617" s="11" t="s">
        <v>66</v>
      </c>
      <c r="G617" s="11" t="s">
        <v>67</v>
      </c>
      <c r="H617" s="56" t="str">
        <f>VLOOKUP(Table6[[#This Row],[ICD Code]],ICD_summary!$I$3:$M$38,5,0)</f>
        <v>Dystonia, other</v>
      </c>
      <c r="I617" s="12">
        <v>43.4</v>
      </c>
      <c r="J6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17" s="11" t="s">
        <v>55</v>
      </c>
      <c r="L617" s="11"/>
      <c r="M617" s="11"/>
      <c r="N617" s="11" t="s">
        <v>51</v>
      </c>
      <c r="O617" s="11" t="s">
        <v>51</v>
      </c>
      <c r="P617" s="11" t="s">
        <v>51</v>
      </c>
      <c r="Q617" s="11" t="s">
        <v>51</v>
      </c>
      <c r="R617" s="11" t="s">
        <v>51</v>
      </c>
      <c r="S617" s="11" t="s">
        <v>51</v>
      </c>
      <c r="T617" s="11" t="s">
        <v>51</v>
      </c>
      <c r="U617" s="11" t="s">
        <v>51</v>
      </c>
      <c r="V617" s="11" t="s">
        <v>51</v>
      </c>
      <c r="W617" s="11" t="s">
        <v>51</v>
      </c>
      <c r="X617" s="11" t="s">
        <v>51</v>
      </c>
      <c r="Y617" s="11" t="s">
        <v>51</v>
      </c>
      <c r="Z617" s="11" t="s">
        <v>51</v>
      </c>
      <c r="AA617" s="11" t="s">
        <v>51</v>
      </c>
      <c r="AB617" s="11" t="s">
        <v>51</v>
      </c>
      <c r="AC617" s="11" t="s">
        <v>51</v>
      </c>
      <c r="AD617" s="11" t="s">
        <v>51</v>
      </c>
      <c r="AE617" s="11" t="s">
        <v>51</v>
      </c>
      <c r="AF617" s="11" t="s">
        <v>51</v>
      </c>
      <c r="AG617" s="11" t="s">
        <v>51</v>
      </c>
      <c r="AH617" s="11" t="s">
        <v>51</v>
      </c>
    </row>
    <row r="618" spans="1:34" s="33" customFormat="1" x14ac:dyDescent="0.2">
      <c r="A618" s="11">
        <v>746</v>
      </c>
      <c r="B618" s="11"/>
      <c r="C618" s="11"/>
      <c r="D618" s="11"/>
      <c r="E618" s="11"/>
      <c r="F618" s="11" t="s">
        <v>72</v>
      </c>
      <c r="G618" s="11" t="s">
        <v>73</v>
      </c>
      <c r="H618" s="56" t="str">
        <f>VLOOKUP(Table6[[#This Row],[ICD Code]],ICD_summary!$I$3:$M$38,5,0)</f>
        <v>Tremor, other</v>
      </c>
      <c r="I618" s="12">
        <v>77.5</v>
      </c>
      <c r="J6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8" s="11" t="s">
        <v>55</v>
      </c>
      <c r="L618" s="11"/>
      <c r="M618" s="11"/>
      <c r="N618" s="11">
        <v>48.847999999999999</v>
      </c>
      <c r="O618" s="11">
        <v>46.93</v>
      </c>
      <c r="P618" s="11">
        <v>95.320999999999998</v>
      </c>
      <c r="Q618" s="11">
        <v>96.394999999999996</v>
      </c>
      <c r="R618" s="11">
        <v>91.47</v>
      </c>
      <c r="S618" s="11">
        <v>92.879000000000005</v>
      </c>
      <c r="T618" s="11">
        <v>114.343</v>
      </c>
      <c r="U618" s="11">
        <v>114.827</v>
      </c>
      <c r="V618" s="11">
        <v>62.088999999999999</v>
      </c>
      <c r="W618" s="11">
        <v>61.256999999999998</v>
      </c>
      <c r="X618" s="11">
        <v>37.911000000000001</v>
      </c>
      <c r="Y618" s="11">
        <v>38.743000000000002</v>
      </c>
      <c r="Z618" s="11">
        <v>12.387</v>
      </c>
      <c r="AA618" s="11">
        <v>11.346</v>
      </c>
      <c r="AB618" s="11">
        <v>38.743000000000002</v>
      </c>
      <c r="AC618" s="11">
        <v>37.911000000000001</v>
      </c>
      <c r="AD618" s="11">
        <v>11.09</v>
      </c>
      <c r="AE618" s="11">
        <v>13</v>
      </c>
      <c r="AF618" s="11">
        <v>13</v>
      </c>
      <c r="AG618" s="11">
        <v>13</v>
      </c>
      <c r="AH618" s="11">
        <v>13</v>
      </c>
    </row>
    <row r="619" spans="1:34" s="33" customFormat="1" x14ac:dyDescent="0.2">
      <c r="A619" s="11">
        <v>747</v>
      </c>
      <c r="B619" s="11"/>
      <c r="C619" s="11"/>
      <c r="D619" s="11"/>
      <c r="E619" s="11"/>
      <c r="F619" s="11" t="s">
        <v>72</v>
      </c>
      <c r="G619" s="11" t="s">
        <v>73</v>
      </c>
      <c r="H619" s="56" t="str">
        <f>VLOOKUP(Table6[[#This Row],[ICD Code]],ICD_summary!$I$3:$M$38,5,0)</f>
        <v>Tremor, other</v>
      </c>
      <c r="I619" s="12">
        <v>22.2</v>
      </c>
      <c r="J6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19" s="11" t="s">
        <v>52</v>
      </c>
      <c r="L619" s="11"/>
      <c r="M619" s="11"/>
      <c r="N619" s="11">
        <v>48.771999999999998</v>
      </c>
      <c r="O619" s="11">
        <v>48</v>
      </c>
      <c r="P619" s="11">
        <v>97.084000000000003</v>
      </c>
      <c r="Q619" s="11">
        <v>96.718999999999994</v>
      </c>
      <c r="R619" s="11">
        <v>93.501999999999995</v>
      </c>
      <c r="S619" s="11">
        <v>93.394000000000005</v>
      </c>
      <c r="T619" s="11">
        <v>115.532</v>
      </c>
      <c r="U619" s="11">
        <v>115.626</v>
      </c>
      <c r="V619" s="11">
        <v>59.953000000000003</v>
      </c>
      <c r="W619" s="11">
        <v>61.277999999999999</v>
      </c>
      <c r="X619" s="11">
        <v>40.046999999999997</v>
      </c>
      <c r="Y619" s="11">
        <v>38.722000000000001</v>
      </c>
      <c r="Z619" s="11">
        <v>10.199999999999999</v>
      </c>
      <c r="AA619" s="11">
        <v>11.324999999999999</v>
      </c>
      <c r="AB619" s="11">
        <v>38.722000000000001</v>
      </c>
      <c r="AC619" s="11">
        <v>40.046999999999997</v>
      </c>
      <c r="AD619" s="11">
        <v>11.09</v>
      </c>
      <c r="AE619" s="11">
        <v>15</v>
      </c>
      <c r="AF619" s="11">
        <v>14</v>
      </c>
      <c r="AG619" s="11">
        <v>14</v>
      </c>
      <c r="AH619" s="11">
        <v>14</v>
      </c>
    </row>
    <row r="620" spans="1:34" s="33" customFormat="1" x14ac:dyDescent="0.2">
      <c r="A620" s="11">
        <v>748</v>
      </c>
      <c r="B620" s="11"/>
      <c r="C620" s="11"/>
      <c r="D620" s="11"/>
      <c r="E620" s="11"/>
      <c r="F620" s="11" t="s">
        <v>72</v>
      </c>
      <c r="G620" s="11" t="s">
        <v>73</v>
      </c>
      <c r="H620" s="56" t="str">
        <f>VLOOKUP(Table6[[#This Row],[ICD Code]],ICD_summary!$I$3:$M$38,5,0)</f>
        <v>Tremor, other</v>
      </c>
      <c r="I620" s="12">
        <v>71.400000000000006</v>
      </c>
      <c r="J6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0" s="11" t="s">
        <v>55</v>
      </c>
      <c r="L620" s="11"/>
      <c r="M620" s="11"/>
      <c r="N620" s="11">
        <v>52.344999999999999</v>
      </c>
      <c r="O620" s="11">
        <v>51.146999999999998</v>
      </c>
      <c r="P620" s="11">
        <v>102.90900000000001</v>
      </c>
      <c r="Q620" s="11">
        <v>104.39400000000001</v>
      </c>
      <c r="R620" s="11">
        <v>93.319000000000003</v>
      </c>
      <c r="S620" s="11">
        <v>94.471000000000004</v>
      </c>
      <c r="T620" s="11">
        <v>109.283</v>
      </c>
      <c r="U620" s="11">
        <v>108.666</v>
      </c>
      <c r="V620" s="11">
        <v>63.828000000000003</v>
      </c>
      <c r="W620" s="11">
        <v>63.305</v>
      </c>
      <c r="X620" s="11">
        <v>36.171999999999997</v>
      </c>
      <c r="Y620" s="11">
        <v>36.695</v>
      </c>
      <c r="Z620" s="11">
        <v>13.372999999999999</v>
      </c>
      <c r="AA620" s="11">
        <v>15.162000000000001</v>
      </c>
      <c r="AB620" s="11">
        <v>36.695</v>
      </c>
      <c r="AC620" s="11">
        <v>36.171999999999997</v>
      </c>
      <c r="AD620" s="11">
        <v>20.603999999999999</v>
      </c>
      <c r="AE620" s="11">
        <v>12</v>
      </c>
      <c r="AF620" s="11">
        <v>11</v>
      </c>
      <c r="AG620" s="11">
        <v>11</v>
      </c>
      <c r="AH620" s="11">
        <v>11</v>
      </c>
    </row>
    <row r="621" spans="1:34" s="33" customFormat="1" x14ac:dyDescent="0.2">
      <c r="A621" s="11">
        <v>749</v>
      </c>
      <c r="B621" s="11"/>
      <c r="C621" s="11"/>
      <c r="D621" s="11"/>
      <c r="E621" s="11"/>
      <c r="F621" s="11" t="s">
        <v>62</v>
      </c>
      <c r="G621" s="11" t="s">
        <v>63</v>
      </c>
      <c r="H621" s="56" t="str">
        <f>VLOOKUP(Table6[[#This Row],[ICD Code]],ICD_summary!$I$3:$M$38,5,0)</f>
        <v>PD</v>
      </c>
      <c r="I621" s="12">
        <v>73.8</v>
      </c>
      <c r="J6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1" s="11" t="s">
        <v>52</v>
      </c>
      <c r="L621" s="11"/>
      <c r="M621" s="11"/>
      <c r="N621" s="11">
        <v>68.552999999999997</v>
      </c>
      <c r="O621" s="11">
        <v>69.775999999999996</v>
      </c>
      <c r="P621" s="11">
        <v>136.59100000000001</v>
      </c>
      <c r="Q621" s="11">
        <v>139.19399999999999</v>
      </c>
      <c r="R621" s="11">
        <v>136.67500000000001</v>
      </c>
      <c r="S621" s="11">
        <v>136.69999999999999</v>
      </c>
      <c r="T621" s="11">
        <v>118.547</v>
      </c>
      <c r="U621" s="11">
        <v>117.661</v>
      </c>
      <c r="V621" s="11">
        <v>62.564</v>
      </c>
      <c r="W621" s="11">
        <v>60.988999999999997</v>
      </c>
      <c r="X621" s="11">
        <v>37.436</v>
      </c>
      <c r="Y621" s="11">
        <v>39.011000000000003</v>
      </c>
      <c r="Z621" s="11">
        <v>13.994</v>
      </c>
      <c r="AA621" s="11">
        <v>8.9589999999999996</v>
      </c>
      <c r="AB621" s="11">
        <v>39.011000000000003</v>
      </c>
      <c r="AC621" s="11">
        <v>37.436</v>
      </c>
      <c r="AD621" s="11">
        <v>8.0440000000000005</v>
      </c>
      <c r="AE621" s="11">
        <v>6</v>
      </c>
      <c r="AF621" s="11">
        <v>9</v>
      </c>
      <c r="AG621" s="11">
        <v>6</v>
      </c>
      <c r="AH621" s="11">
        <v>6</v>
      </c>
    </row>
    <row r="622" spans="1:34" s="33" customFormat="1" x14ac:dyDescent="0.2">
      <c r="A622" s="11">
        <v>750</v>
      </c>
      <c r="B622" s="11"/>
      <c r="C622" s="11"/>
      <c r="D622" s="11"/>
      <c r="E622" s="11"/>
      <c r="F622" s="11" t="s">
        <v>62</v>
      </c>
      <c r="G622" s="11" t="s">
        <v>63</v>
      </c>
      <c r="H622" s="56" t="str">
        <f>VLOOKUP(Table6[[#This Row],[ICD Code]],ICD_summary!$I$3:$M$38,5,0)</f>
        <v>PD</v>
      </c>
      <c r="I622" s="12">
        <v>76.400000000000006</v>
      </c>
      <c r="J6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2" s="11" t="s">
        <v>52</v>
      </c>
      <c r="L622" s="11"/>
      <c r="M622" s="11"/>
      <c r="N622" s="11">
        <v>56.877000000000002</v>
      </c>
      <c r="O622" s="11">
        <v>57.978000000000002</v>
      </c>
      <c r="P622" s="11">
        <v>114.879</v>
      </c>
      <c r="Q622" s="11">
        <v>114.678</v>
      </c>
      <c r="R622" s="11">
        <v>94.974000000000004</v>
      </c>
      <c r="S622" s="11">
        <v>95.078000000000003</v>
      </c>
      <c r="T622" s="11">
        <v>98.866</v>
      </c>
      <c r="U622" s="11">
        <v>99.224000000000004</v>
      </c>
      <c r="V622" s="11">
        <v>63.277000000000001</v>
      </c>
      <c r="W622" s="11">
        <v>63.889000000000003</v>
      </c>
      <c r="X622" s="11">
        <v>36.722999999999999</v>
      </c>
      <c r="Y622" s="11">
        <v>36.110999999999997</v>
      </c>
      <c r="Z622" s="11">
        <v>13.785</v>
      </c>
      <c r="AA622" s="11">
        <v>13.43</v>
      </c>
      <c r="AB622" s="11">
        <v>36.110999999999997</v>
      </c>
      <c r="AC622" s="11">
        <v>36.722999999999999</v>
      </c>
      <c r="AD622" s="11">
        <v>7.77</v>
      </c>
      <c r="AE622" s="11">
        <v>10</v>
      </c>
      <c r="AF622" s="11">
        <v>12</v>
      </c>
      <c r="AG622" s="11">
        <v>10</v>
      </c>
      <c r="AH622" s="11">
        <v>10</v>
      </c>
    </row>
    <row r="623" spans="1:34" s="33" customFormat="1" x14ac:dyDescent="0.2">
      <c r="A623" s="11">
        <v>751</v>
      </c>
      <c r="B623" s="11"/>
      <c r="C623" s="11"/>
      <c r="D623" s="11"/>
      <c r="E623" s="11"/>
      <c r="F623" s="11" t="s">
        <v>62</v>
      </c>
      <c r="G623" s="11" t="s">
        <v>63</v>
      </c>
      <c r="H623" s="56" t="str">
        <f>VLOOKUP(Table6[[#This Row],[ICD Code]],ICD_summary!$I$3:$M$38,5,0)</f>
        <v>PD</v>
      </c>
      <c r="I623" s="12">
        <v>51.1</v>
      </c>
      <c r="J6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23" s="11" t="s">
        <v>52</v>
      </c>
      <c r="L623" s="11"/>
      <c r="M623" s="11"/>
      <c r="N623" s="11">
        <v>75.064999999999998</v>
      </c>
      <c r="O623" s="11">
        <v>73.290000000000006</v>
      </c>
      <c r="P623" s="11">
        <v>148.822</v>
      </c>
      <c r="Q623" s="11">
        <v>148.18100000000001</v>
      </c>
      <c r="R623" s="11">
        <v>153.357</v>
      </c>
      <c r="S623" s="11">
        <v>153.44200000000001</v>
      </c>
      <c r="T623" s="11">
        <v>123.122</v>
      </c>
      <c r="U623" s="11">
        <v>122.947</v>
      </c>
      <c r="V623" s="11">
        <v>59.968000000000004</v>
      </c>
      <c r="W623" s="11">
        <v>59.341999999999999</v>
      </c>
      <c r="X623" s="11">
        <v>40.031999999999996</v>
      </c>
      <c r="Y623" s="11">
        <v>40.658000000000001</v>
      </c>
      <c r="Z623" s="11">
        <v>9.6769999999999996</v>
      </c>
      <c r="AA623" s="11">
        <v>10.705</v>
      </c>
      <c r="AB623" s="11">
        <v>40.658000000000001</v>
      </c>
      <c r="AC623" s="11">
        <v>40.031999999999996</v>
      </c>
      <c r="AD623" s="11">
        <v>3.0259999999999998</v>
      </c>
      <c r="AE623" s="11">
        <v>6</v>
      </c>
      <c r="AF623" s="11">
        <v>9</v>
      </c>
      <c r="AG623" s="11">
        <v>6</v>
      </c>
      <c r="AH623" s="11">
        <v>6</v>
      </c>
    </row>
    <row r="624" spans="1:34" s="33" customFormat="1" x14ac:dyDescent="0.2">
      <c r="A624" s="11">
        <v>752</v>
      </c>
      <c r="B624" s="11"/>
      <c r="C624" s="11"/>
      <c r="D624" s="11"/>
      <c r="E624" s="11"/>
      <c r="F624" s="11" t="s">
        <v>62</v>
      </c>
      <c r="G624" s="11" t="s">
        <v>63</v>
      </c>
      <c r="H624" s="56" t="str">
        <f>VLOOKUP(Table6[[#This Row],[ICD Code]],ICD_summary!$I$3:$M$38,5,0)</f>
        <v>PD</v>
      </c>
      <c r="I624" s="12">
        <v>60.4</v>
      </c>
      <c r="J6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4" s="11" t="s">
        <v>52</v>
      </c>
      <c r="L624" s="11"/>
      <c r="M624" s="11"/>
      <c r="N624" s="11">
        <v>59.895000000000003</v>
      </c>
      <c r="O624" s="11">
        <v>51.722000000000001</v>
      </c>
      <c r="P624" s="11">
        <v>110.55800000000001</v>
      </c>
      <c r="Q624" s="11">
        <v>112.67</v>
      </c>
      <c r="R624" s="11">
        <v>108.41500000000001</v>
      </c>
      <c r="S624" s="11">
        <v>110.58499999999999</v>
      </c>
      <c r="T624" s="11">
        <v>117.732</v>
      </c>
      <c r="U624" s="11">
        <v>118.364</v>
      </c>
      <c r="V624" s="11">
        <v>61.136000000000003</v>
      </c>
      <c r="W624" s="11">
        <v>60.884999999999998</v>
      </c>
      <c r="X624" s="11">
        <v>38.863999999999997</v>
      </c>
      <c r="Y624" s="11">
        <v>39.115000000000002</v>
      </c>
      <c r="Z624" s="11">
        <v>11.629</v>
      </c>
      <c r="AA624" s="11">
        <v>11.012</v>
      </c>
      <c r="AB624" s="11">
        <v>39.115000000000002</v>
      </c>
      <c r="AC624" s="11">
        <v>38.863999999999997</v>
      </c>
      <c r="AD624" s="11">
        <v>12.311999999999999</v>
      </c>
      <c r="AE624" s="11">
        <v>9</v>
      </c>
      <c r="AF624" s="11">
        <v>10</v>
      </c>
      <c r="AG624" s="11">
        <v>9</v>
      </c>
      <c r="AH624" s="11">
        <v>9</v>
      </c>
    </row>
    <row r="625" spans="1:34" s="33" customFormat="1" x14ac:dyDescent="0.2">
      <c r="A625" s="11">
        <v>753</v>
      </c>
      <c r="B625" s="11"/>
      <c r="C625" s="11"/>
      <c r="D625" s="11"/>
      <c r="E625" s="11"/>
      <c r="F625" s="11" t="s">
        <v>62</v>
      </c>
      <c r="G625" s="11" t="s">
        <v>63</v>
      </c>
      <c r="H625" s="56" t="str">
        <f>VLOOKUP(Table6[[#This Row],[ICD Code]],ICD_summary!$I$3:$M$38,5,0)</f>
        <v>PD</v>
      </c>
      <c r="I625" s="12">
        <v>67.900000000000006</v>
      </c>
      <c r="J6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5" s="11" t="s">
        <v>52</v>
      </c>
      <c r="L625" s="11"/>
      <c r="M625" s="11"/>
      <c r="N625" s="11" t="s">
        <v>51</v>
      </c>
      <c r="O625" s="11" t="s">
        <v>51</v>
      </c>
      <c r="P625" s="11" t="s">
        <v>51</v>
      </c>
      <c r="Q625" s="11" t="s">
        <v>51</v>
      </c>
      <c r="R625" s="11" t="s">
        <v>51</v>
      </c>
      <c r="S625" s="11" t="s">
        <v>51</v>
      </c>
      <c r="T625" s="11" t="s">
        <v>51</v>
      </c>
      <c r="U625" s="11" t="s">
        <v>51</v>
      </c>
      <c r="V625" s="11" t="s">
        <v>51</v>
      </c>
      <c r="W625" s="11" t="s">
        <v>51</v>
      </c>
      <c r="X625" s="11" t="s">
        <v>51</v>
      </c>
      <c r="Y625" s="11" t="s">
        <v>51</v>
      </c>
      <c r="Z625" s="11" t="s">
        <v>51</v>
      </c>
      <c r="AA625" s="11" t="s">
        <v>51</v>
      </c>
      <c r="AB625" s="11" t="s">
        <v>51</v>
      </c>
      <c r="AC625" s="11" t="s">
        <v>51</v>
      </c>
      <c r="AD625" s="11" t="s">
        <v>51</v>
      </c>
      <c r="AE625" s="11" t="s">
        <v>51</v>
      </c>
      <c r="AF625" s="11" t="s">
        <v>51</v>
      </c>
      <c r="AG625" s="11" t="s">
        <v>51</v>
      </c>
      <c r="AH625" s="11" t="s">
        <v>51</v>
      </c>
    </row>
    <row r="626" spans="1:34" s="33" customFormat="1" x14ac:dyDescent="0.2">
      <c r="A626" s="11">
        <v>754</v>
      </c>
      <c r="B626" s="11"/>
      <c r="C626" s="11"/>
      <c r="D626" s="11"/>
      <c r="E626" s="11"/>
      <c r="F626" s="11" t="s">
        <v>62</v>
      </c>
      <c r="G626" s="11" t="s">
        <v>63</v>
      </c>
      <c r="H626" s="56" t="str">
        <f>VLOOKUP(Table6[[#This Row],[ICD Code]],ICD_summary!$I$3:$M$38,5,0)</f>
        <v>PD</v>
      </c>
      <c r="I626" s="12">
        <v>77.3</v>
      </c>
      <c r="J6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6" s="11" t="s">
        <v>52</v>
      </c>
      <c r="L626" s="11"/>
      <c r="M626" s="11"/>
      <c r="N626" s="11">
        <v>34.396000000000001</v>
      </c>
      <c r="O626" s="11">
        <v>38.658999999999999</v>
      </c>
      <c r="P626" s="11">
        <v>73.441999999999993</v>
      </c>
      <c r="Q626" s="11">
        <v>72.105000000000004</v>
      </c>
      <c r="R626" s="11">
        <v>76.716999999999999</v>
      </c>
      <c r="S626" s="11">
        <v>76.852999999999994</v>
      </c>
      <c r="T626" s="11">
        <v>127.191</v>
      </c>
      <c r="U626" s="11">
        <v>127.589</v>
      </c>
      <c r="V626" s="11">
        <v>65.072999999999993</v>
      </c>
      <c r="W626" s="11">
        <v>60.73</v>
      </c>
      <c r="X626" s="11">
        <v>34.927</v>
      </c>
      <c r="Y626" s="11">
        <v>39.270000000000003</v>
      </c>
      <c r="Z626" s="11">
        <v>16.321000000000002</v>
      </c>
      <c r="AA626" s="11">
        <v>9.0960000000000001</v>
      </c>
      <c r="AB626" s="11">
        <v>39.270000000000003</v>
      </c>
      <c r="AC626" s="11">
        <v>34.927</v>
      </c>
      <c r="AD626" s="11">
        <v>10.532</v>
      </c>
      <c r="AE626" s="11">
        <v>15</v>
      </c>
      <c r="AF626" s="11">
        <v>16</v>
      </c>
      <c r="AG626" s="11">
        <v>15</v>
      </c>
      <c r="AH626" s="11">
        <v>15</v>
      </c>
    </row>
    <row r="627" spans="1:34" s="33" customFormat="1" x14ac:dyDescent="0.2">
      <c r="A627" s="11">
        <v>755</v>
      </c>
      <c r="B627" s="11"/>
      <c r="C627" s="11"/>
      <c r="D627" s="11"/>
      <c r="E627" s="11"/>
      <c r="F627" s="11" t="s">
        <v>51</v>
      </c>
      <c r="G627" s="11" t="s">
        <v>51</v>
      </c>
      <c r="H627" s="56" t="str">
        <f>VLOOKUP(Table6[[#This Row],[ICD Code]],ICD_summary!$I$3:$M$38,5,0)</f>
        <v>Misc/Other</v>
      </c>
      <c r="I627" s="12">
        <v>999</v>
      </c>
      <c r="J6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27" s="11" t="s">
        <v>51</v>
      </c>
      <c r="L627" s="11"/>
      <c r="M627" s="11"/>
      <c r="N627" s="11">
        <v>55.082999999999998</v>
      </c>
      <c r="O627" s="11">
        <v>47.816000000000003</v>
      </c>
      <c r="P627" s="11">
        <v>103.38800000000001</v>
      </c>
      <c r="Q627" s="11">
        <v>102.89700000000001</v>
      </c>
      <c r="R627" s="11">
        <v>89.703999999999994</v>
      </c>
      <c r="S627" s="11">
        <v>89.588999999999999</v>
      </c>
      <c r="T627" s="11">
        <v>103.398</v>
      </c>
      <c r="U627" s="11">
        <v>103.78700000000001</v>
      </c>
      <c r="V627" s="11">
        <v>63.777999999999999</v>
      </c>
      <c r="W627" s="11">
        <v>64.957999999999998</v>
      </c>
      <c r="X627" s="11">
        <v>36.222000000000001</v>
      </c>
      <c r="Y627" s="11">
        <v>35.042000000000002</v>
      </c>
      <c r="Z627" s="11">
        <v>14.01</v>
      </c>
      <c r="AA627" s="11">
        <v>14.919</v>
      </c>
      <c r="AB627" s="11">
        <v>35.042000000000002</v>
      </c>
      <c r="AC627" s="11">
        <v>36.222000000000001</v>
      </c>
      <c r="AD627" s="11">
        <v>8.5540000000000003</v>
      </c>
      <c r="AE627" s="11">
        <v>11</v>
      </c>
      <c r="AF627" s="11">
        <v>11</v>
      </c>
      <c r="AG627" s="11">
        <v>11</v>
      </c>
      <c r="AH627" s="11">
        <v>11</v>
      </c>
    </row>
    <row r="628" spans="1:34" s="33" customFormat="1" x14ac:dyDescent="0.2">
      <c r="A628" s="11">
        <v>756</v>
      </c>
      <c r="B628" s="11"/>
      <c r="C628" s="11"/>
      <c r="D628" s="11"/>
      <c r="E628" s="11"/>
      <c r="F628" s="11" t="s">
        <v>62</v>
      </c>
      <c r="G628" s="11" t="s">
        <v>63</v>
      </c>
      <c r="H628" s="56" t="str">
        <f>VLOOKUP(Table6[[#This Row],[ICD Code]],ICD_summary!$I$3:$M$38,5,0)</f>
        <v>PD</v>
      </c>
      <c r="I628" s="12">
        <v>68</v>
      </c>
      <c r="J6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8" s="11" t="s">
        <v>55</v>
      </c>
      <c r="L628" s="11"/>
      <c r="M628" s="11"/>
      <c r="N628" s="11">
        <v>56.767000000000003</v>
      </c>
      <c r="O628" s="11">
        <v>51.527999999999999</v>
      </c>
      <c r="P628" s="11">
        <v>108.751</v>
      </c>
      <c r="Q628" s="11">
        <v>108.661</v>
      </c>
      <c r="R628" s="11">
        <v>92.566000000000003</v>
      </c>
      <c r="S628" s="11">
        <v>93.114999999999995</v>
      </c>
      <c r="T628" s="11">
        <v>102.078</v>
      </c>
      <c r="U628" s="11">
        <v>102.38</v>
      </c>
      <c r="V628" s="11">
        <v>65.965999999999994</v>
      </c>
      <c r="W628" s="11">
        <v>64.552999999999997</v>
      </c>
      <c r="X628" s="11">
        <v>34.033999999999999</v>
      </c>
      <c r="Y628" s="11">
        <v>35.448</v>
      </c>
      <c r="Z628" s="11">
        <v>14.407999999999999</v>
      </c>
      <c r="AA628" s="11">
        <v>17.033000000000001</v>
      </c>
      <c r="AB628" s="11">
        <v>35.448</v>
      </c>
      <c r="AC628" s="11">
        <v>34.033999999999999</v>
      </c>
      <c r="AD628" s="11">
        <v>13.94</v>
      </c>
      <c r="AE628" s="11">
        <v>10</v>
      </c>
      <c r="AF628" s="11">
        <v>10</v>
      </c>
      <c r="AG628" s="11">
        <v>10</v>
      </c>
      <c r="AH628" s="11">
        <v>10</v>
      </c>
    </row>
    <row r="629" spans="1:34" s="33" customFormat="1" x14ac:dyDescent="0.2">
      <c r="A629" s="11">
        <v>757</v>
      </c>
      <c r="B629" s="11"/>
      <c r="C629" s="11"/>
      <c r="D629" s="11"/>
      <c r="E629" s="11"/>
      <c r="F629" s="11" t="s">
        <v>51</v>
      </c>
      <c r="G629" s="11" t="s">
        <v>51</v>
      </c>
      <c r="H629" s="56" t="str">
        <f>VLOOKUP(Table6[[#This Row],[ICD Code]],ICD_summary!$I$3:$M$38,5,0)</f>
        <v>Misc/Other</v>
      </c>
      <c r="I629" s="12">
        <v>999</v>
      </c>
      <c r="J6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29" s="11" t="s">
        <v>51</v>
      </c>
      <c r="L629" s="11"/>
      <c r="M629" s="11"/>
      <c r="N629" s="11" t="s">
        <v>51</v>
      </c>
      <c r="O629" s="11" t="s">
        <v>51</v>
      </c>
      <c r="P629" s="11" t="s">
        <v>51</v>
      </c>
      <c r="Q629" s="11" t="s">
        <v>51</v>
      </c>
      <c r="R629" s="11" t="s">
        <v>51</v>
      </c>
      <c r="S629" s="11" t="s">
        <v>51</v>
      </c>
      <c r="T629" s="11" t="s">
        <v>51</v>
      </c>
      <c r="U629" s="11" t="s">
        <v>51</v>
      </c>
      <c r="V629" s="11" t="s">
        <v>51</v>
      </c>
      <c r="W629" s="11" t="s">
        <v>51</v>
      </c>
      <c r="X629" s="11" t="s">
        <v>51</v>
      </c>
      <c r="Y629" s="11" t="s">
        <v>51</v>
      </c>
      <c r="Z629" s="11" t="s">
        <v>51</v>
      </c>
      <c r="AA629" s="11" t="s">
        <v>51</v>
      </c>
      <c r="AB629" s="11" t="s">
        <v>51</v>
      </c>
      <c r="AC629" s="11" t="s">
        <v>51</v>
      </c>
      <c r="AD629" s="11" t="s">
        <v>51</v>
      </c>
      <c r="AE629" s="11" t="s">
        <v>51</v>
      </c>
      <c r="AF629" s="11" t="s">
        <v>51</v>
      </c>
      <c r="AG629" s="11" t="s">
        <v>51</v>
      </c>
      <c r="AH629" s="11" t="s">
        <v>51</v>
      </c>
    </row>
    <row r="630" spans="1:34" s="33" customFormat="1" x14ac:dyDescent="0.2">
      <c r="A630" s="11">
        <v>758</v>
      </c>
      <c r="B630" s="11"/>
      <c r="C630" s="11"/>
      <c r="D630" s="11"/>
      <c r="E630" s="11"/>
      <c r="F630" s="11" t="s">
        <v>62</v>
      </c>
      <c r="G630" s="11" t="s">
        <v>63</v>
      </c>
      <c r="H630" s="56" t="str">
        <f>VLOOKUP(Table6[[#This Row],[ICD Code]],ICD_summary!$I$3:$M$38,5,0)</f>
        <v>PD</v>
      </c>
      <c r="I630" s="12">
        <v>71.2</v>
      </c>
      <c r="J6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0" s="11" t="s">
        <v>55</v>
      </c>
      <c r="L630" s="11"/>
      <c r="M630" s="11"/>
      <c r="N630" s="11">
        <v>47.177</v>
      </c>
      <c r="O630" s="11">
        <v>55.683999999999997</v>
      </c>
      <c r="P630" s="11">
        <v>103.887</v>
      </c>
      <c r="Q630" s="11">
        <v>103.24</v>
      </c>
      <c r="R630" s="11">
        <v>103.58799999999999</v>
      </c>
      <c r="S630" s="11">
        <v>104.11799999999999</v>
      </c>
      <c r="T630" s="11">
        <v>119.31100000000001</v>
      </c>
      <c r="U630" s="11">
        <v>120.377</v>
      </c>
      <c r="V630" s="11">
        <v>65.113</v>
      </c>
      <c r="W630" s="11">
        <v>60.261000000000003</v>
      </c>
      <c r="X630" s="11">
        <v>34.887</v>
      </c>
      <c r="Y630" s="11">
        <v>39.738999999999997</v>
      </c>
      <c r="Z630" s="11">
        <v>13.795999999999999</v>
      </c>
      <c r="AA630" s="11">
        <v>11.759</v>
      </c>
      <c r="AB630" s="11">
        <v>39.738999999999997</v>
      </c>
      <c r="AC630" s="11">
        <v>34.887</v>
      </c>
      <c r="AD630" s="11">
        <v>10.766</v>
      </c>
      <c r="AE630" s="11">
        <v>12</v>
      </c>
      <c r="AF630" s="11">
        <v>13</v>
      </c>
      <c r="AG630" s="11">
        <v>12</v>
      </c>
      <c r="AH630" s="11">
        <v>12</v>
      </c>
    </row>
    <row r="631" spans="1:34" s="33" customFormat="1" x14ac:dyDescent="0.2">
      <c r="A631" s="11">
        <v>759</v>
      </c>
      <c r="B631" s="11"/>
      <c r="C631" s="11"/>
      <c r="D631" s="11"/>
      <c r="E631" s="11"/>
      <c r="F631" s="11" t="s">
        <v>62</v>
      </c>
      <c r="G631" s="11" t="s">
        <v>63</v>
      </c>
      <c r="H631" s="56" t="str">
        <f>VLOOKUP(Table6[[#This Row],[ICD Code]],ICD_summary!$I$3:$M$38,5,0)</f>
        <v>PD</v>
      </c>
      <c r="I631" s="12">
        <v>72.2</v>
      </c>
      <c r="J6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1" s="11" t="s">
        <v>55</v>
      </c>
      <c r="L631" s="11"/>
      <c r="M631" s="11"/>
      <c r="N631" s="11" t="s">
        <v>51</v>
      </c>
      <c r="O631" s="11" t="s">
        <v>51</v>
      </c>
      <c r="P631" s="11" t="s">
        <v>51</v>
      </c>
      <c r="Q631" s="11" t="s">
        <v>51</v>
      </c>
      <c r="R631" s="11" t="s">
        <v>51</v>
      </c>
      <c r="S631" s="11" t="s">
        <v>51</v>
      </c>
      <c r="T631" s="11" t="s">
        <v>51</v>
      </c>
      <c r="U631" s="11" t="s">
        <v>51</v>
      </c>
      <c r="V631" s="11" t="s">
        <v>51</v>
      </c>
      <c r="W631" s="11" t="s">
        <v>51</v>
      </c>
      <c r="X631" s="11" t="s">
        <v>51</v>
      </c>
      <c r="Y631" s="11" t="s">
        <v>51</v>
      </c>
      <c r="Z631" s="11" t="s">
        <v>51</v>
      </c>
      <c r="AA631" s="11" t="s">
        <v>51</v>
      </c>
      <c r="AB631" s="11" t="s">
        <v>51</v>
      </c>
      <c r="AC631" s="11" t="s">
        <v>51</v>
      </c>
      <c r="AD631" s="11" t="s">
        <v>51</v>
      </c>
      <c r="AE631" s="11" t="s">
        <v>51</v>
      </c>
      <c r="AF631" s="11" t="s">
        <v>51</v>
      </c>
      <c r="AG631" s="11" t="s">
        <v>51</v>
      </c>
      <c r="AH631" s="11" t="s">
        <v>51</v>
      </c>
    </row>
    <row r="632" spans="1:34" s="33" customFormat="1" x14ac:dyDescent="0.2">
      <c r="A632" s="11">
        <v>760</v>
      </c>
      <c r="B632" s="11"/>
      <c r="C632" s="11"/>
      <c r="D632" s="11"/>
      <c r="E632" s="11"/>
      <c r="F632" s="11" t="s">
        <v>62</v>
      </c>
      <c r="G632" s="11" t="s">
        <v>63</v>
      </c>
      <c r="H632" s="56" t="str">
        <f>VLOOKUP(Table6[[#This Row],[ICD Code]],ICD_summary!$I$3:$M$38,5,0)</f>
        <v>PD</v>
      </c>
      <c r="I632" s="12">
        <v>74.900000000000006</v>
      </c>
      <c r="J6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2" s="11" t="s">
        <v>52</v>
      </c>
      <c r="L632" s="11"/>
      <c r="M632" s="11"/>
      <c r="N632" s="11">
        <v>61.962000000000003</v>
      </c>
      <c r="O632" s="11">
        <v>54.511000000000003</v>
      </c>
      <c r="P632" s="11">
        <v>115.95699999999999</v>
      </c>
      <c r="Q632" s="11">
        <v>117.565</v>
      </c>
      <c r="R632" s="11">
        <v>110.40600000000001</v>
      </c>
      <c r="S632" s="11">
        <v>112.128</v>
      </c>
      <c r="T632" s="11">
        <v>113.267</v>
      </c>
      <c r="U632" s="11">
        <v>113.324</v>
      </c>
      <c r="V632" s="11">
        <v>62.392000000000003</v>
      </c>
      <c r="W632" s="11">
        <v>59.084000000000003</v>
      </c>
      <c r="X632" s="11">
        <v>37.607999999999997</v>
      </c>
      <c r="Y632" s="11">
        <v>40.915999999999997</v>
      </c>
      <c r="Z632" s="11">
        <v>11.36</v>
      </c>
      <c r="AA632" s="11">
        <v>10.459</v>
      </c>
      <c r="AB632" s="11">
        <v>40.915999999999997</v>
      </c>
      <c r="AC632" s="11">
        <v>37.607999999999997</v>
      </c>
      <c r="AD632" s="11">
        <v>6.7060000000000004</v>
      </c>
      <c r="AE632" s="11">
        <v>11</v>
      </c>
      <c r="AF632" s="11">
        <v>10</v>
      </c>
      <c r="AG632" s="11">
        <v>10</v>
      </c>
      <c r="AH632" s="11">
        <v>10</v>
      </c>
    </row>
    <row r="633" spans="1:34" s="33" customFormat="1" x14ac:dyDescent="0.2">
      <c r="A633" s="11">
        <v>761</v>
      </c>
      <c r="B633" s="11"/>
      <c r="C633" s="11"/>
      <c r="D633" s="11"/>
      <c r="E633" s="11"/>
      <c r="F633" s="11" t="s">
        <v>51</v>
      </c>
      <c r="G633" s="11" t="s">
        <v>51</v>
      </c>
      <c r="H633" s="56" t="str">
        <f>VLOOKUP(Table6[[#This Row],[ICD Code]],ICD_summary!$I$3:$M$38,5,0)</f>
        <v>Misc/Other</v>
      </c>
      <c r="I633" s="12">
        <v>80.400000000000006</v>
      </c>
      <c r="J6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33" s="11" t="s">
        <v>55</v>
      </c>
      <c r="L633" s="11"/>
      <c r="M633" s="11"/>
      <c r="N633" s="11" t="s">
        <v>51</v>
      </c>
      <c r="O633" s="11" t="s">
        <v>51</v>
      </c>
      <c r="P633" s="11" t="s">
        <v>51</v>
      </c>
      <c r="Q633" s="11" t="s">
        <v>51</v>
      </c>
      <c r="R633" s="11" t="s">
        <v>51</v>
      </c>
      <c r="S633" s="11" t="s">
        <v>51</v>
      </c>
      <c r="T633" s="11" t="s">
        <v>51</v>
      </c>
      <c r="U633" s="11" t="s">
        <v>51</v>
      </c>
      <c r="V633" s="11" t="s">
        <v>51</v>
      </c>
      <c r="W633" s="11" t="s">
        <v>51</v>
      </c>
      <c r="X633" s="11" t="s">
        <v>51</v>
      </c>
      <c r="Y633" s="11" t="s">
        <v>51</v>
      </c>
      <c r="Z633" s="11" t="s">
        <v>51</v>
      </c>
      <c r="AA633" s="11" t="s">
        <v>51</v>
      </c>
      <c r="AB633" s="11" t="s">
        <v>51</v>
      </c>
      <c r="AC633" s="11" t="s">
        <v>51</v>
      </c>
      <c r="AD633" s="11" t="s">
        <v>51</v>
      </c>
      <c r="AE633" s="11" t="s">
        <v>51</v>
      </c>
      <c r="AF633" s="11" t="s">
        <v>51</v>
      </c>
      <c r="AG633" s="11" t="s">
        <v>51</v>
      </c>
      <c r="AH633" s="11" t="s">
        <v>51</v>
      </c>
    </row>
    <row r="634" spans="1:34" s="33" customFormat="1" x14ac:dyDescent="0.2">
      <c r="A634" s="11">
        <v>762</v>
      </c>
      <c r="B634" s="11"/>
      <c r="C634" s="11"/>
      <c r="D634" s="11"/>
      <c r="E634" s="11"/>
      <c r="F634" s="11" t="s">
        <v>62</v>
      </c>
      <c r="G634" s="11" t="s">
        <v>63</v>
      </c>
      <c r="H634" s="56" t="str">
        <f>VLOOKUP(Table6[[#This Row],[ICD Code]],ICD_summary!$I$3:$M$38,5,0)</f>
        <v>PD</v>
      </c>
      <c r="I634" s="12">
        <v>73.7</v>
      </c>
      <c r="J6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4" s="11" t="s">
        <v>52</v>
      </c>
      <c r="L634" s="11"/>
      <c r="M634" s="11"/>
      <c r="N634" s="11">
        <v>44.773000000000003</v>
      </c>
      <c r="O634" s="11">
        <v>45.661999999999999</v>
      </c>
      <c r="P634" s="11">
        <v>90.281000000000006</v>
      </c>
      <c r="Q634" s="11">
        <v>90.340999999999994</v>
      </c>
      <c r="R634" s="11">
        <v>102.206</v>
      </c>
      <c r="S634" s="11">
        <v>102.01900000000001</v>
      </c>
      <c r="T634" s="11">
        <v>135.446</v>
      </c>
      <c r="U634" s="11">
        <v>136.05500000000001</v>
      </c>
      <c r="V634" s="11">
        <v>62.924999999999997</v>
      </c>
      <c r="W634" s="11">
        <v>62.969000000000001</v>
      </c>
      <c r="X634" s="11">
        <v>37.075000000000003</v>
      </c>
      <c r="Y634" s="11">
        <v>37.030999999999999</v>
      </c>
      <c r="Z634" s="11">
        <v>11.269</v>
      </c>
      <c r="AA634" s="11">
        <v>13.928000000000001</v>
      </c>
      <c r="AB634" s="11">
        <v>37.030999999999999</v>
      </c>
      <c r="AC634" s="11">
        <v>37.075000000000003</v>
      </c>
      <c r="AD634" s="11">
        <v>7.3079999999999998</v>
      </c>
      <c r="AE634" s="11">
        <v>13</v>
      </c>
      <c r="AF634" s="11">
        <v>13</v>
      </c>
      <c r="AG634" s="11">
        <v>13</v>
      </c>
      <c r="AH634" s="11">
        <v>13</v>
      </c>
    </row>
    <row r="635" spans="1:34" s="33" customFormat="1" x14ac:dyDescent="0.2">
      <c r="A635" s="11">
        <v>763</v>
      </c>
      <c r="B635" s="11"/>
      <c r="C635" s="11"/>
      <c r="D635" s="11"/>
      <c r="E635" s="11"/>
      <c r="F635" s="11" t="s">
        <v>62</v>
      </c>
      <c r="G635" s="11" t="s">
        <v>63</v>
      </c>
      <c r="H635" s="56" t="str">
        <f>VLOOKUP(Table6[[#This Row],[ICD Code]],ICD_summary!$I$3:$M$38,5,0)</f>
        <v>PD</v>
      </c>
      <c r="I635" s="12">
        <v>48.7</v>
      </c>
      <c r="J6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35" s="11" t="s">
        <v>52</v>
      </c>
      <c r="L635" s="11"/>
      <c r="M635" s="11"/>
      <c r="N635" s="11">
        <v>61.369</v>
      </c>
      <c r="O635" s="11">
        <v>59.932000000000002</v>
      </c>
      <c r="P635" s="11">
        <v>121.05800000000001</v>
      </c>
      <c r="Q635" s="11">
        <v>121.85299999999999</v>
      </c>
      <c r="R635" s="11">
        <v>111.89700000000001</v>
      </c>
      <c r="S635" s="11">
        <v>112.30500000000001</v>
      </c>
      <c r="T635" s="11">
        <v>110.45699999999999</v>
      </c>
      <c r="U635" s="11">
        <v>110.31</v>
      </c>
      <c r="V635" s="11">
        <v>63.5</v>
      </c>
      <c r="W635" s="11">
        <v>62.81</v>
      </c>
      <c r="X635" s="11">
        <v>36.5</v>
      </c>
      <c r="Y635" s="11">
        <v>37.19</v>
      </c>
      <c r="Z635" s="11">
        <v>13.422000000000001</v>
      </c>
      <c r="AA635" s="11">
        <v>12.680999999999999</v>
      </c>
      <c r="AB635" s="11">
        <v>37.19</v>
      </c>
      <c r="AC635" s="11">
        <v>36.5</v>
      </c>
      <c r="AD635" s="11">
        <v>12.976000000000001</v>
      </c>
      <c r="AE635" s="11">
        <v>10</v>
      </c>
      <c r="AF635" s="11">
        <v>9</v>
      </c>
      <c r="AG635" s="11">
        <v>9</v>
      </c>
      <c r="AH635" s="11">
        <v>9</v>
      </c>
    </row>
    <row r="636" spans="1:34" s="33" customFormat="1" x14ac:dyDescent="0.2">
      <c r="A636" s="11">
        <v>764</v>
      </c>
      <c r="B636" s="11"/>
      <c r="C636" s="11"/>
      <c r="D636" s="11"/>
      <c r="E636" s="11"/>
      <c r="F636" s="11" t="s">
        <v>62</v>
      </c>
      <c r="G636" s="11" t="s">
        <v>63</v>
      </c>
      <c r="H636" s="56" t="str">
        <f>VLOOKUP(Table6[[#This Row],[ICD Code]],ICD_summary!$I$3:$M$38,5,0)</f>
        <v>PD</v>
      </c>
      <c r="I636" s="12">
        <v>69.3</v>
      </c>
      <c r="J6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36" s="11" t="s">
        <v>52</v>
      </c>
      <c r="L636" s="11"/>
      <c r="M636" s="11"/>
      <c r="N636" s="11" t="s">
        <v>51</v>
      </c>
      <c r="O636" s="11" t="s">
        <v>51</v>
      </c>
      <c r="P636" s="11" t="s">
        <v>51</v>
      </c>
      <c r="Q636" s="11" t="s">
        <v>51</v>
      </c>
      <c r="R636" s="11" t="s">
        <v>51</v>
      </c>
      <c r="S636" s="11" t="s">
        <v>51</v>
      </c>
      <c r="T636" s="11" t="s">
        <v>51</v>
      </c>
      <c r="U636" s="11" t="s">
        <v>51</v>
      </c>
      <c r="V636" s="11" t="s">
        <v>51</v>
      </c>
      <c r="W636" s="11" t="s">
        <v>51</v>
      </c>
      <c r="X636" s="11" t="s">
        <v>51</v>
      </c>
      <c r="Y636" s="11" t="s">
        <v>51</v>
      </c>
      <c r="Z636" s="11" t="s">
        <v>51</v>
      </c>
      <c r="AA636" s="11" t="s">
        <v>51</v>
      </c>
      <c r="AB636" s="11" t="s">
        <v>51</v>
      </c>
      <c r="AC636" s="11" t="s">
        <v>51</v>
      </c>
      <c r="AD636" s="11" t="s">
        <v>51</v>
      </c>
      <c r="AE636" s="11" t="s">
        <v>51</v>
      </c>
      <c r="AF636" s="11" t="s">
        <v>51</v>
      </c>
      <c r="AG636" s="11" t="s">
        <v>51</v>
      </c>
      <c r="AH636" s="11" t="s">
        <v>51</v>
      </c>
    </row>
    <row r="637" spans="1:34" s="33" customFormat="1" x14ac:dyDescent="0.2">
      <c r="A637" s="11">
        <v>765</v>
      </c>
      <c r="B637" s="11"/>
      <c r="C637" s="11"/>
      <c r="D637" s="11"/>
      <c r="E637" s="11"/>
      <c r="F637" s="11" t="s">
        <v>72</v>
      </c>
      <c r="G637" s="11" t="s">
        <v>73</v>
      </c>
      <c r="H637" s="56" t="str">
        <f>VLOOKUP(Table6[[#This Row],[ICD Code]],ICD_summary!$I$3:$M$38,5,0)</f>
        <v>Tremor, other</v>
      </c>
      <c r="I637" s="12">
        <v>50.9</v>
      </c>
      <c r="J6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37" s="11" t="s">
        <v>52</v>
      </c>
      <c r="L637" s="11"/>
      <c r="M637" s="11"/>
      <c r="N637" s="11" t="s">
        <v>51</v>
      </c>
      <c r="O637" s="11" t="s">
        <v>51</v>
      </c>
      <c r="P637" s="11" t="s">
        <v>51</v>
      </c>
      <c r="Q637" s="11" t="s">
        <v>51</v>
      </c>
      <c r="R637" s="11" t="s">
        <v>51</v>
      </c>
      <c r="S637" s="11" t="s">
        <v>51</v>
      </c>
      <c r="T637" s="11" t="s">
        <v>51</v>
      </c>
      <c r="U637" s="11" t="s">
        <v>51</v>
      </c>
      <c r="V637" s="11" t="s">
        <v>51</v>
      </c>
      <c r="W637" s="11" t="s">
        <v>51</v>
      </c>
      <c r="X637" s="11" t="s">
        <v>51</v>
      </c>
      <c r="Y637" s="11" t="s">
        <v>51</v>
      </c>
      <c r="Z637" s="11" t="s">
        <v>51</v>
      </c>
      <c r="AA637" s="11" t="s">
        <v>51</v>
      </c>
      <c r="AB637" s="11" t="s">
        <v>51</v>
      </c>
      <c r="AC637" s="11" t="s">
        <v>51</v>
      </c>
      <c r="AD637" s="11" t="s">
        <v>51</v>
      </c>
      <c r="AE637" s="11" t="s">
        <v>51</v>
      </c>
      <c r="AF637" s="11" t="s">
        <v>51</v>
      </c>
      <c r="AG637" s="11" t="s">
        <v>51</v>
      </c>
      <c r="AH637" s="11" t="s">
        <v>51</v>
      </c>
    </row>
    <row r="638" spans="1:34" s="33" customFormat="1" x14ac:dyDescent="0.2">
      <c r="A638" s="11">
        <v>766</v>
      </c>
      <c r="B638" s="11"/>
      <c r="C638" s="11"/>
      <c r="D638" s="11"/>
      <c r="E638" s="11"/>
      <c r="F638" s="11" t="s">
        <v>62</v>
      </c>
      <c r="G638" s="11" t="s">
        <v>63</v>
      </c>
      <c r="H638" s="56" t="str">
        <f>VLOOKUP(Table6[[#This Row],[ICD Code]],ICD_summary!$I$3:$M$38,5,0)</f>
        <v>PD</v>
      </c>
      <c r="I638" s="12">
        <v>86.5</v>
      </c>
      <c r="J6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38" s="11" t="s">
        <v>52</v>
      </c>
      <c r="L638" s="11"/>
      <c r="M638" s="11"/>
      <c r="N638" s="11">
        <v>48.472999999999999</v>
      </c>
      <c r="O638" s="11">
        <v>45.82</v>
      </c>
      <c r="P638" s="11">
        <v>93.159000000000006</v>
      </c>
      <c r="Q638" s="11">
        <v>95.028999999999996</v>
      </c>
      <c r="R638" s="11">
        <v>76.242000000000004</v>
      </c>
      <c r="S638" s="11">
        <v>76.218999999999994</v>
      </c>
      <c r="T638" s="11">
        <v>100.26</v>
      </c>
      <c r="U638" s="11">
        <v>97.872</v>
      </c>
      <c r="V638" s="11">
        <v>63.536000000000001</v>
      </c>
      <c r="W638" s="11">
        <v>62.17</v>
      </c>
      <c r="X638" s="11">
        <v>36.463999999999999</v>
      </c>
      <c r="Y638" s="11">
        <v>37.83</v>
      </c>
      <c r="Z638" s="11">
        <v>13.102</v>
      </c>
      <c r="AA638" s="11">
        <v>13.914</v>
      </c>
      <c r="AB638" s="11">
        <v>37.83</v>
      </c>
      <c r="AC638" s="11">
        <v>36.463999999999999</v>
      </c>
      <c r="AD638" s="11">
        <v>11.46</v>
      </c>
      <c r="AE638" s="11">
        <v>10</v>
      </c>
      <c r="AF638" s="11">
        <v>13</v>
      </c>
      <c r="AG638" s="11">
        <v>10</v>
      </c>
      <c r="AH638" s="11">
        <v>10</v>
      </c>
    </row>
    <row r="639" spans="1:34" s="33" customFormat="1" x14ac:dyDescent="0.2">
      <c r="A639" s="11">
        <v>767</v>
      </c>
      <c r="B639" s="11"/>
      <c r="C639" s="11"/>
      <c r="D639" s="11"/>
      <c r="E639" s="11"/>
      <c r="F639" s="11" t="s">
        <v>62</v>
      </c>
      <c r="G639" s="11" t="s">
        <v>63</v>
      </c>
      <c r="H639" s="56" t="str">
        <f>VLOOKUP(Table6[[#This Row],[ICD Code]],ICD_summary!$I$3:$M$38,5,0)</f>
        <v>PD</v>
      </c>
      <c r="I639" s="12">
        <v>71</v>
      </c>
      <c r="J6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9" s="11" t="s">
        <v>55</v>
      </c>
      <c r="L639" s="11"/>
      <c r="M639" s="11"/>
      <c r="N639" s="11">
        <v>4.3689999999999998</v>
      </c>
      <c r="O639" s="11">
        <v>1.0289999999999999</v>
      </c>
      <c r="P639" s="11">
        <v>5.0209999999999999</v>
      </c>
      <c r="Q639" s="11">
        <v>5.3029999999999999</v>
      </c>
      <c r="R639" s="11">
        <v>3.8889999999999998</v>
      </c>
      <c r="S639" s="11">
        <v>3.681</v>
      </c>
      <c r="T639" s="11">
        <v>84.355000000000004</v>
      </c>
      <c r="U639" s="11">
        <v>76.626000000000005</v>
      </c>
      <c r="V639" s="11">
        <v>86.331999999999994</v>
      </c>
      <c r="W639" s="11">
        <v>85.936000000000007</v>
      </c>
      <c r="X639" s="11">
        <v>13.667999999999999</v>
      </c>
      <c r="Y639" s="11">
        <v>14.064</v>
      </c>
      <c r="Z639" s="11">
        <v>35.838999999999999</v>
      </c>
      <c r="AA639" s="11">
        <v>39.103000000000002</v>
      </c>
      <c r="AB639" s="11">
        <v>14.064</v>
      </c>
      <c r="AC639" s="11">
        <v>13.667999999999999</v>
      </c>
      <c r="AD639" s="11">
        <v>10.707000000000001</v>
      </c>
      <c r="AE639" s="11">
        <v>9</v>
      </c>
      <c r="AF639" s="11">
        <v>9</v>
      </c>
      <c r="AG639" s="11">
        <v>9</v>
      </c>
      <c r="AH639" s="11">
        <v>9</v>
      </c>
    </row>
    <row r="640" spans="1:34" s="33" customFormat="1" x14ac:dyDescent="0.2">
      <c r="A640" s="11">
        <v>768</v>
      </c>
      <c r="B640" s="11"/>
      <c r="C640" s="11"/>
      <c r="D640" s="11"/>
      <c r="E640" s="11"/>
      <c r="F640" s="11" t="s">
        <v>51</v>
      </c>
      <c r="G640" s="11" t="s">
        <v>51</v>
      </c>
      <c r="H640" s="56" t="str">
        <f>VLOOKUP(Table6[[#This Row],[ICD Code]],ICD_summary!$I$3:$M$38,5,0)</f>
        <v>Misc/Other</v>
      </c>
      <c r="I640" s="12">
        <v>65.400000000000006</v>
      </c>
      <c r="J6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40" s="11" t="s">
        <v>52</v>
      </c>
      <c r="L640" s="11"/>
      <c r="M640" s="11"/>
      <c r="N640" s="11" t="s">
        <v>51</v>
      </c>
      <c r="O640" s="11" t="s">
        <v>51</v>
      </c>
      <c r="P640" s="11" t="s">
        <v>51</v>
      </c>
      <c r="Q640" s="11" t="s">
        <v>51</v>
      </c>
      <c r="R640" s="11" t="s">
        <v>51</v>
      </c>
      <c r="S640" s="11" t="s">
        <v>51</v>
      </c>
      <c r="T640" s="11" t="s">
        <v>51</v>
      </c>
      <c r="U640" s="11" t="s">
        <v>51</v>
      </c>
      <c r="V640" s="11" t="s">
        <v>51</v>
      </c>
      <c r="W640" s="11" t="s">
        <v>51</v>
      </c>
      <c r="X640" s="11" t="s">
        <v>51</v>
      </c>
      <c r="Y640" s="11" t="s">
        <v>51</v>
      </c>
      <c r="Z640" s="11" t="s">
        <v>51</v>
      </c>
      <c r="AA640" s="11" t="s">
        <v>51</v>
      </c>
      <c r="AB640" s="11" t="s">
        <v>51</v>
      </c>
      <c r="AC640" s="11" t="s">
        <v>51</v>
      </c>
      <c r="AD640" s="11" t="s">
        <v>51</v>
      </c>
      <c r="AE640" s="11" t="s">
        <v>51</v>
      </c>
      <c r="AF640" s="11" t="s">
        <v>51</v>
      </c>
      <c r="AG640" s="11" t="s">
        <v>51</v>
      </c>
      <c r="AH640" s="11" t="s">
        <v>51</v>
      </c>
    </row>
    <row r="641" spans="1:34" s="33" customFormat="1" x14ac:dyDescent="0.2">
      <c r="A641" s="11">
        <v>769</v>
      </c>
      <c r="B641" s="11"/>
      <c r="C641" s="11"/>
      <c r="D641" s="11"/>
      <c r="E641" s="11"/>
      <c r="F641" s="11" t="s">
        <v>62</v>
      </c>
      <c r="G641" s="11" t="s">
        <v>63</v>
      </c>
      <c r="H641" s="56" t="str">
        <f>VLOOKUP(Table6[[#This Row],[ICD Code]],ICD_summary!$I$3:$M$38,5,0)</f>
        <v>PD</v>
      </c>
      <c r="I641" s="12">
        <v>70.900000000000006</v>
      </c>
      <c r="J6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1" s="11" t="s">
        <v>52</v>
      </c>
      <c r="L641" s="11"/>
      <c r="M641" s="11"/>
      <c r="N641" s="11">
        <v>65.796000000000006</v>
      </c>
      <c r="O641" s="11">
        <v>69.105000000000004</v>
      </c>
      <c r="P641" s="11">
        <v>135.12200000000001</v>
      </c>
      <c r="Q641" s="11">
        <v>134.88399999999999</v>
      </c>
      <c r="R641" s="11">
        <v>125.86199999999999</v>
      </c>
      <c r="S641" s="11">
        <v>125.18300000000001</v>
      </c>
      <c r="T641" s="11">
        <v>111.255</v>
      </c>
      <c r="U641" s="11">
        <v>111.068</v>
      </c>
      <c r="V641" s="11">
        <v>60.13</v>
      </c>
      <c r="W641" s="11">
        <v>60.682000000000002</v>
      </c>
      <c r="X641" s="11">
        <v>39.869999999999997</v>
      </c>
      <c r="Y641" s="11">
        <v>39.317</v>
      </c>
      <c r="Z641" s="11">
        <v>9.8420000000000005</v>
      </c>
      <c r="AA641" s="11">
        <v>10.340999999999999</v>
      </c>
      <c r="AB641" s="11">
        <v>39.317</v>
      </c>
      <c r="AC641" s="11">
        <v>39.869999999999997</v>
      </c>
      <c r="AD641" s="11">
        <v>7.0119999999999996</v>
      </c>
      <c r="AE641" s="11">
        <v>8</v>
      </c>
      <c r="AF641" s="11">
        <v>10</v>
      </c>
      <c r="AG641" s="11">
        <v>8</v>
      </c>
      <c r="AH641" s="11">
        <v>8</v>
      </c>
    </row>
    <row r="642" spans="1:34" s="33" customFormat="1" x14ac:dyDescent="0.2">
      <c r="A642" s="11">
        <v>770</v>
      </c>
      <c r="B642" s="11"/>
      <c r="C642" s="11"/>
      <c r="D642" s="11"/>
      <c r="E642" s="11"/>
      <c r="F642" s="11" t="s">
        <v>51</v>
      </c>
      <c r="G642" s="11" t="s">
        <v>51</v>
      </c>
      <c r="H642" s="56" t="str">
        <f>VLOOKUP(Table6[[#This Row],[ICD Code]],ICD_summary!$I$3:$M$38,5,0)</f>
        <v>Misc/Other</v>
      </c>
      <c r="I642" s="12">
        <v>70.8</v>
      </c>
      <c r="J6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2" s="11" t="s">
        <v>52</v>
      </c>
      <c r="L642" s="11"/>
      <c r="M642" s="11"/>
      <c r="N642" s="11" t="s">
        <v>51</v>
      </c>
      <c r="O642" s="11" t="s">
        <v>51</v>
      </c>
      <c r="P642" s="11" t="s">
        <v>51</v>
      </c>
      <c r="Q642" s="11" t="s">
        <v>51</v>
      </c>
      <c r="R642" s="11" t="s">
        <v>51</v>
      </c>
      <c r="S642" s="11" t="s">
        <v>51</v>
      </c>
      <c r="T642" s="11" t="s">
        <v>51</v>
      </c>
      <c r="U642" s="11" t="s">
        <v>51</v>
      </c>
      <c r="V642" s="11" t="s">
        <v>51</v>
      </c>
      <c r="W642" s="11" t="s">
        <v>51</v>
      </c>
      <c r="X642" s="11" t="s">
        <v>51</v>
      </c>
      <c r="Y642" s="11" t="s">
        <v>51</v>
      </c>
      <c r="Z642" s="11" t="s">
        <v>51</v>
      </c>
      <c r="AA642" s="11" t="s">
        <v>51</v>
      </c>
      <c r="AB642" s="11" t="s">
        <v>51</v>
      </c>
      <c r="AC642" s="11" t="s">
        <v>51</v>
      </c>
      <c r="AD642" s="11" t="s">
        <v>51</v>
      </c>
      <c r="AE642" s="11" t="s">
        <v>51</v>
      </c>
      <c r="AF642" s="11" t="s">
        <v>51</v>
      </c>
      <c r="AG642" s="11" t="s">
        <v>51</v>
      </c>
      <c r="AH642" s="11" t="s">
        <v>51</v>
      </c>
    </row>
    <row r="643" spans="1:34" s="33" customFormat="1" x14ac:dyDescent="0.2">
      <c r="A643" s="11">
        <v>771</v>
      </c>
      <c r="B643" s="11"/>
      <c r="C643" s="11"/>
      <c r="D643" s="11"/>
      <c r="E643" s="11"/>
      <c r="F643" s="11" t="s">
        <v>62</v>
      </c>
      <c r="G643" s="11" t="s">
        <v>63</v>
      </c>
      <c r="H643" s="56" t="str">
        <f>VLOOKUP(Table6[[#This Row],[ICD Code]],ICD_summary!$I$3:$M$38,5,0)</f>
        <v>PD</v>
      </c>
      <c r="I643" s="12">
        <v>73.099999999999994</v>
      </c>
      <c r="J6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3" s="11" t="s">
        <v>52</v>
      </c>
      <c r="L643" s="11"/>
      <c r="M643" s="11"/>
      <c r="N643" s="11">
        <v>62.57</v>
      </c>
      <c r="O643" s="11">
        <v>62.161999999999999</v>
      </c>
      <c r="P643" s="11">
        <v>125.256</v>
      </c>
      <c r="Q643" s="11">
        <v>124.346</v>
      </c>
      <c r="R643" s="11">
        <v>122.294</v>
      </c>
      <c r="S643" s="11">
        <v>121.642</v>
      </c>
      <c r="T643" s="11">
        <v>117.114</v>
      </c>
      <c r="U643" s="11">
        <v>116.999</v>
      </c>
      <c r="V643" s="11">
        <v>62.064999999999998</v>
      </c>
      <c r="W643" s="11">
        <v>62.148000000000003</v>
      </c>
      <c r="X643" s="11">
        <v>37.935000000000002</v>
      </c>
      <c r="Y643" s="11">
        <v>37.851999999999997</v>
      </c>
      <c r="Z643" s="11">
        <v>11.737</v>
      </c>
      <c r="AA643" s="11">
        <v>12.592000000000001</v>
      </c>
      <c r="AB643" s="11">
        <v>37.851999999999997</v>
      </c>
      <c r="AC643" s="11">
        <v>37.935000000000002</v>
      </c>
      <c r="AD643" s="11">
        <v>10.968</v>
      </c>
      <c r="AE643" s="11">
        <v>9</v>
      </c>
      <c r="AF643" s="11">
        <v>10</v>
      </c>
      <c r="AG643" s="11">
        <v>9</v>
      </c>
      <c r="AH643" s="11">
        <v>9</v>
      </c>
    </row>
    <row r="644" spans="1:34" s="33" customFormat="1" x14ac:dyDescent="0.2">
      <c r="A644" s="11">
        <v>772</v>
      </c>
      <c r="B644" s="11"/>
      <c r="C644" s="11"/>
      <c r="D644" s="11"/>
      <c r="E644" s="11"/>
      <c r="F644" s="11" t="s">
        <v>62</v>
      </c>
      <c r="G644" s="11" t="s">
        <v>63</v>
      </c>
      <c r="H644" s="56" t="str">
        <f>VLOOKUP(Table6[[#This Row],[ICD Code]],ICD_summary!$I$3:$M$38,5,0)</f>
        <v>PD</v>
      </c>
      <c r="I644" s="12">
        <v>63.4</v>
      </c>
      <c r="J6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44" s="11" t="s">
        <v>52</v>
      </c>
      <c r="L644" s="11"/>
      <c r="M644" s="11"/>
      <c r="N644" s="11">
        <v>37.463000000000001</v>
      </c>
      <c r="O644" s="11">
        <v>44.51</v>
      </c>
      <c r="P644" s="11">
        <v>82.031999999999996</v>
      </c>
      <c r="Q644" s="11">
        <v>81.516999999999996</v>
      </c>
      <c r="R644" s="11">
        <v>74.027000000000001</v>
      </c>
      <c r="S644" s="11">
        <v>74.08</v>
      </c>
      <c r="T644" s="11">
        <v>110.148</v>
      </c>
      <c r="U644" s="11">
        <v>110.235</v>
      </c>
      <c r="V644" s="11">
        <v>63.917999999999999</v>
      </c>
      <c r="W644" s="11">
        <v>63.572000000000003</v>
      </c>
      <c r="X644" s="11">
        <v>36.082000000000001</v>
      </c>
      <c r="Y644" s="11">
        <v>36.427999999999997</v>
      </c>
      <c r="Z644" s="11">
        <v>11.478</v>
      </c>
      <c r="AA644" s="11">
        <v>15.686</v>
      </c>
      <c r="AB644" s="11">
        <v>36.427999999999997</v>
      </c>
      <c r="AC644" s="11">
        <v>36.082000000000001</v>
      </c>
      <c r="AD644" s="11">
        <v>7.0650000000000004</v>
      </c>
      <c r="AE644" s="11">
        <v>10</v>
      </c>
      <c r="AF644" s="11">
        <v>10</v>
      </c>
      <c r="AG644" s="11">
        <v>10</v>
      </c>
      <c r="AH644" s="11">
        <v>10</v>
      </c>
    </row>
    <row r="645" spans="1:34" s="33" customFormat="1" x14ac:dyDescent="0.2">
      <c r="A645" s="11">
        <v>773</v>
      </c>
      <c r="B645" s="11"/>
      <c r="C645" s="11"/>
      <c r="D645" s="11"/>
      <c r="E645" s="11"/>
      <c r="F645" s="11" t="s">
        <v>62</v>
      </c>
      <c r="G645" s="11" t="s">
        <v>63</v>
      </c>
      <c r="H645" s="56" t="str">
        <f>VLOOKUP(Table6[[#This Row],[ICD Code]],ICD_summary!$I$3:$M$38,5,0)</f>
        <v>PD</v>
      </c>
      <c r="I645" s="12">
        <v>71.599999999999994</v>
      </c>
      <c r="J6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5" s="11" t="s">
        <v>52</v>
      </c>
      <c r="L645" s="11"/>
      <c r="M645" s="11"/>
      <c r="N645" s="11">
        <v>48.503999999999998</v>
      </c>
      <c r="O645" s="11">
        <v>49.039000000000001</v>
      </c>
      <c r="P645" s="11">
        <v>97.748000000000005</v>
      </c>
      <c r="Q645" s="11">
        <v>97.983999999999995</v>
      </c>
      <c r="R645" s="11">
        <v>70.081000000000003</v>
      </c>
      <c r="S645" s="11">
        <v>70.087000000000003</v>
      </c>
      <c r="T645" s="11">
        <v>85.605999999999995</v>
      </c>
      <c r="U645" s="11">
        <v>84.835999999999999</v>
      </c>
      <c r="V645" s="11">
        <v>66.67</v>
      </c>
      <c r="W645" s="11">
        <v>65.185000000000002</v>
      </c>
      <c r="X645" s="11">
        <v>33.33</v>
      </c>
      <c r="Y645" s="11">
        <v>34.814999999999998</v>
      </c>
      <c r="Z645" s="11">
        <v>14.278</v>
      </c>
      <c r="AA645" s="11">
        <v>17.199000000000002</v>
      </c>
      <c r="AB645" s="11">
        <v>34.814999999999998</v>
      </c>
      <c r="AC645" s="11">
        <v>33.33</v>
      </c>
      <c r="AD645" s="11">
        <v>8.4619999999999997</v>
      </c>
      <c r="AE645" s="11">
        <v>10</v>
      </c>
      <c r="AF645" s="11">
        <v>8</v>
      </c>
      <c r="AG645" s="11">
        <v>8</v>
      </c>
      <c r="AH645" s="11">
        <v>8</v>
      </c>
    </row>
    <row r="646" spans="1:34" s="33" customFormat="1" x14ac:dyDescent="0.2">
      <c r="A646" s="11">
        <v>774</v>
      </c>
      <c r="B646" s="11"/>
      <c r="C646" s="11"/>
      <c r="D646" s="11"/>
      <c r="E646" s="11"/>
      <c r="F646" s="11" t="s">
        <v>102</v>
      </c>
      <c r="G646" s="11" t="s">
        <v>103</v>
      </c>
      <c r="H646" s="56" t="str">
        <f>VLOOKUP(Table6[[#This Row],[ICD Code]],ICD_summary!$I$3:$M$38,5,0)</f>
        <v>Gait, other abnormalities</v>
      </c>
      <c r="I646" s="12">
        <v>81.599999999999994</v>
      </c>
      <c r="J6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46" s="11" t="s">
        <v>52</v>
      </c>
      <c r="L646" s="11"/>
      <c r="M646" s="11"/>
      <c r="N646" s="11">
        <v>50.377000000000002</v>
      </c>
      <c r="O646" s="11">
        <v>47.771000000000001</v>
      </c>
      <c r="P646" s="11">
        <v>98.111000000000004</v>
      </c>
      <c r="Q646" s="11">
        <v>98.25</v>
      </c>
      <c r="R646" s="11">
        <v>81.138000000000005</v>
      </c>
      <c r="S646" s="11">
        <v>81.206999999999994</v>
      </c>
      <c r="T646" s="11">
        <v>99.155000000000001</v>
      </c>
      <c r="U646" s="11">
        <v>98.843999999999994</v>
      </c>
      <c r="V646" s="11">
        <v>63.671999999999997</v>
      </c>
      <c r="W646" s="11">
        <v>63.296999999999997</v>
      </c>
      <c r="X646" s="11">
        <v>36.328000000000003</v>
      </c>
      <c r="Y646" s="11">
        <v>36.703000000000003</v>
      </c>
      <c r="Z646" s="11">
        <v>14.927</v>
      </c>
      <c r="AA646" s="11">
        <v>12.891999999999999</v>
      </c>
      <c r="AB646" s="11">
        <v>36.703000000000003</v>
      </c>
      <c r="AC646" s="11">
        <v>36.328000000000003</v>
      </c>
      <c r="AD646" s="11">
        <v>10.134</v>
      </c>
      <c r="AE646" s="11">
        <v>10</v>
      </c>
      <c r="AF646" s="11">
        <v>10</v>
      </c>
      <c r="AG646" s="11">
        <v>10</v>
      </c>
      <c r="AH646" s="11">
        <v>10</v>
      </c>
    </row>
    <row r="647" spans="1:34" s="33" customFormat="1" x14ac:dyDescent="0.2">
      <c r="A647" s="11">
        <v>775</v>
      </c>
      <c r="B647" s="11"/>
      <c r="C647" s="11"/>
      <c r="D647" s="11"/>
      <c r="E647" s="11"/>
      <c r="F647" s="11" t="s">
        <v>68</v>
      </c>
      <c r="G647" s="11" t="s">
        <v>69</v>
      </c>
      <c r="H647" s="56" t="str">
        <f>VLOOKUP(Table6[[#This Row],[ICD Code]],ICD_summary!$I$3:$M$38,5,0)</f>
        <v>Tremor, essential tremor</v>
      </c>
      <c r="I647" s="12">
        <v>73.8</v>
      </c>
      <c r="J6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7" s="11" t="s">
        <v>52</v>
      </c>
      <c r="L647" s="11"/>
      <c r="M647" s="11"/>
      <c r="N647" s="11">
        <v>44.755000000000003</v>
      </c>
      <c r="O647" s="11">
        <v>37.817</v>
      </c>
      <c r="P647" s="11">
        <v>82.864999999999995</v>
      </c>
      <c r="Q647" s="11">
        <v>82.338999999999999</v>
      </c>
      <c r="R647" s="11">
        <v>73.959999999999994</v>
      </c>
      <c r="S647" s="11">
        <v>73.366</v>
      </c>
      <c r="T647" s="11">
        <v>107.288</v>
      </c>
      <c r="U647" s="11">
        <v>106.69799999999999</v>
      </c>
      <c r="V647" s="11">
        <v>62.067999999999998</v>
      </c>
      <c r="W647" s="11">
        <v>66.034000000000006</v>
      </c>
      <c r="X647" s="11">
        <v>37.932000000000002</v>
      </c>
      <c r="Y647" s="11">
        <v>33.966000000000001</v>
      </c>
      <c r="Z647" s="11">
        <v>13.170999999999999</v>
      </c>
      <c r="AA647" s="11">
        <v>15.266</v>
      </c>
      <c r="AB647" s="11">
        <v>33.966000000000001</v>
      </c>
      <c r="AC647" s="11">
        <v>37.932000000000002</v>
      </c>
      <c r="AD647" s="11">
        <v>8.3000000000000007</v>
      </c>
      <c r="AE647" s="11">
        <v>12</v>
      </c>
      <c r="AF647" s="11">
        <v>13</v>
      </c>
      <c r="AG647" s="11">
        <v>12</v>
      </c>
      <c r="AH647" s="11">
        <v>12</v>
      </c>
    </row>
    <row r="648" spans="1:34" s="33" customFormat="1" x14ac:dyDescent="0.2">
      <c r="A648" s="11">
        <v>776</v>
      </c>
      <c r="B648" s="11"/>
      <c r="C648" s="11"/>
      <c r="D648" s="11"/>
      <c r="E648" s="11"/>
      <c r="F648" s="11" t="s">
        <v>62</v>
      </c>
      <c r="G648" s="11" t="s">
        <v>63</v>
      </c>
      <c r="H648" s="56" t="str">
        <f>VLOOKUP(Table6[[#This Row],[ICD Code]],ICD_summary!$I$3:$M$38,5,0)</f>
        <v>PD</v>
      </c>
      <c r="I648" s="12">
        <v>52.8</v>
      </c>
      <c r="J6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48" s="11" t="s">
        <v>52</v>
      </c>
      <c r="L648" s="11"/>
      <c r="M648" s="11"/>
      <c r="N648" s="11">
        <v>66.242999999999995</v>
      </c>
      <c r="O648" s="11">
        <v>59.978999999999999</v>
      </c>
      <c r="P648" s="11">
        <v>125.20699999999999</v>
      </c>
      <c r="Q648" s="11">
        <v>126.15</v>
      </c>
      <c r="R648" s="11">
        <v>126.139</v>
      </c>
      <c r="S648" s="11">
        <v>127.10899999999999</v>
      </c>
      <c r="T648" s="11">
        <v>122.06699999999999</v>
      </c>
      <c r="U648" s="11">
        <v>121.65900000000001</v>
      </c>
      <c r="V648" s="11">
        <v>64.3</v>
      </c>
      <c r="W648" s="11">
        <v>62.723999999999997</v>
      </c>
      <c r="X648" s="11">
        <v>35.700000000000003</v>
      </c>
      <c r="Y648" s="11">
        <v>37.276000000000003</v>
      </c>
      <c r="Z648" s="11">
        <v>12.929</v>
      </c>
      <c r="AA648" s="11">
        <v>14.502000000000001</v>
      </c>
      <c r="AB648" s="11">
        <v>37.276000000000003</v>
      </c>
      <c r="AC648" s="11">
        <v>35.700000000000003</v>
      </c>
      <c r="AD648" s="11">
        <v>9.6240000000000006</v>
      </c>
      <c r="AE648" s="11">
        <v>8</v>
      </c>
      <c r="AF648" s="11">
        <v>10</v>
      </c>
      <c r="AG648" s="11">
        <v>8</v>
      </c>
      <c r="AH648" s="11">
        <v>8</v>
      </c>
    </row>
    <row r="649" spans="1:34" s="33" customFormat="1" x14ac:dyDescent="0.2">
      <c r="A649" s="11">
        <v>777</v>
      </c>
      <c r="B649" s="11"/>
      <c r="C649" s="11"/>
      <c r="D649" s="11"/>
      <c r="E649" s="11"/>
      <c r="F649" s="11" t="s">
        <v>62</v>
      </c>
      <c r="G649" s="11" t="s">
        <v>63</v>
      </c>
      <c r="H649" s="56" t="str">
        <f>VLOOKUP(Table6[[#This Row],[ICD Code]],ICD_summary!$I$3:$M$38,5,0)</f>
        <v>PD</v>
      </c>
      <c r="I649" s="12">
        <v>78.7</v>
      </c>
      <c r="J6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9" s="11" t="s">
        <v>55</v>
      </c>
      <c r="L649" s="11"/>
      <c r="M649" s="11"/>
      <c r="N649" s="11" t="s">
        <v>51</v>
      </c>
      <c r="O649" s="11" t="s">
        <v>51</v>
      </c>
      <c r="P649" s="11" t="s">
        <v>51</v>
      </c>
      <c r="Q649" s="11" t="s">
        <v>51</v>
      </c>
      <c r="R649" s="11" t="s">
        <v>51</v>
      </c>
      <c r="S649" s="11" t="s">
        <v>51</v>
      </c>
      <c r="T649" s="11" t="s">
        <v>51</v>
      </c>
      <c r="U649" s="11" t="s">
        <v>51</v>
      </c>
      <c r="V649" s="11" t="s">
        <v>51</v>
      </c>
      <c r="W649" s="11" t="s">
        <v>51</v>
      </c>
      <c r="X649" s="11" t="s">
        <v>51</v>
      </c>
      <c r="Y649" s="11" t="s">
        <v>51</v>
      </c>
      <c r="Z649" s="11" t="s">
        <v>51</v>
      </c>
      <c r="AA649" s="11" t="s">
        <v>51</v>
      </c>
      <c r="AB649" s="11" t="s">
        <v>51</v>
      </c>
      <c r="AC649" s="11" t="s">
        <v>51</v>
      </c>
      <c r="AD649" s="11" t="s">
        <v>51</v>
      </c>
      <c r="AE649" s="11" t="s">
        <v>51</v>
      </c>
      <c r="AF649" s="11" t="s">
        <v>51</v>
      </c>
      <c r="AG649" s="11" t="s">
        <v>51</v>
      </c>
      <c r="AH649" s="11" t="s">
        <v>51</v>
      </c>
    </row>
    <row r="650" spans="1:34" s="33" customFormat="1" x14ac:dyDescent="0.2">
      <c r="A650" s="11">
        <v>778</v>
      </c>
      <c r="B650" s="11"/>
      <c r="C650" s="11"/>
      <c r="D650" s="11"/>
      <c r="E650" s="11"/>
      <c r="F650" s="11" t="s">
        <v>62</v>
      </c>
      <c r="G650" s="11" t="s">
        <v>63</v>
      </c>
      <c r="H650" s="56" t="str">
        <f>VLOOKUP(Table6[[#This Row],[ICD Code]],ICD_summary!$I$3:$M$38,5,0)</f>
        <v>PD</v>
      </c>
      <c r="I650" s="12">
        <v>67.900000000000006</v>
      </c>
      <c r="J6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50" s="11" t="s">
        <v>52</v>
      </c>
      <c r="L650" s="11"/>
      <c r="M650" s="11"/>
      <c r="N650" s="11">
        <v>45.582999999999998</v>
      </c>
      <c r="O650" s="11">
        <v>48.713999999999999</v>
      </c>
      <c r="P650" s="11">
        <v>94.543000000000006</v>
      </c>
      <c r="Q650" s="11">
        <v>94.034000000000006</v>
      </c>
      <c r="R650" s="11">
        <v>83.210999999999999</v>
      </c>
      <c r="S650" s="11">
        <v>82.715000000000003</v>
      </c>
      <c r="T650" s="11">
        <v>105.35</v>
      </c>
      <c r="U650" s="11">
        <v>105.139</v>
      </c>
      <c r="V650" s="11">
        <v>61.677999999999997</v>
      </c>
      <c r="W650" s="11">
        <v>61.933999999999997</v>
      </c>
      <c r="X650" s="11">
        <v>38.322000000000003</v>
      </c>
      <c r="Y650" s="11">
        <v>38.066000000000003</v>
      </c>
      <c r="Z650" s="11">
        <v>12.244999999999999</v>
      </c>
      <c r="AA650" s="11">
        <v>11.839</v>
      </c>
      <c r="AB650" s="11">
        <v>38.066000000000003</v>
      </c>
      <c r="AC650" s="11">
        <v>38.322000000000003</v>
      </c>
      <c r="AD650" s="11">
        <v>10.853999999999999</v>
      </c>
      <c r="AE650" s="11">
        <v>12</v>
      </c>
      <c r="AF650" s="11">
        <v>13</v>
      </c>
      <c r="AG650" s="11">
        <v>12</v>
      </c>
      <c r="AH650" s="11">
        <v>12</v>
      </c>
    </row>
    <row r="651" spans="1:34" s="33" customFormat="1" x14ac:dyDescent="0.2">
      <c r="A651" s="11">
        <v>779</v>
      </c>
      <c r="B651" s="11"/>
      <c r="C651" s="11"/>
      <c r="D651" s="11"/>
      <c r="E651" s="11"/>
      <c r="F651" s="11" t="s">
        <v>51</v>
      </c>
      <c r="G651" s="11" t="s">
        <v>51</v>
      </c>
      <c r="H651" s="56" t="str">
        <f>VLOOKUP(Table6[[#This Row],[ICD Code]],ICD_summary!$I$3:$M$38,5,0)</f>
        <v>Misc/Other</v>
      </c>
      <c r="I651" s="12">
        <v>999</v>
      </c>
      <c r="J6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1" s="11" t="s">
        <v>51</v>
      </c>
      <c r="L651" s="11"/>
      <c r="M651" s="11"/>
      <c r="N651" s="11">
        <v>39.557000000000002</v>
      </c>
      <c r="O651" s="11">
        <v>41.243000000000002</v>
      </c>
      <c r="P651" s="11">
        <v>80.891000000000005</v>
      </c>
      <c r="Q651" s="11">
        <v>80.378</v>
      </c>
      <c r="R651" s="11">
        <v>56.235999999999997</v>
      </c>
      <c r="S651" s="11">
        <v>56.533000000000001</v>
      </c>
      <c r="T651" s="11">
        <v>83.099000000000004</v>
      </c>
      <c r="U651" s="11">
        <v>83.338999999999999</v>
      </c>
      <c r="V651" s="11">
        <v>68.781000000000006</v>
      </c>
      <c r="W651" s="11">
        <v>63.908000000000001</v>
      </c>
      <c r="X651" s="11">
        <v>31.219000000000001</v>
      </c>
      <c r="Y651" s="11">
        <v>36.091999999999999</v>
      </c>
      <c r="Z651" s="11">
        <v>12.762</v>
      </c>
      <c r="AA651" s="11">
        <v>19.722000000000001</v>
      </c>
      <c r="AB651" s="11">
        <v>36.091999999999999</v>
      </c>
      <c r="AC651" s="11">
        <v>31.219000000000001</v>
      </c>
      <c r="AD651" s="11">
        <v>24.15</v>
      </c>
      <c r="AE651" s="11">
        <v>12</v>
      </c>
      <c r="AF651" s="11">
        <v>12</v>
      </c>
      <c r="AG651" s="11">
        <v>12</v>
      </c>
      <c r="AH651" s="11">
        <v>12</v>
      </c>
    </row>
    <row r="652" spans="1:34" s="33" customFormat="1" x14ac:dyDescent="0.2">
      <c r="A652" s="11">
        <v>780</v>
      </c>
      <c r="B652" s="11"/>
      <c r="C652" s="11"/>
      <c r="D652" s="11"/>
      <c r="E652" s="11"/>
      <c r="F652" s="11" t="s">
        <v>62</v>
      </c>
      <c r="G652" s="11" t="s">
        <v>63</v>
      </c>
      <c r="H652" s="56" t="str">
        <f>VLOOKUP(Table6[[#This Row],[ICD Code]],ICD_summary!$I$3:$M$38,5,0)</f>
        <v>PD</v>
      </c>
      <c r="I652" s="12">
        <v>54.5</v>
      </c>
      <c r="J6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2" s="11" t="s">
        <v>52</v>
      </c>
      <c r="L652" s="11"/>
      <c r="M652" s="11"/>
      <c r="N652" s="11">
        <v>63.078000000000003</v>
      </c>
      <c r="O652" s="11">
        <v>60.923000000000002</v>
      </c>
      <c r="P652" s="11">
        <v>123.628</v>
      </c>
      <c r="Q652" s="11">
        <v>125.099</v>
      </c>
      <c r="R652" s="11">
        <v>115.529</v>
      </c>
      <c r="S652" s="11">
        <v>117.797</v>
      </c>
      <c r="T652" s="11">
        <v>111.292</v>
      </c>
      <c r="U652" s="11">
        <v>112.32599999999999</v>
      </c>
      <c r="V652" s="11">
        <v>61.368000000000002</v>
      </c>
      <c r="W652" s="11">
        <v>63.837000000000003</v>
      </c>
      <c r="X652" s="11">
        <v>38.631999999999998</v>
      </c>
      <c r="Y652" s="11">
        <v>36.162999999999997</v>
      </c>
      <c r="Z652" s="11">
        <v>12.585000000000001</v>
      </c>
      <c r="AA652" s="11">
        <v>13.242000000000001</v>
      </c>
      <c r="AB652" s="11">
        <v>36.162999999999997</v>
      </c>
      <c r="AC652" s="11">
        <v>38.631999999999998</v>
      </c>
      <c r="AD652" s="11">
        <v>9.0120000000000005</v>
      </c>
      <c r="AE652" s="11">
        <v>7</v>
      </c>
      <c r="AF652" s="11">
        <v>8</v>
      </c>
      <c r="AG652" s="11">
        <v>7</v>
      </c>
      <c r="AH652" s="11">
        <v>7</v>
      </c>
    </row>
    <row r="653" spans="1:34" s="33" customFormat="1" x14ac:dyDescent="0.2">
      <c r="A653" s="11">
        <v>781</v>
      </c>
      <c r="B653" s="11"/>
      <c r="C653" s="11"/>
      <c r="D653" s="11"/>
      <c r="E653" s="11"/>
      <c r="F653" s="11" t="s">
        <v>51</v>
      </c>
      <c r="G653" s="11" t="s">
        <v>51</v>
      </c>
      <c r="H653" s="56" t="str">
        <f>VLOOKUP(Table6[[#This Row],[ICD Code]],ICD_summary!$I$3:$M$38,5,0)</f>
        <v>Misc/Other</v>
      </c>
      <c r="I653" s="12">
        <v>999</v>
      </c>
      <c r="J6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3" s="11" t="s">
        <v>51</v>
      </c>
      <c r="L653" s="11"/>
      <c r="M653" s="11"/>
      <c r="N653" s="11">
        <v>55.347000000000001</v>
      </c>
      <c r="O653" s="11">
        <v>60.962000000000003</v>
      </c>
      <c r="P653" s="11">
        <v>116.80800000000001</v>
      </c>
      <c r="Q653" s="11">
        <v>116.309</v>
      </c>
      <c r="R653" s="11">
        <v>108.331</v>
      </c>
      <c r="S653" s="11">
        <v>107.06</v>
      </c>
      <c r="T653" s="11">
        <v>110.996</v>
      </c>
      <c r="U653" s="11">
        <v>110.342</v>
      </c>
      <c r="V653" s="11">
        <v>62.570999999999998</v>
      </c>
      <c r="W653" s="11">
        <v>61.816000000000003</v>
      </c>
      <c r="X653" s="11">
        <v>37.429000000000002</v>
      </c>
      <c r="Y653" s="11">
        <v>38.183999999999997</v>
      </c>
      <c r="Z653" s="11">
        <v>12.129</v>
      </c>
      <c r="AA653" s="11">
        <v>12.435</v>
      </c>
      <c r="AB653" s="11">
        <v>38.183999999999997</v>
      </c>
      <c r="AC653" s="11">
        <v>37.429000000000002</v>
      </c>
      <c r="AD653" s="11">
        <v>12.004</v>
      </c>
      <c r="AE653" s="11">
        <v>10</v>
      </c>
      <c r="AF653" s="11">
        <v>15</v>
      </c>
      <c r="AG653" s="11">
        <v>10</v>
      </c>
      <c r="AH653" s="11">
        <v>10</v>
      </c>
    </row>
    <row r="654" spans="1:34" s="33" customFormat="1" x14ac:dyDescent="0.2">
      <c r="A654" s="11">
        <v>782</v>
      </c>
      <c r="B654" s="11"/>
      <c r="C654" s="11"/>
      <c r="D654" s="11"/>
      <c r="E654" s="11"/>
      <c r="F654" s="11" t="s">
        <v>68</v>
      </c>
      <c r="G654" s="11" t="s">
        <v>69</v>
      </c>
      <c r="H654" s="56" t="str">
        <f>VLOOKUP(Table6[[#This Row],[ICD Code]],ICD_summary!$I$3:$M$38,5,0)</f>
        <v>Tremor, essential tremor</v>
      </c>
      <c r="I654" s="12">
        <v>49.3</v>
      </c>
      <c r="J6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54" s="11" t="s">
        <v>55</v>
      </c>
      <c r="L654" s="11"/>
      <c r="M654" s="11"/>
      <c r="N654" s="11">
        <v>59.314</v>
      </c>
      <c r="O654" s="11">
        <v>59.710999999999999</v>
      </c>
      <c r="P654" s="11">
        <v>119.753</v>
      </c>
      <c r="Q654" s="11">
        <v>118.642</v>
      </c>
      <c r="R654" s="11">
        <v>110.83199999999999</v>
      </c>
      <c r="S654" s="11">
        <v>110.279</v>
      </c>
      <c r="T654" s="11">
        <v>110.498</v>
      </c>
      <c r="U654" s="11">
        <v>111.25700000000001</v>
      </c>
      <c r="V654" s="11">
        <v>63.119</v>
      </c>
      <c r="W654" s="11">
        <v>63.62</v>
      </c>
      <c r="X654" s="11">
        <v>36.881</v>
      </c>
      <c r="Y654" s="11">
        <v>36.380000000000003</v>
      </c>
      <c r="Z654" s="11">
        <v>13.494999999999999</v>
      </c>
      <c r="AA654" s="11">
        <v>13.741</v>
      </c>
      <c r="AB654" s="11">
        <v>36.380000000000003</v>
      </c>
      <c r="AC654" s="11">
        <v>36.881</v>
      </c>
      <c r="AD654" s="11">
        <v>10.246</v>
      </c>
      <c r="AE654" s="11">
        <v>10</v>
      </c>
      <c r="AF654" s="11">
        <v>10</v>
      </c>
      <c r="AG654" s="11">
        <v>10</v>
      </c>
      <c r="AH654" s="11">
        <v>10</v>
      </c>
    </row>
    <row r="655" spans="1:34" s="33" customFormat="1" x14ac:dyDescent="0.2">
      <c r="A655" s="11">
        <v>783</v>
      </c>
      <c r="B655" s="11"/>
      <c r="C655" s="11"/>
      <c r="D655" s="11"/>
      <c r="E655" s="11"/>
      <c r="F655" s="11" t="s">
        <v>51</v>
      </c>
      <c r="G655" s="11" t="s">
        <v>51</v>
      </c>
      <c r="H655" s="56" t="str">
        <f>VLOOKUP(Table6[[#This Row],[ICD Code]],ICD_summary!$I$3:$M$38,5,0)</f>
        <v>Misc/Other</v>
      </c>
      <c r="I655" s="12">
        <v>999</v>
      </c>
      <c r="J6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5" s="11" t="s">
        <v>51</v>
      </c>
      <c r="L655" s="11"/>
      <c r="M655" s="11"/>
      <c r="N655" s="11">
        <v>57.640999999999998</v>
      </c>
      <c r="O655" s="11">
        <v>53.62</v>
      </c>
      <c r="P655" s="11">
        <v>111.426</v>
      </c>
      <c r="Q655" s="11">
        <v>111.57</v>
      </c>
      <c r="R655" s="11">
        <v>113.51900000000001</v>
      </c>
      <c r="S655" s="11">
        <v>112.767</v>
      </c>
      <c r="T655" s="11">
        <v>121.405</v>
      </c>
      <c r="U655" s="11">
        <v>120.828</v>
      </c>
      <c r="V655" s="11">
        <v>61.874000000000002</v>
      </c>
      <c r="W655" s="11">
        <v>62.651000000000003</v>
      </c>
      <c r="X655" s="11">
        <v>38.125999999999998</v>
      </c>
      <c r="Y655" s="11">
        <v>37.348999999999997</v>
      </c>
      <c r="Z655" s="11">
        <v>12.722</v>
      </c>
      <c r="AA655" s="11">
        <v>12.252000000000001</v>
      </c>
      <c r="AB655" s="11">
        <v>37.348999999999997</v>
      </c>
      <c r="AC655" s="11">
        <v>38.125999999999998</v>
      </c>
      <c r="AD655" s="11">
        <v>12.811999999999999</v>
      </c>
      <c r="AE655" s="11">
        <v>12</v>
      </c>
      <c r="AF655" s="11">
        <v>11</v>
      </c>
      <c r="AG655" s="11">
        <v>11</v>
      </c>
      <c r="AH655" s="11">
        <v>11</v>
      </c>
    </row>
    <row r="656" spans="1:34" s="33" customFormat="1" x14ac:dyDescent="0.2">
      <c r="A656" s="11">
        <v>784</v>
      </c>
      <c r="B656" s="11"/>
      <c r="C656" s="11"/>
      <c r="D656" s="11"/>
      <c r="E656" s="11"/>
      <c r="F656" s="11" t="s">
        <v>62</v>
      </c>
      <c r="G656" s="11" t="s">
        <v>63</v>
      </c>
      <c r="H656" s="56" t="str">
        <f>VLOOKUP(Table6[[#This Row],[ICD Code]],ICD_summary!$I$3:$M$38,5,0)</f>
        <v>PD</v>
      </c>
      <c r="I656" s="12">
        <v>55.8</v>
      </c>
      <c r="J6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6" s="11" t="s">
        <v>55</v>
      </c>
      <c r="L656" s="11"/>
      <c r="M656" s="11"/>
      <c r="N656" s="11">
        <v>30.477</v>
      </c>
      <c r="O656" s="11">
        <v>24.916</v>
      </c>
      <c r="P656" s="11">
        <v>56.384999999999998</v>
      </c>
      <c r="Q656" s="11">
        <v>54.988</v>
      </c>
      <c r="R656" s="11">
        <v>45.075000000000003</v>
      </c>
      <c r="S656" s="11">
        <v>45.893999999999998</v>
      </c>
      <c r="T656" s="11">
        <v>98.888000000000005</v>
      </c>
      <c r="U656" s="11">
        <v>99.991</v>
      </c>
      <c r="V656" s="11">
        <v>68.010999999999996</v>
      </c>
      <c r="W656" s="11">
        <v>70.786000000000001</v>
      </c>
      <c r="X656" s="11">
        <v>31.989000000000001</v>
      </c>
      <c r="Y656" s="11">
        <v>29.213999999999999</v>
      </c>
      <c r="Z656" s="11">
        <v>13.532999999999999</v>
      </c>
      <c r="AA656" s="11">
        <v>24.707000000000001</v>
      </c>
      <c r="AB656" s="11">
        <v>29.213999999999999</v>
      </c>
      <c r="AC656" s="11">
        <v>31.989000000000001</v>
      </c>
      <c r="AD656" s="11">
        <v>11.068</v>
      </c>
      <c r="AE656" s="11">
        <v>20</v>
      </c>
      <c r="AF656" s="11">
        <v>17</v>
      </c>
      <c r="AG656" s="11">
        <v>17</v>
      </c>
      <c r="AH656" s="11">
        <v>17</v>
      </c>
    </row>
    <row r="657" spans="1:34" s="33" customFormat="1" x14ac:dyDescent="0.2">
      <c r="A657" s="11">
        <v>785</v>
      </c>
      <c r="B657" s="11"/>
      <c r="C657" s="11"/>
      <c r="D657" s="11"/>
      <c r="E657" s="11"/>
      <c r="F657" s="11" t="s">
        <v>62</v>
      </c>
      <c r="G657" s="11" t="s">
        <v>63</v>
      </c>
      <c r="H657" s="56" t="str">
        <f>VLOOKUP(Table6[[#This Row],[ICD Code]],ICD_summary!$I$3:$M$38,5,0)</f>
        <v>PD</v>
      </c>
      <c r="I657" s="12">
        <v>57.1</v>
      </c>
      <c r="J6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7" s="11" t="s">
        <v>55</v>
      </c>
      <c r="L657" s="11"/>
      <c r="M657" s="11"/>
      <c r="N657" s="11">
        <v>25.431000000000001</v>
      </c>
      <c r="O657" s="11">
        <v>22.542999999999999</v>
      </c>
      <c r="P657" s="11">
        <v>48.752000000000002</v>
      </c>
      <c r="Q657" s="11">
        <v>48.005000000000003</v>
      </c>
      <c r="R657" s="11">
        <v>34.466000000000001</v>
      </c>
      <c r="S657" s="11">
        <v>33.768999999999998</v>
      </c>
      <c r="T657" s="11">
        <v>84.840999999999994</v>
      </c>
      <c r="U657" s="11">
        <v>84.328999999999994</v>
      </c>
      <c r="V657" s="11">
        <v>70.775999999999996</v>
      </c>
      <c r="W657" s="11">
        <v>73.86</v>
      </c>
      <c r="X657" s="11">
        <v>29.224</v>
      </c>
      <c r="Y657" s="11">
        <v>26.138999999999999</v>
      </c>
      <c r="Z657" s="11">
        <v>20.96</v>
      </c>
      <c r="AA657" s="11">
        <v>23.132999999999999</v>
      </c>
      <c r="AB657" s="11">
        <v>26.138999999999999</v>
      </c>
      <c r="AC657" s="11">
        <v>29.224</v>
      </c>
      <c r="AD657" s="11">
        <v>11.02</v>
      </c>
      <c r="AE657" s="11">
        <v>13</v>
      </c>
      <c r="AF657" s="11">
        <v>14</v>
      </c>
      <c r="AG657" s="11">
        <v>13</v>
      </c>
      <c r="AH657" s="11">
        <v>13</v>
      </c>
    </row>
    <row r="658" spans="1:34" s="33" customFormat="1" x14ac:dyDescent="0.2">
      <c r="A658" s="11">
        <v>786</v>
      </c>
      <c r="B658" s="11"/>
      <c r="C658" s="11"/>
      <c r="D658" s="11"/>
      <c r="E658" s="11"/>
      <c r="F658" s="11" t="s">
        <v>102</v>
      </c>
      <c r="G658" s="11" t="s">
        <v>103</v>
      </c>
      <c r="H658" s="56" t="str">
        <f>VLOOKUP(Table6[[#This Row],[ICD Code]],ICD_summary!$I$3:$M$38,5,0)</f>
        <v>Gait, other abnormalities</v>
      </c>
      <c r="I658" s="12">
        <v>73.400000000000006</v>
      </c>
      <c r="J6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58" s="11" t="s">
        <v>55</v>
      </c>
      <c r="L658" s="11"/>
      <c r="M658" s="11"/>
      <c r="N658" s="11">
        <v>30.783999999999999</v>
      </c>
      <c r="O658" s="11">
        <v>26.463999999999999</v>
      </c>
      <c r="P658" s="11">
        <v>57.695999999999998</v>
      </c>
      <c r="Q658" s="11">
        <v>57.433999999999997</v>
      </c>
      <c r="R658" s="11">
        <v>47.905000000000001</v>
      </c>
      <c r="S658" s="11">
        <v>47.991999999999997</v>
      </c>
      <c r="T658" s="11">
        <v>100.18899999999999</v>
      </c>
      <c r="U658" s="11">
        <v>100.199</v>
      </c>
      <c r="V658" s="11">
        <v>69.778999999999996</v>
      </c>
      <c r="W658" s="11">
        <v>65.834999999999994</v>
      </c>
      <c r="X658" s="11">
        <v>30.221</v>
      </c>
      <c r="Y658" s="11">
        <v>34.164999999999999</v>
      </c>
      <c r="Z658" s="11">
        <v>17.216999999999999</v>
      </c>
      <c r="AA658" s="11">
        <v>18.207999999999998</v>
      </c>
      <c r="AB658" s="11">
        <v>34.164999999999999</v>
      </c>
      <c r="AC658" s="11">
        <v>30.221</v>
      </c>
      <c r="AD658" s="11">
        <v>13.715</v>
      </c>
      <c r="AE658" s="11">
        <v>10</v>
      </c>
      <c r="AF658" s="11">
        <v>9</v>
      </c>
      <c r="AG658" s="11">
        <v>9</v>
      </c>
      <c r="AH658" s="11">
        <v>9</v>
      </c>
    </row>
    <row r="659" spans="1:34" s="33" customFormat="1" x14ac:dyDescent="0.2">
      <c r="A659" s="11">
        <v>787</v>
      </c>
      <c r="B659" s="11"/>
      <c r="C659" s="11"/>
      <c r="D659" s="11"/>
      <c r="E659" s="11"/>
      <c r="F659" s="11" t="s">
        <v>62</v>
      </c>
      <c r="G659" s="11" t="s">
        <v>63</v>
      </c>
      <c r="H659" s="56" t="str">
        <f>VLOOKUP(Table6[[#This Row],[ICD Code]],ICD_summary!$I$3:$M$38,5,0)</f>
        <v>PD</v>
      </c>
      <c r="I659" s="12">
        <v>83.3</v>
      </c>
      <c r="J6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59" s="11" t="s">
        <v>52</v>
      </c>
      <c r="L659" s="11"/>
      <c r="M659" s="11"/>
      <c r="N659" s="11">
        <v>43.515999999999998</v>
      </c>
      <c r="O659" s="11">
        <v>45.433</v>
      </c>
      <c r="P659" s="11">
        <v>89.688999999999993</v>
      </c>
      <c r="Q659" s="11">
        <v>87.888999999999996</v>
      </c>
      <c r="R659" s="11">
        <v>72.506</v>
      </c>
      <c r="S659" s="11">
        <v>70.978999999999999</v>
      </c>
      <c r="T659" s="11">
        <v>96.814999999999998</v>
      </c>
      <c r="U659" s="11">
        <v>96.731999999999999</v>
      </c>
      <c r="V659" s="11">
        <v>66.81</v>
      </c>
      <c r="W659" s="11">
        <v>67.224000000000004</v>
      </c>
      <c r="X659" s="11">
        <v>33.19</v>
      </c>
      <c r="Y659" s="11">
        <v>32.776000000000003</v>
      </c>
      <c r="Z659" s="11">
        <v>17.742999999999999</v>
      </c>
      <c r="AA659" s="11">
        <v>16.318999999999999</v>
      </c>
      <c r="AB659" s="11">
        <v>32.776000000000003</v>
      </c>
      <c r="AC659" s="11">
        <v>33.19</v>
      </c>
      <c r="AD659" s="11">
        <v>16.52</v>
      </c>
      <c r="AE659" s="11">
        <v>10</v>
      </c>
      <c r="AF659" s="11">
        <v>10</v>
      </c>
      <c r="AG659" s="11">
        <v>10</v>
      </c>
      <c r="AH659" s="11">
        <v>10</v>
      </c>
    </row>
    <row r="660" spans="1:34" s="33" customFormat="1" x14ac:dyDescent="0.2">
      <c r="A660" s="11">
        <v>788</v>
      </c>
      <c r="B660" s="11"/>
      <c r="C660" s="11"/>
      <c r="D660" s="11"/>
      <c r="E660" s="11"/>
      <c r="F660" s="11" t="s">
        <v>66</v>
      </c>
      <c r="G660" s="11" t="s">
        <v>67</v>
      </c>
      <c r="H660" s="56" t="str">
        <f>VLOOKUP(Table6[[#This Row],[ICD Code]],ICD_summary!$I$3:$M$38,5,0)</f>
        <v>Dystonia, other</v>
      </c>
      <c r="I660" s="12">
        <v>29</v>
      </c>
      <c r="J6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60" s="11" t="s">
        <v>52</v>
      </c>
      <c r="L660" s="11"/>
      <c r="M660" s="11"/>
      <c r="N660" s="11">
        <v>47.171999999999997</v>
      </c>
      <c r="O660" s="11">
        <v>52.167999999999999</v>
      </c>
      <c r="P660" s="11">
        <v>99.138999999999996</v>
      </c>
      <c r="Q660" s="11">
        <v>99.710999999999999</v>
      </c>
      <c r="R660" s="11">
        <v>83.734999999999999</v>
      </c>
      <c r="S660" s="11">
        <v>82.84</v>
      </c>
      <c r="T660" s="11">
        <v>101.49</v>
      </c>
      <c r="U660" s="11">
        <v>99.317999999999998</v>
      </c>
      <c r="V660" s="11">
        <v>59.537999999999997</v>
      </c>
      <c r="W660" s="11">
        <v>60.45</v>
      </c>
      <c r="X660" s="11">
        <v>40.462000000000003</v>
      </c>
      <c r="Y660" s="11">
        <v>39.549999999999997</v>
      </c>
      <c r="Z660" s="11">
        <v>12.532999999999999</v>
      </c>
      <c r="AA660" s="11">
        <v>7.5460000000000003</v>
      </c>
      <c r="AB660" s="11">
        <v>39.549999999999997</v>
      </c>
      <c r="AC660" s="11">
        <v>40.462000000000003</v>
      </c>
      <c r="AD660" s="11">
        <v>26.792999999999999</v>
      </c>
      <c r="AE660" s="11">
        <v>7</v>
      </c>
      <c r="AF660" s="11">
        <v>6</v>
      </c>
      <c r="AG660" s="11">
        <v>6</v>
      </c>
      <c r="AH660" s="11">
        <v>6</v>
      </c>
    </row>
    <row r="661" spans="1:34" s="33" customFormat="1" x14ac:dyDescent="0.2">
      <c r="A661" s="11">
        <v>789</v>
      </c>
      <c r="B661" s="11"/>
      <c r="C661" s="11"/>
      <c r="D661" s="11"/>
      <c r="E661" s="11"/>
      <c r="F661" s="11" t="s">
        <v>51</v>
      </c>
      <c r="G661" s="11" t="s">
        <v>51</v>
      </c>
      <c r="H661" s="56" t="str">
        <f>VLOOKUP(Table6[[#This Row],[ICD Code]],ICD_summary!$I$3:$M$38,5,0)</f>
        <v>Misc/Other</v>
      </c>
      <c r="I661" s="12">
        <v>999</v>
      </c>
      <c r="J6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61" s="11" t="s">
        <v>51</v>
      </c>
      <c r="L661" s="11"/>
      <c r="M661" s="11"/>
      <c r="N661" s="11" t="s">
        <v>51</v>
      </c>
      <c r="O661" s="11" t="s">
        <v>51</v>
      </c>
      <c r="P661" s="11" t="s">
        <v>51</v>
      </c>
      <c r="Q661" s="11" t="s">
        <v>51</v>
      </c>
      <c r="R661" s="11" t="s">
        <v>51</v>
      </c>
      <c r="S661" s="11" t="s">
        <v>51</v>
      </c>
      <c r="T661" s="11" t="s">
        <v>51</v>
      </c>
      <c r="U661" s="11" t="s">
        <v>51</v>
      </c>
      <c r="V661" s="11" t="s">
        <v>51</v>
      </c>
      <c r="W661" s="11" t="s">
        <v>51</v>
      </c>
      <c r="X661" s="11" t="s">
        <v>51</v>
      </c>
      <c r="Y661" s="11" t="s">
        <v>51</v>
      </c>
      <c r="Z661" s="11" t="s">
        <v>51</v>
      </c>
      <c r="AA661" s="11" t="s">
        <v>51</v>
      </c>
      <c r="AB661" s="11" t="s">
        <v>51</v>
      </c>
      <c r="AC661" s="11" t="s">
        <v>51</v>
      </c>
      <c r="AD661" s="11" t="s">
        <v>51</v>
      </c>
      <c r="AE661" s="11" t="s">
        <v>51</v>
      </c>
      <c r="AF661" s="11" t="s">
        <v>51</v>
      </c>
      <c r="AG661" s="11" t="s">
        <v>51</v>
      </c>
      <c r="AH661" s="11" t="s">
        <v>51</v>
      </c>
    </row>
    <row r="662" spans="1:34" s="33" customFormat="1" x14ac:dyDescent="0.2">
      <c r="A662" s="11">
        <v>790</v>
      </c>
      <c r="B662" s="11"/>
      <c r="C662" s="11"/>
      <c r="D662" s="11"/>
      <c r="E662" s="11"/>
      <c r="F662" s="11" t="s">
        <v>72</v>
      </c>
      <c r="G662" s="11" t="s">
        <v>73</v>
      </c>
      <c r="H662" s="56" t="str">
        <f>VLOOKUP(Table6[[#This Row],[ICD Code]],ICD_summary!$I$3:$M$38,5,0)</f>
        <v>Tremor, other</v>
      </c>
      <c r="I662" s="12">
        <v>80.400000000000006</v>
      </c>
      <c r="J6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2" s="11" t="s">
        <v>52</v>
      </c>
      <c r="L662" s="11"/>
      <c r="M662" s="11"/>
      <c r="N662" s="11">
        <v>70.802000000000007</v>
      </c>
      <c r="O662" s="11">
        <v>71.137</v>
      </c>
      <c r="P662" s="11">
        <v>142.75299999999999</v>
      </c>
      <c r="Q662" s="11">
        <v>142.07</v>
      </c>
      <c r="R662" s="11">
        <v>129.749</v>
      </c>
      <c r="S662" s="11">
        <v>129.34299999999999</v>
      </c>
      <c r="T662" s="11">
        <v>108.62</v>
      </c>
      <c r="U662" s="11">
        <v>109.313</v>
      </c>
      <c r="V662" s="11">
        <v>61.142000000000003</v>
      </c>
      <c r="W662" s="11">
        <v>60.112000000000002</v>
      </c>
      <c r="X662" s="11">
        <v>38.857999999999997</v>
      </c>
      <c r="Y662" s="11">
        <v>39.887999999999998</v>
      </c>
      <c r="Z662" s="11">
        <v>11.614000000000001</v>
      </c>
      <c r="AA662" s="11">
        <v>9.8670000000000009</v>
      </c>
      <c r="AB662" s="11">
        <v>39.887999999999998</v>
      </c>
      <c r="AC662" s="11">
        <v>38.857999999999997</v>
      </c>
      <c r="AD662" s="11">
        <v>10.125999999999999</v>
      </c>
      <c r="AE662" s="11">
        <v>9</v>
      </c>
      <c r="AF662" s="11">
        <v>9</v>
      </c>
      <c r="AG662" s="11">
        <v>9</v>
      </c>
      <c r="AH662" s="11">
        <v>9</v>
      </c>
    </row>
    <row r="663" spans="1:34" s="33" customFormat="1" x14ac:dyDescent="0.2">
      <c r="A663" s="11">
        <v>791</v>
      </c>
      <c r="B663" s="11"/>
      <c r="C663" s="11"/>
      <c r="D663" s="11"/>
      <c r="E663" s="11"/>
      <c r="F663" s="11" t="s">
        <v>102</v>
      </c>
      <c r="G663" s="11" t="s">
        <v>103</v>
      </c>
      <c r="H663" s="56" t="str">
        <f>VLOOKUP(Table6[[#This Row],[ICD Code]],ICD_summary!$I$3:$M$38,5,0)</f>
        <v>Gait, other abnormalities</v>
      </c>
      <c r="I663" s="12">
        <v>74.8</v>
      </c>
      <c r="J6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3" s="11" t="s">
        <v>55</v>
      </c>
      <c r="L663" s="11"/>
      <c r="M663" s="11"/>
      <c r="N663" s="11">
        <v>25.768999999999998</v>
      </c>
      <c r="O663" s="11">
        <v>11.493</v>
      </c>
      <c r="P663" s="11">
        <v>36.823</v>
      </c>
      <c r="Q663" s="11">
        <v>37.261000000000003</v>
      </c>
      <c r="R663" s="11">
        <v>27.704000000000001</v>
      </c>
      <c r="S663" s="11">
        <v>28.172000000000001</v>
      </c>
      <c r="T663" s="11">
        <v>90.24</v>
      </c>
      <c r="U663" s="11">
        <v>91.692999999999998</v>
      </c>
      <c r="V663" s="11">
        <v>71.766000000000005</v>
      </c>
      <c r="W663" s="11">
        <v>81.400000000000006</v>
      </c>
      <c r="X663" s="11">
        <v>28.233000000000001</v>
      </c>
      <c r="Y663" s="11">
        <v>18.600000000000001</v>
      </c>
      <c r="Z663" s="11">
        <v>24.58</v>
      </c>
      <c r="AA663" s="11">
        <v>27.972000000000001</v>
      </c>
      <c r="AB663" s="11">
        <v>18.600000000000001</v>
      </c>
      <c r="AC663" s="11">
        <v>28.233000000000001</v>
      </c>
      <c r="AD663" s="11">
        <v>18.114999999999998</v>
      </c>
      <c r="AE663" s="11">
        <v>14</v>
      </c>
      <c r="AF663" s="11">
        <v>16</v>
      </c>
      <c r="AG663" s="11">
        <v>14</v>
      </c>
      <c r="AH663" s="11">
        <v>14</v>
      </c>
    </row>
    <row r="664" spans="1:34" s="33" customFormat="1" x14ac:dyDescent="0.2">
      <c r="A664" s="11">
        <v>792</v>
      </c>
      <c r="B664" s="11"/>
      <c r="C664" s="11"/>
      <c r="D664" s="11"/>
      <c r="E664" s="11"/>
      <c r="F664" s="11" t="s">
        <v>68</v>
      </c>
      <c r="G664" s="11" t="s">
        <v>69</v>
      </c>
      <c r="H664" s="56" t="str">
        <f>VLOOKUP(Table6[[#This Row],[ICD Code]],ICD_summary!$I$3:$M$38,5,0)</f>
        <v>Tremor, essential tremor</v>
      </c>
      <c r="I664" s="12">
        <v>82.5</v>
      </c>
      <c r="J6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4" s="11" t="s">
        <v>52</v>
      </c>
      <c r="L664" s="11"/>
      <c r="M664" s="11"/>
      <c r="N664" s="11">
        <v>46.963000000000001</v>
      </c>
      <c r="O664" s="11">
        <v>44.225999999999999</v>
      </c>
      <c r="P664" s="11">
        <v>91.147000000000006</v>
      </c>
      <c r="Q664" s="11">
        <v>90.665999999999997</v>
      </c>
      <c r="R664" s="11">
        <v>70.768000000000001</v>
      </c>
      <c r="S664" s="11">
        <v>70.590999999999994</v>
      </c>
      <c r="T664" s="11">
        <v>94.046000000000006</v>
      </c>
      <c r="U664" s="11">
        <v>93.067999999999998</v>
      </c>
      <c r="V664" s="11">
        <v>68.213999999999999</v>
      </c>
      <c r="W664" s="11">
        <v>67.995999999999995</v>
      </c>
      <c r="X664" s="11">
        <v>31.786000000000001</v>
      </c>
      <c r="Y664" s="11">
        <v>32.003999999999998</v>
      </c>
      <c r="Z664" s="11">
        <v>17.706</v>
      </c>
      <c r="AA664" s="11">
        <v>17.373999999999999</v>
      </c>
      <c r="AB664" s="11">
        <v>32.003999999999998</v>
      </c>
      <c r="AC664" s="11">
        <v>31.786000000000001</v>
      </c>
      <c r="AD664" s="11">
        <v>13.413</v>
      </c>
      <c r="AE664" s="11">
        <v>13</v>
      </c>
      <c r="AF664" s="11">
        <v>11</v>
      </c>
      <c r="AG664" s="11">
        <v>11</v>
      </c>
      <c r="AH664" s="11">
        <v>11</v>
      </c>
    </row>
    <row r="665" spans="1:34" s="33" customFormat="1" x14ac:dyDescent="0.2">
      <c r="A665" s="11">
        <v>793</v>
      </c>
      <c r="B665" s="11"/>
      <c r="C665" s="11"/>
      <c r="D665" s="11"/>
      <c r="E665" s="11"/>
      <c r="F665" s="11" t="s">
        <v>72</v>
      </c>
      <c r="G665" s="11" t="s">
        <v>73</v>
      </c>
      <c r="H665" s="56" t="str">
        <f>VLOOKUP(Table6[[#This Row],[ICD Code]],ICD_summary!$I$3:$M$38,5,0)</f>
        <v>Tremor, other</v>
      </c>
      <c r="I665" s="12">
        <v>88</v>
      </c>
      <c r="J6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5" s="11" t="s">
        <v>55</v>
      </c>
      <c r="L665" s="11"/>
      <c r="M665" s="11"/>
      <c r="N665" s="11">
        <v>37.625</v>
      </c>
      <c r="O665" s="11">
        <v>26.497</v>
      </c>
      <c r="P665" s="11">
        <v>64.387</v>
      </c>
      <c r="Q665" s="11">
        <v>63.997999999999998</v>
      </c>
      <c r="R665" s="11">
        <v>47.152999999999999</v>
      </c>
      <c r="S665" s="11">
        <v>46.572000000000003</v>
      </c>
      <c r="T665" s="11">
        <v>88.287999999999997</v>
      </c>
      <c r="U665" s="11">
        <v>87.38</v>
      </c>
      <c r="V665" s="11">
        <v>72.849999999999994</v>
      </c>
      <c r="W665" s="11">
        <v>70.953000000000003</v>
      </c>
      <c r="X665" s="11">
        <v>27.15</v>
      </c>
      <c r="Y665" s="11">
        <v>29.047000000000001</v>
      </c>
      <c r="Z665" s="11">
        <v>22.484999999999999</v>
      </c>
      <c r="AA665" s="11">
        <v>21.446000000000002</v>
      </c>
      <c r="AB665" s="11">
        <v>29.047000000000001</v>
      </c>
      <c r="AC665" s="11">
        <v>27.15</v>
      </c>
      <c r="AD665" s="11">
        <v>14.436999999999999</v>
      </c>
      <c r="AE665" s="11">
        <v>13</v>
      </c>
      <c r="AF665" s="11">
        <v>14</v>
      </c>
      <c r="AG665" s="11">
        <v>13</v>
      </c>
      <c r="AH665" s="11">
        <v>13</v>
      </c>
    </row>
    <row r="666" spans="1:34" s="33" customFormat="1" x14ac:dyDescent="0.2">
      <c r="A666" s="11">
        <v>794</v>
      </c>
      <c r="B666" s="11"/>
      <c r="C666" s="11"/>
      <c r="D666" s="11"/>
      <c r="E666" s="11"/>
      <c r="F666" s="11" t="s">
        <v>62</v>
      </c>
      <c r="G666" s="11" t="s">
        <v>63</v>
      </c>
      <c r="H666" s="56" t="str">
        <f>VLOOKUP(Table6[[#This Row],[ICD Code]],ICD_summary!$I$3:$M$38,5,0)</f>
        <v>PD</v>
      </c>
      <c r="I666" s="12">
        <v>84.8</v>
      </c>
      <c r="J6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6" s="11" t="s">
        <v>55</v>
      </c>
      <c r="L666" s="11"/>
      <c r="M666" s="11"/>
      <c r="N666" s="11">
        <v>43.451999999999998</v>
      </c>
      <c r="O666" s="11">
        <v>42.255000000000003</v>
      </c>
      <c r="P666" s="11">
        <v>87.369</v>
      </c>
      <c r="Q666" s="11">
        <v>85.245999999999995</v>
      </c>
      <c r="R666" s="11">
        <v>77.724999999999994</v>
      </c>
      <c r="S666" s="11">
        <v>75.801000000000002</v>
      </c>
      <c r="T666" s="11">
        <v>104.95099999999999</v>
      </c>
      <c r="U666" s="11">
        <v>104.504</v>
      </c>
      <c r="V666" s="11">
        <v>63.68</v>
      </c>
      <c r="W666" s="11">
        <v>64.328000000000003</v>
      </c>
      <c r="X666" s="11">
        <v>36.32</v>
      </c>
      <c r="Y666" s="11">
        <v>35.671999999999997</v>
      </c>
      <c r="Z666" s="11">
        <v>13.662000000000001</v>
      </c>
      <c r="AA666" s="11">
        <v>13.627000000000001</v>
      </c>
      <c r="AB666" s="11">
        <v>35.671999999999997</v>
      </c>
      <c r="AC666" s="11">
        <v>36.32</v>
      </c>
      <c r="AD666" s="11">
        <v>9.9320000000000004</v>
      </c>
      <c r="AE666" s="11">
        <v>13</v>
      </c>
      <c r="AF666" s="11">
        <v>12</v>
      </c>
      <c r="AG666" s="11">
        <v>12</v>
      </c>
      <c r="AH666" s="11">
        <v>12</v>
      </c>
    </row>
    <row r="667" spans="1:34" s="33" customFormat="1" x14ac:dyDescent="0.2">
      <c r="A667" s="11">
        <v>795</v>
      </c>
      <c r="B667" s="11"/>
      <c r="C667" s="11"/>
      <c r="D667" s="11"/>
      <c r="E667" s="11"/>
      <c r="F667" s="11" t="s">
        <v>102</v>
      </c>
      <c r="G667" s="11" t="s">
        <v>103</v>
      </c>
      <c r="H667" s="56" t="str">
        <f>VLOOKUP(Table6[[#This Row],[ICD Code]],ICD_summary!$I$3:$M$38,5,0)</f>
        <v>Gait, other abnormalities</v>
      </c>
      <c r="I667" s="12">
        <v>87.1</v>
      </c>
      <c r="J6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7" s="11" t="s">
        <v>55</v>
      </c>
      <c r="L667" s="11"/>
      <c r="M667" s="11"/>
      <c r="N667" s="11">
        <v>31.228999999999999</v>
      </c>
      <c r="O667" s="11">
        <v>32.695999999999998</v>
      </c>
      <c r="P667" s="11">
        <v>64.552000000000007</v>
      </c>
      <c r="Q667" s="11">
        <v>64.033000000000001</v>
      </c>
      <c r="R667" s="11">
        <v>55.168999999999997</v>
      </c>
      <c r="S667" s="11">
        <v>55.51</v>
      </c>
      <c r="T667" s="11">
        <v>102.979</v>
      </c>
      <c r="U667" s="11">
        <v>103.792</v>
      </c>
      <c r="V667" s="11">
        <v>66.16</v>
      </c>
      <c r="W667" s="11">
        <v>65.843999999999994</v>
      </c>
      <c r="X667" s="11">
        <v>33.840000000000003</v>
      </c>
      <c r="Y667" s="11">
        <v>34.155999999999999</v>
      </c>
      <c r="Z667" s="11">
        <v>13.968999999999999</v>
      </c>
      <c r="AA667" s="11">
        <v>17.698</v>
      </c>
      <c r="AB667" s="11">
        <v>34.155999999999999</v>
      </c>
      <c r="AC667" s="11">
        <v>33.840000000000003</v>
      </c>
      <c r="AD667" s="11">
        <v>11.457000000000001</v>
      </c>
      <c r="AE667" s="11">
        <v>14</v>
      </c>
      <c r="AF667" s="11">
        <v>13</v>
      </c>
      <c r="AG667" s="11">
        <v>13</v>
      </c>
      <c r="AH667" s="11">
        <v>13</v>
      </c>
    </row>
    <row r="668" spans="1:34" s="33" customFormat="1" x14ac:dyDescent="0.2">
      <c r="A668" s="11">
        <v>796</v>
      </c>
      <c r="B668" s="11"/>
      <c r="C668" s="11"/>
      <c r="D668" s="11"/>
      <c r="E668" s="11"/>
      <c r="F668" s="11" t="s">
        <v>72</v>
      </c>
      <c r="G668" s="11" t="s">
        <v>73</v>
      </c>
      <c r="H668" s="56" t="str">
        <f>VLOOKUP(Table6[[#This Row],[ICD Code]],ICD_summary!$I$3:$M$38,5,0)</f>
        <v>Tremor, other</v>
      </c>
      <c r="I668" s="12">
        <v>33.799999999999997</v>
      </c>
      <c r="J6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68" s="11" t="s">
        <v>55</v>
      </c>
      <c r="L668" s="11"/>
      <c r="M668" s="11"/>
      <c r="N668" s="11">
        <v>55.296999999999997</v>
      </c>
      <c r="O668" s="11">
        <v>55.63</v>
      </c>
      <c r="P668" s="11">
        <v>110.952</v>
      </c>
      <c r="Q668" s="11">
        <v>110.922</v>
      </c>
      <c r="R668" s="11">
        <v>106.88200000000001</v>
      </c>
      <c r="S668" s="11">
        <v>107.057</v>
      </c>
      <c r="T668" s="11">
        <v>115.869</v>
      </c>
      <c r="U668" s="11">
        <v>115.776</v>
      </c>
      <c r="V668" s="11">
        <v>63.173000000000002</v>
      </c>
      <c r="W668" s="11">
        <v>61.652000000000001</v>
      </c>
      <c r="X668" s="11">
        <v>36.826999999999998</v>
      </c>
      <c r="Y668" s="11">
        <v>38.347999999999999</v>
      </c>
      <c r="Z668" s="11">
        <v>13.164</v>
      </c>
      <c r="AA668" s="11">
        <v>11.909000000000001</v>
      </c>
      <c r="AB668" s="11">
        <v>38.347999999999999</v>
      </c>
      <c r="AC668" s="11">
        <v>36.826999999999998</v>
      </c>
      <c r="AD668" s="11">
        <v>11.02</v>
      </c>
      <c r="AE668" s="11">
        <v>11</v>
      </c>
      <c r="AF668" s="11">
        <v>11</v>
      </c>
      <c r="AG668" s="11">
        <v>11</v>
      </c>
      <c r="AH668" s="11">
        <v>11</v>
      </c>
    </row>
    <row r="669" spans="1:34" s="33" customFormat="1" x14ac:dyDescent="0.2">
      <c r="A669" s="11">
        <v>797</v>
      </c>
      <c r="B669" s="11"/>
      <c r="C669" s="11"/>
      <c r="D669" s="11"/>
      <c r="E669" s="11"/>
      <c r="F669" s="11" t="s">
        <v>62</v>
      </c>
      <c r="G669" s="11" t="s">
        <v>63</v>
      </c>
      <c r="H669" s="56" t="str">
        <f>VLOOKUP(Table6[[#This Row],[ICD Code]],ICD_summary!$I$3:$M$38,5,0)</f>
        <v>PD</v>
      </c>
      <c r="I669" s="12">
        <v>72</v>
      </c>
      <c r="J6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9" s="11" t="s">
        <v>55</v>
      </c>
      <c r="L669" s="11"/>
      <c r="M669" s="11"/>
      <c r="N669" s="11">
        <v>34.673000000000002</v>
      </c>
      <c r="O669" s="11">
        <v>37.506999999999998</v>
      </c>
      <c r="P669" s="11">
        <v>72.587000000000003</v>
      </c>
      <c r="Q669" s="11">
        <v>72.337000000000003</v>
      </c>
      <c r="R669" s="11">
        <v>59.787999999999997</v>
      </c>
      <c r="S669" s="11">
        <v>59.122</v>
      </c>
      <c r="T669" s="11">
        <v>98.6</v>
      </c>
      <c r="U669" s="11">
        <v>98.59</v>
      </c>
      <c r="V669" s="11">
        <v>63.645000000000003</v>
      </c>
      <c r="W669" s="11">
        <v>66.509</v>
      </c>
      <c r="X669" s="11">
        <v>36.354999999999997</v>
      </c>
      <c r="Y669" s="11">
        <v>33.491</v>
      </c>
      <c r="Z669" s="11">
        <v>14.606999999999999</v>
      </c>
      <c r="AA669" s="11">
        <v>16.562999999999999</v>
      </c>
      <c r="AB669" s="11">
        <v>33.491</v>
      </c>
      <c r="AC669" s="11">
        <v>36.354999999999997</v>
      </c>
      <c r="AD669" s="11">
        <v>9.3350000000000009</v>
      </c>
      <c r="AE669" s="11">
        <v>11</v>
      </c>
      <c r="AF669" s="11">
        <v>14</v>
      </c>
      <c r="AG669" s="11">
        <v>11</v>
      </c>
      <c r="AH669" s="11">
        <v>11</v>
      </c>
    </row>
    <row r="670" spans="1:34" s="33" customFormat="1" x14ac:dyDescent="0.2">
      <c r="A670" s="11">
        <v>798</v>
      </c>
      <c r="B670" s="11"/>
      <c r="C670" s="11"/>
      <c r="D670" s="11"/>
      <c r="E670" s="11"/>
      <c r="F670" s="11" t="s">
        <v>62</v>
      </c>
      <c r="G670" s="11" t="s">
        <v>63</v>
      </c>
      <c r="H670" s="56" t="str">
        <f>VLOOKUP(Table6[[#This Row],[ICD Code]],ICD_summary!$I$3:$M$38,5,0)</f>
        <v>PD</v>
      </c>
      <c r="I670" s="12">
        <v>75.2</v>
      </c>
      <c r="J6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0" s="11" t="s">
        <v>52</v>
      </c>
      <c r="L670" s="11"/>
      <c r="M670" s="11"/>
      <c r="N670" s="11">
        <v>56.841000000000001</v>
      </c>
      <c r="O670" s="11">
        <v>55.996000000000002</v>
      </c>
      <c r="P670" s="11">
        <v>115.101</v>
      </c>
      <c r="Q670" s="11">
        <v>111.848</v>
      </c>
      <c r="R670" s="11">
        <v>121.13500000000001</v>
      </c>
      <c r="S670" s="11">
        <v>120.59699999999999</v>
      </c>
      <c r="T670" s="11">
        <v>125.81399999999999</v>
      </c>
      <c r="U670" s="11">
        <v>127.547</v>
      </c>
      <c r="V670" s="11">
        <v>59.472000000000001</v>
      </c>
      <c r="W670" s="11">
        <v>64.143000000000001</v>
      </c>
      <c r="X670" s="11">
        <v>40.527999999999999</v>
      </c>
      <c r="Y670" s="11">
        <v>35.856999999999999</v>
      </c>
      <c r="Z670" s="11">
        <v>12.567</v>
      </c>
      <c r="AA670" s="11">
        <v>11.109</v>
      </c>
      <c r="AB670" s="11">
        <v>35.856999999999999</v>
      </c>
      <c r="AC670" s="11">
        <v>40.527999999999999</v>
      </c>
      <c r="AD670" s="11">
        <v>7.23</v>
      </c>
      <c r="AE670" s="11">
        <v>10</v>
      </c>
      <c r="AF670" s="11">
        <v>11</v>
      </c>
      <c r="AG670" s="11">
        <v>10</v>
      </c>
      <c r="AH670" s="11">
        <v>10</v>
      </c>
    </row>
    <row r="671" spans="1:34" s="33" customFormat="1" x14ac:dyDescent="0.2">
      <c r="A671" s="11">
        <v>799</v>
      </c>
      <c r="B671" s="11"/>
      <c r="C671" s="11"/>
      <c r="D671" s="11"/>
      <c r="E671" s="11"/>
      <c r="F671" s="11" t="s">
        <v>72</v>
      </c>
      <c r="G671" s="11" t="s">
        <v>73</v>
      </c>
      <c r="H671" s="56" t="str">
        <f>VLOOKUP(Table6[[#This Row],[ICD Code]],ICD_summary!$I$3:$M$38,5,0)</f>
        <v>Tremor, other</v>
      </c>
      <c r="I671" s="12">
        <v>68.400000000000006</v>
      </c>
      <c r="J6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1" s="11" t="s">
        <v>55</v>
      </c>
      <c r="L671" s="11"/>
      <c r="M671" s="11"/>
      <c r="N671" s="11">
        <v>34.905000000000001</v>
      </c>
      <c r="O671" s="11">
        <v>28.677</v>
      </c>
      <c r="P671" s="11">
        <v>63.024999999999999</v>
      </c>
      <c r="Q671" s="11">
        <v>63.933999999999997</v>
      </c>
      <c r="R671" s="11">
        <v>34.865000000000002</v>
      </c>
      <c r="S671" s="11">
        <v>35.399000000000001</v>
      </c>
      <c r="T671" s="11">
        <v>67.069000000000003</v>
      </c>
      <c r="U671" s="11">
        <v>66.882000000000005</v>
      </c>
      <c r="V671" s="11">
        <v>69.5</v>
      </c>
      <c r="W671" s="11">
        <v>75.165999999999997</v>
      </c>
      <c r="X671" s="11">
        <v>30.5</v>
      </c>
      <c r="Y671" s="11">
        <v>24.834</v>
      </c>
      <c r="Z671" s="11">
        <v>22.952000000000002</v>
      </c>
      <c r="AA671" s="11">
        <v>21.972999999999999</v>
      </c>
      <c r="AB671" s="11">
        <v>24.834</v>
      </c>
      <c r="AC671" s="11">
        <v>30.5</v>
      </c>
      <c r="AD671" s="11">
        <v>13.898</v>
      </c>
      <c r="AE671" s="11">
        <v>11</v>
      </c>
      <c r="AF671" s="11">
        <v>9</v>
      </c>
      <c r="AG671" s="11">
        <v>9</v>
      </c>
      <c r="AH671" s="11">
        <v>9</v>
      </c>
    </row>
    <row r="672" spans="1:34" s="33" customFormat="1" x14ac:dyDescent="0.2">
      <c r="A672" s="11">
        <v>800</v>
      </c>
      <c r="B672" s="11"/>
      <c r="C672" s="11"/>
      <c r="D672" s="11"/>
      <c r="E672" s="11"/>
      <c r="F672" s="11" t="s">
        <v>68</v>
      </c>
      <c r="G672" s="11" t="s">
        <v>69</v>
      </c>
      <c r="H672" s="56" t="str">
        <f>VLOOKUP(Table6[[#This Row],[ICD Code]],ICD_summary!$I$3:$M$38,5,0)</f>
        <v>Tremor, essential tremor</v>
      </c>
      <c r="I672" s="12">
        <v>76.900000000000006</v>
      </c>
      <c r="J6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2" s="11" t="s">
        <v>55</v>
      </c>
      <c r="L672" s="11"/>
      <c r="M672" s="11"/>
      <c r="N672" s="11">
        <v>55.743000000000002</v>
      </c>
      <c r="O672" s="11">
        <v>55.542999999999999</v>
      </c>
      <c r="P672" s="11">
        <v>111.03100000000001</v>
      </c>
      <c r="Q672" s="11">
        <v>111.681</v>
      </c>
      <c r="R672" s="11">
        <v>134.33699999999999</v>
      </c>
      <c r="S672" s="11">
        <v>134.73099999999999</v>
      </c>
      <c r="T672" s="11">
        <v>145.27500000000001</v>
      </c>
      <c r="U672" s="11">
        <v>144.505</v>
      </c>
      <c r="V672" s="11">
        <v>59.473999999999997</v>
      </c>
      <c r="W672" s="11">
        <v>58.795000000000002</v>
      </c>
      <c r="X672" s="11">
        <v>40.526000000000003</v>
      </c>
      <c r="Y672" s="11">
        <v>41.204999999999998</v>
      </c>
      <c r="Z672" s="11">
        <v>8.9269999999999996</v>
      </c>
      <c r="AA672" s="11">
        <v>10.304</v>
      </c>
      <c r="AB672" s="11">
        <v>41.204999999999998</v>
      </c>
      <c r="AC672" s="11">
        <v>40.526000000000003</v>
      </c>
      <c r="AD672" s="11">
        <v>9.91</v>
      </c>
      <c r="AE672" s="11">
        <v>14</v>
      </c>
      <c r="AF672" s="11">
        <v>11</v>
      </c>
      <c r="AG672" s="11">
        <v>11</v>
      </c>
      <c r="AH672" s="11">
        <v>11</v>
      </c>
    </row>
    <row r="673" spans="1:34" s="33" customFormat="1" x14ac:dyDescent="0.2">
      <c r="A673" s="11">
        <v>801</v>
      </c>
      <c r="B673" s="11"/>
      <c r="C673" s="11"/>
      <c r="D673" s="11"/>
      <c r="E673" s="11"/>
      <c r="F673" s="11" t="s">
        <v>62</v>
      </c>
      <c r="G673" s="11" t="s">
        <v>63</v>
      </c>
      <c r="H673" s="56" t="str">
        <f>VLOOKUP(Table6[[#This Row],[ICD Code]],ICD_summary!$I$3:$M$38,5,0)</f>
        <v>PD</v>
      </c>
      <c r="I673" s="12">
        <v>77.900000000000006</v>
      </c>
      <c r="J6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3" s="11" t="s">
        <v>55</v>
      </c>
      <c r="L673" s="11"/>
      <c r="M673" s="11"/>
      <c r="N673" s="11">
        <v>30.274999999999999</v>
      </c>
      <c r="O673" s="11">
        <v>28.05</v>
      </c>
      <c r="P673" s="11">
        <v>58.353999999999999</v>
      </c>
      <c r="Q673" s="11">
        <v>57.993000000000002</v>
      </c>
      <c r="R673" s="11">
        <v>55.351999999999997</v>
      </c>
      <c r="S673" s="11">
        <v>55.366</v>
      </c>
      <c r="T673" s="11">
        <v>113.63500000000001</v>
      </c>
      <c r="U673" s="11">
        <v>114.565</v>
      </c>
      <c r="V673" s="11">
        <v>64.004999999999995</v>
      </c>
      <c r="W673" s="11">
        <v>68.316000000000003</v>
      </c>
      <c r="X673" s="11">
        <v>35.994</v>
      </c>
      <c r="Y673" s="11">
        <v>31.684000000000001</v>
      </c>
      <c r="Z673" s="11">
        <v>18.529</v>
      </c>
      <c r="AA673" s="11">
        <v>13.930999999999999</v>
      </c>
      <c r="AB673" s="11">
        <v>31.684000000000001</v>
      </c>
      <c r="AC673" s="11">
        <v>35.994</v>
      </c>
      <c r="AD673" s="11">
        <v>8.702</v>
      </c>
      <c r="AE673" s="11">
        <v>17</v>
      </c>
      <c r="AF673" s="11">
        <v>17</v>
      </c>
      <c r="AG673" s="11">
        <v>17</v>
      </c>
      <c r="AH673" s="11">
        <v>17</v>
      </c>
    </row>
    <row r="674" spans="1:34" s="33" customFormat="1" x14ac:dyDescent="0.2">
      <c r="A674" s="11">
        <v>802</v>
      </c>
      <c r="B674" s="11"/>
      <c r="C674" s="11"/>
      <c r="D674" s="11"/>
      <c r="E674" s="11"/>
      <c r="F674" s="11" t="s">
        <v>51</v>
      </c>
      <c r="G674" s="11" t="s">
        <v>51</v>
      </c>
      <c r="H674" s="56" t="str">
        <f>VLOOKUP(Table6[[#This Row],[ICD Code]],ICD_summary!$I$3:$M$38,5,0)</f>
        <v>Misc/Other</v>
      </c>
      <c r="I674" s="12">
        <v>999</v>
      </c>
      <c r="J6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74" s="11" t="s">
        <v>51</v>
      </c>
      <c r="L674" s="11"/>
      <c r="M674" s="11"/>
      <c r="N674" s="11">
        <v>34.673000000000002</v>
      </c>
      <c r="O674" s="11">
        <v>37.506999999999998</v>
      </c>
      <c r="P674" s="11">
        <v>72.587000000000003</v>
      </c>
      <c r="Q674" s="11">
        <v>72.337000000000003</v>
      </c>
      <c r="R674" s="11">
        <v>59.787999999999997</v>
      </c>
      <c r="S674" s="11">
        <v>59.122</v>
      </c>
      <c r="T674" s="11">
        <v>98.6</v>
      </c>
      <c r="U674" s="11">
        <v>98.59</v>
      </c>
      <c r="V674" s="11">
        <v>63.645000000000003</v>
      </c>
      <c r="W674" s="11">
        <v>66.509</v>
      </c>
      <c r="X674" s="11">
        <v>36.354999999999997</v>
      </c>
      <c r="Y674" s="11">
        <v>33.491</v>
      </c>
      <c r="Z674" s="11">
        <v>14.606999999999999</v>
      </c>
      <c r="AA674" s="11">
        <v>16.562999999999999</v>
      </c>
      <c r="AB674" s="11">
        <v>33.491</v>
      </c>
      <c r="AC674" s="11">
        <v>36.354999999999997</v>
      </c>
      <c r="AD674" s="11">
        <v>9.3350000000000009</v>
      </c>
      <c r="AE674" s="11">
        <v>11</v>
      </c>
      <c r="AF674" s="11">
        <v>14</v>
      </c>
      <c r="AG674" s="11">
        <v>11</v>
      </c>
      <c r="AH674" s="11">
        <v>11</v>
      </c>
    </row>
    <row r="675" spans="1:34" s="33" customFormat="1" x14ac:dyDescent="0.2">
      <c r="A675" s="11">
        <v>803</v>
      </c>
      <c r="B675" s="11"/>
      <c r="C675" s="11"/>
      <c r="D675" s="11"/>
      <c r="E675" s="11"/>
      <c r="F675" s="11" t="s">
        <v>72</v>
      </c>
      <c r="G675" s="11" t="s">
        <v>73</v>
      </c>
      <c r="H675" s="56" t="str">
        <f>VLOOKUP(Table6[[#This Row],[ICD Code]],ICD_summary!$I$3:$M$38,5,0)</f>
        <v>Tremor, other</v>
      </c>
      <c r="I675" s="12">
        <v>69.900000000000006</v>
      </c>
      <c r="J6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5" s="11" t="s">
        <v>55</v>
      </c>
      <c r="L675" s="11"/>
      <c r="M675" s="11"/>
      <c r="N675" s="11">
        <v>34.673000000000002</v>
      </c>
      <c r="O675" s="11">
        <v>37.506999999999998</v>
      </c>
      <c r="P675" s="11">
        <v>72.587000000000003</v>
      </c>
      <c r="Q675" s="11">
        <v>72.337000000000003</v>
      </c>
      <c r="R675" s="11">
        <v>59.787999999999997</v>
      </c>
      <c r="S675" s="11">
        <v>59.122</v>
      </c>
      <c r="T675" s="11">
        <v>98.6</v>
      </c>
      <c r="U675" s="11">
        <v>98.59</v>
      </c>
      <c r="V675" s="11">
        <v>63.645000000000003</v>
      </c>
      <c r="W675" s="11">
        <v>66.509</v>
      </c>
      <c r="X675" s="11">
        <v>36.354999999999997</v>
      </c>
      <c r="Y675" s="11">
        <v>33.491</v>
      </c>
      <c r="Z675" s="11">
        <v>14.606999999999999</v>
      </c>
      <c r="AA675" s="11">
        <v>16.562999999999999</v>
      </c>
      <c r="AB675" s="11">
        <v>33.491</v>
      </c>
      <c r="AC675" s="11">
        <v>36.354999999999997</v>
      </c>
      <c r="AD675" s="11">
        <v>9.3350000000000009</v>
      </c>
      <c r="AE675" s="11">
        <v>11</v>
      </c>
      <c r="AF675" s="11">
        <v>14</v>
      </c>
      <c r="AG675" s="11">
        <v>11</v>
      </c>
      <c r="AH675" s="11">
        <v>11</v>
      </c>
    </row>
    <row r="676" spans="1:34" s="33" customFormat="1" x14ac:dyDescent="0.2">
      <c r="A676" s="11">
        <v>804</v>
      </c>
      <c r="B676" s="11"/>
      <c r="C676" s="11"/>
      <c r="D676" s="11"/>
      <c r="E676" s="11"/>
      <c r="F676" s="11" t="s">
        <v>62</v>
      </c>
      <c r="G676" s="11" t="s">
        <v>63</v>
      </c>
      <c r="H676" s="56" t="str">
        <f>VLOOKUP(Table6[[#This Row],[ICD Code]],ICD_summary!$I$3:$M$38,5,0)</f>
        <v>PD</v>
      </c>
      <c r="I676" s="12">
        <v>74.900000000000006</v>
      </c>
      <c r="J6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6" s="11" t="s">
        <v>55</v>
      </c>
      <c r="L676" s="11"/>
      <c r="M676" s="11"/>
      <c r="N676" s="11">
        <v>52.32</v>
      </c>
      <c r="O676" s="11">
        <v>49.777000000000001</v>
      </c>
      <c r="P676" s="11">
        <v>101.85</v>
      </c>
      <c r="Q676" s="11">
        <v>102.608</v>
      </c>
      <c r="R676" s="11">
        <v>84.9</v>
      </c>
      <c r="S676" s="11">
        <v>84.486000000000004</v>
      </c>
      <c r="T676" s="11">
        <v>99.912999999999997</v>
      </c>
      <c r="U676" s="11">
        <v>98.894999999999996</v>
      </c>
      <c r="V676" s="11">
        <v>63.655999999999999</v>
      </c>
      <c r="W676" s="11">
        <v>63.945</v>
      </c>
      <c r="X676" s="11">
        <v>36.344999999999999</v>
      </c>
      <c r="Y676" s="11">
        <v>36.055</v>
      </c>
      <c r="Z676" s="11">
        <v>14.462999999999999</v>
      </c>
      <c r="AA676" s="11">
        <v>13.792999999999999</v>
      </c>
      <c r="AB676" s="11">
        <v>36.055</v>
      </c>
      <c r="AC676" s="11">
        <v>36.344999999999999</v>
      </c>
      <c r="AD676" s="11">
        <v>10.238</v>
      </c>
      <c r="AE676" s="11">
        <v>14</v>
      </c>
      <c r="AF676" s="11">
        <v>11</v>
      </c>
      <c r="AG676" s="11">
        <v>11</v>
      </c>
      <c r="AH676" s="11">
        <v>11</v>
      </c>
    </row>
    <row r="677" spans="1:34" s="33" customFormat="1" x14ac:dyDescent="0.2">
      <c r="A677" s="11">
        <v>805</v>
      </c>
      <c r="B677" s="11"/>
      <c r="C677" s="11"/>
      <c r="D677" s="11"/>
      <c r="E677" s="11"/>
      <c r="F677" s="11" t="s">
        <v>64</v>
      </c>
      <c r="G677" s="11" t="s">
        <v>65</v>
      </c>
      <c r="H677" s="56" t="str">
        <f>VLOOKUP(Table6[[#This Row],[ICD Code]],ICD_summary!$I$3:$M$38,5,0)</f>
        <v>Gait, other abnormalities</v>
      </c>
      <c r="I677" s="12">
        <v>83.8</v>
      </c>
      <c r="J6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77" s="11" t="s">
        <v>52</v>
      </c>
      <c r="L677" s="11"/>
      <c r="M677" s="11"/>
      <c r="N677" s="11">
        <v>34.340000000000003</v>
      </c>
      <c r="O677" s="11">
        <v>38.838000000000001</v>
      </c>
      <c r="P677" s="11">
        <v>73.194999999999993</v>
      </c>
      <c r="Q677" s="11">
        <v>72.900999999999996</v>
      </c>
      <c r="R677" s="11">
        <v>58.45</v>
      </c>
      <c r="S677" s="11">
        <v>57.884999999999998</v>
      </c>
      <c r="T677" s="11">
        <v>95.46</v>
      </c>
      <c r="U677" s="11">
        <v>94.947999999999993</v>
      </c>
      <c r="V677" s="11">
        <v>68.471999999999994</v>
      </c>
      <c r="W677" s="11">
        <v>68.325000000000003</v>
      </c>
      <c r="X677" s="11">
        <v>31.527999999999999</v>
      </c>
      <c r="Y677" s="11">
        <v>31.675000000000001</v>
      </c>
      <c r="Z677" s="11">
        <v>17.701000000000001</v>
      </c>
      <c r="AA677" s="11">
        <v>19.259</v>
      </c>
      <c r="AB677" s="11">
        <v>31.675000000000001</v>
      </c>
      <c r="AC677" s="11">
        <v>31.527999999999999</v>
      </c>
      <c r="AD677" s="11">
        <v>17.36</v>
      </c>
      <c r="AE677" s="11">
        <v>14</v>
      </c>
      <c r="AF677" s="11">
        <v>15</v>
      </c>
      <c r="AG677" s="11">
        <v>14</v>
      </c>
      <c r="AH677" s="11">
        <v>14</v>
      </c>
    </row>
    <row r="678" spans="1:34" s="33" customFormat="1" x14ac:dyDescent="0.2">
      <c r="A678" s="11">
        <v>806</v>
      </c>
      <c r="B678" s="11"/>
      <c r="C678" s="11"/>
      <c r="D678" s="11"/>
      <c r="E678" s="11"/>
      <c r="F678" s="11" t="s">
        <v>62</v>
      </c>
      <c r="G678" s="11" t="s">
        <v>63</v>
      </c>
      <c r="H678" s="56" t="str">
        <f>VLOOKUP(Table6[[#This Row],[ICD Code]],ICD_summary!$I$3:$M$38,5,0)</f>
        <v>PD</v>
      </c>
      <c r="I678" s="12">
        <v>66.599999999999994</v>
      </c>
      <c r="J6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8" s="11" t="s">
        <v>52</v>
      </c>
      <c r="L678" s="11"/>
      <c r="M678" s="11"/>
      <c r="N678" s="11">
        <v>52.13</v>
      </c>
      <c r="O678" s="11">
        <v>45.738999999999997</v>
      </c>
      <c r="P678" s="11">
        <v>98.55</v>
      </c>
      <c r="Q678" s="11">
        <v>98.001999999999995</v>
      </c>
      <c r="R678" s="11">
        <v>80.337999999999994</v>
      </c>
      <c r="S678" s="11">
        <v>81.183999999999997</v>
      </c>
      <c r="T678" s="11">
        <v>97.787999999999997</v>
      </c>
      <c r="U678" s="11">
        <v>99.027000000000001</v>
      </c>
      <c r="V678" s="11">
        <v>64.665999999999997</v>
      </c>
      <c r="W678" s="11">
        <v>63.194000000000003</v>
      </c>
      <c r="X678" s="11">
        <v>35.334000000000003</v>
      </c>
      <c r="Y678" s="11">
        <v>36.805999999999997</v>
      </c>
      <c r="Z678" s="11">
        <v>13.612</v>
      </c>
      <c r="AA678" s="11">
        <v>14.413</v>
      </c>
      <c r="AB678" s="11">
        <v>36.805999999999997</v>
      </c>
      <c r="AC678" s="11">
        <v>35.334000000000003</v>
      </c>
      <c r="AD678" s="11">
        <v>12.853999999999999</v>
      </c>
      <c r="AE678" s="11">
        <v>12</v>
      </c>
      <c r="AF678" s="11">
        <v>13</v>
      </c>
      <c r="AG678" s="11">
        <v>12</v>
      </c>
      <c r="AH678" s="11">
        <v>12</v>
      </c>
    </row>
    <row r="679" spans="1:34" s="33" customFormat="1" x14ac:dyDescent="0.2">
      <c r="A679" s="11">
        <v>807</v>
      </c>
      <c r="B679" s="11"/>
      <c r="C679" s="11"/>
      <c r="D679" s="11"/>
      <c r="E679" s="11"/>
      <c r="F679" s="11" t="s">
        <v>86</v>
      </c>
      <c r="G679" s="11" t="s">
        <v>87</v>
      </c>
      <c r="H679" s="56" t="str">
        <f>VLOOKUP(Table6[[#This Row],[ICD Code]],ICD_summary!$I$3:$M$38,5,0)</f>
        <v>Misc/Other</v>
      </c>
      <c r="I679" s="12">
        <v>57.9</v>
      </c>
      <c r="J6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79" s="11" t="s">
        <v>55</v>
      </c>
      <c r="L679" s="11"/>
      <c r="M679" s="11"/>
      <c r="N679" s="11">
        <v>53.268999999999998</v>
      </c>
      <c r="O679" s="11">
        <v>51.664999999999999</v>
      </c>
      <c r="P679" s="11">
        <v>104.764</v>
      </c>
      <c r="Q679" s="11">
        <v>104.408</v>
      </c>
      <c r="R679" s="11">
        <v>104.292</v>
      </c>
      <c r="S679" s="11">
        <v>104.377</v>
      </c>
      <c r="T679" s="11">
        <v>119.41800000000001</v>
      </c>
      <c r="U679" s="11">
        <v>120.017</v>
      </c>
      <c r="V679" s="11">
        <v>62.61</v>
      </c>
      <c r="W679" s="11">
        <v>62.566000000000003</v>
      </c>
      <c r="X679" s="11">
        <v>37.39</v>
      </c>
      <c r="Y679" s="11">
        <v>37.433999999999997</v>
      </c>
      <c r="Z679" s="11">
        <v>13.292999999999999</v>
      </c>
      <c r="AA679" s="11">
        <v>12.092000000000001</v>
      </c>
      <c r="AB679" s="11">
        <v>37.433999999999997</v>
      </c>
      <c r="AC679" s="11">
        <v>37.39</v>
      </c>
      <c r="AD679" s="11">
        <v>10.725</v>
      </c>
      <c r="AE679" s="11">
        <v>17</v>
      </c>
      <c r="AF679" s="11">
        <v>15</v>
      </c>
      <c r="AG679" s="11">
        <v>15</v>
      </c>
      <c r="AH679" s="11">
        <v>15</v>
      </c>
    </row>
    <row r="680" spans="1:34" s="33" customFormat="1" x14ac:dyDescent="0.2">
      <c r="A680" s="11">
        <v>808</v>
      </c>
      <c r="B680" s="11"/>
      <c r="C680" s="11"/>
      <c r="D680" s="11"/>
      <c r="E680" s="11"/>
      <c r="F680" s="11" t="s">
        <v>68</v>
      </c>
      <c r="G680" s="11" t="s">
        <v>69</v>
      </c>
      <c r="H680" s="56" t="str">
        <f>VLOOKUP(Table6[[#This Row],[ICD Code]],ICD_summary!$I$3:$M$38,5,0)</f>
        <v>Tremor, essential tremor</v>
      </c>
      <c r="I680" s="12">
        <v>57.7</v>
      </c>
      <c r="J6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80" s="11" t="s">
        <v>52</v>
      </c>
      <c r="L680" s="11"/>
      <c r="M680" s="11"/>
      <c r="N680" s="11">
        <v>50.317999999999998</v>
      </c>
      <c r="O680" s="11">
        <v>52.067</v>
      </c>
      <c r="P680" s="11">
        <v>102.167</v>
      </c>
      <c r="Q680" s="11">
        <v>102.82</v>
      </c>
      <c r="R680" s="11">
        <v>86.869</v>
      </c>
      <c r="S680" s="11">
        <v>87.448999999999998</v>
      </c>
      <c r="T680" s="11">
        <v>101.97799999999999</v>
      </c>
      <c r="U680" s="11">
        <v>102.015</v>
      </c>
      <c r="V680" s="11">
        <v>64.007000000000005</v>
      </c>
      <c r="W680" s="11">
        <v>62.027999999999999</v>
      </c>
      <c r="X680" s="11">
        <v>35.993000000000002</v>
      </c>
      <c r="Y680" s="11">
        <v>37.972000000000001</v>
      </c>
      <c r="Z680" s="11">
        <v>12.779</v>
      </c>
      <c r="AA680" s="11">
        <v>13.656000000000001</v>
      </c>
      <c r="AB680" s="11">
        <v>37.972000000000001</v>
      </c>
      <c r="AC680" s="11">
        <v>35.993000000000002</v>
      </c>
      <c r="AD680" s="11">
        <v>17.257999999999999</v>
      </c>
      <c r="AE680" s="11">
        <v>13</v>
      </c>
      <c r="AF680" s="11">
        <v>13</v>
      </c>
      <c r="AG680" s="11">
        <v>13</v>
      </c>
      <c r="AH680" s="11">
        <v>13</v>
      </c>
    </row>
    <row r="681" spans="1:34" s="33" customFormat="1" x14ac:dyDescent="0.2">
      <c r="A681" s="11">
        <v>809</v>
      </c>
      <c r="B681" s="11"/>
      <c r="C681" s="11"/>
      <c r="D681" s="11"/>
      <c r="E681" s="11"/>
      <c r="F681" s="11" t="s">
        <v>68</v>
      </c>
      <c r="G681" s="11" t="s">
        <v>69</v>
      </c>
      <c r="H681" s="56" t="str">
        <f>VLOOKUP(Table6[[#This Row],[ICD Code]],ICD_summary!$I$3:$M$38,5,0)</f>
        <v>Tremor, essential tremor</v>
      </c>
      <c r="I681" s="12">
        <v>81.2</v>
      </c>
      <c r="J6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81" s="11" t="s">
        <v>52</v>
      </c>
      <c r="L681" s="11"/>
      <c r="M681" s="11"/>
      <c r="N681" s="11">
        <v>54.31</v>
      </c>
      <c r="O681" s="11">
        <v>54.762999999999998</v>
      </c>
      <c r="P681" s="11">
        <v>109.05</v>
      </c>
      <c r="Q681" s="11">
        <v>109.10599999999999</v>
      </c>
      <c r="R681" s="11">
        <v>98.760999999999996</v>
      </c>
      <c r="S681" s="11">
        <v>99.677000000000007</v>
      </c>
      <c r="T681" s="11">
        <v>108.57599999999999</v>
      </c>
      <c r="U681" s="11">
        <v>109.084</v>
      </c>
      <c r="V681" s="11">
        <v>64.915999999999997</v>
      </c>
      <c r="W681" s="11">
        <v>64.674999999999997</v>
      </c>
      <c r="X681" s="11">
        <v>35.084000000000003</v>
      </c>
      <c r="Y681" s="11">
        <v>35.325000000000003</v>
      </c>
      <c r="Z681" s="11">
        <v>13.938000000000001</v>
      </c>
      <c r="AA681" s="11">
        <v>16.347000000000001</v>
      </c>
      <c r="AB681" s="11">
        <v>35.325000000000003</v>
      </c>
      <c r="AC681" s="11">
        <v>35.084000000000003</v>
      </c>
      <c r="AD681" s="11">
        <v>8.3230000000000004</v>
      </c>
      <c r="AE681" s="11">
        <v>16</v>
      </c>
      <c r="AF681" s="11">
        <v>12</v>
      </c>
      <c r="AG681" s="11">
        <v>12</v>
      </c>
      <c r="AH681" s="11">
        <v>12</v>
      </c>
    </row>
    <row r="682" spans="1:34" s="33" customFormat="1" x14ac:dyDescent="0.2">
      <c r="A682" s="11">
        <v>810</v>
      </c>
      <c r="B682" s="11"/>
      <c r="C682" s="11"/>
      <c r="D682" s="11"/>
      <c r="E682" s="11"/>
      <c r="F682" s="11" t="s">
        <v>108</v>
      </c>
      <c r="G682" s="11" t="s">
        <v>109</v>
      </c>
      <c r="H682" s="56" t="str">
        <f>VLOOKUP(Table6[[#This Row],[ICD Code]],ICD_summary!$I$3:$M$38,5,0)</f>
        <v>Misc/Other</v>
      </c>
      <c r="I682" s="12">
        <v>80.599999999999994</v>
      </c>
      <c r="J6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82" s="11" t="s">
        <v>52</v>
      </c>
      <c r="L682" s="11"/>
      <c r="M682" s="11"/>
      <c r="N682" s="11">
        <v>45.247</v>
      </c>
      <c r="O682" s="11">
        <v>49.155999999999999</v>
      </c>
      <c r="P682" s="11">
        <v>94.555000000000007</v>
      </c>
      <c r="Q682" s="11">
        <v>94.6</v>
      </c>
      <c r="R682" s="11">
        <v>74.878</v>
      </c>
      <c r="S682" s="11">
        <v>74.646000000000001</v>
      </c>
      <c r="T682" s="11">
        <v>95.516000000000005</v>
      </c>
      <c r="U682" s="11">
        <v>94.125</v>
      </c>
      <c r="V682" s="11">
        <v>69.456999999999994</v>
      </c>
      <c r="W682" s="11">
        <v>67.768000000000001</v>
      </c>
      <c r="X682" s="11">
        <v>30.542999999999999</v>
      </c>
      <c r="Y682" s="11">
        <v>32.231999999999999</v>
      </c>
      <c r="Z682" s="11">
        <v>18.312999999999999</v>
      </c>
      <c r="AA682" s="11">
        <v>19.048999999999999</v>
      </c>
      <c r="AB682" s="11">
        <v>32.231999999999999</v>
      </c>
      <c r="AC682" s="11">
        <v>30.542999999999999</v>
      </c>
      <c r="AD682" s="11">
        <v>8.6479999999999997</v>
      </c>
      <c r="AE682" s="11">
        <v>12</v>
      </c>
      <c r="AF682" s="11">
        <v>12</v>
      </c>
      <c r="AG682" s="11">
        <v>12</v>
      </c>
      <c r="AH682" s="11">
        <v>12</v>
      </c>
    </row>
    <row r="683" spans="1:34" s="33" customFormat="1" x14ac:dyDescent="0.2">
      <c r="A683" s="11">
        <v>811</v>
      </c>
      <c r="B683" s="11"/>
      <c r="C683" s="11"/>
      <c r="D683" s="11"/>
      <c r="E683" s="11"/>
      <c r="F683" s="11" t="s">
        <v>62</v>
      </c>
      <c r="G683" s="11" t="s">
        <v>63</v>
      </c>
      <c r="H683" s="56" t="str">
        <f>VLOOKUP(Table6[[#This Row],[ICD Code]],ICD_summary!$I$3:$M$38,5,0)</f>
        <v>PD</v>
      </c>
      <c r="I683" s="12">
        <v>75.599999999999994</v>
      </c>
      <c r="J6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3" s="11" t="s">
        <v>52</v>
      </c>
      <c r="L683" s="11"/>
      <c r="M683" s="11"/>
      <c r="N683" s="11" t="s">
        <v>51</v>
      </c>
      <c r="O683" s="11" t="s">
        <v>51</v>
      </c>
      <c r="P683" s="11" t="s">
        <v>51</v>
      </c>
      <c r="Q683" s="11" t="s">
        <v>51</v>
      </c>
      <c r="R683" s="11" t="s">
        <v>51</v>
      </c>
      <c r="S683" s="11" t="s">
        <v>51</v>
      </c>
      <c r="T683" s="11" t="s">
        <v>51</v>
      </c>
      <c r="U683" s="11" t="s">
        <v>51</v>
      </c>
      <c r="V683" s="11" t="s">
        <v>51</v>
      </c>
      <c r="W683" s="11" t="s">
        <v>51</v>
      </c>
      <c r="X683" s="11" t="s">
        <v>51</v>
      </c>
      <c r="Y683" s="11" t="s">
        <v>51</v>
      </c>
      <c r="Z683" s="11" t="s">
        <v>51</v>
      </c>
      <c r="AA683" s="11" t="s">
        <v>51</v>
      </c>
      <c r="AB683" s="11" t="s">
        <v>51</v>
      </c>
      <c r="AC683" s="11" t="s">
        <v>51</v>
      </c>
      <c r="AD683" s="11" t="s">
        <v>51</v>
      </c>
      <c r="AE683" s="11" t="s">
        <v>51</v>
      </c>
      <c r="AF683" s="11" t="s">
        <v>51</v>
      </c>
      <c r="AG683" s="11" t="s">
        <v>51</v>
      </c>
      <c r="AH683" s="11" t="s">
        <v>51</v>
      </c>
    </row>
    <row r="684" spans="1:34" s="33" customFormat="1" x14ac:dyDescent="0.2">
      <c r="A684" s="11">
        <v>812</v>
      </c>
      <c r="B684" s="11"/>
      <c r="C684" s="11"/>
      <c r="D684" s="11"/>
      <c r="E684" s="11"/>
      <c r="F684" s="11" t="s">
        <v>62</v>
      </c>
      <c r="G684" s="11" t="s">
        <v>63</v>
      </c>
      <c r="H684" s="56" t="str">
        <f>VLOOKUP(Table6[[#This Row],[ICD Code]],ICD_summary!$I$3:$M$38,5,0)</f>
        <v>PD</v>
      </c>
      <c r="I684" s="12">
        <v>74.900000000000006</v>
      </c>
      <c r="J6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4" s="11" t="s">
        <v>52</v>
      </c>
      <c r="L684" s="11"/>
      <c r="M684" s="11"/>
      <c r="N684" s="11">
        <v>41.204000000000001</v>
      </c>
      <c r="O684" s="11">
        <v>47.88</v>
      </c>
      <c r="P684" s="11">
        <v>89.399000000000001</v>
      </c>
      <c r="Q684" s="11">
        <v>89.022999999999996</v>
      </c>
      <c r="R684" s="11">
        <v>53.402000000000001</v>
      </c>
      <c r="S684" s="11">
        <v>53.241999999999997</v>
      </c>
      <c r="T684" s="11">
        <v>71.024000000000001</v>
      </c>
      <c r="U684" s="11">
        <v>70.972999999999999</v>
      </c>
      <c r="V684" s="11">
        <v>70.807000000000002</v>
      </c>
      <c r="W684" s="11">
        <v>71.061999999999998</v>
      </c>
      <c r="X684" s="11">
        <v>29.193000000000001</v>
      </c>
      <c r="Y684" s="11">
        <v>28.937999999999999</v>
      </c>
      <c r="Z684" s="11">
        <v>22.305</v>
      </c>
      <c r="AA684" s="11">
        <v>19.282</v>
      </c>
      <c r="AB684" s="11">
        <v>28.937999999999999</v>
      </c>
      <c r="AC684" s="11">
        <v>29.193000000000001</v>
      </c>
      <c r="AD684" s="11">
        <v>11.98</v>
      </c>
      <c r="AE684" s="11">
        <v>7</v>
      </c>
      <c r="AF684" s="11">
        <v>7</v>
      </c>
      <c r="AG684" s="11">
        <v>7</v>
      </c>
      <c r="AH684" s="11">
        <v>7</v>
      </c>
    </row>
    <row r="685" spans="1:34" s="33" customFormat="1" x14ac:dyDescent="0.2">
      <c r="A685" s="11">
        <v>813</v>
      </c>
      <c r="B685" s="11"/>
      <c r="C685" s="11"/>
      <c r="D685" s="11"/>
      <c r="E685" s="11"/>
      <c r="F685" s="11" t="s">
        <v>62</v>
      </c>
      <c r="G685" s="11" t="s">
        <v>63</v>
      </c>
      <c r="H685" s="56" t="str">
        <f>VLOOKUP(Table6[[#This Row],[ICD Code]],ICD_summary!$I$3:$M$38,5,0)</f>
        <v>PD</v>
      </c>
      <c r="I685" s="12">
        <v>74.400000000000006</v>
      </c>
      <c r="J6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5" s="11" t="s">
        <v>52</v>
      </c>
      <c r="L685" s="11"/>
      <c r="M685" s="11"/>
      <c r="N685" s="11">
        <v>52.875</v>
      </c>
      <c r="O685" s="11">
        <v>52.329000000000001</v>
      </c>
      <c r="P685" s="11">
        <v>105.858</v>
      </c>
      <c r="Q685" s="11">
        <v>105.26600000000001</v>
      </c>
      <c r="R685" s="11">
        <v>96.888999999999996</v>
      </c>
      <c r="S685" s="11">
        <v>96.754000000000005</v>
      </c>
      <c r="T685" s="11">
        <v>109.45399999999999</v>
      </c>
      <c r="U685" s="11">
        <v>109.65900000000001</v>
      </c>
      <c r="V685" s="11">
        <v>64.149000000000001</v>
      </c>
      <c r="W685" s="11">
        <v>64.938000000000002</v>
      </c>
      <c r="X685" s="11">
        <v>35.850999999999999</v>
      </c>
      <c r="Y685" s="11">
        <v>35.061999999999998</v>
      </c>
      <c r="Z685" s="11">
        <v>13.680999999999999</v>
      </c>
      <c r="AA685" s="11">
        <v>15.497999999999999</v>
      </c>
      <c r="AB685" s="11">
        <v>35.061999999999998</v>
      </c>
      <c r="AC685" s="11">
        <v>35.850999999999999</v>
      </c>
      <c r="AD685" s="11">
        <v>16.167999999999999</v>
      </c>
      <c r="AE685" s="11">
        <v>10</v>
      </c>
      <c r="AF685" s="11">
        <v>14</v>
      </c>
      <c r="AG685" s="11">
        <v>10</v>
      </c>
      <c r="AH685" s="11">
        <v>10</v>
      </c>
    </row>
    <row r="686" spans="1:34" s="33" customFormat="1" x14ac:dyDescent="0.2">
      <c r="A686" s="11">
        <v>814</v>
      </c>
      <c r="B686" s="11"/>
      <c r="C686" s="11"/>
      <c r="D686" s="11"/>
      <c r="E686" s="11"/>
      <c r="F686" s="11" t="s">
        <v>110</v>
      </c>
      <c r="G686" s="11" t="s">
        <v>111</v>
      </c>
      <c r="H686" s="56" t="str">
        <f>VLOOKUP(Table6[[#This Row],[ICD Code]],ICD_summary!$I$3:$M$38,5,0)</f>
        <v>Misc/Other</v>
      </c>
      <c r="I686" s="12">
        <v>77.7</v>
      </c>
      <c r="J6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6" s="11" t="s">
        <v>55</v>
      </c>
      <c r="L686" s="11"/>
      <c r="M686" s="11"/>
      <c r="N686" s="11">
        <v>42.723999999999997</v>
      </c>
      <c r="O686" s="11">
        <v>45.793999999999997</v>
      </c>
      <c r="P686" s="11">
        <v>89.355999999999995</v>
      </c>
      <c r="Q686" s="11">
        <v>87.793000000000006</v>
      </c>
      <c r="R686" s="11">
        <v>63.189</v>
      </c>
      <c r="S686" s="11">
        <v>62.515000000000001</v>
      </c>
      <c r="T686" s="11">
        <v>85.611999999999995</v>
      </c>
      <c r="U686" s="11">
        <v>84.793000000000006</v>
      </c>
      <c r="V686" s="11">
        <v>66.134</v>
      </c>
      <c r="W686" s="11">
        <v>68.412999999999997</v>
      </c>
      <c r="X686" s="11">
        <v>33.866</v>
      </c>
      <c r="Y686" s="11">
        <v>31.587</v>
      </c>
      <c r="Z686" s="11">
        <v>18.161999999999999</v>
      </c>
      <c r="AA686" s="11">
        <v>16.882000000000001</v>
      </c>
      <c r="AB686" s="11">
        <v>31.587</v>
      </c>
      <c r="AC686" s="11">
        <v>33.866</v>
      </c>
      <c r="AD686" s="11">
        <v>11.686999999999999</v>
      </c>
      <c r="AE686" s="11">
        <v>11</v>
      </c>
      <c r="AF686" s="11">
        <v>11</v>
      </c>
      <c r="AG686" s="11">
        <v>11</v>
      </c>
      <c r="AH686" s="11">
        <v>11</v>
      </c>
    </row>
    <row r="687" spans="1:34" s="33" customFormat="1" x14ac:dyDescent="0.2">
      <c r="A687" s="11">
        <v>815</v>
      </c>
      <c r="B687" s="11"/>
      <c r="C687" s="11"/>
      <c r="D687" s="11"/>
      <c r="E687" s="11"/>
      <c r="F687" s="11" t="s">
        <v>51</v>
      </c>
      <c r="G687" s="11" t="s">
        <v>51</v>
      </c>
      <c r="H687" s="56" t="str">
        <f>VLOOKUP(Table6[[#This Row],[ICD Code]],ICD_summary!$I$3:$M$38,5,0)</f>
        <v>Misc/Other</v>
      </c>
      <c r="I687" s="12">
        <v>999</v>
      </c>
      <c r="J6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87" s="11" t="s">
        <v>51</v>
      </c>
      <c r="L687" s="11"/>
      <c r="M687" s="11"/>
      <c r="N687" s="11" t="s">
        <v>51</v>
      </c>
      <c r="O687" s="11" t="s">
        <v>51</v>
      </c>
      <c r="P687" s="11" t="s">
        <v>51</v>
      </c>
      <c r="Q687" s="11" t="s">
        <v>51</v>
      </c>
      <c r="R687" s="11" t="s">
        <v>51</v>
      </c>
      <c r="S687" s="11" t="s">
        <v>51</v>
      </c>
      <c r="T687" s="11" t="s">
        <v>51</v>
      </c>
      <c r="U687" s="11" t="s">
        <v>51</v>
      </c>
      <c r="V687" s="11" t="s">
        <v>51</v>
      </c>
      <c r="W687" s="11" t="s">
        <v>51</v>
      </c>
      <c r="X687" s="11" t="s">
        <v>51</v>
      </c>
      <c r="Y687" s="11" t="s">
        <v>51</v>
      </c>
      <c r="Z687" s="11" t="s">
        <v>51</v>
      </c>
      <c r="AA687" s="11" t="s">
        <v>51</v>
      </c>
      <c r="AB687" s="11" t="s">
        <v>51</v>
      </c>
      <c r="AC687" s="11" t="s">
        <v>51</v>
      </c>
      <c r="AD687" s="11" t="s">
        <v>51</v>
      </c>
      <c r="AE687" s="11" t="s">
        <v>51</v>
      </c>
      <c r="AF687" s="11" t="s">
        <v>51</v>
      </c>
      <c r="AG687" s="11" t="s">
        <v>51</v>
      </c>
      <c r="AH687" s="11" t="s">
        <v>51</v>
      </c>
    </row>
    <row r="688" spans="1:34" s="33" customFormat="1" x14ac:dyDescent="0.2">
      <c r="A688" s="11">
        <v>816</v>
      </c>
      <c r="B688" s="11"/>
      <c r="C688" s="11"/>
      <c r="D688" s="11"/>
      <c r="E688" s="11"/>
      <c r="F688" s="11" t="s">
        <v>68</v>
      </c>
      <c r="G688" s="11" t="s">
        <v>69</v>
      </c>
      <c r="H688" s="56" t="str">
        <f>VLOOKUP(Table6[[#This Row],[ICD Code]],ICD_summary!$I$3:$M$38,5,0)</f>
        <v>Tremor, essential tremor</v>
      </c>
      <c r="I688" s="12">
        <v>55.5</v>
      </c>
      <c r="J6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88" s="11" t="s">
        <v>52</v>
      </c>
      <c r="L688" s="11"/>
      <c r="M688" s="11"/>
      <c r="N688" s="11">
        <v>58.999000000000002</v>
      </c>
      <c r="O688" s="11">
        <v>61.96</v>
      </c>
      <c r="P688" s="11">
        <v>121.71299999999999</v>
      </c>
      <c r="Q688" s="11">
        <v>120.705</v>
      </c>
      <c r="R688" s="11">
        <v>95.602999999999994</v>
      </c>
      <c r="S688" s="11">
        <v>94.727000000000004</v>
      </c>
      <c r="T688" s="11">
        <v>94.483999999999995</v>
      </c>
      <c r="U688" s="11">
        <v>94.164000000000001</v>
      </c>
      <c r="V688" s="11">
        <v>62.399000000000001</v>
      </c>
      <c r="W688" s="11">
        <v>66.578000000000003</v>
      </c>
      <c r="X688" s="11">
        <v>37.600999999999999</v>
      </c>
      <c r="Y688" s="11">
        <v>33.421999999999997</v>
      </c>
      <c r="Z688" s="11">
        <v>14.798</v>
      </c>
      <c r="AA688" s="11">
        <v>14.326000000000001</v>
      </c>
      <c r="AB688" s="11">
        <v>33.421999999999997</v>
      </c>
      <c r="AC688" s="11">
        <v>37.600999999999999</v>
      </c>
      <c r="AD688" s="11">
        <v>12.448</v>
      </c>
      <c r="AE688" s="11">
        <v>12</v>
      </c>
      <c r="AF688" s="11">
        <v>15</v>
      </c>
      <c r="AG688" s="11">
        <v>12</v>
      </c>
      <c r="AH688" s="11">
        <v>12</v>
      </c>
    </row>
    <row r="689" spans="1:34" s="33" customFormat="1" x14ac:dyDescent="0.2">
      <c r="A689" s="11">
        <v>817</v>
      </c>
      <c r="B689" s="11"/>
      <c r="C689" s="11"/>
      <c r="D689" s="11"/>
      <c r="E689" s="11"/>
      <c r="F689" s="11" t="s">
        <v>51</v>
      </c>
      <c r="G689" s="11" t="s">
        <v>51</v>
      </c>
      <c r="H689" s="56" t="str">
        <f>VLOOKUP(Table6[[#This Row],[ICD Code]],ICD_summary!$I$3:$M$38,5,0)</f>
        <v>Misc/Other</v>
      </c>
      <c r="I689" s="12">
        <v>999</v>
      </c>
      <c r="J6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89" s="11" t="s">
        <v>51</v>
      </c>
      <c r="L689" s="11"/>
      <c r="M689" s="11"/>
      <c r="N689" s="11">
        <v>66.069000000000003</v>
      </c>
      <c r="O689" s="11">
        <v>63.618000000000002</v>
      </c>
      <c r="P689" s="11">
        <v>129.905</v>
      </c>
      <c r="Q689" s="11">
        <v>130.095</v>
      </c>
      <c r="R689" s="11">
        <v>117.09099999999999</v>
      </c>
      <c r="S689" s="11">
        <v>117.29300000000001</v>
      </c>
      <c r="T689" s="11">
        <v>108.52800000000001</v>
      </c>
      <c r="U689" s="11">
        <v>108.361</v>
      </c>
      <c r="V689" s="11">
        <v>61.622</v>
      </c>
      <c r="W689" s="11">
        <v>61.676000000000002</v>
      </c>
      <c r="X689" s="11">
        <v>38.378</v>
      </c>
      <c r="Y689" s="11">
        <v>38.323999999999998</v>
      </c>
      <c r="Z689" s="11">
        <v>11.093999999999999</v>
      </c>
      <c r="AA689" s="11">
        <v>12.362</v>
      </c>
      <c r="AB689" s="11">
        <v>38.323999999999998</v>
      </c>
      <c r="AC689" s="11">
        <v>38.378</v>
      </c>
      <c r="AD689" s="11">
        <v>14.071</v>
      </c>
      <c r="AE689" s="11">
        <v>16</v>
      </c>
      <c r="AF689" s="11">
        <v>16</v>
      </c>
      <c r="AG689" s="11">
        <v>16</v>
      </c>
      <c r="AH689" s="11">
        <v>16</v>
      </c>
    </row>
    <row r="690" spans="1:34" s="33" customFormat="1" x14ac:dyDescent="0.2">
      <c r="A690" s="11">
        <v>818</v>
      </c>
      <c r="B690" s="11"/>
      <c r="C690" s="11"/>
      <c r="D690" s="11"/>
      <c r="E690" s="11"/>
      <c r="F690" s="11" t="s">
        <v>62</v>
      </c>
      <c r="G690" s="11" t="s">
        <v>63</v>
      </c>
      <c r="H690" s="56" t="str">
        <f>VLOOKUP(Table6[[#This Row],[ICD Code]],ICD_summary!$I$3:$M$38,5,0)</f>
        <v>PD</v>
      </c>
      <c r="I690" s="12">
        <v>58.1</v>
      </c>
      <c r="J6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90" s="11" t="s">
        <v>55</v>
      </c>
      <c r="L690" s="11"/>
      <c r="M690" s="11"/>
      <c r="N690" s="11">
        <v>0.67200000000000004</v>
      </c>
      <c r="O690" s="11">
        <v>10.069000000000001</v>
      </c>
      <c r="P690" s="11">
        <v>10.87</v>
      </c>
      <c r="Q690" s="11">
        <v>11.500999999999999</v>
      </c>
      <c r="R690" s="11">
        <v>8.3729999999999993</v>
      </c>
      <c r="S690" s="11">
        <v>8.5169999999999995</v>
      </c>
      <c r="T690" s="11">
        <v>81.825999999999993</v>
      </c>
      <c r="U690" s="11">
        <v>89.933000000000007</v>
      </c>
      <c r="V690" s="11">
        <v>80.847999999999999</v>
      </c>
      <c r="W690" s="11">
        <v>89.686999999999998</v>
      </c>
      <c r="X690" s="11">
        <v>19.152000000000001</v>
      </c>
      <c r="Y690" s="11">
        <v>10.313000000000001</v>
      </c>
      <c r="Z690" s="11">
        <v>24.959</v>
      </c>
      <c r="AA690" s="11">
        <v>44.591000000000001</v>
      </c>
      <c r="AB690" s="11">
        <v>10.313000000000001</v>
      </c>
      <c r="AC690" s="11">
        <v>19.152000000000001</v>
      </c>
      <c r="AD690" s="11">
        <v>23.37</v>
      </c>
      <c r="AE690" s="11">
        <v>16</v>
      </c>
      <c r="AF690" s="11">
        <v>15</v>
      </c>
      <c r="AG690" s="11">
        <v>15</v>
      </c>
      <c r="AH690" s="11">
        <v>15</v>
      </c>
    </row>
    <row r="691" spans="1:34" s="33" customFormat="1" x14ac:dyDescent="0.2">
      <c r="A691" s="11">
        <v>819</v>
      </c>
      <c r="B691" s="11"/>
      <c r="C691" s="11"/>
      <c r="D691" s="11"/>
      <c r="E691" s="11"/>
      <c r="F691" s="11" t="s">
        <v>62</v>
      </c>
      <c r="G691" s="11" t="s">
        <v>63</v>
      </c>
      <c r="H691" s="56" t="str">
        <f>VLOOKUP(Table6[[#This Row],[ICD Code]],ICD_summary!$I$3:$M$38,5,0)</f>
        <v>PD</v>
      </c>
      <c r="I691" s="12">
        <v>73.2</v>
      </c>
      <c r="J6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1" s="11" t="s">
        <v>52</v>
      </c>
      <c r="L691" s="11"/>
      <c r="M691" s="11"/>
      <c r="N691" s="11">
        <v>54.798999999999999</v>
      </c>
      <c r="O691" s="11">
        <v>52.786999999999999</v>
      </c>
      <c r="P691" s="11">
        <v>107.774</v>
      </c>
      <c r="Q691" s="11">
        <v>108.642</v>
      </c>
      <c r="R691" s="11">
        <v>96.257999999999996</v>
      </c>
      <c r="S691" s="11">
        <v>96.287999999999997</v>
      </c>
      <c r="T691" s="11">
        <v>106.41200000000001</v>
      </c>
      <c r="U691" s="11">
        <v>105.93899999999999</v>
      </c>
      <c r="V691" s="11">
        <v>63.301000000000002</v>
      </c>
      <c r="W691" s="11">
        <v>61.957000000000001</v>
      </c>
      <c r="X691" s="11">
        <v>36.698999999999998</v>
      </c>
      <c r="Y691" s="11">
        <v>38.042999999999999</v>
      </c>
      <c r="Z691" s="11">
        <v>12.618</v>
      </c>
      <c r="AA691" s="11">
        <v>12.933999999999999</v>
      </c>
      <c r="AB691" s="11">
        <v>38.042999999999999</v>
      </c>
      <c r="AC691" s="11">
        <v>36.698999999999998</v>
      </c>
      <c r="AD691" s="11">
        <v>12.182</v>
      </c>
      <c r="AE691" s="11">
        <v>13</v>
      </c>
      <c r="AF691" s="11">
        <v>12</v>
      </c>
      <c r="AG691" s="11">
        <v>12</v>
      </c>
      <c r="AH691" s="11">
        <v>12</v>
      </c>
    </row>
    <row r="692" spans="1:34" s="33" customFormat="1" x14ac:dyDescent="0.2">
      <c r="A692" s="11">
        <v>820</v>
      </c>
      <c r="B692" s="11"/>
      <c r="C692" s="11"/>
      <c r="D692" s="11"/>
      <c r="E692" s="11"/>
      <c r="F692" s="11" t="s">
        <v>68</v>
      </c>
      <c r="G692" s="11" t="s">
        <v>69</v>
      </c>
      <c r="H692" s="56" t="str">
        <f>VLOOKUP(Table6[[#This Row],[ICD Code]],ICD_summary!$I$3:$M$38,5,0)</f>
        <v>Tremor, essential tremor</v>
      </c>
      <c r="I692" s="12">
        <v>67.599999999999994</v>
      </c>
      <c r="J6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92" s="11" t="s">
        <v>52</v>
      </c>
      <c r="L692" s="11"/>
      <c r="M692" s="11"/>
      <c r="N692" s="11">
        <v>59.718000000000004</v>
      </c>
      <c r="O692" s="11">
        <v>55.26</v>
      </c>
      <c r="P692" s="11">
        <v>114.98</v>
      </c>
      <c r="Q692" s="11">
        <v>115.289</v>
      </c>
      <c r="R692" s="11">
        <v>107.93899999999999</v>
      </c>
      <c r="S692" s="11">
        <v>108.379</v>
      </c>
      <c r="T692" s="11">
        <v>112.34699999999999</v>
      </c>
      <c r="U692" s="11">
        <v>112.078</v>
      </c>
      <c r="V692" s="11">
        <v>63.601999999999997</v>
      </c>
      <c r="W692" s="11">
        <v>62.841000000000001</v>
      </c>
      <c r="X692" s="11">
        <v>36.398000000000003</v>
      </c>
      <c r="Y692" s="11">
        <v>37.158999999999999</v>
      </c>
      <c r="Z692" s="11">
        <v>13.676</v>
      </c>
      <c r="AA692" s="11">
        <v>12.839</v>
      </c>
      <c r="AB692" s="11">
        <v>37.158999999999999</v>
      </c>
      <c r="AC692" s="11">
        <v>36.398000000000003</v>
      </c>
      <c r="AD692" s="11">
        <v>9.77</v>
      </c>
      <c r="AE692" s="11">
        <v>15</v>
      </c>
      <c r="AF692" s="11">
        <v>12</v>
      </c>
      <c r="AG692" s="11">
        <v>12</v>
      </c>
      <c r="AH692" s="11">
        <v>12</v>
      </c>
    </row>
    <row r="693" spans="1:34" s="33" customFormat="1" x14ac:dyDescent="0.2">
      <c r="A693" s="11">
        <v>821</v>
      </c>
      <c r="B693" s="11"/>
      <c r="C693" s="11"/>
      <c r="D693" s="11"/>
      <c r="E693" s="11"/>
      <c r="F693" s="11" t="s">
        <v>62</v>
      </c>
      <c r="G693" s="11" t="s">
        <v>63</v>
      </c>
      <c r="H693" s="56" t="str">
        <f>VLOOKUP(Table6[[#This Row],[ICD Code]],ICD_summary!$I$3:$M$38,5,0)</f>
        <v>PD</v>
      </c>
      <c r="I693" s="12">
        <v>74.599999999999994</v>
      </c>
      <c r="J6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3" s="11" t="s">
        <v>52</v>
      </c>
      <c r="L693" s="11"/>
      <c r="M693" s="11"/>
      <c r="N693" s="11" t="s">
        <v>51</v>
      </c>
      <c r="O693" s="11" t="s">
        <v>51</v>
      </c>
      <c r="P693" s="11" t="s">
        <v>51</v>
      </c>
      <c r="Q693" s="11" t="s">
        <v>51</v>
      </c>
      <c r="R693" s="11" t="s">
        <v>51</v>
      </c>
      <c r="S693" s="11" t="s">
        <v>51</v>
      </c>
      <c r="T693" s="11" t="s">
        <v>51</v>
      </c>
      <c r="U693" s="11" t="s">
        <v>51</v>
      </c>
      <c r="V693" s="11" t="s">
        <v>51</v>
      </c>
      <c r="W693" s="11" t="s">
        <v>51</v>
      </c>
      <c r="X693" s="11" t="s">
        <v>51</v>
      </c>
      <c r="Y693" s="11" t="s">
        <v>51</v>
      </c>
      <c r="Z693" s="11" t="s">
        <v>51</v>
      </c>
      <c r="AA693" s="11" t="s">
        <v>51</v>
      </c>
      <c r="AB693" s="11" t="s">
        <v>51</v>
      </c>
      <c r="AC693" s="11" t="s">
        <v>51</v>
      </c>
      <c r="AD693" s="11" t="s">
        <v>51</v>
      </c>
      <c r="AE693" s="11" t="s">
        <v>51</v>
      </c>
      <c r="AF693" s="11" t="s">
        <v>51</v>
      </c>
      <c r="AG693" s="11" t="s">
        <v>51</v>
      </c>
      <c r="AH693" s="11" t="s">
        <v>51</v>
      </c>
    </row>
    <row r="694" spans="1:34" s="33" customFormat="1" x14ac:dyDescent="0.2">
      <c r="A694" s="11">
        <v>822</v>
      </c>
      <c r="B694" s="11"/>
      <c r="C694" s="11"/>
      <c r="D694" s="11"/>
      <c r="E694" s="11"/>
      <c r="F694" s="11" t="s">
        <v>51</v>
      </c>
      <c r="G694" s="11" t="s">
        <v>51</v>
      </c>
      <c r="H694" s="56" t="str">
        <f>VLOOKUP(Table6[[#This Row],[ICD Code]],ICD_summary!$I$3:$M$38,5,0)</f>
        <v>Misc/Other</v>
      </c>
      <c r="I694" s="12">
        <v>999</v>
      </c>
      <c r="J6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4" s="11" t="s">
        <v>51</v>
      </c>
      <c r="L694" s="11"/>
      <c r="M694" s="11"/>
      <c r="N694" s="11">
        <v>50.8</v>
      </c>
      <c r="O694" s="11">
        <v>65.322999999999993</v>
      </c>
      <c r="P694" s="11">
        <v>115.113</v>
      </c>
      <c r="Q694" s="11">
        <v>116.29</v>
      </c>
      <c r="R694" s="11">
        <v>94.01</v>
      </c>
      <c r="S694" s="11">
        <v>94.713999999999999</v>
      </c>
      <c r="T694" s="11">
        <v>99.128</v>
      </c>
      <c r="U694" s="11">
        <v>98.379000000000005</v>
      </c>
      <c r="V694" s="11">
        <v>61.43</v>
      </c>
      <c r="W694" s="11">
        <v>62.034999999999997</v>
      </c>
      <c r="X694" s="11">
        <v>38.57</v>
      </c>
      <c r="Y694" s="11">
        <v>37.965000000000003</v>
      </c>
      <c r="Z694" s="11">
        <v>12.63</v>
      </c>
      <c r="AA694" s="11">
        <v>11.923</v>
      </c>
      <c r="AB694" s="11">
        <v>37.965000000000003</v>
      </c>
      <c r="AC694" s="11">
        <v>38.57</v>
      </c>
      <c r="AD694" s="11">
        <v>8.86</v>
      </c>
      <c r="AE694" s="11">
        <v>14</v>
      </c>
      <c r="AF694" s="11">
        <v>17</v>
      </c>
      <c r="AG694" s="11">
        <v>14</v>
      </c>
      <c r="AH694" s="11">
        <v>14</v>
      </c>
    </row>
    <row r="695" spans="1:34" s="33" customFormat="1" x14ac:dyDescent="0.2">
      <c r="A695" s="11">
        <v>823</v>
      </c>
      <c r="B695" s="11"/>
      <c r="C695" s="11"/>
      <c r="D695" s="11"/>
      <c r="E695" s="11"/>
      <c r="F695" s="11" t="s">
        <v>51</v>
      </c>
      <c r="G695" s="11" t="s">
        <v>51</v>
      </c>
      <c r="H695" s="56" t="str">
        <f>VLOOKUP(Table6[[#This Row],[ICD Code]],ICD_summary!$I$3:$M$38,5,0)</f>
        <v>Misc/Other</v>
      </c>
      <c r="I695" s="12">
        <v>999</v>
      </c>
      <c r="J6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5" s="11" t="s">
        <v>51</v>
      </c>
      <c r="L695" s="11"/>
      <c r="M695" s="11"/>
      <c r="N695" s="11">
        <v>50.668999999999997</v>
      </c>
      <c r="O695" s="11">
        <v>48.664999999999999</v>
      </c>
      <c r="P695" s="11">
        <v>99.091999999999999</v>
      </c>
      <c r="Q695" s="11">
        <v>99.790999999999997</v>
      </c>
      <c r="R695" s="11">
        <v>89.28</v>
      </c>
      <c r="S695" s="11">
        <v>89.766000000000005</v>
      </c>
      <c r="T695" s="11">
        <v>108.15600000000001</v>
      </c>
      <c r="U695" s="11">
        <v>107.76900000000001</v>
      </c>
      <c r="V695" s="11">
        <v>62.750999999999998</v>
      </c>
      <c r="W695" s="11">
        <v>63.445</v>
      </c>
      <c r="X695" s="11">
        <v>37.249000000000002</v>
      </c>
      <c r="Y695" s="11">
        <v>36.555</v>
      </c>
      <c r="Z695" s="11">
        <v>14.084</v>
      </c>
      <c r="AA695" s="11">
        <v>12.208</v>
      </c>
      <c r="AB695" s="11">
        <v>36.555</v>
      </c>
      <c r="AC695" s="11">
        <v>37.249000000000002</v>
      </c>
      <c r="AD695" s="11">
        <v>11.866</v>
      </c>
      <c r="AE695" s="11">
        <v>16</v>
      </c>
      <c r="AF695" s="11">
        <v>15</v>
      </c>
      <c r="AG695" s="11">
        <v>15</v>
      </c>
      <c r="AH695" s="11">
        <v>15</v>
      </c>
    </row>
    <row r="696" spans="1:34" s="33" customFormat="1" x14ac:dyDescent="0.2">
      <c r="A696" s="11">
        <v>824</v>
      </c>
      <c r="B696" s="11"/>
      <c r="C696" s="11"/>
      <c r="D696" s="11"/>
      <c r="E696" s="11"/>
      <c r="F696" s="11" t="s">
        <v>62</v>
      </c>
      <c r="G696" s="11" t="s">
        <v>63</v>
      </c>
      <c r="H696" s="56" t="str">
        <f>VLOOKUP(Table6[[#This Row],[ICD Code]],ICD_summary!$I$3:$M$38,5,0)</f>
        <v>PD</v>
      </c>
      <c r="I696" s="12">
        <v>62.8</v>
      </c>
      <c r="J6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96" s="11" t="s">
        <v>52</v>
      </c>
      <c r="L696" s="11"/>
      <c r="M696" s="11"/>
      <c r="N696" s="11">
        <v>57.485999999999997</v>
      </c>
      <c r="O696" s="11">
        <v>58.488</v>
      </c>
      <c r="P696" s="11">
        <v>116.774</v>
      </c>
      <c r="Q696" s="11">
        <v>116.227</v>
      </c>
      <c r="R696" s="11">
        <v>107.46</v>
      </c>
      <c r="S696" s="11">
        <v>106.866</v>
      </c>
      <c r="T696" s="11">
        <v>110.08199999999999</v>
      </c>
      <c r="U696" s="11">
        <v>109.873</v>
      </c>
      <c r="V696" s="11">
        <v>62.652999999999999</v>
      </c>
      <c r="W696" s="11">
        <v>62.148000000000003</v>
      </c>
      <c r="X696" s="11">
        <v>37.347000000000001</v>
      </c>
      <c r="Y696" s="11">
        <v>37.851999999999997</v>
      </c>
      <c r="Z696" s="11">
        <v>13.045999999999999</v>
      </c>
      <c r="AA696" s="11">
        <v>12.337999999999999</v>
      </c>
      <c r="AB696" s="11">
        <v>37.851999999999997</v>
      </c>
      <c r="AC696" s="11">
        <v>37.347000000000001</v>
      </c>
      <c r="AD696" s="11">
        <v>13.09</v>
      </c>
      <c r="AE696" s="11">
        <v>11</v>
      </c>
      <c r="AF696" s="11">
        <v>9</v>
      </c>
      <c r="AG696" s="11">
        <v>9</v>
      </c>
      <c r="AH696" s="11">
        <v>9</v>
      </c>
    </row>
    <row r="697" spans="1:34" s="33" customFormat="1" x14ac:dyDescent="0.2">
      <c r="A697" s="11">
        <v>825</v>
      </c>
      <c r="B697" s="11"/>
      <c r="C697" s="11"/>
      <c r="D697" s="11"/>
      <c r="E697" s="11"/>
      <c r="F697" s="11" t="s">
        <v>62</v>
      </c>
      <c r="G697" s="11" t="s">
        <v>63</v>
      </c>
      <c r="H697" s="56" t="str">
        <f>VLOOKUP(Table6[[#This Row],[ICD Code]],ICD_summary!$I$3:$M$38,5,0)</f>
        <v>PD</v>
      </c>
      <c r="I697" s="12">
        <v>73.2</v>
      </c>
      <c r="J6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7" s="11" t="s">
        <v>52</v>
      </c>
      <c r="L697" s="11"/>
      <c r="M697" s="11"/>
      <c r="N697" s="11">
        <v>46.295999999999999</v>
      </c>
      <c r="O697" s="11">
        <v>47.781999999999996</v>
      </c>
      <c r="P697" s="11">
        <v>93.911000000000001</v>
      </c>
      <c r="Q697" s="11">
        <v>94.102999999999994</v>
      </c>
      <c r="R697" s="11">
        <v>96.736999999999995</v>
      </c>
      <c r="S697" s="11">
        <v>96.896000000000001</v>
      </c>
      <c r="T697" s="11">
        <v>123.13500000000001</v>
      </c>
      <c r="U697" s="11">
        <v>123.169</v>
      </c>
      <c r="V697" s="11">
        <v>63.905000000000001</v>
      </c>
      <c r="W697" s="11">
        <v>61.654000000000003</v>
      </c>
      <c r="X697" s="11">
        <v>36.094999999999999</v>
      </c>
      <c r="Y697" s="11">
        <v>38.345999999999997</v>
      </c>
      <c r="Z697" s="11">
        <v>12.759</v>
      </c>
      <c r="AA697" s="11">
        <v>12.69</v>
      </c>
      <c r="AB697" s="11">
        <v>38.345999999999997</v>
      </c>
      <c r="AC697" s="11">
        <v>36.094999999999999</v>
      </c>
      <c r="AD697" s="11">
        <v>12.651999999999999</v>
      </c>
      <c r="AE697" s="11">
        <v>13</v>
      </c>
      <c r="AF697" s="11">
        <v>14</v>
      </c>
      <c r="AG697" s="11">
        <v>13</v>
      </c>
      <c r="AH697" s="11">
        <v>13</v>
      </c>
    </row>
    <row r="698" spans="1:34" s="33" customFormat="1" x14ac:dyDescent="0.2">
      <c r="A698" s="11">
        <v>826</v>
      </c>
      <c r="B698" s="11"/>
      <c r="C698" s="11"/>
      <c r="D698" s="11"/>
      <c r="E698" s="11"/>
      <c r="F698" s="11" t="s">
        <v>51</v>
      </c>
      <c r="G698" s="11" t="s">
        <v>51</v>
      </c>
      <c r="H698" s="56" t="str">
        <f>VLOOKUP(Table6[[#This Row],[ICD Code]],ICD_summary!$I$3:$M$38,5,0)</f>
        <v>Misc/Other</v>
      </c>
      <c r="I698" s="12">
        <v>999</v>
      </c>
      <c r="J6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8" s="11" t="s">
        <v>51</v>
      </c>
      <c r="L698" s="11"/>
      <c r="M698" s="11"/>
      <c r="N698" s="11" t="s">
        <v>51</v>
      </c>
      <c r="O698" s="11" t="s">
        <v>51</v>
      </c>
      <c r="P698" s="11" t="s">
        <v>51</v>
      </c>
      <c r="Q698" s="11" t="s">
        <v>51</v>
      </c>
      <c r="R698" s="11" t="s">
        <v>51</v>
      </c>
      <c r="S698" s="11" t="s">
        <v>51</v>
      </c>
      <c r="T698" s="11" t="s">
        <v>51</v>
      </c>
      <c r="U698" s="11" t="s">
        <v>51</v>
      </c>
      <c r="V698" s="11" t="s">
        <v>51</v>
      </c>
      <c r="W698" s="11" t="s">
        <v>51</v>
      </c>
      <c r="X698" s="11" t="s">
        <v>51</v>
      </c>
      <c r="Y698" s="11" t="s">
        <v>51</v>
      </c>
      <c r="Z698" s="11" t="s">
        <v>51</v>
      </c>
      <c r="AA698" s="11" t="s">
        <v>51</v>
      </c>
      <c r="AB698" s="11" t="s">
        <v>51</v>
      </c>
      <c r="AC698" s="11" t="s">
        <v>51</v>
      </c>
      <c r="AD698" s="11" t="s">
        <v>51</v>
      </c>
      <c r="AE698" s="11" t="s">
        <v>51</v>
      </c>
      <c r="AF698" s="11" t="s">
        <v>51</v>
      </c>
      <c r="AG698" s="11" t="s">
        <v>51</v>
      </c>
      <c r="AH698" s="11" t="s">
        <v>51</v>
      </c>
    </row>
    <row r="699" spans="1:34" s="33" customFormat="1" x14ac:dyDescent="0.2">
      <c r="A699" s="11">
        <v>827</v>
      </c>
      <c r="B699" s="11"/>
      <c r="C699" s="11"/>
      <c r="D699" s="11"/>
      <c r="E699" s="11"/>
      <c r="F699" s="11" t="s">
        <v>62</v>
      </c>
      <c r="G699" s="11" t="s">
        <v>63</v>
      </c>
      <c r="H699" s="56" t="str">
        <f>VLOOKUP(Table6[[#This Row],[ICD Code]],ICD_summary!$I$3:$M$38,5,0)</f>
        <v>PD</v>
      </c>
      <c r="I699" s="12">
        <v>80.2</v>
      </c>
      <c r="J6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99" s="11" t="s">
        <v>52</v>
      </c>
      <c r="L699" s="11"/>
      <c r="M699" s="11"/>
      <c r="N699" s="11">
        <v>52.906999999999996</v>
      </c>
      <c r="O699" s="11">
        <v>45.965000000000003</v>
      </c>
      <c r="P699" s="11">
        <v>98.906000000000006</v>
      </c>
      <c r="Q699" s="11">
        <v>98.778000000000006</v>
      </c>
      <c r="R699" s="11">
        <v>88.177999999999997</v>
      </c>
      <c r="S699" s="11">
        <v>86.78</v>
      </c>
      <c r="T699" s="11">
        <v>106.041</v>
      </c>
      <c r="U699" s="11">
        <v>105.229</v>
      </c>
      <c r="V699" s="11">
        <v>65.843000000000004</v>
      </c>
      <c r="W699" s="11">
        <v>64.400999999999996</v>
      </c>
      <c r="X699" s="11">
        <v>34.156999999999996</v>
      </c>
      <c r="Y699" s="11">
        <v>35.598999999999997</v>
      </c>
      <c r="Z699" s="11">
        <v>16.254999999999999</v>
      </c>
      <c r="AA699" s="11">
        <v>14.534000000000001</v>
      </c>
      <c r="AB699" s="11">
        <v>35.598999999999997</v>
      </c>
      <c r="AC699" s="11">
        <v>34.156999999999996</v>
      </c>
      <c r="AD699" s="11">
        <v>13.954000000000001</v>
      </c>
      <c r="AE699" s="11">
        <v>13</v>
      </c>
      <c r="AF699" s="11">
        <v>12</v>
      </c>
      <c r="AG699" s="11">
        <v>12</v>
      </c>
      <c r="AH699" s="11">
        <v>12</v>
      </c>
    </row>
    <row r="700" spans="1:34" s="33" customFormat="1" x14ac:dyDescent="0.2">
      <c r="A700" s="11">
        <v>828</v>
      </c>
      <c r="B700" s="11"/>
      <c r="C700" s="11"/>
      <c r="D700" s="11"/>
      <c r="E700" s="11"/>
      <c r="F700" s="11" t="s">
        <v>62</v>
      </c>
      <c r="G700" s="11" t="s">
        <v>63</v>
      </c>
      <c r="H700" s="56" t="str">
        <f>VLOOKUP(Table6[[#This Row],[ICD Code]],ICD_summary!$I$3:$M$38,5,0)</f>
        <v>PD</v>
      </c>
      <c r="I700" s="12">
        <v>68.599999999999994</v>
      </c>
      <c r="J7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0" s="11" t="s">
        <v>52</v>
      </c>
      <c r="L700" s="11"/>
      <c r="M700" s="11"/>
      <c r="N700" s="11">
        <v>58.95</v>
      </c>
      <c r="O700" s="11">
        <v>56.491999999999997</v>
      </c>
      <c r="P700" s="11">
        <v>115.28400000000001</v>
      </c>
      <c r="Q700" s="11">
        <v>115.82599999999999</v>
      </c>
      <c r="R700" s="11">
        <v>112.352</v>
      </c>
      <c r="S700" s="11">
        <v>112.556</v>
      </c>
      <c r="T700" s="11">
        <v>117.124</v>
      </c>
      <c r="U700" s="11">
        <v>116.53700000000001</v>
      </c>
      <c r="V700" s="11">
        <v>62.088000000000001</v>
      </c>
      <c r="W700" s="11">
        <v>63.594000000000001</v>
      </c>
      <c r="X700" s="11">
        <v>37.911999999999999</v>
      </c>
      <c r="Y700" s="11">
        <v>36.405999999999999</v>
      </c>
      <c r="Z700" s="11">
        <v>12.994</v>
      </c>
      <c r="AA700" s="11">
        <v>12.948</v>
      </c>
      <c r="AB700" s="11">
        <v>36.405999999999999</v>
      </c>
      <c r="AC700" s="11">
        <v>37.911999999999999</v>
      </c>
      <c r="AD700" s="11">
        <v>9.9</v>
      </c>
      <c r="AE700" s="11">
        <v>11</v>
      </c>
      <c r="AF700" s="11">
        <v>10</v>
      </c>
      <c r="AG700" s="11">
        <v>10</v>
      </c>
      <c r="AH700" s="11">
        <v>10</v>
      </c>
    </row>
    <row r="701" spans="1:34" s="33" customFormat="1" x14ac:dyDescent="0.2">
      <c r="A701" s="11">
        <v>829</v>
      </c>
      <c r="B701" s="11"/>
      <c r="C701" s="11"/>
      <c r="D701" s="11"/>
      <c r="E701" s="11"/>
      <c r="F701" s="11" t="s">
        <v>68</v>
      </c>
      <c r="G701" s="11" t="s">
        <v>69</v>
      </c>
      <c r="H701" s="56" t="str">
        <f>VLOOKUP(Table6[[#This Row],[ICD Code]],ICD_summary!$I$3:$M$38,5,0)</f>
        <v>Tremor, essential tremor</v>
      </c>
      <c r="I701" s="12">
        <v>58</v>
      </c>
      <c r="J7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01" s="11" t="s">
        <v>52</v>
      </c>
      <c r="L701" s="11"/>
      <c r="M701" s="11"/>
      <c r="N701" s="11">
        <v>65.903999999999996</v>
      </c>
      <c r="O701" s="11">
        <v>64.313999999999993</v>
      </c>
      <c r="P701" s="11">
        <v>130.37299999999999</v>
      </c>
      <c r="Q701" s="11">
        <v>130.01499999999999</v>
      </c>
      <c r="R701" s="11">
        <v>117.119</v>
      </c>
      <c r="S701" s="11">
        <v>116.931</v>
      </c>
      <c r="T701" s="11">
        <v>108.104</v>
      </c>
      <c r="U701" s="11">
        <v>107.505</v>
      </c>
      <c r="V701" s="11">
        <v>62.195999999999998</v>
      </c>
      <c r="W701" s="11">
        <v>62.686</v>
      </c>
      <c r="X701" s="11">
        <v>37.804000000000002</v>
      </c>
      <c r="Y701" s="11">
        <v>37.314</v>
      </c>
      <c r="Z701" s="11">
        <v>12.01</v>
      </c>
      <c r="AA701" s="11">
        <v>12.462999999999999</v>
      </c>
      <c r="AB701" s="11">
        <v>37.314</v>
      </c>
      <c r="AC701" s="11">
        <v>37.804000000000002</v>
      </c>
      <c r="AD701" s="11">
        <v>12.064</v>
      </c>
      <c r="AE701" s="11">
        <v>8</v>
      </c>
      <c r="AF701" s="11">
        <v>10</v>
      </c>
      <c r="AG701" s="11">
        <v>8</v>
      </c>
      <c r="AH701" s="11">
        <v>8</v>
      </c>
    </row>
    <row r="702" spans="1:34" s="33" customFormat="1" x14ac:dyDescent="0.2">
      <c r="A702" s="11">
        <v>830</v>
      </c>
      <c r="B702" s="11"/>
      <c r="C702" s="11"/>
      <c r="D702" s="11"/>
      <c r="E702" s="11"/>
      <c r="F702" s="11" t="s">
        <v>72</v>
      </c>
      <c r="G702" s="11" t="s">
        <v>73</v>
      </c>
      <c r="H702" s="56" t="str">
        <f>VLOOKUP(Table6[[#This Row],[ICD Code]],ICD_summary!$I$3:$M$38,5,0)</f>
        <v>Tremor, other</v>
      </c>
      <c r="I702" s="12">
        <v>72.599999999999994</v>
      </c>
      <c r="J7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02" s="11" t="s">
        <v>52</v>
      </c>
      <c r="L702" s="11"/>
      <c r="M702" s="11"/>
      <c r="N702" s="11">
        <v>59.48</v>
      </c>
      <c r="O702" s="11">
        <v>61.902000000000001</v>
      </c>
      <c r="P702" s="11">
        <v>122.669</v>
      </c>
      <c r="Q702" s="11">
        <v>121.09099999999999</v>
      </c>
      <c r="R702" s="11">
        <v>121.03</v>
      </c>
      <c r="S702" s="11">
        <v>120.735</v>
      </c>
      <c r="T702" s="11">
        <v>117.828</v>
      </c>
      <c r="U702" s="11">
        <v>119.123</v>
      </c>
      <c r="V702" s="11">
        <v>62.83</v>
      </c>
      <c r="W702" s="11">
        <v>62.106999999999999</v>
      </c>
      <c r="X702" s="11">
        <v>37.17</v>
      </c>
      <c r="Y702" s="11">
        <v>37.892000000000003</v>
      </c>
      <c r="Z702" s="11">
        <v>12.125</v>
      </c>
      <c r="AA702" s="11">
        <v>12.372999999999999</v>
      </c>
      <c r="AB702" s="11">
        <v>37.892000000000003</v>
      </c>
      <c r="AC702" s="11">
        <v>37.17</v>
      </c>
      <c r="AD702" s="11">
        <v>10.901999999999999</v>
      </c>
      <c r="AE702" s="11">
        <v>8</v>
      </c>
      <c r="AF702" s="11">
        <v>7</v>
      </c>
      <c r="AG702" s="11">
        <v>7</v>
      </c>
      <c r="AH702" s="11">
        <v>7</v>
      </c>
    </row>
    <row r="703" spans="1:34" s="33" customFormat="1" x14ac:dyDescent="0.2">
      <c r="A703" s="11">
        <v>831</v>
      </c>
      <c r="B703" s="11"/>
      <c r="C703" s="11"/>
      <c r="D703" s="11"/>
      <c r="E703" s="11"/>
      <c r="F703" s="11" t="s">
        <v>62</v>
      </c>
      <c r="G703" s="11" t="s">
        <v>63</v>
      </c>
      <c r="H703" s="56" t="str">
        <f>VLOOKUP(Table6[[#This Row],[ICD Code]],ICD_summary!$I$3:$M$38,5,0)</f>
        <v>PD</v>
      </c>
      <c r="I703" s="12">
        <v>44.5</v>
      </c>
      <c r="J7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03" s="11" t="s">
        <v>52</v>
      </c>
      <c r="L703" s="11"/>
      <c r="M703" s="11"/>
      <c r="N703" s="11">
        <v>46.7</v>
      </c>
      <c r="O703" s="11">
        <v>42.537999999999997</v>
      </c>
      <c r="P703" s="11">
        <v>89.647999999999996</v>
      </c>
      <c r="Q703" s="11">
        <v>88.730999999999995</v>
      </c>
      <c r="R703" s="11">
        <v>66.531999999999996</v>
      </c>
      <c r="S703" s="11">
        <v>66.215999999999994</v>
      </c>
      <c r="T703" s="11">
        <v>89.454999999999998</v>
      </c>
      <c r="U703" s="11">
        <v>89.504999999999995</v>
      </c>
      <c r="V703" s="11">
        <v>58.966999999999999</v>
      </c>
      <c r="W703" s="11">
        <v>64.766999999999996</v>
      </c>
      <c r="X703" s="11">
        <v>41.033000000000001</v>
      </c>
      <c r="Y703" s="11">
        <v>35.232999999999997</v>
      </c>
      <c r="Z703" s="11">
        <v>9.0060000000000002</v>
      </c>
      <c r="AA703" s="11">
        <v>15.55</v>
      </c>
      <c r="AB703" s="11">
        <v>35.232999999999997</v>
      </c>
      <c r="AC703" s="11">
        <v>41.033000000000001</v>
      </c>
      <c r="AD703" s="11">
        <v>12.347</v>
      </c>
      <c r="AE703" s="11">
        <v>12</v>
      </c>
      <c r="AF703" s="11">
        <v>11</v>
      </c>
      <c r="AG703" s="11">
        <v>11</v>
      </c>
      <c r="AH703" s="11">
        <v>11</v>
      </c>
    </row>
    <row r="704" spans="1:34" s="33" customFormat="1" x14ac:dyDescent="0.2">
      <c r="A704" s="11">
        <v>832</v>
      </c>
      <c r="B704" s="11"/>
      <c r="C704" s="11"/>
      <c r="D704" s="11"/>
      <c r="E704" s="11"/>
      <c r="F704" s="11" t="s">
        <v>76</v>
      </c>
      <c r="G704" s="11" t="s">
        <v>77</v>
      </c>
      <c r="H704" s="56" t="str">
        <f>VLOOKUP(Table6[[#This Row],[ICD Code]],ICD_summary!$I$3:$M$38,5,0)</f>
        <v>Dystonia, other</v>
      </c>
      <c r="I704" s="12">
        <v>23.7</v>
      </c>
      <c r="J7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704" s="11" t="s">
        <v>55</v>
      </c>
      <c r="L704" s="11"/>
      <c r="M704" s="11"/>
      <c r="N704" s="11">
        <v>59.883000000000003</v>
      </c>
      <c r="O704" s="11">
        <v>50.735999999999997</v>
      </c>
      <c r="P704" s="11">
        <v>110.58</v>
      </c>
      <c r="Q704" s="11">
        <v>111.098</v>
      </c>
      <c r="R704" s="11">
        <v>99.927000000000007</v>
      </c>
      <c r="S704" s="11">
        <v>100.81</v>
      </c>
      <c r="T704" s="11">
        <v>108.405</v>
      </c>
      <c r="U704" s="11">
        <v>108.721</v>
      </c>
      <c r="V704" s="11">
        <v>62.829000000000001</v>
      </c>
      <c r="W704" s="11">
        <v>60.69</v>
      </c>
      <c r="X704" s="11">
        <v>37.170999999999999</v>
      </c>
      <c r="Y704" s="11">
        <v>39.31</v>
      </c>
      <c r="Z704" s="11">
        <v>12.228</v>
      </c>
      <c r="AA704" s="11">
        <v>11.198</v>
      </c>
      <c r="AB704" s="11">
        <v>39.31</v>
      </c>
      <c r="AC704" s="11">
        <v>37.170999999999999</v>
      </c>
      <c r="AD704" s="11">
        <v>15.49</v>
      </c>
      <c r="AE704" s="11">
        <v>13</v>
      </c>
      <c r="AF704" s="11">
        <v>10</v>
      </c>
      <c r="AG704" s="11">
        <v>10</v>
      </c>
      <c r="AH704" s="11">
        <v>10</v>
      </c>
    </row>
    <row r="705" spans="1:34" s="33" customFormat="1" x14ac:dyDescent="0.2">
      <c r="A705" s="11">
        <v>833</v>
      </c>
      <c r="B705" s="11"/>
      <c r="C705" s="11"/>
      <c r="D705" s="11"/>
      <c r="E705" s="11"/>
      <c r="F705" s="11" t="s">
        <v>72</v>
      </c>
      <c r="G705" s="11" t="s">
        <v>73</v>
      </c>
      <c r="H705" s="56" t="str">
        <f>VLOOKUP(Table6[[#This Row],[ICD Code]],ICD_summary!$I$3:$M$38,5,0)</f>
        <v>Tremor, other</v>
      </c>
      <c r="I705" s="12">
        <v>71.599999999999994</v>
      </c>
      <c r="J7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05" s="11" t="s">
        <v>55</v>
      </c>
      <c r="L705" s="11"/>
      <c r="M705" s="11"/>
      <c r="N705" s="11">
        <v>59.981999999999999</v>
      </c>
      <c r="O705" s="11">
        <v>62.222999999999999</v>
      </c>
      <c r="P705" s="11">
        <v>122.65900000000001</v>
      </c>
      <c r="Q705" s="11">
        <v>122.233</v>
      </c>
      <c r="R705" s="11">
        <v>117.265</v>
      </c>
      <c r="S705" s="11">
        <v>116.803</v>
      </c>
      <c r="T705" s="11">
        <v>115.074</v>
      </c>
      <c r="U705" s="11">
        <v>114.723</v>
      </c>
      <c r="V705" s="11">
        <v>61.945</v>
      </c>
      <c r="W705" s="11">
        <v>61.026000000000003</v>
      </c>
      <c r="X705" s="11">
        <v>38.055</v>
      </c>
      <c r="Y705" s="11">
        <v>38.973999999999997</v>
      </c>
      <c r="Z705" s="11">
        <v>12.372999999999999</v>
      </c>
      <c r="AA705" s="11">
        <v>11.746</v>
      </c>
      <c r="AB705" s="11">
        <v>38.973999999999997</v>
      </c>
      <c r="AC705" s="11">
        <v>38.055</v>
      </c>
      <c r="AD705" s="11">
        <v>8.952</v>
      </c>
      <c r="AE705" s="11">
        <v>10</v>
      </c>
      <c r="AF705" s="11">
        <v>9</v>
      </c>
      <c r="AG705" s="11">
        <v>9</v>
      </c>
      <c r="AH705" s="11">
        <v>9</v>
      </c>
    </row>
    <row r="706" spans="1:34" s="33" customFormat="1" x14ac:dyDescent="0.2">
      <c r="A706" s="11">
        <v>834</v>
      </c>
      <c r="B706" s="11"/>
      <c r="C706" s="11"/>
      <c r="D706" s="11"/>
      <c r="E706" s="11"/>
      <c r="F706" s="11" t="s">
        <v>62</v>
      </c>
      <c r="G706" s="11" t="s">
        <v>63</v>
      </c>
      <c r="H706" s="56" t="str">
        <f>VLOOKUP(Table6[[#This Row],[ICD Code]],ICD_summary!$I$3:$M$38,5,0)</f>
        <v>PD</v>
      </c>
      <c r="I706" s="12">
        <v>55.8</v>
      </c>
      <c r="J7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06" s="11" t="s">
        <v>52</v>
      </c>
      <c r="L706" s="11"/>
      <c r="M706" s="11"/>
      <c r="N706" s="11">
        <v>36.591999999999999</v>
      </c>
      <c r="O706" s="11">
        <v>37.399000000000001</v>
      </c>
      <c r="P706" s="11">
        <v>74.156999999999996</v>
      </c>
      <c r="Q706" s="11">
        <v>74.11</v>
      </c>
      <c r="R706" s="11">
        <v>61.524000000000001</v>
      </c>
      <c r="S706" s="11">
        <v>61.957000000000001</v>
      </c>
      <c r="T706" s="11">
        <v>100.29</v>
      </c>
      <c r="U706" s="11">
        <v>99.852000000000004</v>
      </c>
      <c r="V706" s="11">
        <v>68.953999999999994</v>
      </c>
      <c r="W706" s="11">
        <v>63.146000000000001</v>
      </c>
      <c r="X706" s="11">
        <v>31.045999999999999</v>
      </c>
      <c r="Y706" s="11">
        <v>36.853999999999999</v>
      </c>
      <c r="Z706" s="11">
        <v>15.695</v>
      </c>
      <c r="AA706" s="11">
        <v>16.364000000000001</v>
      </c>
      <c r="AB706" s="11">
        <v>36.853999999999999</v>
      </c>
      <c r="AC706" s="11">
        <v>31.045999999999999</v>
      </c>
      <c r="AD706" s="11">
        <v>15.532</v>
      </c>
      <c r="AE706" s="11">
        <v>15</v>
      </c>
      <c r="AF706" s="11">
        <v>16</v>
      </c>
      <c r="AG706" s="11">
        <v>15</v>
      </c>
      <c r="AH706" s="11">
        <v>15</v>
      </c>
    </row>
    <row r="707" spans="1:34" s="33" customFormat="1" x14ac:dyDescent="0.2">
      <c r="A707" s="11">
        <v>835</v>
      </c>
      <c r="B707" s="11"/>
      <c r="C707" s="11"/>
      <c r="D707" s="11"/>
      <c r="E707" s="11"/>
      <c r="F707" s="11" t="s">
        <v>62</v>
      </c>
      <c r="G707" s="11" t="s">
        <v>63</v>
      </c>
      <c r="H707" s="56" t="str">
        <f>VLOOKUP(Table6[[#This Row],[ICD Code]],ICD_summary!$I$3:$M$38,5,0)</f>
        <v>PD</v>
      </c>
      <c r="I707" s="12">
        <v>62.1</v>
      </c>
      <c r="J7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7" s="11" t="s">
        <v>52</v>
      </c>
      <c r="L707" s="11"/>
      <c r="M707" s="11"/>
      <c r="N707" s="11">
        <v>44.793999999999997</v>
      </c>
      <c r="O707" s="11">
        <v>30.49</v>
      </c>
      <c r="P707" s="11">
        <v>75.373000000000005</v>
      </c>
      <c r="Q707" s="11">
        <v>75.622</v>
      </c>
      <c r="R707" s="11">
        <v>66.781999999999996</v>
      </c>
      <c r="S707" s="11">
        <v>67.450999999999993</v>
      </c>
      <c r="T707" s="11">
        <v>106.27</v>
      </c>
      <c r="U707" s="11">
        <v>104.786</v>
      </c>
      <c r="V707" s="11">
        <v>67.370999999999995</v>
      </c>
      <c r="W707" s="11">
        <v>66.64</v>
      </c>
      <c r="X707" s="11">
        <v>32.628999999999998</v>
      </c>
      <c r="Y707" s="11">
        <v>33.36</v>
      </c>
      <c r="Z707" s="11">
        <v>12.904999999999999</v>
      </c>
      <c r="AA707" s="11">
        <v>21.138999999999999</v>
      </c>
      <c r="AB707" s="11">
        <v>33.36</v>
      </c>
      <c r="AC707" s="11">
        <v>32.628999999999998</v>
      </c>
      <c r="AD707" s="11">
        <v>13.178000000000001</v>
      </c>
      <c r="AE707" s="11">
        <v>15</v>
      </c>
      <c r="AF707" s="11">
        <v>12</v>
      </c>
      <c r="AG707" s="11">
        <v>12</v>
      </c>
      <c r="AH707" s="11">
        <v>12</v>
      </c>
    </row>
    <row r="708" spans="1:34" s="33" customFormat="1" x14ac:dyDescent="0.2">
      <c r="A708" s="11">
        <v>836</v>
      </c>
      <c r="B708" s="11"/>
      <c r="C708" s="11"/>
      <c r="D708" s="11"/>
      <c r="E708" s="11"/>
      <c r="F708" s="11" t="s">
        <v>62</v>
      </c>
      <c r="G708" s="11" t="s">
        <v>63</v>
      </c>
      <c r="H708" s="56" t="str">
        <f>VLOOKUP(Table6[[#This Row],[ICD Code]],ICD_summary!$I$3:$M$38,5,0)</f>
        <v>PD</v>
      </c>
      <c r="I708" s="12">
        <v>65.599999999999994</v>
      </c>
      <c r="J7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8" s="11" t="s">
        <v>55</v>
      </c>
      <c r="L708" s="11"/>
      <c r="M708" s="11"/>
      <c r="N708" s="11">
        <v>43.052</v>
      </c>
      <c r="O708" s="11">
        <v>44.21</v>
      </c>
      <c r="P708" s="11">
        <v>87.307000000000002</v>
      </c>
      <c r="Q708" s="11">
        <v>86.977999999999994</v>
      </c>
      <c r="R708" s="11">
        <v>72.3</v>
      </c>
      <c r="S708" s="11">
        <v>72.682000000000002</v>
      </c>
      <c r="T708" s="11">
        <v>99.233999999999995</v>
      </c>
      <c r="U708" s="11">
        <v>100.01900000000001</v>
      </c>
      <c r="V708" s="11">
        <v>65.436000000000007</v>
      </c>
      <c r="W708" s="11">
        <v>63.439</v>
      </c>
      <c r="X708" s="11">
        <v>34.564</v>
      </c>
      <c r="Y708" s="11">
        <v>36.561</v>
      </c>
      <c r="Z708" s="11">
        <v>16.567</v>
      </c>
      <c r="AA708" s="11">
        <v>12.199</v>
      </c>
      <c r="AB708" s="11">
        <v>36.561</v>
      </c>
      <c r="AC708" s="11">
        <v>34.564</v>
      </c>
      <c r="AD708" s="11">
        <v>14.981999999999999</v>
      </c>
      <c r="AE708" s="11">
        <v>11</v>
      </c>
      <c r="AF708" s="11">
        <v>12</v>
      </c>
      <c r="AG708" s="11">
        <v>11</v>
      </c>
      <c r="AH708" s="11">
        <v>11</v>
      </c>
    </row>
    <row r="709" spans="1:34" s="33" customFormat="1" x14ac:dyDescent="0.2">
      <c r="A709" s="11">
        <v>837</v>
      </c>
      <c r="B709" s="11"/>
      <c r="C709" s="11"/>
      <c r="D709" s="11"/>
      <c r="E709" s="11"/>
      <c r="F709" s="11" t="s">
        <v>62</v>
      </c>
      <c r="G709" s="11" t="s">
        <v>63</v>
      </c>
      <c r="H709" s="56" t="str">
        <f>VLOOKUP(Table6[[#This Row],[ICD Code]],ICD_summary!$I$3:$M$38,5,0)</f>
        <v>PD</v>
      </c>
      <c r="I709" s="12">
        <v>81.2</v>
      </c>
      <c r="J7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09" s="11" t="s">
        <v>52</v>
      </c>
      <c r="L709" s="11"/>
      <c r="M709" s="11"/>
      <c r="N709" s="11">
        <v>18.457000000000001</v>
      </c>
      <c r="O709" s="11">
        <v>12.301</v>
      </c>
      <c r="P709" s="11">
        <v>31.373000000000001</v>
      </c>
      <c r="Q709" s="11">
        <v>31.548999999999999</v>
      </c>
      <c r="R709" s="11">
        <v>21.119</v>
      </c>
      <c r="S709" s="11">
        <v>20.991</v>
      </c>
      <c r="T709" s="11">
        <v>80.754999999999995</v>
      </c>
      <c r="U709" s="11">
        <v>81.191999999999993</v>
      </c>
      <c r="V709" s="11">
        <v>75.528999999999996</v>
      </c>
      <c r="W709" s="11">
        <v>72.376000000000005</v>
      </c>
      <c r="X709" s="11">
        <v>24.47</v>
      </c>
      <c r="Y709" s="11">
        <v>27.623999999999999</v>
      </c>
      <c r="Z709" s="11">
        <v>19.007000000000001</v>
      </c>
      <c r="AA709" s="11">
        <v>28.934000000000001</v>
      </c>
      <c r="AB709" s="11">
        <v>27.623999999999999</v>
      </c>
      <c r="AC709" s="11">
        <v>24.47</v>
      </c>
      <c r="AD709" s="11">
        <v>13.21</v>
      </c>
      <c r="AE709" s="11">
        <v>14</v>
      </c>
      <c r="AF709" s="11">
        <v>14</v>
      </c>
      <c r="AG709" s="11">
        <v>14</v>
      </c>
      <c r="AH709" s="11">
        <v>14</v>
      </c>
    </row>
    <row r="710" spans="1:34" s="33" customFormat="1" x14ac:dyDescent="0.2">
      <c r="A710" s="11">
        <v>838</v>
      </c>
      <c r="B710" s="11"/>
      <c r="C710" s="11"/>
      <c r="D710" s="11"/>
      <c r="E710" s="11"/>
      <c r="F710" s="11" t="s">
        <v>62</v>
      </c>
      <c r="G710" s="11" t="s">
        <v>63</v>
      </c>
      <c r="H710" s="56" t="str">
        <f>VLOOKUP(Table6[[#This Row],[ICD Code]],ICD_summary!$I$3:$M$38,5,0)</f>
        <v>PD</v>
      </c>
      <c r="I710" s="12">
        <v>85.7</v>
      </c>
      <c r="J7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10" s="11" t="s">
        <v>55</v>
      </c>
      <c r="L710" s="11"/>
      <c r="M710" s="11"/>
      <c r="N710" s="11">
        <v>34.658999999999999</v>
      </c>
      <c r="O710" s="11">
        <v>38.070999999999998</v>
      </c>
      <c r="P710" s="11">
        <v>72.834000000000003</v>
      </c>
      <c r="Q710" s="11">
        <v>72.808999999999997</v>
      </c>
      <c r="R710" s="11">
        <v>49.634</v>
      </c>
      <c r="S710" s="11">
        <v>49.863</v>
      </c>
      <c r="T710" s="11">
        <v>81.453000000000003</v>
      </c>
      <c r="U710" s="11">
        <v>81.960999999999999</v>
      </c>
      <c r="V710" s="11">
        <v>68.551000000000002</v>
      </c>
      <c r="W710" s="11">
        <v>69.352000000000004</v>
      </c>
      <c r="X710" s="11">
        <v>31.449000000000002</v>
      </c>
      <c r="Y710" s="11">
        <v>30.648</v>
      </c>
      <c r="Z710" s="11">
        <v>18.446000000000002</v>
      </c>
      <c r="AA710" s="11">
        <v>19.018999999999998</v>
      </c>
      <c r="AB710" s="11">
        <v>30.648</v>
      </c>
      <c r="AC710" s="11">
        <v>31.449000000000002</v>
      </c>
      <c r="AD710" s="11">
        <v>10.865</v>
      </c>
      <c r="AE710" s="11">
        <v>13</v>
      </c>
      <c r="AF710" s="11">
        <v>14</v>
      </c>
      <c r="AG710" s="11">
        <v>13</v>
      </c>
      <c r="AH710" s="11">
        <v>13</v>
      </c>
    </row>
    <row r="711" spans="1:34" s="33" customFormat="1" x14ac:dyDescent="0.2">
      <c r="A711" s="11">
        <v>839</v>
      </c>
      <c r="B711" s="11"/>
      <c r="C711" s="11"/>
      <c r="D711" s="11"/>
      <c r="E711" s="11"/>
      <c r="F711" s="11" t="s">
        <v>62</v>
      </c>
      <c r="G711" s="11" t="s">
        <v>63</v>
      </c>
      <c r="H711" s="56" t="str">
        <f>VLOOKUP(Table6[[#This Row],[ICD Code]],ICD_summary!$I$3:$M$38,5,0)</f>
        <v>PD</v>
      </c>
      <c r="I711" s="12">
        <v>60.8</v>
      </c>
      <c r="J7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1" s="11" t="s">
        <v>52</v>
      </c>
      <c r="L711" s="11"/>
      <c r="M711" s="11"/>
      <c r="N711" s="11">
        <v>27.489000000000001</v>
      </c>
      <c r="O711" s="11">
        <v>34.832000000000001</v>
      </c>
      <c r="P711" s="11">
        <v>62.564999999999998</v>
      </c>
      <c r="Q711" s="11">
        <v>62.72</v>
      </c>
      <c r="R711" s="11">
        <v>63.146999999999998</v>
      </c>
      <c r="S711" s="11">
        <v>62.765000000000001</v>
      </c>
      <c r="T711" s="11">
        <v>119.10899999999999</v>
      </c>
      <c r="U711" s="11">
        <v>119.652</v>
      </c>
      <c r="V711" s="11">
        <v>64.177999999999997</v>
      </c>
      <c r="W711" s="11">
        <v>62.841999999999999</v>
      </c>
      <c r="X711" s="11">
        <v>35.822000000000003</v>
      </c>
      <c r="Y711" s="11">
        <v>37.158000000000001</v>
      </c>
      <c r="Z711" s="11">
        <v>12.459</v>
      </c>
      <c r="AA711" s="11">
        <v>13.798</v>
      </c>
      <c r="AB711" s="11">
        <v>37.158000000000001</v>
      </c>
      <c r="AC711" s="11">
        <v>35.822000000000003</v>
      </c>
      <c r="AD711" s="11">
        <v>11.8</v>
      </c>
      <c r="AE711" s="11">
        <v>14</v>
      </c>
      <c r="AF711" s="11">
        <v>12</v>
      </c>
      <c r="AG711" s="11">
        <v>12</v>
      </c>
      <c r="AH711" s="11">
        <v>12</v>
      </c>
    </row>
    <row r="712" spans="1:34" s="33" customFormat="1" x14ac:dyDescent="0.2">
      <c r="A712" s="11">
        <v>840</v>
      </c>
      <c r="B712" s="11"/>
      <c r="C712" s="11"/>
      <c r="D712" s="11"/>
      <c r="E712" s="11"/>
      <c r="F712" s="11" t="s">
        <v>51</v>
      </c>
      <c r="G712" s="11" t="s">
        <v>51</v>
      </c>
      <c r="H712" s="56" t="str">
        <f>VLOOKUP(Table6[[#This Row],[ICD Code]],ICD_summary!$I$3:$M$38,5,0)</f>
        <v>Misc/Other</v>
      </c>
      <c r="I712" s="12">
        <v>999</v>
      </c>
      <c r="J7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2" s="11" t="s">
        <v>51</v>
      </c>
      <c r="L712" s="11"/>
      <c r="M712" s="11"/>
      <c r="N712" s="11">
        <v>61.957000000000001</v>
      </c>
      <c r="O712" s="11">
        <v>64.302999999999997</v>
      </c>
      <c r="P712" s="11">
        <v>125.985</v>
      </c>
      <c r="Q712" s="11">
        <v>126.98</v>
      </c>
      <c r="R712" s="11">
        <v>100.68600000000001</v>
      </c>
      <c r="S712" s="11">
        <v>101.88500000000001</v>
      </c>
      <c r="T712" s="11">
        <v>96.614999999999995</v>
      </c>
      <c r="U712" s="11">
        <v>97.027000000000001</v>
      </c>
      <c r="V712" s="11">
        <v>60.933</v>
      </c>
      <c r="W712" s="11">
        <v>63.594000000000001</v>
      </c>
      <c r="X712" s="11">
        <v>39.067</v>
      </c>
      <c r="Y712" s="11">
        <v>36.405999999999999</v>
      </c>
      <c r="Z712" s="11">
        <v>12.974</v>
      </c>
      <c r="AA712" s="11">
        <v>12.465</v>
      </c>
      <c r="AB712" s="11">
        <v>36.405999999999999</v>
      </c>
      <c r="AC712" s="11">
        <v>39.067</v>
      </c>
      <c r="AD712" s="11">
        <v>12.836</v>
      </c>
      <c r="AE712" s="11">
        <v>9</v>
      </c>
      <c r="AF712" s="11">
        <v>10</v>
      </c>
      <c r="AG712" s="11">
        <v>9</v>
      </c>
      <c r="AH712" s="11">
        <v>9</v>
      </c>
    </row>
    <row r="713" spans="1:34" s="33" customFormat="1" x14ac:dyDescent="0.2">
      <c r="A713" s="11">
        <v>841</v>
      </c>
      <c r="B713" s="11"/>
      <c r="C713" s="11"/>
      <c r="D713" s="11"/>
      <c r="E713" s="11"/>
      <c r="F713" s="11" t="s">
        <v>102</v>
      </c>
      <c r="G713" s="11" t="s">
        <v>103</v>
      </c>
      <c r="H713" s="56" t="str">
        <f>VLOOKUP(Table6[[#This Row],[ICD Code]],ICD_summary!$I$3:$M$38,5,0)</f>
        <v>Gait, other abnormalities</v>
      </c>
      <c r="I713" s="12">
        <v>82.2</v>
      </c>
      <c r="J7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13" s="11" t="s">
        <v>52</v>
      </c>
      <c r="L713" s="11"/>
      <c r="M713" s="11"/>
      <c r="N713" s="11">
        <v>7.18</v>
      </c>
      <c r="O713" s="11">
        <v>16.03</v>
      </c>
      <c r="P713" s="11">
        <v>23.529</v>
      </c>
      <c r="Q713" s="11">
        <v>23.053000000000001</v>
      </c>
      <c r="R713" s="11">
        <v>29.13</v>
      </c>
      <c r="S713" s="11">
        <v>28.63</v>
      </c>
      <c r="T713" s="11">
        <v>150.929</v>
      </c>
      <c r="U713" s="11">
        <v>149.12100000000001</v>
      </c>
      <c r="V713" s="11">
        <v>67.667000000000002</v>
      </c>
      <c r="W713" s="11">
        <v>67.873000000000005</v>
      </c>
      <c r="X713" s="11">
        <v>32.332999999999998</v>
      </c>
      <c r="Y713" s="11">
        <v>32.127000000000002</v>
      </c>
      <c r="Z713" s="11">
        <v>16.978000000000002</v>
      </c>
      <c r="AA713" s="11">
        <v>18.739999999999998</v>
      </c>
      <c r="AB713" s="11">
        <v>32.127000000000002</v>
      </c>
      <c r="AC713" s="11">
        <v>32.332999999999998</v>
      </c>
      <c r="AD713" s="11">
        <v>14.82</v>
      </c>
      <c r="AE713" s="11">
        <v>16</v>
      </c>
      <c r="AF713" s="11">
        <v>16</v>
      </c>
      <c r="AG713" s="11">
        <v>16</v>
      </c>
      <c r="AH713" s="11">
        <v>16</v>
      </c>
    </row>
    <row r="714" spans="1:34" s="33" customFormat="1" x14ac:dyDescent="0.2">
      <c r="A714" s="11">
        <v>842</v>
      </c>
      <c r="B714" s="11"/>
      <c r="C714" s="11"/>
      <c r="D714" s="11"/>
      <c r="E714" s="11"/>
      <c r="F714" s="11" t="s">
        <v>72</v>
      </c>
      <c r="G714" s="11" t="s">
        <v>73</v>
      </c>
      <c r="H714" s="56" t="str">
        <f>VLOOKUP(Table6[[#This Row],[ICD Code]],ICD_summary!$I$3:$M$38,5,0)</f>
        <v>Tremor, other</v>
      </c>
      <c r="I714" s="12">
        <v>69.8</v>
      </c>
      <c r="J7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4" s="11" t="s">
        <v>52</v>
      </c>
      <c r="L714" s="11"/>
      <c r="M714" s="11"/>
      <c r="N714" s="11">
        <v>59.628999999999998</v>
      </c>
      <c r="O714" s="11">
        <v>56.548000000000002</v>
      </c>
      <c r="P714" s="11">
        <v>116.36499999999999</v>
      </c>
      <c r="Q714" s="11">
        <v>116.524</v>
      </c>
      <c r="R714" s="11">
        <v>98.554000000000002</v>
      </c>
      <c r="S714" s="11">
        <v>97.852999999999994</v>
      </c>
      <c r="T714" s="11">
        <v>101.09</v>
      </c>
      <c r="U714" s="11">
        <v>101.001</v>
      </c>
      <c r="V714" s="11">
        <v>61.893000000000001</v>
      </c>
      <c r="W714" s="11">
        <v>61.625999999999998</v>
      </c>
      <c r="X714" s="11">
        <v>38.106999999999999</v>
      </c>
      <c r="Y714" s="11">
        <v>38.374000000000002</v>
      </c>
      <c r="Z714" s="11">
        <v>11.507</v>
      </c>
      <c r="AA714" s="11">
        <v>12.433999999999999</v>
      </c>
      <c r="AB714" s="11">
        <v>38.374000000000002</v>
      </c>
      <c r="AC714" s="11">
        <v>38.106999999999999</v>
      </c>
      <c r="AD714" s="11">
        <v>15.103999999999999</v>
      </c>
      <c r="AE714" s="11">
        <v>10</v>
      </c>
      <c r="AF714" s="11">
        <v>11</v>
      </c>
      <c r="AG714" s="11">
        <v>10</v>
      </c>
      <c r="AH714" s="11">
        <v>10</v>
      </c>
    </row>
    <row r="715" spans="1:34" s="33" customFormat="1" x14ac:dyDescent="0.2">
      <c r="A715" s="11">
        <v>843</v>
      </c>
      <c r="B715" s="11"/>
      <c r="C715" s="11"/>
      <c r="D715" s="11"/>
      <c r="E715" s="11"/>
      <c r="F715" s="11" t="s">
        <v>51</v>
      </c>
      <c r="G715" s="11" t="s">
        <v>51</v>
      </c>
      <c r="H715" s="56" t="str">
        <f>VLOOKUP(Table6[[#This Row],[ICD Code]],ICD_summary!$I$3:$M$38,5,0)</f>
        <v>Misc/Other</v>
      </c>
      <c r="I715" s="12">
        <v>999</v>
      </c>
      <c r="J7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5" s="11" t="s">
        <v>51</v>
      </c>
      <c r="L715" s="11"/>
      <c r="M715" s="11"/>
      <c r="N715" s="11" t="s">
        <v>51</v>
      </c>
      <c r="O715" s="11" t="s">
        <v>51</v>
      </c>
      <c r="P715" s="11" t="s">
        <v>51</v>
      </c>
      <c r="Q715" s="11" t="s">
        <v>51</v>
      </c>
      <c r="R715" s="11" t="s">
        <v>51</v>
      </c>
      <c r="S715" s="11" t="s">
        <v>51</v>
      </c>
      <c r="T715" s="11" t="s">
        <v>51</v>
      </c>
      <c r="U715" s="11" t="s">
        <v>51</v>
      </c>
      <c r="V715" s="11" t="s">
        <v>51</v>
      </c>
      <c r="W715" s="11" t="s">
        <v>51</v>
      </c>
      <c r="X715" s="11" t="s">
        <v>51</v>
      </c>
      <c r="Y715" s="11" t="s">
        <v>51</v>
      </c>
      <c r="Z715" s="11" t="s">
        <v>51</v>
      </c>
      <c r="AA715" s="11" t="s">
        <v>51</v>
      </c>
      <c r="AB715" s="11" t="s">
        <v>51</v>
      </c>
      <c r="AC715" s="11" t="s">
        <v>51</v>
      </c>
      <c r="AD715" s="11" t="s">
        <v>51</v>
      </c>
      <c r="AE715" s="11" t="s">
        <v>51</v>
      </c>
      <c r="AF715" s="11" t="s">
        <v>51</v>
      </c>
      <c r="AG715" s="11" t="s">
        <v>51</v>
      </c>
      <c r="AH715" s="11" t="s">
        <v>51</v>
      </c>
    </row>
    <row r="716" spans="1:34" s="33" customFormat="1" x14ac:dyDescent="0.2">
      <c r="A716" s="11">
        <v>844</v>
      </c>
      <c r="B716" s="11"/>
      <c r="C716" s="11"/>
      <c r="D716" s="11"/>
      <c r="E716" s="11"/>
      <c r="F716" s="11" t="s">
        <v>62</v>
      </c>
      <c r="G716" s="11" t="s">
        <v>63</v>
      </c>
      <c r="H716" s="56" t="str">
        <f>VLOOKUP(Table6[[#This Row],[ICD Code]],ICD_summary!$I$3:$M$38,5,0)</f>
        <v>PD</v>
      </c>
      <c r="I716" s="12">
        <v>76.8</v>
      </c>
      <c r="J7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16" s="11" t="s">
        <v>55</v>
      </c>
      <c r="L716" s="11"/>
      <c r="M716" s="11"/>
      <c r="N716" s="11">
        <v>51.576999999999998</v>
      </c>
      <c r="O716" s="11">
        <v>53.274000000000001</v>
      </c>
      <c r="P716" s="11">
        <v>104.887</v>
      </c>
      <c r="Q716" s="11">
        <v>104.476</v>
      </c>
      <c r="R716" s="11">
        <v>97.353999999999999</v>
      </c>
      <c r="S716" s="11">
        <v>97.165999999999997</v>
      </c>
      <c r="T716" s="11">
        <v>111.851</v>
      </c>
      <c r="U716" s="11">
        <v>111.9</v>
      </c>
      <c r="V716" s="11">
        <v>65.519000000000005</v>
      </c>
      <c r="W716" s="11">
        <v>61.820999999999998</v>
      </c>
      <c r="X716" s="11">
        <v>34.481000000000002</v>
      </c>
      <c r="Y716" s="11">
        <v>38.179000000000002</v>
      </c>
      <c r="Z716" s="11">
        <v>14.590999999999999</v>
      </c>
      <c r="AA716" s="11">
        <v>13.009</v>
      </c>
      <c r="AB716" s="11">
        <v>38.179000000000002</v>
      </c>
      <c r="AC716" s="11">
        <v>34.481000000000002</v>
      </c>
      <c r="AD716" s="11">
        <v>4.3600000000000003</v>
      </c>
      <c r="AE716" s="11">
        <v>13</v>
      </c>
      <c r="AF716" s="11">
        <v>11</v>
      </c>
      <c r="AG716" s="11">
        <v>11</v>
      </c>
      <c r="AH716" s="11">
        <v>11</v>
      </c>
    </row>
    <row r="717" spans="1:34" s="33" customFormat="1" x14ac:dyDescent="0.2">
      <c r="A717" s="11">
        <v>845</v>
      </c>
      <c r="B717" s="11"/>
      <c r="C717" s="11"/>
      <c r="D717" s="11"/>
      <c r="E717" s="11"/>
      <c r="F717" s="11" t="s">
        <v>68</v>
      </c>
      <c r="G717" s="11" t="s">
        <v>69</v>
      </c>
      <c r="H717" s="56" t="str">
        <f>VLOOKUP(Table6[[#This Row],[ICD Code]],ICD_summary!$I$3:$M$38,5,0)</f>
        <v>Tremor, essential tremor</v>
      </c>
      <c r="I717" s="12">
        <v>77.400000000000006</v>
      </c>
      <c r="J7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17" s="11" t="s">
        <v>52</v>
      </c>
      <c r="L717" s="11"/>
      <c r="M717" s="11"/>
      <c r="N717" s="11">
        <v>68.658000000000001</v>
      </c>
      <c r="O717" s="11">
        <v>70.429000000000002</v>
      </c>
      <c r="P717" s="11">
        <v>138.88900000000001</v>
      </c>
      <c r="Q717" s="11">
        <v>139.22999999999999</v>
      </c>
      <c r="R717" s="11">
        <v>117.31399999999999</v>
      </c>
      <c r="S717" s="11">
        <v>117.468</v>
      </c>
      <c r="T717" s="11">
        <v>101.43300000000001</v>
      </c>
      <c r="U717" s="11">
        <v>100.551</v>
      </c>
      <c r="V717" s="11">
        <v>62.072000000000003</v>
      </c>
      <c r="W717" s="11">
        <v>61.15</v>
      </c>
      <c r="X717" s="11">
        <v>37.927999999999997</v>
      </c>
      <c r="Y717" s="11">
        <v>38.85</v>
      </c>
      <c r="Z717" s="11">
        <v>11.46</v>
      </c>
      <c r="AA717" s="11">
        <v>11.848000000000001</v>
      </c>
      <c r="AB717" s="11">
        <v>38.85</v>
      </c>
      <c r="AC717" s="11">
        <v>37.927999999999997</v>
      </c>
      <c r="AD717" s="11">
        <v>9.4120000000000008</v>
      </c>
      <c r="AE717" s="11">
        <v>7</v>
      </c>
      <c r="AF717" s="11">
        <v>9</v>
      </c>
      <c r="AG717" s="11">
        <v>7</v>
      </c>
      <c r="AH717" s="11">
        <v>7</v>
      </c>
    </row>
    <row r="718" spans="1:34" s="33" customFormat="1" x14ac:dyDescent="0.2">
      <c r="A718" s="11">
        <v>846</v>
      </c>
      <c r="B718" s="11"/>
      <c r="C718" s="11"/>
      <c r="D718" s="11"/>
      <c r="E718" s="11"/>
      <c r="F718" s="11" t="s">
        <v>62</v>
      </c>
      <c r="G718" s="11" t="s">
        <v>63</v>
      </c>
      <c r="H718" s="56" t="str">
        <f>VLOOKUP(Table6[[#This Row],[ICD Code]],ICD_summary!$I$3:$M$38,5,0)</f>
        <v>PD</v>
      </c>
      <c r="I718" s="12">
        <v>65.3</v>
      </c>
      <c r="J7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8" s="11" t="s">
        <v>52</v>
      </c>
      <c r="L718" s="11"/>
      <c r="M718" s="11"/>
      <c r="N718" s="11">
        <v>56.494999999999997</v>
      </c>
      <c r="O718" s="11">
        <v>57.497</v>
      </c>
      <c r="P718" s="11">
        <v>113.596</v>
      </c>
      <c r="Q718" s="11">
        <v>114.205</v>
      </c>
      <c r="R718" s="11">
        <v>98.683000000000007</v>
      </c>
      <c r="S718" s="11">
        <v>98.718000000000004</v>
      </c>
      <c r="T718" s="11">
        <v>103.756</v>
      </c>
      <c r="U718" s="11">
        <v>103.29600000000001</v>
      </c>
      <c r="V718" s="11">
        <v>63.320999999999998</v>
      </c>
      <c r="W718" s="11">
        <v>62.585999999999999</v>
      </c>
      <c r="X718" s="11">
        <v>36.679000000000002</v>
      </c>
      <c r="Y718" s="11">
        <v>37.414000000000001</v>
      </c>
      <c r="Z718" s="11">
        <v>12.236000000000001</v>
      </c>
      <c r="AA718" s="11">
        <v>14.081</v>
      </c>
      <c r="AB718" s="11">
        <v>37.414000000000001</v>
      </c>
      <c r="AC718" s="11">
        <v>36.679000000000002</v>
      </c>
      <c r="AD718" s="11">
        <v>14.098000000000001</v>
      </c>
      <c r="AE718" s="11">
        <v>12</v>
      </c>
      <c r="AF718" s="11">
        <v>11</v>
      </c>
      <c r="AG718" s="11">
        <v>11</v>
      </c>
      <c r="AH718" s="11">
        <v>11</v>
      </c>
    </row>
    <row r="719" spans="1:34" s="33" customFormat="1" x14ac:dyDescent="0.2">
      <c r="A719" s="11">
        <v>847</v>
      </c>
      <c r="B719" s="11"/>
      <c r="C719" s="11"/>
      <c r="D719" s="11"/>
      <c r="E719" s="11"/>
      <c r="F719" s="11" t="s">
        <v>72</v>
      </c>
      <c r="G719" s="11" t="s">
        <v>73</v>
      </c>
      <c r="H719" s="56" t="str">
        <f>VLOOKUP(Table6[[#This Row],[ICD Code]],ICD_summary!$I$3:$M$38,5,0)</f>
        <v>Tremor, other</v>
      </c>
      <c r="I719" s="12">
        <v>51.3</v>
      </c>
      <c r="J7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19" s="11" t="s">
        <v>52</v>
      </c>
      <c r="L719" s="11"/>
      <c r="M719" s="11"/>
      <c r="N719" s="11">
        <v>62.390999999999998</v>
      </c>
      <c r="O719" s="11">
        <v>60.033999999999999</v>
      </c>
      <c r="P719" s="11">
        <v>122.26</v>
      </c>
      <c r="Q719" s="11">
        <v>122.449</v>
      </c>
      <c r="R719" s="11">
        <v>107.91800000000001</v>
      </c>
      <c r="S719" s="11">
        <v>108.661</v>
      </c>
      <c r="T719" s="11">
        <v>105.828</v>
      </c>
      <c r="U719" s="11">
        <v>105.78700000000001</v>
      </c>
      <c r="V719" s="11">
        <v>60.905999999999999</v>
      </c>
      <c r="W719" s="11">
        <v>61.456000000000003</v>
      </c>
      <c r="X719" s="11">
        <v>39.094000000000001</v>
      </c>
      <c r="Y719" s="11">
        <v>38.543999999999997</v>
      </c>
      <c r="Z719" s="11">
        <v>11.162000000000001</v>
      </c>
      <c r="AA719" s="11">
        <v>11.092000000000001</v>
      </c>
      <c r="AB719" s="11">
        <v>38.543999999999997</v>
      </c>
      <c r="AC719" s="11">
        <v>39.094000000000001</v>
      </c>
      <c r="AD719" s="11">
        <v>11.098000000000001</v>
      </c>
      <c r="AE719" s="11">
        <v>10</v>
      </c>
      <c r="AF719" s="11">
        <v>10</v>
      </c>
      <c r="AG719" s="11">
        <v>10</v>
      </c>
      <c r="AH719" s="11">
        <v>10</v>
      </c>
    </row>
    <row r="720" spans="1:34" s="33" customFormat="1" x14ac:dyDescent="0.2">
      <c r="A720" s="11">
        <v>848</v>
      </c>
      <c r="B720" s="11"/>
      <c r="C720" s="11"/>
      <c r="D720" s="11"/>
      <c r="E720" s="11"/>
      <c r="F720" s="11" t="s">
        <v>72</v>
      </c>
      <c r="G720" s="11" t="s">
        <v>73</v>
      </c>
      <c r="H720" s="56" t="str">
        <f>VLOOKUP(Table6[[#This Row],[ICD Code]],ICD_summary!$I$3:$M$38,5,0)</f>
        <v>Tremor, other</v>
      </c>
      <c r="I720" s="12">
        <v>84.9</v>
      </c>
      <c r="J7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20" s="11" t="s">
        <v>55</v>
      </c>
      <c r="L720" s="11"/>
      <c r="M720" s="11"/>
      <c r="N720" s="11">
        <v>27.105</v>
      </c>
      <c r="O720" s="11">
        <v>24.847000000000001</v>
      </c>
      <c r="P720" s="11">
        <v>52.033000000000001</v>
      </c>
      <c r="Q720" s="11">
        <v>51.853999999999999</v>
      </c>
      <c r="R720" s="11">
        <v>43.884</v>
      </c>
      <c r="S720" s="11">
        <v>43.814</v>
      </c>
      <c r="T720" s="11">
        <v>100.753</v>
      </c>
      <c r="U720" s="11">
        <v>100.495</v>
      </c>
      <c r="V720" s="11">
        <v>73.474000000000004</v>
      </c>
      <c r="W720" s="11">
        <v>73.305999999999997</v>
      </c>
      <c r="X720" s="11">
        <v>26.526</v>
      </c>
      <c r="Y720" s="11">
        <v>26.693999999999999</v>
      </c>
      <c r="Z720" s="11">
        <v>22.574999999999999</v>
      </c>
      <c r="AA720" s="11">
        <v>24.356999999999999</v>
      </c>
      <c r="AB720" s="11">
        <v>26.693999999999999</v>
      </c>
      <c r="AC720" s="11">
        <v>26.526</v>
      </c>
      <c r="AD720" s="11">
        <v>12.97</v>
      </c>
      <c r="AE720" s="11">
        <v>15</v>
      </c>
      <c r="AF720" s="11">
        <v>14</v>
      </c>
      <c r="AG720" s="11">
        <v>14</v>
      </c>
      <c r="AH720" s="11">
        <v>14</v>
      </c>
    </row>
    <row r="721" spans="1:34" s="33" customFormat="1" x14ac:dyDescent="0.2">
      <c r="A721" s="11">
        <v>849</v>
      </c>
      <c r="B721" s="11"/>
      <c r="C721" s="11"/>
      <c r="D721" s="11"/>
      <c r="E721" s="11"/>
      <c r="F721" s="11" t="s">
        <v>72</v>
      </c>
      <c r="G721" s="11" t="s">
        <v>73</v>
      </c>
      <c r="H721" s="56" t="str">
        <f>VLOOKUP(Table6[[#This Row],[ICD Code]],ICD_summary!$I$3:$M$38,5,0)</f>
        <v>Tremor, other</v>
      </c>
      <c r="I721" s="12">
        <v>72.599999999999994</v>
      </c>
      <c r="J7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1" s="11" t="s">
        <v>55</v>
      </c>
      <c r="L721" s="11"/>
      <c r="M721" s="11"/>
      <c r="N721" s="11">
        <v>38.890999999999998</v>
      </c>
      <c r="O721" s="11">
        <v>44.59</v>
      </c>
      <c r="P721" s="11">
        <v>83.686000000000007</v>
      </c>
      <c r="Q721" s="11">
        <v>83.198999999999998</v>
      </c>
      <c r="R721" s="11">
        <v>87.68</v>
      </c>
      <c r="S721" s="11">
        <v>88.173000000000002</v>
      </c>
      <c r="T721" s="11">
        <v>126.794</v>
      </c>
      <c r="U721" s="11">
        <v>128.02600000000001</v>
      </c>
      <c r="V721" s="11">
        <v>65.058000000000007</v>
      </c>
      <c r="W721" s="11">
        <v>61.472999999999999</v>
      </c>
      <c r="X721" s="11">
        <v>34.942</v>
      </c>
      <c r="Y721" s="11">
        <v>38.527000000000001</v>
      </c>
      <c r="Z721" s="11">
        <v>13.627000000000001</v>
      </c>
      <c r="AA721" s="11">
        <v>13.718</v>
      </c>
      <c r="AB721" s="11">
        <v>38.527000000000001</v>
      </c>
      <c r="AC721" s="11">
        <v>34.942</v>
      </c>
      <c r="AD721" s="11">
        <v>19.600000000000001</v>
      </c>
      <c r="AE721" s="11">
        <v>16</v>
      </c>
      <c r="AF721" s="11">
        <v>16</v>
      </c>
      <c r="AG721" s="11">
        <v>16</v>
      </c>
      <c r="AH721" s="11">
        <v>16</v>
      </c>
    </row>
    <row r="722" spans="1:34" s="33" customFormat="1" x14ac:dyDescent="0.2">
      <c r="A722" s="11">
        <v>850</v>
      </c>
      <c r="B722" s="11"/>
      <c r="C722" s="11"/>
      <c r="D722" s="11"/>
      <c r="E722" s="11"/>
      <c r="F722" s="11" t="s">
        <v>72</v>
      </c>
      <c r="G722" s="11" t="s">
        <v>73</v>
      </c>
      <c r="H722" s="56" t="str">
        <f>VLOOKUP(Table6[[#This Row],[ICD Code]],ICD_summary!$I$3:$M$38,5,0)</f>
        <v>Tremor, other</v>
      </c>
      <c r="I722" s="12">
        <v>81.5</v>
      </c>
      <c r="J7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22" s="11" t="s">
        <v>55</v>
      </c>
      <c r="L722" s="11"/>
      <c r="M722" s="11"/>
      <c r="N722" s="11">
        <v>33.125</v>
      </c>
      <c r="O722" s="11">
        <v>30.177</v>
      </c>
      <c r="P722" s="11">
        <v>62.984000000000002</v>
      </c>
      <c r="Q722" s="11">
        <v>62.533999999999999</v>
      </c>
      <c r="R722" s="11">
        <v>45.279000000000003</v>
      </c>
      <c r="S722" s="11">
        <v>45.747</v>
      </c>
      <c r="T722" s="11">
        <v>86.447999999999993</v>
      </c>
      <c r="U722" s="11">
        <v>87.917000000000002</v>
      </c>
      <c r="V722" s="11">
        <v>64.061000000000007</v>
      </c>
      <c r="W722" s="11">
        <v>65.254999999999995</v>
      </c>
      <c r="X722" s="11">
        <v>35.939</v>
      </c>
      <c r="Y722" s="11">
        <v>34.744999999999997</v>
      </c>
      <c r="Z722" s="11">
        <v>14.773999999999999</v>
      </c>
      <c r="AA722" s="11">
        <v>14.734999999999999</v>
      </c>
      <c r="AB722" s="11">
        <v>34.744999999999997</v>
      </c>
      <c r="AC722" s="11">
        <v>35.939</v>
      </c>
      <c r="AD722" s="11">
        <v>10.651999999999999</v>
      </c>
      <c r="AE722" s="11">
        <v>14</v>
      </c>
      <c r="AF722" s="11">
        <v>13</v>
      </c>
      <c r="AG722" s="11">
        <v>13</v>
      </c>
      <c r="AH722" s="11">
        <v>13</v>
      </c>
    </row>
    <row r="723" spans="1:34" s="33" customFormat="1" x14ac:dyDescent="0.2">
      <c r="A723" s="11">
        <v>851</v>
      </c>
      <c r="B723" s="11"/>
      <c r="C723" s="11"/>
      <c r="D723" s="11"/>
      <c r="E723" s="11"/>
      <c r="F723" s="11" t="s">
        <v>62</v>
      </c>
      <c r="G723" s="11" t="s">
        <v>63</v>
      </c>
      <c r="H723" s="56" t="str">
        <f>VLOOKUP(Table6[[#This Row],[ICD Code]],ICD_summary!$I$3:$M$38,5,0)</f>
        <v>PD</v>
      </c>
      <c r="I723" s="12">
        <v>50.8</v>
      </c>
      <c r="J7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23" s="11" t="s">
        <v>52</v>
      </c>
      <c r="L723" s="11"/>
      <c r="M723" s="11"/>
      <c r="N723" s="11">
        <v>75.471999999999994</v>
      </c>
      <c r="O723" s="11">
        <v>76.649000000000001</v>
      </c>
      <c r="P723" s="11">
        <v>154.89699999999999</v>
      </c>
      <c r="Q723" s="11">
        <v>148.642</v>
      </c>
      <c r="R723" s="11">
        <v>127.878</v>
      </c>
      <c r="S723" s="11">
        <v>127.76900000000001</v>
      </c>
      <c r="T723" s="11">
        <v>98.91</v>
      </c>
      <c r="U723" s="11">
        <v>101.93899999999999</v>
      </c>
      <c r="V723" s="11">
        <v>63.02</v>
      </c>
      <c r="W723" s="11">
        <v>62.573</v>
      </c>
      <c r="X723" s="11">
        <v>36.979999999999997</v>
      </c>
      <c r="Y723" s="11">
        <v>37.427</v>
      </c>
      <c r="Z723" s="11">
        <v>13.923999999999999</v>
      </c>
      <c r="AA723" s="11">
        <v>13.21</v>
      </c>
      <c r="AB723" s="11">
        <v>37.427</v>
      </c>
      <c r="AC723" s="11">
        <v>36.979999999999997</v>
      </c>
      <c r="AD723" s="11">
        <v>11.75</v>
      </c>
      <c r="AE723" s="11">
        <v>8</v>
      </c>
      <c r="AF723" s="11">
        <v>9</v>
      </c>
      <c r="AG723" s="11">
        <v>8</v>
      </c>
      <c r="AH723" s="11">
        <v>8</v>
      </c>
    </row>
    <row r="724" spans="1:34" s="33" customFormat="1" x14ac:dyDescent="0.2">
      <c r="A724" s="11">
        <v>852</v>
      </c>
      <c r="B724" s="11"/>
      <c r="C724" s="11"/>
      <c r="D724" s="11"/>
      <c r="E724" s="11"/>
      <c r="F724" s="11" t="s">
        <v>74</v>
      </c>
      <c r="G724" s="11" t="s">
        <v>75</v>
      </c>
      <c r="H724" s="56" t="str">
        <f>VLOOKUP(Table6[[#This Row],[ICD Code]],ICD_summary!$I$3:$M$38,5,0)</f>
        <v>Tremor, other</v>
      </c>
      <c r="I724" s="12">
        <v>60.1</v>
      </c>
      <c r="J7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4" s="11" t="s">
        <v>52</v>
      </c>
      <c r="L724" s="11"/>
      <c r="M724" s="11"/>
      <c r="N724" s="11">
        <v>52.151000000000003</v>
      </c>
      <c r="O724" s="11">
        <v>50.613</v>
      </c>
      <c r="P724" s="11">
        <v>103.57299999999999</v>
      </c>
      <c r="Q724" s="11">
        <v>102.744</v>
      </c>
      <c r="R724" s="11">
        <v>86.432000000000002</v>
      </c>
      <c r="S724" s="11">
        <v>85.686000000000007</v>
      </c>
      <c r="T724" s="11">
        <v>99.483999999999995</v>
      </c>
      <c r="U724" s="11">
        <v>99.531999999999996</v>
      </c>
      <c r="V724" s="11">
        <v>63.274000000000001</v>
      </c>
      <c r="W724" s="11">
        <v>64.662999999999997</v>
      </c>
      <c r="X724" s="11">
        <v>36.725999999999999</v>
      </c>
      <c r="Y724" s="11">
        <v>35.337000000000003</v>
      </c>
      <c r="Z724" s="11">
        <v>13.992000000000001</v>
      </c>
      <c r="AA724" s="11">
        <v>14.28</v>
      </c>
      <c r="AB724" s="11">
        <v>35.337000000000003</v>
      </c>
      <c r="AC724" s="11">
        <v>36.725999999999999</v>
      </c>
      <c r="AD724" s="11">
        <v>10.256</v>
      </c>
      <c r="AE724" s="11">
        <v>11</v>
      </c>
      <c r="AF724" s="11">
        <v>13</v>
      </c>
      <c r="AG724" s="11">
        <v>11</v>
      </c>
      <c r="AH724" s="11">
        <v>11</v>
      </c>
    </row>
    <row r="725" spans="1:34" s="33" customFormat="1" x14ac:dyDescent="0.2">
      <c r="A725" s="11">
        <v>853</v>
      </c>
      <c r="B725" s="11"/>
      <c r="C725" s="11"/>
      <c r="D725" s="11"/>
      <c r="E725" s="11"/>
      <c r="F725" s="11" t="s">
        <v>62</v>
      </c>
      <c r="G725" s="11" t="s">
        <v>63</v>
      </c>
      <c r="H725" s="56" t="str">
        <f>VLOOKUP(Table6[[#This Row],[ICD Code]],ICD_summary!$I$3:$M$38,5,0)</f>
        <v>PD</v>
      </c>
      <c r="I725" s="12">
        <v>999</v>
      </c>
      <c r="J7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25" s="11" t="s">
        <v>51</v>
      </c>
      <c r="L725" s="11"/>
      <c r="M725" s="11"/>
      <c r="N725" s="11">
        <v>54.231000000000002</v>
      </c>
      <c r="O725" s="11">
        <v>54.203000000000003</v>
      </c>
      <c r="P725" s="11">
        <v>107.62</v>
      </c>
      <c r="Q725" s="11">
        <v>108.84699999999999</v>
      </c>
      <c r="R725" s="11">
        <v>111.361</v>
      </c>
      <c r="S725" s="11">
        <v>112.947</v>
      </c>
      <c r="T725" s="11">
        <v>122.82599999999999</v>
      </c>
      <c r="U725" s="11">
        <v>123.248</v>
      </c>
      <c r="V725" s="11">
        <v>62.429000000000002</v>
      </c>
      <c r="W725" s="11">
        <v>61.6</v>
      </c>
      <c r="X725" s="11">
        <v>37.570999999999998</v>
      </c>
      <c r="Y725" s="11">
        <v>38.4</v>
      </c>
      <c r="Z725" s="11">
        <v>12.52</v>
      </c>
      <c r="AA725" s="11">
        <v>11.708</v>
      </c>
      <c r="AB725" s="11">
        <v>38.4</v>
      </c>
      <c r="AC725" s="11">
        <v>37.570999999999998</v>
      </c>
      <c r="AD725" s="11">
        <v>9.44</v>
      </c>
      <c r="AE725" s="11">
        <v>11</v>
      </c>
      <c r="AF725" s="11">
        <v>12</v>
      </c>
      <c r="AG725" s="11">
        <v>11</v>
      </c>
      <c r="AH725" s="11">
        <v>11</v>
      </c>
    </row>
    <row r="726" spans="1:34" s="33" customFormat="1" x14ac:dyDescent="0.2">
      <c r="A726" s="11">
        <v>854</v>
      </c>
      <c r="B726" s="11"/>
      <c r="C726" s="11"/>
      <c r="D726" s="11"/>
      <c r="E726" s="11"/>
      <c r="F726" s="11" t="s">
        <v>62</v>
      </c>
      <c r="G726" s="11" t="s">
        <v>63</v>
      </c>
      <c r="H726" s="56" t="str">
        <f>VLOOKUP(Table6[[#This Row],[ICD Code]],ICD_summary!$I$3:$M$38,5,0)</f>
        <v>PD</v>
      </c>
      <c r="I726" s="12">
        <v>67.900000000000006</v>
      </c>
      <c r="J7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6" s="11" t="s">
        <v>55</v>
      </c>
      <c r="L726" s="11"/>
      <c r="M726" s="11"/>
      <c r="N726" s="11">
        <v>41.311</v>
      </c>
      <c r="O726" s="11">
        <v>33.695</v>
      </c>
      <c r="P726" s="11">
        <v>75.113</v>
      </c>
      <c r="Q726" s="11">
        <v>74.552000000000007</v>
      </c>
      <c r="R726" s="11">
        <v>62.152000000000001</v>
      </c>
      <c r="S726" s="11">
        <v>61.918999999999997</v>
      </c>
      <c r="T726" s="11">
        <v>98.953999999999994</v>
      </c>
      <c r="U726" s="11">
        <v>99.284999999999997</v>
      </c>
      <c r="V726" s="11">
        <v>67.591999999999999</v>
      </c>
      <c r="W726" s="11">
        <v>66.897000000000006</v>
      </c>
      <c r="X726" s="11">
        <v>32.408000000000001</v>
      </c>
      <c r="Y726" s="11">
        <v>33.103000000000002</v>
      </c>
      <c r="Z726" s="11">
        <v>16.815999999999999</v>
      </c>
      <c r="AA726" s="11">
        <v>17.399000000000001</v>
      </c>
      <c r="AB726" s="11">
        <v>33.103000000000002</v>
      </c>
      <c r="AC726" s="11">
        <v>32.408000000000001</v>
      </c>
      <c r="AD726" s="11">
        <v>10.003</v>
      </c>
      <c r="AE726" s="11">
        <v>14</v>
      </c>
      <c r="AF726" s="11">
        <v>15</v>
      </c>
      <c r="AG726" s="11">
        <v>14</v>
      </c>
      <c r="AH726" s="11">
        <v>14</v>
      </c>
    </row>
    <row r="727" spans="1:34" s="33" customFormat="1" x14ac:dyDescent="0.2">
      <c r="A727" s="11">
        <v>855</v>
      </c>
      <c r="B727" s="11"/>
      <c r="C727" s="11"/>
      <c r="D727" s="11"/>
      <c r="E727" s="11"/>
      <c r="F727" s="11" t="s">
        <v>51</v>
      </c>
      <c r="G727" s="11" t="s">
        <v>51</v>
      </c>
      <c r="H727" s="56" t="str">
        <f>VLOOKUP(Table6[[#This Row],[ICD Code]],ICD_summary!$I$3:$M$38,5,0)</f>
        <v>Misc/Other</v>
      </c>
      <c r="I727" s="12">
        <v>999</v>
      </c>
      <c r="J7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27" s="11" t="s">
        <v>51</v>
      </c>
      <c r="L727" s="11"/>
      <c r="M727" s="11"/>
      <c r="N727" s="11">
        <v>61.085000000000001</v>
      </c>
      <c r="O727" s="11">
        <v>59.101999999999997</v>
      </c>
      <c r="P727" s="11">
        <v>120.27800000000001</v>
      </c>
      <c r="Q727" s="11">
        <v>120.93899999999999</v>
      </c>
      <c r="R727" s="11">
        <v>116.851</v>
      </c>
      <c r="S727" s="11">
        <v>116.47</v>
      </c>
      <c r="T727" s="11">
        <v>116.887</v>
      </c>
      <c r="U727" s="11">
        <v>114.631</v>
      </c>
      <c r="V727" s="11">
        <v>63.481000000000002</v>
      </c>
      <c r="W727" s="11">
        <v>65.555000000000007</v>
      </c>
      <c r="X727" s="11">
        <v>36.518999999999998</v>
      </c>
      <c r="Y727" s="11">
        <v>34.445</v>
      </c>
      <c r="Z727" s="11">
        <v>14.731999999999999</v>
      </c>
      <c r="AA727" s="11">
        <v>14.548</v>
      </c>
      <c r="AB727" s="11">
        <v>34.445</v>
      </c>
      <c r="AC727" s="11">
        <v>36.518999999999998</v>
      </c>
      <c r="AD727" s="11">
        <v>11.885999999999999</v>
      </c>
      <c r="AE727" s="11">
        <v>10</v>
      </c>
      <c r="AF727" s="11">
        <v>10</v>
      </c>
      <c r="AG727" s="11">
        <v>10</v>
      </c>
      <c r="AH727" s="11">
        <v>10</v>
      </c>
    </row>
    <row r="728" spans="1:34" s="33" customFormat="1" x14ac:dyDescent="0.2">
      <c r="A728" s="11">
        <v>856</v>
      </c>
      <c r="B728" s="11"/>
      <c r="C728" s="11"/>
      <c r="D728" s="11"/>
      <c r="E728" s="11"/>
      <c r="F728" s="11" t="s">
        <v>62</v>
      </c>
      <c r="G728" s="11" t="s">
        <v>63</v>
      </c>
      <c r="H728" s="56" t="str">
        <f>VLOOKUP(Table6[[#This Row],[ICD Code]],ICD_summary!$I$3:$M$38,5,0)</f>
        <v>PD</v>
      </c>
      <c r="I728" s="12">
        <v>73.599999999999994</v>
      </c>
      <c r="J7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8" s="11" t="s">
        <v>55</v>
      </c>
      <c r="L728" s="11"/>
      <c r="M728" s="11"/>
      <c r="N728" s="11">
        <v>53.313000000000002</v>
      </c>
      <c r="O728" s="11">
        <v>50.05</v>
      </c>
      <c r="P728" s="11">
        <v>103.43899999999999</v>
      </c>
      <c r="Q728" s="11">
        <v>103.205</v>
      </c>
      <c r="R728" s="11">
        <v>85.147999999999996</v>
      </c>
      <c r="S728" s="11">
        <v>84.025999999999996</v>
      </c>
      <c r="T728" s="11">
        <v>98.363</v>
      </c>
      <c r="U728" s="11">
        <v>97.328000000000003</v>
      </c>
      <c r="V728" s="11">
        <v>64.792000000000002</v>
      </c>
      <c r="W728" s="11">
        <v>66.900000000000006</v>
      </c>
      <c r="X728" s="11">
        <v>35.207999999999998</v>
      </c>
      <c r="Y728" s="11">
        <v>33.1</v>
      </c>
      <c r="Z728" s="11">
        <v>15.824999999999999</v>
      </c>
      <c r="AA728" s="11">
        <v>15.925000000000001</v>
      </c>
      <c r="AB728" s="11">
        <v>33.1</v>
      </c>
      <c r="AC728" s="11">
        <v>35.207999999999998</v>
      </c>
      <c r="AD728" s="11">
        <v>6.2050000000000001</v>
      </c>
      <c r="AE728" s="11">
        <v>10</v>
      </c>
      <c r="AF728" s="11">
        <v>10</v>
      </c>
      <c r="AG728" s="11">
        <v>10</v>
      </c>
      <c r="AH728" s="11">
        <v>10</v>
      </c>
    </row>
    <row r="729" spans="1:34" s="33" customFormat="1" x14ac:dyDescent="0.2">
      <c r="A729" s="11">
        <v>857</v>
      </c>
      <c r="B729" s="11"/>
      <c r="C729" s="11"/>
      <c r="D729" s="11"/>
      <c r="E729" s="11"/>
      <c r="F729" s="11" t="s">
        <v>62</v>
      </c>
      <c r="G729" s="11" t="s">
        <v>63</v>
      </c>
      <c r="H729" s="56" t="str">
        <f>VLOOKUP(Table6[[#This Row],[ICD Code]],ICD_summary!$I$3:$M$38,5,0)</f>
        <v>PD</v>
      </c>
      <c r="I729" s="12">
        <v>71.900000000000006</v>
      </c>
      <c r="J7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9" s="11" t="s">
        <v>52</v>
      </c>
      <c r="L729" s="11"/>
      <c r="M729" s="11"/>
      <c r="N729" s="11">
        <v>44.805</v>
      </c>
      <c r="O729" s="11">
        <v>47.097999999999999</v>
      </c>
      <c r="P729" s="11">
        <v>92.738</v>
      </c>
      <c r="Q729" s="11">
        <v>92.17</v>
      </c>
      <c r="R729" s="11">
        <v>95.067999999999998</v>
      </c>
      <c r="S729" s="11">
        <v>95.042000000000002</v>
      </c>
      <c r="T729" s="11">
        <v>123.691</v>
      </c>
      <c r="U729" s="11">
        <v>123.28400000000001</v>
      </c>
      <c r="V729" s="11">
        <v>61.042999999999999</v>
      </c>
      <c r="W729" s="11">
        <v>63.258000000000003</v>
      </c>
      <c r="X729" s="11">
        <v>38.957000000000001</v>
      </c>
      <c r="Y729" s="11">
        <v>36.741999999999997</v>
      </c>
      <c r="Z729" s="11">
        <v>11.257999999999999</v>
      </c>
      <c r="AA729" s="11">
        <v>12.536</v>
      </c>
      <c r="AB729" s="11">
        <v>36.741999999999997</v>
      </c>
      <c r="AC729" s="11">
        <v>38.957000000000001</v>
      </c>
      <c r="AD729" s="11">
        <v>8.2759999999999998</v>
      </c>
      <c r="AE729" s="11">
        <v>14</v>
      </c>
      <c r="AF729" s="11">
        <v>14</v>
      </c>
      <c r="AG729" s="11">
        <v>14</v>
      </c>
      <c r="AH729" s="11">
        <v>14</v>
      </c>
    </row>
    <row r="730" spans="1:34" s="33" customFormat="1" x14ac:dyDescent="0.2">
      <c r="A730" s="11">
        <v>858</v>
      </c>
      <c r="B730" s="11"/>
      <c r="C730" s="11"/>
      <c r="D730" s="11"/>
      <c r="E730" s="11"/>
      <c r="F730" s="11" t="s">
        <v>62</v>
      </c>
      <c r="G730" s="11" t="s">
        <v>63</v>
      </c>
      <c r="H730" s="56" t="str">
        <f>VLOOKUP(Table6[[#This Row],[ICD Code]],ICD_summary!$I$3:$M$38,5,0)</f>
        <v>PD</v>
      </c>
      <c r="I730" s="12">
        <v>53.1</v>
      </c>
      <c r="J7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30" s="11" t="s">
        <v>55</v>
      </c>
      <c r="L730" s="11"/>
      <c r="M730" s="11"/>
      <c r="N730" s="11">
        <v>46.042000000000002</v>
      </c>
      <c r="O730" s="11">
        <v>41.817</v>
      </c>
      <c r="P730" s="11">
        <v>87.468999999999994</v>
      </c>
      <c r="Q730" s="11">
        <v>88.251000000000005</v>
      </c>
      <c r="R730" s="11">
        <v>78.289000000000001</v>
      </c>
      <c r="S730" s="11">
        <v>78.837000000000003</v>
      </c>
      <c r="T730" s="11">
        <v>107.553</v>
      </c>
      <c r="U730" s="11">
        <v>106.836</v>
      </c>
      <c r="V730" s="11">
        <v>65.006</v>
      </c>
      <c r="W730" s="11">
        <v>64.082999999999998</v>
      </c>
      <c r="X730" s="11">
        <v>34.994</v>
      </c>
      <c r="Y730" s="11">
        <v>35.917000000000002</v>
      </c>
      <c r="Z730" s="11">
        <v>14.847</v>
      </c>
      <c r="AA730" s="11">
        <v>14.576000000000001</v>
      </c>
      <c r="AB730" s="11">
        <v>35.917000000000002</v>
      </c>
      <c r="AC730" s="11">
        <v>34.994</v>
      </c>
      <c r="AD730" s="11">
        <v>14.055</v>
      </c>
      <c r="AE730" s="11">
        <v>16</v>
      </c>
      <c r="AF730" s="11">
        <v>16</v>
      </c>
      <c r="AG730" s="11">
        <v>16</v>
      </c>
      <c r="AH730" s="11">
        <v>16</v>
      </c>
    </row>
    <row r="731" spans="1:34" s="33" customFormat="1" x14ac:dyDescent="0.2">
      <c r="A731" s="11">
        <v>859</v>
      </c>
      <c r="B731" s="11"/>
      <c r="C731" s="11"/>
      <c r="D731" s="11"/>
      <c r="E731" s="11"/>
      <c r="F731" s="11" t="s">
        <v>72</v>
      </c>
      <c r="G731" s="11" t="s">
        <v>73</v>
      </c>
      <c r="H731" s="56" t="str">
        <f>VLOOKUP(Table6[[#This Row],[ICD Code]],ICD_summary!$I$3:$M$38,5,0)</f>
        <v>Tremor, other</v>
      </c>
      <c r="I731" s="12">
        <v>67.400000000000006</v>
      </c>
      <c r="J7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1" s="11" t="s">
        <v>55</v>
      </c>
      <c r="L731" s="11"/>
      <c r="M731" s="11"/>
      <c r="N731" s="11" t="s">
        <v>51</v>
      </c>
      <c r="O731" s="11" t="s">
        <v>51</v>
      </c>
      <c r="P731" s="11" t="s">
        <v>51</v>
      </c>
      <c r="Q731" s="11" t="s">
        <v>51</v>
      </c>
      <c r="R731" s="11" t="s">
        <v>51</v>
      </c>
      <c r="S731" s="11" t="s">
        <v>51</v>
      </c>
      <c r="T731" s="11" t="s">
        <v>51</v>
      </c>
      <c r="U731" s="11" t="s">
        <v>51</v>
      </c>
      <c r="V731" s="11" t="s">
        <v>51</v>
      </c>
      <c r="W731" s="11" t="s">
        <v>51</v>
      </c>
      <c r="X731" s="11" t="s">
        <v>51</v>
      </c>
      <c r="Y731" s="11" t="s">
        <v>51</v>
      </c>
      <c r="Z731" s="11" t="s">
        <v>51</v>
      </c>
      <c r="AA731" s="11" t="s">
        <v>51</v>
      </c>
      <c r="AB731" s="11" t="s">
        <v>51</v>
      </c>
      <c r="AC731" s="11" t="s">
        <v>51</v>
      </c>
      <c r="AD731" s="11" t="s">
        <v>51</v>
      </c>
      <c r="AE731" s="11" t="s">
        <v>51</v>
      </c>
      <c r="AF731" s="11" t="s">
        <v>51</v>
      </c>
      <c r="AG731" s="11" t="s">
        <v>51</v>
      </c>
      <c r="AH731" s="11" t="s">
        <v>51</v>
      </c>
    </row>
    <row r="732" spans="1:34" s="33" customFormat="1" x14ac:dyDescent="0.2">
      <c r="A732" s="11">
        <v>860</v>
      </c>
      <c r="B732" s="11"/>
      <c r="C732" s="11"/>
      <c r="D732" s="11"/>
      <c r="E732" s="11"/>
      <c r="F732" s="11" t="s">
        <v>51</v>
      </c>
      <c r="G732" s="11" t="s">
        <v>51</v>
      </c>
      <c r="H732" s="56" t="str">
        <f>VLOOKUP(Table6[[#This Row],[ICD Code]],ICD_summary!$I$3:$M$38,5,0)</f>
        <v>Misc/Other</v>
      </c>
      <c r="I732" s="12">
        <v>999</v>
      </c>
      <c r="J7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32" s="11" t="s">
        <v>51</v>
      </c>
      <c r="L732" s="11"/>
      <c r="M732" s="11"/>
      <c r="N732" s="11">
        <v>65.879000000000005</v>
      </c>
      <c r="O732" s="11">
        <v>64.180999999999997</v>
      </c>
      <c r="P732" s="11">
        <v>130.27000000000001</v>
      </c>
      <c r="Q732" s="11">
        <v>130.084</v>
      </c>
      <c r="R732" s="11">
        <v>122.06</v>
      </c>
      <c r="S732" s="11">
        <v>122.18300000000001</v>
      </c>
      <c r="T732" s="11">
        <v>112.175</v>
      </c>
      <c r="U732" s="11">
        <v>112.009</v>
      </c>
      <c r="V732" s="11">
        <v>61.683999999999997</v>
      </c>
      <c r="W732" s="11">
        <v>62.203000000000003</v>
      </c>
      <c r="X732" s="11">
        <v>38.316000000000003</v>
      </c>
      <c r="Y732" s="11">
        <v>37.796999999999997</v>
      </c>
      <c r="Z732" s="11">
        <v>11.917</v>
      </c>
      <c r="AA732" s="11">
        <v>12.598000000000001</v>
      </c>
      <c r="AB732" s="11">
        <v>37.796999999999997</v>
      </c>
      <c r="AC732" s="11">
        <v>38.316000000000003</v>
      </c>
      <c r="AD732" s="11">
        <v>12.676</v>
      </c>
      <c r="AE732" s="11">
        <v>10</v>
      </c>
      <c r="AF732" s="11">
        <v>10</v>
      </c>
      <c r="AG732" s="11">
        <v>10</v>
      </c>
      <c r="AH732" s="11">
        <v>10</v>
      </c>
    </row>
    <row r="733" spans="1:34" s="33" customFormat="1" x14ac:dyDescent="0.2">
      <c r="A733" s="11">
        <v>861</v>
      </c>
      <c r="B733" s="11"/>
      <c r="C733" s="11"/>
      <c r="D733" s="11"/>
      <c r="E733" s="11"/>
      <c r="F733" s="11" t="s">
        <v>68</v>
      </c>
      <c r="G733" s="11" t="s">
        <v>69</v>
      </c>
      <c r="H733" s="56" t="str">
        <f>VLOOKUP(Table6[[#This Row],[ICD Code]],ICD_summary!$I$3:$M$38,5,0)</f>
        <v>Tremor, essential tremor</v>
      </c>
      <c r="I733" s="12">
        <v>54.2</v>
      </c>
      <c r="J7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33" s="11" t="s">
        <v>55</v>
      </c>
      <c r="L733" s="11"/>
      <c r="M733" s="11"/>
      <c r="N733" s="11">
        <v>53.915999999999997</v>
      </c>
      <c r="O733" s="11">
        <v>52.078000000000003</v>
      </c>
      <c r="P733" s="11">
        <v>105.91800000000001</v>
      </c>
      <c r="Q733" s="11">
        <v>104.91800000000001</v>
      </c>
      <c r="R733" s="11">
        <v>104.988</v>
      </c>
      <c r="S733" s="11">
        <v>104.96</v>
      </c>
      <c r="T733" s="11">
        <v>119.004</v>
      </c>
      <c r="U733" s="11">
        <v>119.099</v>
      </c>
      <c r="V733" s="11">
        <v>64.808000000000007</v>
      </c>
      <c r="W733" s="11">
        <v>63.744999999999997</v>
      </c>
      <c r="X733" s="11">
        <v>35.192</v>
      </c>
      <c r="Y733" s="11">
        <v>36.255000000000003</v>
      </c>
      <c r="Z733" s="11">
        <v>14.039</v>
      </c>
      <c r="AA733" s="11">
        <v>14.178000000000001</v>
      </c>
      <c r="AB733" s="11">
        <v>36.255000000000003</v>
      </c>
      <c r="AC733" s="11">
        <v>35.192</v>
      </c>
      <c r="AD733" s="11">
        <v>9.5920000000000005</v>
      </c>
      <c r="AE733" s="11">
        <v>15</v>
      </c>
      <c r="AF733" s="11">
        <v>13</v>
      </c>
      <c r="AG733" s="11">
        <v>13</v>
      </c>
      <c r="AH733" s="11">
        <v>13</v>
      </c>
    </row>
    <row r="734" spans="1:34" s="33" customFormat="1" x14ac:dyDescent="0.2">
      <c r="A734" s="11">
        <v>862</v>
      </c>
      <c r="B734" s="11"/>
      <c r="C734" s="11"/>
      <c r="D734" s="11"/>
      <c r="E734" s="11"/>
      <c r="F734" s="11" t="s">
        <v>72</v>
      </c>
      <c r="G734" s="11" t="s">
        <v>73</v>
      </c>
      <c r="H734" s="56" t="str">
        <f>VLOOKUP(Table6[[#This Row],[ICD Code]],ICD_summary!$I$3:$M$38,5,0)</f>
        <v>Tremor, other</v>
      </c>
      <c r="I734" s="12">
        <v>79.2</v>
      </c>
      <c r="J7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4" s="11" t="s">
        <v>55</v>
      </c>
      <c r="L734" s="11"/>
      <c r="M734" s="11"/>
      <c r="N734" s="11">
        <v>56.893000000000001</v>
      </c>
      <c r="O734" s="11">
        <v>56.746000000000002</v>
      </c>
      <c r="P734" s="11">
        <v>113.173</v>
      </c>
      <c r="Q734" s="11">
        <v>113.524</v>
      </c>
      <c r="R734" s="11">
        <v>104.211</v>
      </c>
      <c r="S734" s="11">
        <v>104.256</v>
      </c>
      <c r="T734" s="11">
        <v>111.006</v>
      </c>
      <c r="U734" s="11">
        <v>110.43600000000001</v>
      </c>
      <c r="V734" s="11">
        <v>61.182000000000002</v>
      </c>
      <c r="W734" s="11">
        <v>60.530999999999999</v>
      </c>
      <c r="X734" s="11">
        <v>38.817999999999998</v>
      </c>
      <c r="Y734" s="11">
        <v>39.469000000000001</v>
      </c>
      <c r="Z734" s="11">
        <v>11.398999999999999</v>
      </c>
      <c r="AA734" s="11">
        <v>10.73</v>
      </c>
      <c r="AB734" s="11">
        <v>39.469000000000001</v>
      </c>
      <c r="AC734" s="11">
        <v>38.817999999999998</v>
      </c>
      <c r="AD734" s="11">
        <v>9.5340000000000007</v>
      </c>
      <c r="AE734" s="11">
        <v>11</v>
      </c>
      <c r="AF734" s="11">
        <v>12</v>
      </c>
      <c r="AG734" s="11">
        <v>11</v>
      </c>
      <c r="AH734" s="11">
        <v>11</v>
      </c>
    </row>
    <row r="735" spans="1:34" s="33" customFormat="1" x14ac:dyDescent="0.2">
      <c r="A735" s="11">
        <v>863</v>
      </c>
      <c r="B735" s="11"/>
      <c r="C735" s="11"/>
      <c r="D735" s="11"/>
      <c r="E735" s="11"/>
      <c r="F735" s="11" t="s">
        <v>62</v>
      </c>
      <c r="G735" s="11" t="s">
        <v>63</v>
      </c>
      <c r="H735" s="56" t="str">
        <f>VLOOKUP(Table6[[#This Row],[ICD Code]],ICD_summary!$I$3:$M$38,5,0)</f>
        <v>PD</v>
      </c>
      <c r="I735" s="12">
        <v>71.8</v>
      </c>
      <c r="J7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5" s="11" t="s">
        <v>52</v>
      </c>
      <c r="L735" s="11"/>
      <c r="M735" s="11"/>
      <c r="N735" s="11" t="s">
        <v>51</v>
      </c>
      <c r="O735" s="11" t="s">
        <v>51</v>
      </c>
      <c r="P735" s="11" t="s">
        <v>51</v>
      </c>
      <c r="Q735" s="11" t="s">
        <v>51</v>
      </c>
      <c r="R735" s="11" t="s">
        <v>51</v>
      </c>
      <c r="S735" s="11" t="s">
        <v>51</v>
      </c>
      <c r="T735" s="11" t="s">
        <v>51</v>
      </c>
      <c r="U735" s="11" t="s">
        <v>51</v>
      </c>
      <c r="V735" s="11" t="s">
        <v>51</v>
      </c>
      <c r="W735" s="11" t="s">
        <v>51</v>
      </c>
      <c r="X735" s="11" t="s">
        <v>51</v>
      </c>
      <c r="Y735" s="11" t="s">
        <v>51</v>
      </c>
      <c r="Z735" s="11" t="s">
        <v>51</v>
      </c>
      <c r="AA735" s="11" t="s">
        <v>51</v>
      </c>
      <c r="AB735" s="11" t="s">
        <v>51</v>
      </c>
      <c r="AC735" s="11" t="s">
        <v>51</v>
      </c>
      <c r="AD735" s="11" t="s">
        <v>51</v>
      </c>
      <c r="AE735" s="11" t="s">
        <v>51</v>
      </c>
      <c r="AF735" s="11" t="s">
        <v>51</v>
      </c>
      <c r="AG735" s="11" t="s">
        <v>51</v>
      </c>
      <c r="AH735" s="11" t="s">
        <v>51</v>
      </c>
    </row>
    <row r="736" spans="1:34" s="33" customFormat="1" x14ac:dyDescent="0.2">
      <c r="A736" s="11">
        <v>864</v>
      </c>
      <c r="B736" s="11"/>
      <c r="C736" s="11"/>
      <c r="D736" s="11"/>
      <c r="E736" s="11"/>
      <c r="F736" s="11" t="s">
        <v>51</v>
      </c>
      <c r="G736" s="11" t="s">
        <v>51</v>
      </c>
      <c r="H736" s="56" t="str">
        <f>VLOOKUP(Table6[[#This Row],[ICD Code]],ICD_summary!$I$3:$M$38,5,0)</f>
        <v>Misc/Other</v>
      </c>
      <c r="I736" s="12">
        <v>999</v>
      </c>
      <c r="J7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36" s="11" t="s">
        <v>51</v>
      </c>
      <c r="L736" s="11"/>
      <c r="M736" s="11"/>
      <c r="N736" s="11">
        <v>36.177999999999997</v>
      </c>
      <c r="O736" s="11">
        <v>39.140999999999998</v>
      </c>
      <c r="P736" s="11">
        <v>75.225999999999999</v>
      </c>
      <c r="Q736" s="11">
        <v>75.731999999999999</v>
      </c>
      <c r="R736" s="11">
        <v>57.204999999999998</v>
      </c>
      <c r="S736" s="11">
        <v>57.713000000000001</v>
      </c>
      <c r="T736" s="11">
        <v>91.35</v>
      </c>
      <c r="U736" s="11">
        <v>90.766000000000005</v>
      </c>
      <c r="V736" s="11">
        <v>66.888000000000005</v>
      </c>
      <c r="W736" s="11">
        <v>63.834000000000003</v>
      </c>
      <c r="X736" s="11">
        <v>33.112000000000002</v>
      </c>
      <c r="Y736" s="11">
        <v>36.165999999999997</v>
      </c>
      <c r="Z736" s="11">
        <v>14.840999999999999</v>
      </c>
      <c r="AA736" s="11">
        <v>15.483000000000001</v>
      </c>
      <c r="AB736" s="11">
        <v>36.165999999999997</v>
      </c>
      <c r="AC736" s="11">
        <v>33.112000000000002</v>
      </c>
      <c r="AD736" s="11">
        <v>13.797000000000001</v>
      </c>
      <c r="AE736" s="11">
        <v>10</v>
      </c>
      <c r="AF736" s="11">
        <v>11</v>
      </c>
      <c r="AG736" s="11">
        <v>10</v>
      </c>
      <c r="AH736" s="11">
        <v>10</v>
      </c>
    </row>
    <row r="737" spans="1:34" s="33" customFormat="1" x14ac:dyDescent="0.2">
      <c r="A737" s="11">
        <v>865</v>
      </c>
      <c r="B737" s="11"/>
      <c r="C737" s="11"/>
      <c r="D737" s="11"/>
      <c r="E737" s="11"/>
      <c r="F737" s="11" t="s">
        <v>68</v>
      </c>
      <c r="G737" s="11" t="s">
        <v>69</v>
      </c>
      <c r="H737" s="56" t="str">
        <f>VLOOKUP(Table6[[#This Row],[ICD Code]],ICD_summary!$I$3:$M$38,5,0)</f>
        <v>Tremor, essential tremor</v>
      </c>
      <c r="I737" s="12">
        <v>67.5</v>
      </c>
      <c r="J7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7" s="11" t="s">
        <v>52</v>
      </c>
      <c r="L737" s="11"/>
      <c r="M737" s="11"/>
      <c r="N737" s="11">
        <v>56.682000000000002</v>
      </c>
      <c r="O737" s="11">
        <v>59.161999999999999</v>
      </c>
      <c r="P737" s="11">
        <v>116.026</v>
      </c>
      <c r="Q737" s="11">
        <v>116.34699999999999</v>
      </c>
      <c r="R737" s="11">
        <v>89.022999999999996</v>
      </c>
      <c r="S737" s="11">
        <v>88.99</v>
      </c>
      <c r="T737" s="11">
        <v>91.995000000000005</v>
      </c>
      <c r="U737" s="11">
        <v>91.984999999999999</v>
      </c>
      <c r="V737" s="11">
        <v>64.015000000000001</v>
      </c>
      <c r="W737" s="11">
        <v>63.021000000000001</v>
      </c>
      <c r="X737" s="11">
        <v>35.984999999999999</v>
      </c>
      <c r="Y737" s="11">
        <v>36.978999999999999</v>
      </c>
      <c r="Z737" s="11">
        <v>14.305999999999999</v>
      </c>
      <c r="AA737" s="11">
        <v>13.589</v>
      </c>
      <c r="AB737" s="11">
        <v>36.978999999999999</v>
      </c>
      <c r="AC737" s="11">
        <v>35.984999999999999</v>
      </c>
      <c r="AD737" s="11">
        <v>13.974</v>
      </c>
      <c r="AE737" s="11">
        <v>12</v>
      </c>
      <c r="AF737" s="11">
        <v>11</v>
      </c>
      <c r="AG737" s="11">
        <v>11</v>
      </c>
      <c r="AH737" s="11">
        <v>11</v>
      </c>
    </row>
    <row r="738" spans="1:34" s="33" customFormat="1" x14ac:dyDescent="0.2">
      <c r="A738" s="11">
        <v>866</v>
      </c>
      <c r="B738" s="11"/>
      <c r="C738" s="11"/>
      <c r="D738" s="11"/>
      <c r="E738" s="11"/>
      <c r="F738" s="11" t="s">
        <v>72</v>
      </c>
      <c r="G738" s="11" t="s">
        <v>73</v>
      </c>
      <c r="H738" s="56" t="str">
        <f>VLOOKUP(Table6[[#This Row],[ICD Code]],ICD_summary!$I$3:$M$38,5,0)</f>
        <v>Tremor, other</v>
      </c>
      <c r="I738" s="12">
        <v>67.2</v>
      </c>
      <c r="J7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8" s="11" t="s">
        <v>55</v>
      </c>
      <c r="L738" s="11"/>
      <c r="M738" s="11"/>
      <c r="N738" s="11" t="s">
        <v>51</v>
      </c>
      <c r="O738" s="11" t="s">
        <v>51</v>
      </c>
      <c r="P738" s="11" t="s">
        <v>51</v>
      </c>
      <c r="Q738" s="11" t="s">
        <v>51</v>
      </c>
      <c r="R738" s="11" t="s">
        <v>51</v>
      </c>
      <c r="S738" s="11" t="s">
        <v>51</v>
      </c>
      <c r="T738" s="11" t="s">
        <v>51</v>
      </c>
      <c r="U738" s="11" t="s">
        <v>51</v>
      </c>
      <c r="V738" s="11" t="s">
        <v>51</v>
      </c>
      <c r="W738" s="11" t="s">
        <v>51</v>
      </c>
      <c r="X738" s="11" t="s">
        <v>51</v>
      </c>
      <c r="Y738" s="11" t="s">
        <v>51</v>
      </c>
      <c r="Z738" s="11" t="s">
        <v>51</v>
      </c>
      <c r="AA738" s="11" t="s">
        <v>51</v>
      </c>
      <c r="AB738" s="11" t="s">
        <v>51</v>
      </c>
      <c r="AC738" s="11" t="s">
        <v>51</v>
      </c>
      <c r="AD738" s="11" t="s">
        <v>51</v>
      </c>
      <c r="AE738" s="11" t="s">
        <v>51</v>
      </c>
      <c r="AF738" s="11" t="s">
        <v>51</v>
      </c>
      <c r="AG738" s="11" t="s">
        <v>51</v>
      </c>
      <c r="AH738" s="11" t="s">
        <v>51</v>
      </c>
    </row>
    <row r="739" spans="1:34" s="33" customFormat="1" x14ac:dyDescent="0.2">
      <c r="A739" s="11">
        <v>867</v>
      </c>
      <c r="B739" s="11"/>
      <c r="C739" s="11"/>
      <c r="D739" s="11"/>
      <c r="E739" s="11"/>
      <c r="F739" s="11" t="s">
        <v>68</v>
      </c>
      <c r="G739" s="11" t="s">
        <v>69</v>
      </c>
      <c r="H739" s="56" t="str">
        <f>VLOOKUP(Table6[[#This Row],[ICD Code]],ICD_summary!$I$3:$M$38,5,0)</f>
        <v>Tremor, essential tremor</v>
      </c>
      <c r="I739" s="12">
        <v>77.7</v>
      </c>
      <c r="J7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9" s="11" t="s">
        <v>55</v>
      </c>
      <c r="L739" s="11"/>
      <c r="M739" s="11"/>
      <c r="N739" s="11">
        <v>70.847999999999999</v>
      </c>
      <c r="O739" s="11">
        <v>67.799000000000007</v>
      </c>
      <c r="P739" s="11">
        <v>139.00399999999999</v>
      </c>
      <c r="Q739" s="11">
        <v>137.756</v>
      </c>
      <c r="R739" s="11">
        <v>130.65100000000001</v>
      </c>
      <c r="S739" s="11">
        <v>129.821</v>
      </c>
      <c r="T739" s="11">
        <v>112.008</v>
      </c>
      <c r="U739" s="11">
        <v>112.108</v>
      </c>
      <c r="V739" s="11">
        <v>59.399000000000001</v>
      </c>
      <c r="W739" s="11">
        <v>60.844000000000001</v>
      </c>
      <c r="X739" s="11">
        <v>40.600999999999999</v>
      </c>
      <c r="Y739" s="11">
        <v>39.155999999999999</v>
      </c>
      <c r="Z739" s="11">
        <v>10.855</v>
      </c>
      <c r="AA739" s="11">
        <v>10.622999999999999</v>
      </c>
      <c r="AB739" s="11">
        <v>39.155999999999999</v>
      </c>
      <c r="AC739" s="11">
        <v>40.600999999999999</v>
      </c>
      <c r="AD739" s="11">
        <v>9.1129999999999995</v>
      </c>
      <c r="AE739" s="11">
        <v>11</v>
      </c>
      <c r="AF739" s="11">
        <v>8</v>
      </c>
      <c r="AG739" s="11">
        <v>8</v>
      </c>
      <c r="AH739" s="11">
        <v>8</v>
      </c>
    </row>
    <row r="740" spans="1:34" s="33" customFormat="1" x14ac:dyDescent="0.2">
      <c r="A740" s="11">
        <v>868</v>
      </c>
      <c r="B740" s="11"/>
      <c r="C740" s="11"/>
      <c r="D740" s="11"/>
      <c r="E740" s="11"/>
      <c r="F740" s="11" t="s">
        <v>112</v>
      </c>
      <c r="G740" s="11" t="s">
        <v>113</v>
      </c>
      <c r="H740" s="56" t="str">
        <f>VLOOKUP(Table6[[#This Row],[ICD Code]],ICD_summary!$I$3:$M$38,5,0)</f>
        <v>Misc/Other</v>
      </c>
      <c r="I740" s="12">
        <v>66.900000000000006</v>
      </c>
      <c r="J7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40" s="11" t="s">
        <v>52</v>
      </c>
      <c r="L740" s="11"/>
      <c r="M740" s="11"/>
      <c r="N740" s="11">
        <v>52.069000000000003</v>
      </c>
      <c r="O740" s="11">
        <v>56.848999999999997</v>
      </c>
      <c r="P740" s="11">
        <v>108.663</v>
      </c>
      <c r="Q740" s="11">
        <v>109.551</v>
      </c>
      <c r="R740" s="11">
        <v>92.673000000000002</v>
      </c>
      <c r="S740" s="11">
        <v>93.417000000000002</v>
      </c>
      <c r="T740" s="11">
        <v>102.048</v>
      </c>
      <c r="U740" s="11">
        <v>101.85</v>
      </c>
      <c r="V740" s="11">
        <v>64.367000000000004</v>
      </c>
      <c r="W740" s="11">
        <v>63.491999999999997</v>
      </c>
      <c r="X740" s="11">
        <v>35.633000000000003</v>
      </c>
      <c r="Y740" s="11">
        <v>36.508000000000003</v>
      </c>
      <c r="Z740" s="11">
        <v>14.186999999999999</v>
      </c>
      <c r="AA740" s="11">
        <v>14.592000000000001</v>
      </c>
      <c r="AB740" s="11">
        <v>36.508000000000003</v>
      </c>
      <c r="AC740" s="11">
        <v>35.633000000000003</v>
      </c>
      <c r="AD740" s="11">
        <v>8.6059999999999999</v>
      </c>
      <c r="AE740" s="11">
        <v>11</v>
      </c>
      <c r="AF740" s="11">
        <v>14</v>
      </c>
      <c r="AG740" s="11">
        <v>11</v>
      </c>
      <c r="AH740" s="11">
        <v>11</v>
      </c>
    </row>
    <row r="741" spans="1:34" s="33" customFormat="1" x14ac:dyDescent="0.2">
      <c r="A741" s="11">
        <v>869</v>
      </c>
      <c r="B741" s="11"/>
      <c r="C741" s="11"/>
      <c r="D741" s="11"/>
      <c r="E741" s="11"/>
      <c r="F741" s="11" t="s">
        <v>62</v>
      </c>
      <c r="G741" s="11" t="s">
        <v>63</v>
      </c>
      <c r="H741" s="56" t="str">
        <f>VLOOKUP(Table6[[#This Row],[ICD Code]],ICD_summary!$I$3:$M$38,5,0)</f>
        <v>PD</v>
      </c>
      <c r="I741" s="12">
        <v>76.5</v>
      </c>
      <c r="J7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1" s="11" t="s">
        <v>52</v>
      </c>
      <c r="L741" s="11"/>
      <c r="M741" s="11"/>
      <c r="N741" s="11">
        <v>46.353999999999999</v>
      </c>
      <c r="O741" s="11">
        <v>49.45</v>
      </c>
      <c r="P741" s="11">
        <v>97.007000000000005</v>
      </c>
      <c r="Q741" s="11">
        <v>95.57</v>
      </c>
      <c r="R741" s="11">
        <v>78.117999999999995</v>
      </c>
      <c r="S741" s="11">
        <v>77.513000000000005</v>
      </c>
      <c r="T741" s="11">
        <v>97.748999999999995</v>
      </c>
      <c r="U741" s="11">
        <v>97.117999999999995</v>
      </c>
      <c r="V741" s="11">
        <v>65.091999999999999</v>
      </c>
      <c r="W741" s="11">
        <v>63.866</v>
      </c>
      <c r="X741" s="11">
        <v>34.908000000000001</v>
      </c>
      <c r="Y741" s="11">
        <v>36.134</v>
      </c>
      <c r="Z741" s="11">
        <v>14.625999999999999</v>
      </c>
      <c r="AA741" s="11">
        <v>14.33</v>
      </c>
      <c r="AB741" s="11">
        <v>36.134</v>
      </c>
      <c r="AC741" s="11">
        <v>34.908000000000001</v>
      </c>
      <c r="AD741" s="11">
        <v>14.167999999999999</v>
      </c>
      <c r="AE741" s="11">
        <v>11</v>
      </c>
      <c r="AF741" s="11">
        <v>15</v>
      </c>
      <c r="AG741" s="11">
        <v>11</v>
      </c>
      <c r="AH741" s="11">
        <v>11</v>
      </c>
    </row>
    <row r="742" spans="1:34" s="33" customFormat="1" x14ac:dyDescent="0.2">
      <c r="A742" s="11">
        <v>870</v>
      </c>
      <c r="B742" s="11"/>
      <c r="C742" s="11"/>
      <c r="D742" s="11"/>
      <c r="E742" s="11"/>
      <c r="F742" s="11" t="s">
        <v>72</v>
      </c>
      <c r="G742" s="11" t="s">
        <v>73</v>
      </c>
      <c r="H742" s="56" t="str">
        <f>VLOOKUP(Table6[[#This Row],[ICD Code]],ICD_summary!$I$3:$M$38,5,0)</f>
        <v>Tremor, other</v>
      </c>
      <c r="I742" s="12">
        <v>78.5</v>
      </c>
      <c r="J7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2" s="11" t="s">
        <v>52</v>
      </c>
      <c r="L742" s="11"/>
      <c r="M742" s="11"/>
      <c r="N742" s="11">
        <v>61.063000000000002</v>
      </c>
      <c r="O742" s="11">
        <v>65.917000000000002</v>
      </c>
      <c r="P742" s="11">
        <v>127.18600000000001</v>
      </c>
      <c r="Q742" s="11">
        <v>127.526</v>
      </c>
      <c r="R742" s="11">
        <v>122.063</v>
      </c>
      <c r="S742" s="11">
        <v>122.294</v>
      </c>
      <c r="T742" s="11">
        <v>114.926</v>
      </c>
      <c r="U742" s="11">
        <v>114.499</v>
      </c>
      <c r="V742" s="11">
        <v>62.04</v>
      </c>
      <c r="W742" s="11">
        <v>62.893999999999998</v>
      </c>
      <c r="X742" s="11">
        <v>37.96</v>
      </c>
      <c r="Y742" s="11">
        <v>37.106000000000002</v>
      </c>
      <c r="Z742" s="11">
        <v>11.967000000000001</v>
      </c>
      <c r="AA742" s="11">
        <v>12.989000000000001</v>
      </c>
      <c r="AB742" s="11">
        <v>37.106000000000002</v>
      </c>
      <c r="AC742" s="11">
        <v>37.96</v>
      </c>
      <c r="AD742" s="11">
        <v>12.04</v>
      </c>
      <c r="AE742" s="11">
        <v>12</v>
      </c>
      <c r="AF742" s="11">
        <v>9</v>
      </c>
      <c r="AG742" s="11">
        <v>9</v>
      </c>
      <c r="AH742" s="11">
        <v>9</v>
      </c>
    </row>
    <row r="743" spans="1:34" s="33" customFormat="1" x14ac:dyDescent="0.2">
      <c r="A743" s="11">
        <v>871</v>
      </c>
      <c r="B743" s="11"/>
      <c r="C743" s="11"/>
      <c r="D743" s="11"/>
      <c r="E743" s="11"/>
      <c r="F743" s="11" t="s">
        <v>51</v>
      </c>
      <c r="G743" s="11" t="s">
        <v>51</v>
      </c>
      <c r="H743" s="56" t="str">
        <f>VLOOKUP(Table6[[#This Row],[ICD Code]],ICD_summary!$I$3:$M$38,5,0)</f>
        <v>Misc/Other</v>
      </c>
      <c r="I743" s="12">
        <v>999</v>
      </c>
      <c r="J7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3" s="11" t="s">
        <v>51</v>
      </c>
      <c r="L743" s="11"/>
      <c r="M743" s="11"/>
      <c r="N743" s="11">
        <v>36.156999999999996</v>
      </c>
      <c r="O743" s="11">
        <v>45.279000000000003</v>
      </c>
      <c r="P743" s="11">
        <v>82.528999999999996</v>
      </c>
      <c r="Q743" s="11">
        <v>81.198999999999998</v>
      </c>
      <c r="R743" s="11">
        <v>75.209999999999994</v>
      </c>
      <c r="S743" s="11">
        <v>74.462999999999994</v>
      </c>
      <c r="T743" s="11">
        <v>109.399</v>
      </c>
      <c r="U743" s="11">
        <v>108.738</v>
      </c>
      <c r="V743" s="11">
        <v>66.275999999999996</v>
      </c>
      <c r="W743" s="11">
        <v>65.712000000000003</v>
      </c>
      <c r="X743" s="11">
        <v>33.723999999999997</v>
      </c>
      <c r="Y743" s="11">
        <v>34.287999999999997</v>
      </c>
      <c r="Z743" s="11">
        <v>16.940999999999999</v>
      </c>
      <c r="AA743" s="11">
        <v>15.007</v>
      </c>
      <c r="AB743" s="11">
        <v>34.287999999999997</v>
      </c>
      <c r="AC743" s="11">
        <v>33.723999999999997</v>
      </c>
      <c r="AD743" s="11">
        <v>14.045999999999999</v>
      </c>
      <c r="AE743" s="11">
        <v>15</v>
      </c>
      <c r="AF743" s="11">
        <v>19</v>
      </c>
      <c r="AG743" s="11">
        <v>15</v>
      </c>
      <c r="AH743" s="11">
        <v>15</v>
      </c>
    </row>
    <row r="744" spans="1:34" s="33" customFormat="1" x14ac:dyDescent="0.2">
      <c r="A744" s="11">
        <v>872</v>
      </c>
      <c r="B744" s="11"/>
      <c r="C744" s="11"/>
      <c r="D744" s="11"/>
      <c r="E744" s="11"/>
      <c r="F744" s="11" t="s">
        <v>51</v>
      </c>
      <c r="G744" s="11" t="s">
        <v>51</v>
      </c>
      <c r="H744" s="56" t="str">
        <f>VLOOKUP(Table6[[#This Row],[ICD Code]],ICD_summary!$I$3:$M$38,5,0)</f>
        <v>Misc/Other</v>
      </c>
      <c r="I744" s="12">
        <v>999</v>
      </c>
      <c r="J7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4" s="11" t="s">
        <v>51</v>
      </c>
      <c r="L744" s="11"/>
      <c r="M744" s="11"/>
      <c r="N744" s="11" t="s">
        <v>51</v>
      </c>
      <c r="O744" s="11" t="s">
        <v>51</v>
      </c>
      <c r="P744" s="11" t="s">
        <v>51</v>
      </c>
      <c r="Q744" s="11" t="s">
        <v>51</v>
      </c>
      <c r="R744" s="11" t="s">
        <v>51</v>
      </c>
      <c r="S744" s="11" t="s">
        <v>51</v>
      </c>
      <c r="T744" s="11" t="s">
        <v>51</v>
      </c>
      <c r="U744" s="11" t="s">
        <v>51</v>
      </c>
      <c r="V744" s="11" t="s">
        <v>51</v>
      </c>
      <c r="W744" s="11" t="s">
        <v>51</v>
      </c>
      <c r="X744" s="11" t="s">
        <v>51</v>
      </c>
      <c r="Y744" s="11" t="s">
        <v>51</v>
      </c>
      <c r="Z744" s="11" t="s">
        <v>51</v>
      </c>
      <c r="AA744" s="11" t="s">
        <v>51</v>
      </c>
      <c r="AB744" s="11" t="s">
        <v>51</v>
      </c>
      <c r="AC744" s="11" t="s">
        <v>51</v>
      </c>
      <c r="AD744" s="11" t="s">
        <v>51</v>
      </c>
      <c r="AE744" s="11" t="s">
        <v>51</v>
      </c>
      <c r="AF744" s="11" t="s">
        <v>51</v>
      </c>
      <c r="AG744" s="11" t="s">
        <v>51</v>
      </c>
      <c r="AH744" s="11" t="s">
        <v>51</v>
      </c>
    </row>
    <row r="745" spans="1:34" s="33" customFormat="1" x14ac:dyDescent="0.2">
      <c r="A745" s="11">
        <v>873</v>
      </c>
      <c r="B745" s="11"/>
      <c r="C745" s="11"/>
      <c r="D745" s="11"/>
      <c r="E745" s="11"/>
      <c r="F745" s="11" t="s">
        <v>68</v>
      </c>
      <c r="G745" s="11" t="s">
        <v>69</v>
      </c>
      <c r="H745" s="56" t="str">
        <f>VLOOKUP(Table6[[#This Row],[ICD Code]],ICD_summary!$I$3:$M$38,5,0)</f>
        <v>Tremor, essential tremor</v>
      </c>
      <c r="I745" s="12">
        <v>73.599999999999994</v>
      </c>
      <c r="J7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5" s="11" t="s">
        <v>52</v>
      </c>
      <c r="L745" s="11"/>
      <c r="M745" s="11"/>
      <c r="N745" s="11">
        <v>45.463999999999999</v>
      </c>
      <c r="O745" s="11">
        <v>40.442999999999998</v>
      </c>
      <c r="P745" s="11">
        <v>85.71</v>
      </c>
      <c r="Q745" s="11">
        <v>85.884</v>
      </c>
      <c r="R745" s="11">
        <v>70.759</v>
      </c>
      <c r="S745" s="11">
        <v>71.138999999999996</v>
      </c>
      <c r="T745" s="11">
        <v>99.599000000000004</v>
      </c>
      <c r="U745" s="11">
        <v>100.098</v>
      </c>
      <c r="V745" s="11">
        <v>65.465999999999994</v>
      </c>
      <c r="W745" s="11">
        <v>65.638999999999996</v>
      </c>
      <c r="X745" s="11">
        <v>34.533999999999999</v>
      </c>
      <c r="Y745" s="11">
        <v>34.360999999999997</v>
      </c>
      <c r="Z745" s="11">
        <v>14.683999999999999</v>
      </c>
      <c r="AA745" s="11">
        <v>16.681000000000001</v>
      </c>
      <c r="AB745" s="11">
        <v>34.360999999999997</v>
      </c>
      <c r="AC745" s="11">
        <v>34.533999999999999</v>
      </c>
      <c r="AD745" s="11">
        <v>15.497999999999999</v>
      </c>
      <c r="AE745" s="11">
        <v>16</v>
      </c>
      <c r="AF745" s="11">
        <v>15</v>
      </c>
      <c r="AG745" s="11">
        <v>15</v>
      </c>
      <c r="AH745" s="11">
        <v>15</v>
      </c>
    </row>
    <row r="746" spans="1:34" s="33" customFormat="1" x14ac:dyDescent="0.2">
      <c r="A746" s="11">
        <v>874</v>
      </c>
      <c r="B746" s="11"/>
      <c r="C746" s="11"/>
      <c r="D746" s="11"/>
      <c r="E746" s="11"/>
      <c r="F746" s="11" t="s">
        <v>62</v>
      </c>
      <c r="G746" s="11" t="s">
        <v>63</v>
      </c>
      <c r="H746" s="56" t="str">
        <f>VLOOKUP(Table6[[#This Row],[ICD Code]],ICD_summary!$I$3:$M$38,5,0)</f>
        <v>PD</v>
      </c>
      <c r="I746" s="12">
        <v>56.3</v>
      </c>
      <c r="J7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46" s="11" t="s">
        <v>55</v>
      </c>
      <c r="L746" s="11"/>
      <c r="M746" s="11"/>
      <c r="N746" s="11">
        <v>28.021999999999998</v>
      </c>
      <c r="O746" s="11">
        <v>26.79</v>
      </c>
      <c r="P746" s="11">
        <v>54.396999999999998</v>
      </c>
      <c r="Q746" s="11">
        <v>54.981000000000002</v>
      </c>
      <c r="R746" s="11">
        <v>58.825000000000003</v>
      </c>
      <c r="S746" s="11">
        <v>59.009</v>
      </c>
      <c r="T746" s="11">
        <v>129.91300000000001</v>
      </c>
      <c r="U746" s="11">
        <v>129.28299999999999</v>
      </c>
      <c r="V746" s="11">
        <v>68.356999999999999</v>
      </c>
      <c r="W746" s="11">
        <v>67.31</v>
      </c>
      <c r="X746" s="11">
        <v>31.643000000000001</v>
      </c>
      <c r="Y746" s="11">
        <v>32.69</v>
      </c>
      <c r="Z746" s="11">
        <v>19.084</v>
      </c>
      <c r="AA746" s="11">
        <v>16.719000000000001</v>
      </c>
      <c r="AB746" s="11">
        <v>32.69</v>
      </c>
      <c r="AC746" s="11">
        <v>31.643000000000001</v>
      </c>
      <c r="AD746" s="11">
        <v>12.888</v>
      </c>
      <c r="AE746" s="11">
        <v>20</v>
      </c>
      <c r="AF746" s="11">
        <v>21</v>
      </c>
      <c r="AG746" s="11">
        <v>20</v>
      </c>
      <c r="AH746" s="11">
        <v>20</v>
      </c>
    </row>
    <row r="747" spans="1:34" s="33" customFormat="1" x14ac:dyDescent="0.2">
      <c r="A747" s="11">
        <v>875</v>
      </c>
      <c r="B747" s="11"/>
      <c r="C747" s="11"/>
      <c r="D747" s="11"/>
      <c r="E747" s="11"/>
      <c r="F747" s="11" t="s">
        <v>51</v>
      </c>
      <c r="G747" s="11" t="s">
        <v>51</v>
      </c>
      <c r="H747" s="56" t="str">
        <f>VLOOKUP(Table6[[#This Row],[ICD Code]],ICD_summary!$I$3:$M$38,5,0)</f>
        <v>Misc/Other</v>
      </c>
      <c r="I747" s="12">
        <v>999</v>
      </c>
      <c r="J7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7" s="11" t="s">
        <v>51</v>
      </c>
      <c r="L747" s="11"/>
      <c r="M747" s="11"/>
      <c r="N747" s="11">
        <v>61.44</v>
      </c>
      <c r="O747" s="11">
        <v>62.337000000000003</v>
      </c>
      <c r="P747" s="11">
        <v>124.27</v>
      </c>
      <c r="Q747" s="11">
        <v>124.08199999999999</v>
      </c>
      <c r="R747" s="11">
        <v>122.624</v>
      </c>
      <c r="S747" s="11">
        <v>122.752</v>
      </c>
      <c r="T747" s="11">
        <v>118.97</v>
      </c>
      <c r="U747" s="11">
        <v>119.024</v>
      </c>
      <c r="V747" s="11">
        <v>59.874000000000002</v>
      </c>
      <c r="W747" s="11">
        <v>59.981000000000002</v>
      </c>
      <c r="X747" s="11">
        <v>40.125999999999998</v>
      </c>
      <c r="Y747" s="11">
        <v>40.018999999999998</v>
      </c>
      <c r="Z747" s="11">
        <v>9.8420000000000005</v>
      </c>
      <c r="AA747" s="11">
        <v>10.134</v>
      </c>
      <c r="AB747" s="11">
        <v>40.018999999999998</v>
      </c>
      <c r="AC747" s="11">
        <v>40.125999999999998</v>
      </c>
      <c r="AD747" s="11">
        <v>9.0709999999999997</v>
      </c>
      <c r="AE747" s="11">
        <v>17</v>
      </c>
      <c r="AF747" s="11">
        <v>18</v>
      </c>
      <c r="AG747" s="11">
        <v>17</v>
      </c>
      <c r="AH747" s="11">
        <v>17</v>
      </c>
    </row>
    <row r="748" spans="1:34" s="33" customFormat="1" x14ac:dyDescent="0.2">
      <c r="A748" s="11">
        <v>876</v>
      </c>
      <c r="B748" s="11"/>
      <c r="C748" s="11"/>
      <c r="D748" s="11"/>
      <c r="E748" s="11"/>
      <c r="F748" s="11" t="s">
        <v>68</v>
      </c>
      <c r="G748" s="11" t="s">
        <v>69</v>
      </c>
      <c r="H748" s="56" t="str">
        <f>VLOOKUP(Table6[[#This Row],[ICD Code]],ICD_summary!$I$3:$M$38,5,0)</f>
        <v>Tremor, essential tremor</v>
      </c>
      <c r="I748" s="12">
        <v>62.4</v>
      </c>
      <c r="J7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48" s="11" t="s">
        <v>55</v>
      </c>
      <c r="L748" s="11"/>
      <c r="M748" s="11"/>
      <c r="N748" s="11">
        <v>53.649000000000001</v>
      </c>
      <c r="O748" s="11">
        <v>54.11</v>
      </c>
      <c r="P748" s="11">
        <v>108.28400000000001</v>
      </c>
      <c r="Q748" s="11">
        <v>107.81699999999999</v>
      </c>
      <c r="R748" s="11">
        <v>103.578</v>
      </c>
      <c r="S748" s="11">
        <v>102.6</v>
      </c>
      <c r="T748" s="11">
        <v>115.042</v>
      </c>
      <c r="U748" s="11">
        <v>114.46</v>
      </c>
      <c r="V748" s="11">
        <v>62.56</v>
      </c>
      <c r="W748" s="11">
        <v>62.738999999999997</v>
      </c>
      <c r="X748" s="11">
        <v>37.44</v>
      </c>
      <c r="Y748" s="11">
        <v>37.261000000000003</v>
      </c>
      <c r="Z748" s="11">
        <v>12.625999999999999</v>
      </c>
      <c r="AA748" s="11">
        <v>12.736000000000001</v>
      </c>
      <c r="AB748" s="11">
        <v>37.261000000000003</v>
      </c>
      <c r="AC748" s="11">
        <v>37.44</v>
      </c>
      <c r="AD748" s="11">
        <v>8.59</v>
      </c>
      <c r="AE748" s="11">
        <v>17</v>
      </c>
      <c r="AF748" s="11">
        <v>18</v>
      </c>
      <c r="AG748" s="11">
        <v>17</v>
      </c>
      <c r="AH748" s="11">
        <v>17</v>
      </c>
    </row>
    <row r="749" spans="1:34" s="33" customFormat="1" x14ac:dyDescent="0.2">
      <c r="A749" s="11">
        <v>877</v>
      </c>
      <c r="B749" s="11"/>
      <c r="C749" s="11"/>
      <c r="D749" s="11"/>
      <c r="E749" s="11"/>
      <c r="F749" s="11" t="s">
        <v>74</v>
      </c>
      <c r="G749" s="11" t="s">
        <v>75</v>
      </c>
      <c r="H749" s="56" t="str">
        <f>VLOOKUP(Table6[[#This Row],[ICD Code]],ICD_summary!$I$3:$M$38,5,0)</f>
        <v>Tremor, other</v>
      </c>
      <c r="I749" s="12">
        <v>75.7</v>
      </c>
      <c r="J7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9" s="11" t="s">
        <v>52</v>
      </c>
      <c r="L749" s="11"/>
      <c r="M749" s="11"/>
      <c r="N749" s="11">
        <v>34.951999999999998</v>
      </c>
      <c r="O749" s="11">
        <v>33.444000000000003</v>
      </c>
      <c r="P749" s="11">
        <v>68.588999999999999</v>
      </c>
      <c r="Q749" s="11">
        <v>68.5</v>
      </c>
      <c r="R749" s="11">
        <v>57.048000000000002</v>
      </c>
      <c r="S749" s="11">
        <v>56.896000000000001</v>
      </c>
      <c r="T749" s="11">
        <v>99.843999999999994</v>
      </c>
      <c r="U749" s="11">
        <v>99.361000000000004</v>
      </c>
      <c r="V749" s="11">
        <v>67.335999999999999</v>
      </c>
      <c r="W749" s="11">
        <v>69.623000000000005</v>
      </c>
      <c r="X749" s="11">
        <v>32.664000000000001</v>
      </c>
      <c r="Y749" s="11">
        <v>30.376999999999999</v>
      </c>
      <c r="Z749" s="11">
        <v>19.198</v>
      </c>
      <c r="AA749" s="11">
        <v>17.713999999999999</v>
      </c>
      <c r="AB749" s="11">
        <v>30.376999999999999</v>
      </c>
      <c r="AC749" s="11">
        <v>32.664000000000001</v>
      </c>
      <c r="AD749" s="11">
        <v>11.385</v>
      </c>
      <c r="AE749" s="11">
        <v>16</v>
      </c>
      <c r="AF749" s="11">
        <v>16</v>
      </c>
      <c r="AG749" s="11">
        <v>16</v>
      </c>
      <c r="AH749" s="11">
        <v>16</v>
      </c>
    </row>
    <row r="750" spans="1:34" s="33" customFormat="1" x14ac:dyDescent="0.2">
      <c r="A750" s="11">
        <v>878</v>
      </c>
      <c r="B750" s="11"/>
      <c r="C750" s="11"/>
      <c r="D750" s="11"/>
      <c r="E750" s="11"/>
      <c r="F750" s="11" t="s">
        <v>72</v>
      </c>
      <c r="G750" s="11" t="s">
        <v>73</v>
      </c>
      <c r="H750" s="56" t="str">
        <f>VLOOKUP(Table6[[#This Row],[ICD Code]],ICD_summary!$I$3:$M$38,5,0)</f>
        <v>Tremor, other</v>
      </c>
      <c r="I750" s="12">
        <v>26</v>
      </c>
      <c r="J7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750" s="11" t="s">
        <v>55</v>
      </c>
      <c r="L750" s="11"/>
      <c r="M750" s="11"/>
      <c r="N750" s="11">
        <v>59.173999999999999</v>
      </c>
      <c r="O750" s="11">
        <v>58.082000000000001</v>
      </c>
      <c r="P750" s="11">
        <v>117.20699999999999</v>
      </c>
      <c r="Q750" s="11">
        <v>117.675</v>
      </c>
      <c r="R750" s="11">
        <v>98.066999999999993</v>
      </c>
      <c r="S750" s="11">
        <v>98.5</v>
      </c>
      <c r="T750" s="11">
        <v>100.66800000000001</v>
      </c>
      <c r="U750" s="11">
        <v>100.32299999999999</v>
      </c>
      <c r="V750" s="11">
        <v>63.244</v>
      </c>
      <c r="W750" s="11">
        <v>64.44</v>
      </c>
      <c r="X750" s="11">
        <v>36.756</v>
      </c>
      <c r="Y750" s="11">
        <v>35.56</v>
      </c>
      <c r="Z750" s="11">
        <v>14.853999999999999</v>
      </c>
      <c r="AA750" s="11">
        <v>13.301</v>
      </c>
      <c r="AB750" s="11">
        <v>35.56</v>
      </c>
      <c r="AC750" s="11">
        <v>36.756</v>
      </c>
      <c r="AD750" s="11">
        <v>7.0730000000000004</v>
      </c>
      <c r="AE750" s="11">
        <v>16</v>
      </c>
      <c r="AF750" s="11">
        <v>16</v>
      </c>
      <c r="AG750" s="11">
        <v>16</v>
      </c>
      <c r="AH750" s="11">
        <v>16</v>
      </c>
    </row>
    <row r="751" spans="1:34" s="33" customFormat="1" x14ac:dyDescent="0.2">
      <c r="A751" s="11">
        <v>879</v>
      </c>
      <c r="B751" s="11"/>
      <c r="C751" s="11"/>
      <c r="D751" s="11"/>
      <c r="E751" s="11"/>
      <c r="F751" s="11" t="s">
        <v>62</v>
      </c>
      <c r="G751" s="11" t="s">
        <v>63</v>
      </c>
      <c r="H751" s="56" t="str">
        <f>VLOOKUP(Table6[[#This Row],[ICD Code]],ICD_summary!$I$3:$M$38,5,0)</f>
        <v>PD</v>
      </c>
      <c r="I751" s="12">
        <v>70.400000000000006</v>
      </c>
      <c r="J7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1" s="11" t="s">
        <v>52</v>
      </c>
      <c r="L751" s="11"/>
      <c r="M751" s="11"/>
      <c r="N751" s="11" t="s">
        <v>51</v>
      </c>
      <c r="O751" s="11" t="s">
        <v>51</v>
      </c>
      <c r="P751" s="11" t="s">
        <v>51</v>
      </c>
      <c r="Q751" s="11" t="s">
        <v>51</v>
      </c>
      <c r="R751" s="11" t="s">
        <v>51</v>
      </c>
      <c r="S751" s="11" t="s">
        <v>51</v>
      </c>
      <c r="T751" s="11" t="s">
        <v>51</v>
      </c>
      <c r="U751" s="11" t="s">
        <v>51</v>
      </c>
      <c r="V751" s="11" t="s">
        <v>51</v>
      </c>
      <c r="W751" s="11" t="s">
        <v>51</v>
      </c>
      <c r="X751" s="11" t="s">
        <v>51</v>
      </c>
      <c r="Y751" s="11" t="s">
        <v>51</v>
      </c>
      <c r="Z751" s="11" t="s">
        <v>51</v>
      </c>
      <c r="AA751" s="11" t="s">
        <v>51</v>
      </c>
      <c r="AB751" s="11" t="s">
        <v>51</v>
      </c>
      <c r="AC751" s="11" t="s">
        <v>51</v>
      </c>
      <c r="AD751" s="11" t="s">
        <v>51</v>
      </c>
      <c r="AE751" s="11" t="s">
        <v>51</v>
      </c>
      <c r="AF751" s="11" t="s">
        <v>51</v>
      </c>
      <c r="AG751" s="11" t="s">
        <v>51</v>
      </c>
      <c r="AH751" s="11" t="s">
        <v>51</v>
      </c>
    </row>
    <row r="752" spans="1:34" s="33" customFormat="1" x14ac:dyDescent="0.2">
      <c r="A752" s="11">
        <v>880</v>
      </c>
      <c r="B752" s="11"/>
      <c r="C752" s="11"/>
      <c r="D752" s="11"/>
      <c r="E752" s="11"/>
      <c r="F752" s="11" t="s">
        <v>51</v>
      </c>
      <c r="G752" s="11" t="s">
        <v>51</v>
      </c>
      <c r="H752" s="56" t="str">
        <f>VLOOKUP(Table6[[#This Row],[ICD Code]],ICD_summary!$I$3:$M$38,5,0)</f>
        <v>Misc/Other</v>
      </c>
      <c r="I752" s="12">
        <v>999</v>
      </c>
      <c r="J7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52" s="11" t="s">
        <v>51</v>
      </c>
      <c r="L752" s="11"/>
      <c r="M752" s="11"/>
      <c r="N752" s="11">
        <v>44.542999999999999</v>
      </c>
      <c r="O752" s="11">
        <v>46.85</v>
      </c>
      <c r="P752" s="11">
        <v>92.262</v>
      </c>
      <c r="Q752" s="11">
        <v>91.42</v>
      </c>
      <c r="R752" s="11">
        <v>86.203999999999994</v>
      </c>
      <c r="S752" s="11">
        <v>85.781000000000006</v>
      </c>
      <c r="T752" s="11">
        <v>112.258</v>
      </c>
      <c r="U752" s="11">
        <v>112.28</v>
      </c>
      <c r="V752" s="11">
        <v>62.42</v>
      </c>
      <c r="W752" s="11">
        <v>62.045999999999999</v>
      </c>
      <c r="X752" s="11">
        <v>37.58</v>
      </c>
      <c r="Y752" s="11">
        <v>37.954000000000001</v>
      </c>
      <c r="Z752" s="11">
        <v>11.598000000000001</v>
      </c>
      <c r="AA752" s="11">
        <v>13.02</v>
      </c>
      <c r="AB752" s="11">
        <v>37.954000000000001</v>
      </c>
      <c r="AC752" s="11">
        <v>37.58</v>
      </c>
      <c r="AD752" s="11">
        <v>11.516999999999999</v>
      </c>
      <c r="AE752" s="11">
        <v>18</v>
      </c>
      <c r="AF752" s="11">
        <v>20</v>
      </c>
      <c r="AG752" s="11">
        <v>18</v>
      </c>
      <c r="AH752" s="11">
        <v>18</v>
      </c>
    </row>
    <row r="753" spans="1:34" s="33" customFormat="1" x14ac:dyDescent="0.2">
      <c r="A753" s="11">
        <v>881</v>
      </c>
      <c r="B753" s="11"/>
      <c r="C753" s="11"/>
      <c r="D753" s="11"/>
      <c r="E753" s="11"/>
      <c r="F753" s="11" t="s">
        <v>68</v>
      </c>
      <c r="G753" s="11" t="s">
        <v>69</v>
      </c>
      <c r="H753" s="56" t="str">
        <f>VLOOKUP(Table6[[#This Row],[ICD Code]],ICD_summary!$I$3:$M$38,5,0)</f>
        <v>Tremor, essential tremor</v>
      </c>
      <c r="I753" s="12">
        <v>79.7</v>
      </c>
      <c r="J7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3" s="11" t="s">
        <v>55</v>
      </c>
      <c r="L753" s="11"/>
      <c r="M753" s="11"/>
      <c r="N753" s="11">
        <v>44.616</v>
      </c>
      <c r="O753" s="11">
        <v>47.856999999999999</v>
      </c>
      <c r="P753" s="11">
        <v>92.950999999999993</v>
      </c>
      <c r="Q753" s="11">
        <v>92.340999999999994</v>
      </c>
      <c r="R753" s="11">
        <v>72.691999999999993</v>
      </c>
      <c r="S753" s="11">
        <v>72.171999999999997</v>
      </c>
      <c r="T753" s="11">
        <v>94.224000000000004</v>
      </c>
      <c r="U753" s="11">
        <v>93.406999999999996</v>
      </c>
      <c r="V753" s="11">
        <v>65.221999999999994</v>
      </c>
      <c r="W753" s="11">
        <v>64.004000000000005</v>
      </c>
      <c r="X753" s="11">
        <v>34.777999999999999</v>
      </c>
      <c r="Y753" s="11">
        <v>35.996000000000002</v>
      </c>
      <c r="Z753" s="11">
        <v>14.563000000000001</v>
      </c>
      <c r="AA753" s="11">
        <v>14.436</v>
      </c>
      <c r="AB753" s="11">
        <v>35.996000000000002</v>
      </c>
      <c r="AC753" s="11">
        <v>34.777999999999999</v>
      </c>
      <c r="AD753" s="11">
        <v>15.942</v>
      </c>
      <c r="AE753" s="11">
        <v>14</v>
      </c>
      <c r="AF753" s="11">
        <v>17</v>
      </c>
      <c r="AG753" s="11">
        <v>14</v>
      </c>
      <c r="AH753" s="11">
        <v>14</v>
      </c>
    </row>
    <row r="754" spans="1:34" s="33" customFormat="1" x14ac:dyDescent="0.2">
      <c r="A754" s="11">
        <v>882</v>
      </c>
      <c r="B754" s="11"/>
      <c r="C754" s="11"/>
      <c r="D754" s="11"/>
      <c r="E754" s="11"/>
      <c r="F754" s="11" t="s">
        <v>106</v>
      </c>
      <c r="G754" s="11" t="s">
        <v>107</v>
      </c>
      <c r="H754" s="56" t="str">
        <f>VLOOKUP(Table6[[#This Row],[ICD Code]],ICD_summary!$I$3:$M$38,5,0)</f>
        <v>Ataxia</v>
      </c>
      <c r="I754" s="12">
        <v>61.1</v>
      </c>
      <c r="J7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54" s="11" t="s">
        <v>52</v>
      </c>
      <c r="L754" s="11"/>
      <c r="M754" s="11"/>
      <c r="N754" s="11">
        <v>66.709999999999994</v>
      </c>
      <c r="O754" s="11">
        <v>66.909000000000006</v>
      </c>
      <c r="P754" s="11">
        <v>132.96799999999999</v>
      </c>
      <c r="Q754" s="11">
        <v>132.708</v>
      </c>
      <c r="R754" s="11">
        <v>108.398</v>
      </c>
      <c r="S754" s="11">
        <v>108.982</v>
      </c>
      <c r="T754" s="11">
        <v>97.700999999999993</v>
      </c>
      <c r="U754" s="11">
        <v>99.472999999999999</v>
      </c>
      <c r="V754" s="11">
        <v>65.093000000000004</v>
      </c>
      <c r="W754" s="11">
        <v>63.582999999999998</v>
      </c>
      <c r="X754" s="11">
        <v>34.906999999999996</v>
      </c>
      <c r="Y754" s="11">
        <v>36.417000000000002</v>
      </c>
      <c r="Z754" s="11">
        <v>14.004</v>
      </c>
      <c r="AA754" s="11">
        <v>15.56</v>
      </c>
      <c r="AB754" s="11">
        <v>36.417000000000002</v>
      </c>
      <c r="AC754" s="11">
        <v>34.906999999999996</v>
      </c>
      <c r="AD754" s="11">
        <v>18.585000000000001</v>
      </c>
      <c r="AE754" s="11">
        <v>12</v>
      </c>
      <c r="AF754" s="11">
        <v>11</v>
      </c>
      <c r="AG754" s="11">
        <v>11</v>
      </c>
      <c r="AH754" s="11">
        <v>11</v>
      </c>
    </row>
    <row r="755" spans="1:34" s="33" customFormat="1" x14ac:dyDescent="0.2">
      <c r="A755" s="11">
        <v>883</v>
      </c>
      <c r="B755" s="11"/>
      <c r="C755" s="11"/>
      <c r="D755" s="11"/>
      <c r="E755" s="11"/>
      <c r="F755" s="11" t="s">
        <v>62</v>
      </c>
      <c r="G755" s="11" t="s">
        <v>63</v>
      </c>
      <c r="H755" s="56" t="str">
        <f>VLOOKUP(Table6[[#This Row],[ICD Code]],ICD_summary!$I$3:$M$38,5,0)</f>
        <v>PD</v>
      </c>
      <c r="I755" s="12">
        <v>47.7</v>
      </c>
      <c r="J7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55" s="11" t="s">
        <v>52</v>
      </c>
      <c r="L755" s="11"/>
      <c r="M755" s="11"/>
      <c r="N755" s="11">
        <v>48.42</v>
      </c>
      <c r="O755" s="11">
        <v>58.985999999999997</v>
      </c>
      <c r="P755" s="11">
        <v>108.401</v>
      </c>
      <c r="Q755" s="11">
        <v>107.059</v>
      </c>
      <c r="R755" s="11">
        <v>68.599999999999994</v>
      </c>
      <c r="S755" s="11">
        <v>67.682000000000002</v>
      </c>
      <c r="T755" s="11">
        <v>75.391999999999996</v>
      </c>
      <c r="U755" s="11">
        <v>76.295000000000002</v>
      </c>
      <c r="V755" s="11">
        <v>70.003</v>
      </c>
      <c r="W755" s="11">
        <v>60.915999999999997</v>
      </c>
      <c r="X755" s="11">
        <v>29.997</v>
      </c>
      <c r="Y755" s="11">
        <v>39.084000000000003</v>
      </c>
      <c r="Z755" s="11">
        <v>12.205</v>
      </c>
      <c r="AA755" s="11">
        <v>18.626000000000001</v>
      </c>
      <c r="AB755" s="11">
        <v>39.084000000000003</v>
      </c>
      <c r="AC755" s="11">
        <v>29.997</v>
      </c>
      <c r="AD755" s="11">
        <v>19.558</v>
      </c>
      <c r="AE755" s="11">
        <v>11</v>
      </c>
      <c r="AF755" s="11">
        <v>13</v>
      </c>
      <c r="AG755" s="11">
        <v>11</v>
      </c>
      <c r="AH755" s="11">
        <v>11</v>
      </c>
    </row>
    <row r="756" spans="1:34" s="33" customFormat="1" x14ac:dyDescent="0.2">
      <c r="A756" s="11">
        <v>884</v>
      </c>
      <c r="B756" s="11"/>
      <c r="C756" s="11"/>
      <c r="D756" s="11"/>
      <c r="E756" s="11"/>
      <c r="F756" s="11" t="s">
        <v>72</v>
      </c>
      <c r="G756" s="11" t="s">
        <v>73</v>
      </c>
      <c r="H756" s="56" t="str">
        <f>VLOOKUP(Table6[[#This Row],[ICD Code]],ICD_summary!$I$3:$M$38,5,0)</f>
        <v>Tremor, other</v>
      </c>
      <c r="I756" s="12">
        <v>58.1</v>
      </c>
      <c r="J7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56" s="11" t="s">
        <v>55</v>
      </c>
      <c r="L756" s="11"/>
      <c r="M756" s="11"/>
      <c r="N756" s="11">
        <v>65.971999999999994</v>
      </c>
      <c r="O756" s="11">
        <v>63.726999999999997</v>
      </c>
      <c r="P756" s="11">
        <v>129.95599999999999</v>
      </c>
      <c r="Q756" s="11">
        <v>129.69</v>
      </c>
      <c r="R756" s="11">
        <v>138.065</v>
      </c>
      <c r="S756" s="11">
        <v>137.386</v>
      </c>
      <c r="T756" s="11">
        <v>127.19799999999999</v>
      </c>
      <c r="U756" s="11">
        <v>127.06699999999999</v>
      </c>
      <c r="V756" s="11">
        <v>59.89</v>
      </c>
      <c r="W756" s="11">
        <v>60.307000000000002</v>
      </c>
      <c r="X756" s="11">
        <v>40.11</v>
      </c>
      <c r="Y756" s="11">
        <v>39.692999999999998</v>
      </c>
      <c r="Z756" s="11">
        <v>10.491</v>
      </c>
      <c r="AA756" s="11">
        <v>10.054</v>
      </c>
      <c r="AB756" s="11">
        <v>39.692999999999998</v>
      </c>
      <c r="AC756" s="11">
        <v>40.11</v>
      </c>
      <c r="AD756" s="11">
        <v>8.8879999999999999</v>
      </c>
      <c r="AE756" s="11">
        <v>18</v>
      </c>
      <c r="AF756" s="11">
        <v>19</v>
      </c>
      <c r="AG756" s="11">
        <v>18</v>
      </c>
      <c r="AH756" s="11">
        <v>18</v>
      </c>
    </row>
    <row r="757" spans="1:34" s="33" customFormat="1" x14ac:dyDescent="0.2">
      <c r="A757" s="11">
        <v>885</v>
      </c>
      <c r="B757" s="11"/>
      <c r="C757" s="11"/>
      <c r="D757" s="11"/>
      <c r="E757" s="11"/>
      <c r="F757" s="11" t="s">
        <v>68</v>
      </c>
      <c r="G757" s="11" t="s">
        <v>69</v>
      </c>
      <c r="H757" s="56" t="str">
        <f>VLOOKUP(Table6[[#This Row],[ICD Code]],ICD_summary!$I$3:$M$38,5,0)</f>
        <v>Tremor, essential tremor</v>
      </c>
      <c r="I757" s="12">
        <v>74.7</v>
      </c>
      <c r="J7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7" s="11" t="s">
        <v>55</v>
      </c>
      <c r="L757" s="11"/>
      <c r="M757" s="11"/>
      <c r="N757" s="11">
        <v>53.755000000000003</v>
      </c>
      <c r="O757" s="11">
        <v>55.567999999999998</v>
      </c>
      <c r="P757" s="11">
        <v>109.23699999999999</v>
      </c>
      <c r="Q757" s="11">
        <v>109.16800000000001</v>
      </c>
      <c r="R757" s="11">
        <v>93.284000000000006</v>
      </c>
      <c r="S757" s="11">
        <v>93.272999999999996</v>
      </c>
      <c r="T757" s="11">
        <v>102.152</v>
      </c>
      <c r="U757" s="11">
        <v>102.337</v>
      </c>
      <c r="V757" s="11">
        <v>61.975000000000001</v>
      </c>
      <c r="W757" s="11">
        <v>62.488</v>
      </c>
      <c r="X757" s="11">
        <v>38.024999999999999</v>
      </c>
      <c r="Y757" s="11">
        <v>37.512</v>
      </c>
      <c r="Z757" s="11">
        <v>13.257999999999999</v>
      </c>
      <c r="AA757" s="11">
        <v>11.77</v>
      </c>
      <c r="AB757" s="11">
        <v>37.512</v>
      </c>
      <c r="AC757" s="11">
        <v>38.024999999999999</v>
      </c>
      <c r="AD757" s="11">
        <v>8.1929999999999996</v>
      </c>
      <c r="AE757" s="11">
        <v>15</v>
      </c>
      <c r="AF757" s="11">
        <v>15</v>
      </c>
      <c r="AG757" s="11">
        <v>15</v>
      </c>
      <c r="AH757" s="11">
        <v>15</v>
      </c>
    </row>
    <row r="758" spans="1:34" s="33" customFormat="1" x14ac:dyDescent="0.2">
      <c r="A758" s="11">
        <v>886</v>
      </c>
      <c r="B758" s="11"/>
      <c r="C758" s="11"/>
      <c r="D758" s="11"/>
      <c r="E758" s="11"/>
      <c r="F758" s="11" t="s">
        <v>72</v>
      </c>
      <c r="G758" s="11" t="s">
        <v>73</v>
      </c>
      <c r="H758" s="56" t="str">
        <f>VLOOKUP(Table6[[#This Row],[ICD Code]],ICD_summary!$I$3:$M$38,5,0)</f>
        <v>Tremor, other</v>
      </c>
      <c r="I758" s="12">
        <v>32.4</v>
      </c>
      <c r="J7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758" s="11" t="s">
        <v>52</v>
      </c>
      <c r="L758" s="11"/>
      <c r="M758" s="11"/>
      <c r="N758" s="11">
        <v>44.688000000000002</v>
      </c>
      <c r="O758" s="11">
        <v>40.194000000000003</v>
      </c>
      <c r="P758" s="11">
        <v>84.37</v>
      </c>
      <c r="Q758" s="11">
        <v>84.709000000000003</v>
      </c>
      <c r="R758" s="11">
        <v>70.61</v>
      </c>
      <c r="S758" s="11">
        <v>71.344999999999999</v>
      </c>
      <c r="T758" s="11">
        <v>100.967</v>
      </c>
      <c r="U758" s="11">
        <v>100.624</v>
      </c>
      <c r="V758" s="11">
        <v>67.117000000000004</v>
      </c>
      <c r="W758" s="11">
        <v>68.975999999999999</v>
      </c>
      <c r="X758" s="11">
        <v>32.883000000000003</v>
      </c>
      <c r="Y758" s="11">
        <v>31.024000000000001</v>
      </c>
      <c r="Z758" s="11">
        <v>16.763000000000002</v>
      </c>
      <c r="AA758" s="11">
        <v>19.47</v>
      </c>
      <c r="AB758" s="11">
        <v>31.024000000000001</v>
      </c>
      <c r="AC758" s="11">
        <v>32.883000000000003</v>
      </c>
      <c r="AD758" s="11">
        <v>24.228000000000002</v>
      </c>
      <c r="AE758" s="11">
        <v>13</v>
      </c>
      <c r="AF758" s="11">
        <v>12</v>
      </c>
      <c r="AG758" s="11">
        <v>12</v>
      </c>
      <c r="AH758" s="11">
        <v>12</v>
      </c>
    </row>
    <row r="759" spans="1:34" s="33" customFormat="1" x14ac:dyDescent="0.2">
      <c r="A759" s="11">
        <v>887</v>
      </c>
      <c r="B759" s="11"/>
      <c r="C759" s="11"/>
      <c r="D759" s="11"/>
      <c r="E759" s="11"/>
      <c r="F759" s="11" t="s">
        <v>62</v>
      </c>
      <c r="G759" s="11" t="s">
        <v>63</v>
      </c>
      <c r="H759" s="56" t="str">
        <f>VLOOKUP(Table6[[#This Row],[ICD Code]],ICD_summary!$I$3:$M$38,5,0)</f>
        <v>PD</v>
      </c>
      <c r="I759" s="12">
        <v>63.2</v>
      </c>
      <c r="J7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59" s="11" t="s">
        <v>52</v>
      </c>
      <c r="L759" s="11"/>
      <c r="M759" s="11"/>
      <c r="N759" s="11">
        <v>9.8940000000000001</v>
      </c>
      <c r="O759" s="11">
        <v>11.3</v>
      </c>
      <c r="P759" s="11">
        <v>21.140999999999998</v>
      </c>
      <c r="Q759" s="11">
        <v>20.87</v>
      </c>
      <c r="R759" s="11">
        <v>30.109000000000002</v>
      </c>
      <c r="S759" s="11">
        <v>30.033000000000001</v>
      </c>
      <c r="T759" s="11">
        <v>182.09100000000001</v>
      </c>
      <c r="U759" s="11">
        <v>180.45699999999999</v>
      </c>
      <c r="V759" s="11">
        <v>74.849000000000004</v>
      </c>
      <c r="W759" s="11">
        <v>73.268000000000001</v>
      </c>
      <c r="X759" s="11">
        <v>25.151</v>
      </c>
      <c r="Y759" s="11">
        <v>26.731999999999999</v>
      </c>
      <c r="Z759" s="11">
        <v>24.506</v>
      </c>
      <c r="AA759" s="11">
        <v>23.350999999999999</v>
      </c>
      <c r="AB759" s="11">
        <v>26.731999999999999</v>
      </c>
      <c r="AC759" s="11">
        <v>25.151</v>
      </c>
      <c r="AD759" s="11">
        <v>17.225999999999999</v>
      </c>
      <c r="AE759" s="11">
        <v>24</v>
      </c>
      <c r="AF759" s="11">
        <v>23</v>
      </c>
      <c r="AG759" s="11">
        <v>23</v>
      </c>
      <c r="AH759" s="11">
        <v>23</v>
      </c>
    </row>
    <row r="760" spans="1:34" s="33" customFormat="1" x14ac:dyDescent="0.2">
      <c r="A760" s="11">
        <v>888</v>
      </c>
      <c r="B760" s="11"/>
      <c r="C760" s="11"/>
      <c r="D760" s="11"/>
      <c r="E760" s="11"/>
      <c r="F760" s="11" t="s">
        <v>62</v>
      </c>
      <c r="G760" s="11" t="s">
        <v>63</v>
      </c>
      <c r="H760" s="56" t="str">
        <f>VLOOKUP(Table6[[#This Row],[ICD Code]],ICD_summary!$I$3:$M$38,5,0)</f>
        <v>PD</v>
      </c>
      <c r="I760" s="12">
        <v>86.7</v>
      </c>
      <c r="J7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60" s="11" t="s">
        <v>55</v>
      </c>
      <c r="L760" s="11"/>
      <c r="M760" s="11"/>
      <c r="N760" s="11">
        <v>43.381999999999998</v>
      </c>
      <c r="O760" s="11">
        <v>42.15</v>
      </c>
      <c r="P760" s="11">
        <v>86.36</v>
      </c>
      <c r="Q760" s="11">
        <v>85.634</v>
      </c>
      <c r="R760" s="11">
        <v>93.14</v>
      </c>
      <c r="S760" s="11">
        <v>92.319000000000003</v>
      </c>
      <c r="T760" s="11">
        <v>129.078</v>
      </c>
      <c r="U760" s="11">
        <v>129.251</v>
      </c>
      <c r="V760" s="11">
        <v>60.24</v>
      </c>
      <c r="W760" s="11">
        <v>63.113999999999997</v>
      </c>
      <c r="X760" s="11">
        <v>39.76</v>
      </c>
      <c r="Y760" s="11">
        <v>36.886000000000003</v>
      </c>
      <c r="Z760" s="11">
        <v>12.759</v>
      </c>
      <c r="AA760" s="11">
        <v>10.409000000000001</v>
      </c>
      <c r="AB760" s="11">
        <v>36.886000000000003</v>
      </c>
      <c r="AC760" s="11">
        <v>39.76</v>
      </c>
      <c r="AD760" s="11">
        <v>12.183999999999999</v>
      </c>
      <c r="AE760" s="11">
        <v>22</v>
      </c>
      <c r="AF760" s="11">
        <v>27</v>
      </c>
      <c r="AG760" s="11">
        <v>22</v>
      </c>
      <c r="AH760" s="11">
        <v>22</v>
      </c>
    </row>
    <row r="761" spans="1:34" s="33" customFormat="1" x14ac:dyDescent="0.2">
      <c r="A761" s="11">
        <v>889</v>
      </c>
      <c r="B761" s="11"/>
      <c r="C761" s="11"/>
      <c r="D761" s="11"/>
      <c r="E761" s="11"/>
      <c r="F761" s="11" t="s">
        <v>72</v>
      </c>
      <c r="G761" s="11" t="s">
        <v>73</v>
      </c>
      <c r="H761" s="56" t="str">
        <f>VLOOKUP(Table6[[#This Row],[ICD Code]],ICD_summary!$I$3:$M$38,5,0)</f>
        <v>Tremor, other</v>
      </c>
      <c r="I761" s="12">
        <v>19.3</v>
      </c>
      <c r="J7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761" s="11" t="s">
        <v>55</v>
      </c>
      <c r="L761" s="11"/>
      <c r="M761" s="11"/>
      <c r="N761" s="11">
        <v>63.692999999999998</v>
      </c>
      <c r="O761" s="11">
        <v>64.406000000000006</v>
      </c>
      <c r="P761" s="11">
        <v>126.93600000000001</v>
      </c>
      <c r="Q761" s="11">
        <v>124.20699999999999</v>
      </c>
      <c r="R761" s="11">
        <v>106.264</v>
      </c>
      <c r="S761" s="11">
        <v>103.04600000000001</v>
      </c>
      <c r="T761" s="11">
        <v>101.169</v>
      </c>
      <c r="U761" s="11">
        <v>101.05</v>
      </c>
      <c r="V761" s="11">
        <v>63.779000000000003</v>
      </c>
      <c r="W761" s="11">
        <v>62.890999999999998</v>
      </c>
      <c r="X761" s="11">
        <v>36.220999999999997</v>
      </c>
      <c r="Y761" s="11">
        <v>37.109000000000002</v>
      </c>
      <c r="Z761" s="11">
        <v>13.696999999999999</v>
      </c>
      <c r="AA761" s="11">
        <v>13.93</v>
      </c>
      <c r="AB761" s="11">
        <v>37.109000000000002</v>
      </c>
      <c r="AC761" s="11">
        <v>36.220999999999997</v>
      </c>
      <c r="AD761" s="11">
        <v>14.614000000000001</v>
      </c>
      <c r="AE761" s="11">
        <v>10</v>
      </c>
      <c r="AF761" s="11">
        <v>8</v>
      </c>
      <c r="AG761" s="11">
        <v>8</v>
      </c>
      <c r="AH761" s="11">
        <v>8</v>
      </c>
    </row>
    <row r="762" spans="1:34" s="33" customFormat="1" x14ac:dyDescent="0.2">
      <c r="A762" s="11">
        <v>890</v>
      </c>
      <c r="B762" s="11"/>
      <c r="C762" s="11"/>
      <c r="D762" s="11"/>
      <c r="E762" s="11"/>
      <c r="F762" s="11" t="s">
        <v>62</v>
      </c>
      <c r="G762" s="11" t="s">
        <v>63</v>
      </c>
      <c r="H762" s="56" t="str">
        <f>VLOOKUP(Table6[[#This Row],[ICD Code]],ICD_summary!$I$3:$M$38,5,0)</f>
        <v>PD</v>
      </c>
      <c r="I762" s="12">
        <v>65.8</v>
      </c>
      <c r="J7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2" s="11" t="s">
        <v>55</v>
      </c>
      <c r="L762" s="11"/>
      <c r="M762" s="11"/>
      <c r="N762" s="11">
        <v>61.701999999999998</v>
      </c>
      <c r="O762" s="11">
        <v>58.847999999999999</v>
      </c>
      <c r="P762" s="11">
        <v>120.816</v>
      </c>
      <c r="Q762" s="11">
        <v>121.223</v>
      </c>
      <c r="R762" s="11">
        <v>100.295</v>
      </c>
      <c r="S762" s="11">
        <v>100.035</v>
      </c>
      <c r="T762" s="11">
        <v>98.507000000000005</v>
      </c>
      <c r="U762" s="11">
        <v>98.503</v>
      </c>
      <c r="V762" s="11">
        <v>64.108000000000004</v>
      </c>
      <c r="W762" s="11">
        <v>62.335999999999999</v>
      </c>
      <c r="X762" s="11">
        <v>35.892000000000003</v>
      </c>
      <c r="Y762" s="11">
        <v>37.664000000000001</v>
      </c>
      <c r="Z762" s="11">
        <v>12.907999999999999</v>
      </c>
      <c r="AA762" s="11">
        <v>13.973000000000001</v>
      </c>
      <c r="AB762" s="11">
        <v>37.664000000000001</v>
      </c>
      <c r="AC762" s="11">
        <v>35.892000000000003</v>
      </c>
      <c r="AD762" s="11">
        <v>7.234</v>
      </c>
      <c r="AE762" s="11">
        <v>10</v>
      </c>
      <c r="AF762" s="11">
        <v>11</v>
      </c>
      <c r="AG762" s="11">
        <v>10</v>
      </c>
      <c r="AH762" s="11">
        <v>10</v>
      </c>
    </row>
    <row r="763" spans="1:34" s="33" customFormat="1" x14ac:dyDescent="0.2">
      <c r="A763" s="11">
        <v>891</v>
      </c>
      <c r="B763" s="11"/>
      <c r="C763" s="11"/>
      <c r="D763" s="11"/>
      <c r="E763" s="11"/>
      <c r="F763" s="11" t="s">
        <v>62</v>
      </c>
      <c r="G763" s="11" t="s">
        <v>63</v>
      </c>
      <c r="H763" s="56" t="str">
        <f>VLOOKUP(Table6[[#This Row],[ICD Code]],ICD_summary!$I$3:$M$38,5,0)</f>
        <v>PD</v>
      </c>
      <c r="I763" s="12">
        <v>86</v>
      </c>
      <c r="J7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63" s="11" t="s">
        <v>52</v>
      </c>
      <c r="L763" s="11"/>
      <c r="M763" s="11"/>
      <c r="N763" s="11">
        <v>58.585999999999999</v>
      </c>
      <c r="O763" s="11">
        <v>58.448</v>
      </c>
      <c r="P763" s="11">
        <v>117.06100000000001</v>
      </c>
      <c r="Q763" s="11">
        <v>117.504</v>
      </c>
      <c r="R763" s="11">
        <v>117.464</v>
      </c>
      <c r="S763" s="11">
        <v>117.452</v>
      </c>
      <c r="T763" s="11">
        <v>119.877</v>
      </c>
      <c r="U763" s="11">
        <v>119.926</v>
      </c>
      <c r="V763" s="11">
        <v>63.237000000000002</v>
      </c>
      <c r="W763" s="11">
        <v>62.174999999999997</v>
      </c>
      <c r="X763" s="11">
        <v>36.762999999999998</v>
      </c>
      <c r="Y763" s="11">
        <v>37.825000000000003</v>
      </c>
      <c r="Z763" s="11">
        <v>13.234</v>
      </c>
      <c r="AA763" s="11">
        <v>12.73</v>
      </c>
      <c r="AB763" s="11">
        <v>37.825000000000003</v>
      </c>
      <c r="AC763" s="11">
        <v>36.762999999999998</v>
      </c>
      <c r="AD763" s="11">
        <v>13.032</v>
      </c>
      <c r="AE763" s="11">
        <v>11</v>
      </c>
      <c r="AF763" s="11">
        <v>13</v>
      </c>
      <c r="AG763" s="11">
        <v>11</v>
      </c>
      <c r="AH763" s="11">
        <v>11</v>
      </c>
    </row>
    <row r="764" spans="1:34" s="33" customFormat="1" x14ac:dyDescent="0.2">
      <c r="A764" s="11">
        <v>892</v>
      </c>
      <c r="B764" s="11"/>
      <c r="C764" s="11"/>
      <c r="D764" s="11"/>
      <c r="E764" s="11"/>
      <c r="F764" s="11" t="s">
        <v>51</v>
      </c>
      <c r="G764" s="11" t="s">
        <v>51</v>
      </c>
      <c r="H764" s="56" t="str">
        <f>VLOOKUP(Table6[[#This Row],[ICD Code]],ICD_summary!$I$3:$M$38,5,0)</f>
        <v>Misc/Other</v>
      </c>
      <c r="I764" s="12">
        <v>999</v>
      </c>
      <c r="J7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64" s="11" t="s">
        <v>51</v>
      </c>
      <c r="L764" s="11"/>
      <c r="M764" s="11"/>
      <c r="N764" s="11">
        <v>25.8</v>
      </c>
      <c r="O764" s="11">
        <v>23.370999999999999</v>
      </c>
      <c r="P764" s="11">
        <v>48.59</v>
      </c>
      <c r="Q764" s="11">
        <v>49.011000000000003</v>
      </c>
      <c r="R764" s="11">
        <v>48.146000000000001</v>
      </c>
      <c r="S764" s="11">
        <v>48.883000000000003</v>
      </c>
      <c r="T764" s="11">
        <v>117.694</v>
      </c>
      <c r="U764" s="11">
        <v>118.161</v>
      </c>
      <c r="V764" s="11">
        <v>67.611000000000004</v>
      </c>
      <c r="W764" s="11">
        <v>67.323999999999998</v>
      </c>
      <c r="X764" s="11">
        <v>32.389000000000003</v>
      </c>
      <c r="Y764" s="11">
        <v>32.676000000000002</v>
      </c>
      <c r="Z764" s="11">
        <v>15.555</v>
      </c>
      <c r="AA764" s="11">
        <v>18.812000000000001</v>
      </c>
      <c r="AB764" s="11">
        <v>32.676000000000002</v>
      </c>
      <c r="AC764" s="11">
        <v>32.389000000000003</v>
      </c>
      <c r="AD764" s="11">
        <v>8.61</v>
      </c>
      <c r="AE764" s="11">
        <v>11</v>
      </c>
      <c r="AF764" s="11">
        <v>12</v>
      </c>
      <c r="AG764" s="11">
        <v>11</v>
      </c>
      <c r="AH764" s="11">
        <v>11</v>
      </c>
    </row>
    <row r="765" spans="1:34" s="33" customFormat="1" x14ac:dyDescent="0.2">
      <c r="A765" s="11">
        <v>893</v>
      </c>
      <c r="B765" s="11"/>
      <c r="C765" s="11"/>
      <c r="D765" s="11"/>
      <c r="E765" s="11"/>
      <c r="F765" s="11" t="s">
        <v>62</v>
      </c>
      <c r="G765" s="11" t="s">
        <v>63</v>
      </c>
      <c r="H765" s="56" t="str">
        <f>VLOOKUP(Table6[[#This Row],[ICD Code]],ICD_summary!$I$3:$M$38,5,0)</f>
        <v>PD</v>
      </c>
      <c r="I765" s="12">
        <v>60</v>
      </c>
      <c r="J7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5" s="11" t="s">
        <v>52</v>
      </c>
      <c r="L765" s="11"/>
      <c r="M765" s="11"/>
      <c r="N765" s="11">
        <v>33.143999999999998</v>
      </c>
      <c r="O765" s="11">
        <v>42.515999999999998</v>
      </c>
      <c r="P765" s="11">
        <v>76.161000000000001</v>
      </c>
      <c r="Q765" s="11">
        <v>75.930000000000007</v>
      </c>
      <c r="R765" s="11">
        <v>77.644999999999996</v>
      </c>
      <c r="S765" s="11">
        <v>77.194999999999993</v>
      </c>
      <c r="T765" s="11">
        <v>121.556</v>
      </c>
      <c r="U765" s="11">
        <v>120.551</v>
      </c>
      <c r="V765" s="11">
        <v>57.207000000000001</v>
      </c>
      <c r="W765" s="11">
        <v>66.158000000000001</v>
      </c>
      <c r="X765" s="11">
        <v>42.792999999999999</v>
      </c>
      <c r="Y765" s="11">
        <v>33.841999999999999</v>
      </c>
      <c r="Z765" s="11">
        <v>8.7219999999999995</v>
      </c>
      <c r="AA765" s="11">
        <v>14.967000000000001</v>
      </c>
      <c r="AB765" s="11">
        <v>33.841999999999999</v>
      </c>
      <c r="AC765" s="11">
        <v>42.792999999999999</v>
      </c>
      <c r="AD765" s="11">
        <v>13.151999999999999</v>
      </c>
      <c r="AE765" s="11">
        <v>15</v>
      </c>
      <c r="AF765" s="11">
        <v>15</v>
      </c>
      <c r="AG765" s="11">
        <v>15</v>
      </c>
      <c r="AH765" s="11">
        <v>15</v>
      </c>
    </row>
    <row r="766" spans="1:34" s="33" customFormat="1" x14ac:dyDescent="0.2">
      <c r="A766" s="11">
        <v>894</v>
      </c>
      <c r="B766" s="11"/>
      <c r="C766" s="11"/>
      <c r="D766" s="11"/>
      <c r="E766" s="11"/>
      <c r="F766" s="11" t="s">
        <v>62</v>
      </c>
      <c r="G766" s="11" t="s">
        <v>63</v>
      </c>
      <c r="H766" s="56" t="str">
        <f>VLOOKUP(Table6[[#This Row],[ICD Code]],ICD_summary!$I$3:$M$38,5,0)</f>
        <v>PD</v>
      </c>
      <c r="I766" s="12">
        <v>74.8</v>
      </c>
      <c r="J7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6" s="11" t="s">
        <v>52</v>
      </c>
      <c r="L766" s="11"/>
      <c r="M766" s="11"/>
      <c r="N766" s="11" t="s">
        <v>51</v>
      </c>
      <c r="O766" s="11" t="s">
        <v>51</v>
      </c>
      <c r="P766" s="11" t="s">
        <v>51</v>
      </c>
      <c r="Q766" s="11" t="s">
        <v>51</v>
      </c>
      <c r="R766" s="11" t="s">
        <v>51</v>
      </c>
      <c r="S766" s="11" t="s">
        <v>51</v>
      </c>
      <c r="T766" s="11" t="s">
        <v>51</v>
      </c>
      <c r="U766" s="11" t="s">
        <v>51</v>
      </c>
      <c r="V766" s="11" t="s">
        <v>51</v>
      </c>
      <c r="W766" s="11" t="s">
        <v>51</v>
      </c>
      <c r="X766" s="11" t="s">
        <v>51</v>
      </c>
      <c r="Y766" s="11" t="s">
        <v>51</v>
      </c>
      <c r="Z766" s="11" t="s">
        <v>51</v>
      </c>
      <c r="AA766" s="11" t="s">
        <v>51</v>
      </c>
      <c r="AB766" s="11" t="s">
        <v>51</v>
      </c>
      <c r="AC766" s="11" t="s">
        <v>51</v>
      </c>
      <c r="AD766" s="11" t="s">
        <v>51</v>
      </c>
      <c r="AE766" s="11" t="s">
        <v>51</v>
      </c>
      <c r="AF766" s="11" t="s">
        <v>51</v>
      </c>
      <c r="AG766" s="11" t="s">
        <v>51</v>
      </c>
      <c r="AH766" s="11" t="s">
        <v>51</v>
      </c>
    </row>
    <row r="767" spans="1:34" s="33" customFormat="1" x14ac:dyDescent="0.2">
      <c r="A767" s="11">
        <v>895</v>
      </c>
      <c r="B767" s="11"/>
      <c r="C767" s="11"/>
      <c r="D767" s="11"/>
      <c r="E767" s="11"/>
      <c r="F767" s="11" t="s">
        <v>68</v>
      </c>
      <c r="G767" s="11" t="s">
        <v>69</v>
      </c>
      <c r="H767" s="56" t="str">
        <f>VLOOKUP(Table6[[#This Row],[ICD Code]],ICD_summary!$I$3:$M$38,5,0)</f>
        <v>Tremor, essential tremor</v>
      </c>
      <c r="I767" s="12">
        <v>70.8</v>
      </c>
      <c r="J7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7" s="11" t="s">
        <v>52</v>
      </c>
      <c r="L767" s="11"/>
      <c r="M767" s="11"/>
      <c r="N767" s="11">
        <v>62.924999999999997</v>
      </c>
      <c r="O767" s="11">
        <v>63.029000000000003</v>
      </c>
      <c r="P767" s="11">
        <v>125.578</v>
      </c>
      <c r="Q767" s="11">
        <v>126.339</v>
      </c>
      <c r="R767" s="11">
        <v>112.64100000000001</v>
      </c>
      <c r="S767" s="11">
        <v>113.738</v>
      </c>
      <c r="T767" s="11">
        <v>107.023</v>
      </c>
      <c r="U767" s="11">
        <v>107.492</v>
      </c>
      <c r="V767" s="11">
        <v>62.594999999999999</v>
      </c>
      <c r="W767" s="11">
        <v>62.271000000000001</v>
      </c>
      <c r="X767" s="11">
        <v>37.405000000000001</v>
      </c>
      <c r="Y767" s="11">
        <v>37.728999999999999</v>
      </c>
      <c r="Z767" s="11">
        <v>12.63</v>
      </c>
      <c r="AA767" s="11">
        <v>12.933999999999999</v>
      </c>
      <c r="AB767" s="11">
        <v>37.728999999999999</v>
      </c>
      <c r="AC767" s="11">
        <v>37.405000000000001</v>
      </c>
      <c r="AD767" s="11">
        <v>12.73</v>
      </c>
      <c r="AE767" s="11">
        <v>9</v>
      </c>
      <c r="AF767" s="11">
        <v>9</v>
      </c>
      <c r="AG767" s="11">
        <v>9</v>
      </c>
      <c r="AH767" s="11">
        <v>9</v>
      </c>
    </row>
    <row r="768" spans="1:34" s="33" customFormat="1" x14ac:dyDescent="0.2">
      <c r="A768" s="11">
        <v>896</v>
      </c>
      <c r="B768" s="11"/>
      <c r="C768" s="11"/>
      <c r="D768" s="11"/>
      <c r="E768" s="11"/>
      <c r="F768" s="11" t="s">
        <v>51</v>
      </c>
      <c r="G768" s="11" t="s">
        <v>51</v>
      </c>
      <c r="H768" s="56" t="str">
        <f>VLOOKUP(Table6[[#This Row],[ICD Code]],ICD_summary!$I$3:$M$38,5,0)</f>
        <v>Misc/Other</v>
      </c>
      <c r="I768" s="12">
        <v>74</v>
      </c>
      <c r="J7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8" s="11" t="s">
        <v>55</v>
      </c>
      <c r="L768" s="11"/>
      <c r="M768" s="11"/>
      <c r="N768" s="11" t="s">
        <v>51</v>
      </c>
      <c r="O768" s="11" t="s">
        <v>51</v>
      </c>
      <c r="P768" s="11" t="s">
        <v>51</v>
      </c>
      <c r="Q768" s="11" t="s">
        <v>51</v>
      </c>
      <c r="R768" s="11" t="s">
        <v>51</v>
      </c>
      <c r="S768" s="11" t="s">
        <v>51</v>
      </c>
      <c r="T768" s="11" t="s">
        <v>51</v>
      </c>
      <c r="U768" s="11" t="s">
        <v>51</v>
      </c>
      <c r="V768" s="11" t="s">
        <v>51</v>
      </c>
      <c r="W768" s="11" t="s">
        <v>51</v>
      </c>
      <c r="X768" s="11" t="s">
        <v>51</v>
      </c>
      <c r="Y768" s="11" t="s">
        <v>51</v>
      </c>
      <c r="Z768" s="11" t="s">
        <v>51</v>
      </c>
      <c r="AA768" s="11" t="s">
        <v>51</v>
      </c>
      <c r="AB768" s="11" t="s">
        <v>51</v>
      </c>
      <c r="AC768" s="11" t="s">
        <v>51</v>
      </c>
      <c r="AD768" s="11" t="s">
        <v>51</v>
      </c>
      <c r="AE768" s="11" t="s">
        <v>51</v>
      </c>
      <c r="AF768" s="11" t="s">
        <v>51</v>
      </c>
      <c r="AG768" s="11" t="s">
        <v>51</v>
      </c>
      <c r="AH768" s="11" t="s">
        <v>51</v>
      </c>
    </row>
    <row r="769" spans="1:34" s="33" customFormat="1" x14ac:dyDescent="0.2">
      <c r="A769" s="11">
        <v>897</v>
      </c>
      <c r="B769" s="11"/>
      <c r="C769" s="11"/>
      <c r="D769" s="11"/>
      <c r="E769" s="11"/>
      <c r="F769" s="11" t="s">
        <v>62</v>
      </c>
      <c r="G769" s="11" t="s">
        <v>63</v>
      </c>
      <c r="H769" s="56" t="str">
        <f>VLOOKUP(Table6[[#This Row],[ICD Code]],ICD_summary!$I$3:$M$38,5,0)</f>
        <v>PD</v>
      </c>
      <c r="I769" s="12">
        <v>68.7</v>
      </c>
      <c r="J7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9" s="11" t="s">
        <v>55</v>
      </c>
      <c r="L769" s="11"/>
      <c r="M769" s="11"/>
      <c r="N769" s="11">
        <v>52.793999999999997</v>
      </c>
      <c r="O769" s="11">
        <v>52.603999999999999</v>
      </c>
      <c r="P769" s="11">
        <v>104.999</v>
      </c>
      <c r="Q769" s="11">
        <v>105.71</v>
      </c>
      <c r="R769" s="11">
        <v>87.617999999999995</v>
      </c>
      <c r="S769" s="11">
        <v>87.891000000000005</v>
      </c>
      <c r="T769" s="11">
        <v>99.445999999999998</v>
      </c>
      <c r="U769" s="11">
        <v>98.808999999999997</v>
      </c>
      <c r="V769" s="11">
        <v>64.203999999999994</v>
      </c>
      <c r="W769" s="11">
        <v>62.058</v>
      </c>
      <c r="X769" s="11">
        <v>35.795999999999999</v>
      </c>
      <c r="Y769" s="11">
        <v>37.942</v>
      </c>
      <c r="Z769" s="11">
        <v>14.085000000000001</v>
      </c>
      <c r="AA769" s="11">
        <v>12.813000000000001</v>
      </c>
      <c r="AB769" s="11">
        <v>37.942</v>
      </c>
      <c r="AC769" s="11">
        <v>35.795999999999999</v>
      </c>
      <c r="AD769" s="11">
        <v>10.888</v>
      </c>
      <c r="AE769" s="11">
        <v>12</v>
      </c>
      <c r="AF769" s="11">
        <v>10</v>
      </c>
      <c r="AG769" s="11">
        <v>10</v>
      </c>
      <c r="AH769" s="11">
        <v>10</v>
      </c>
    </row>
    <row r="770" spans="1:34" s="33" customFormat="1" x14ac:dyDescent="0.2">
      <c r="A770" s="11">
        <v>898</v>
      </c>
      <c r="B770" s="11"/>
      <c r="C770" s="11"/>
      <c r="D770" s="11"/>
      <c r="E770" s="11"/>
      <c r="F770" s="11" t="s">
        <v>62</v>
      </c>
      <c r="G770" s="11" t="s">
        <v>63</v>
      </c>
      <c r="H770" s="56" t="str">
        <f>VLOOKUP(Table6[[#This Row],[ICD Code]],ICD_summary!$I$3:$M$38,5,0)</f>
        <v>PD</v>
      </c>
      <c r="I770" s="12">
        <v>73.5</v>
      </c>
      <c r="J7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0" s="11" t="s">
        <v>52</v>
      </c>
      <c r="L770" s="11"/>
      <c r="M770" s="11"/>
      <c r="N770" s="11">
        <v>50.073</v>
      </c>
      <c r="O770" s="11">
        <v>47.656999999999996</v>
      </c>
      <c r="P770" s="11">
        <v>98.628</v>
      </c>
      <c r="Q770" s="11">
        <v>98.05</v>
      </c>
      <c r="R770" s="11">
        <v>102.059</v>
      </c>
      <c r="S770" s="11">
        <v>102.432</v>
      </c>
      <c r="T770" s="11">
        <v>124.39700000000001</v>
      </c>
      <c r="U770" s="11">
        <v>124.97</v>
      </c>
      <c r="V770" s="11">
        <v>62.710999999999999</v>
      </c>
      <c r="W770" s="11">
        <v>61.755000000000003</v>
      </c>
      <c r="X770" s="11">
        <v>37.289000000000001</v>
      </c>
      <c r="Y770" s="11">
        <v>38.244999999999997</v>
      </c>
      <c r="Z770" s="11">
        <v>12.813000000000001</v>
      </c>
      <c r="AA770" s="11">
        <v>11.638</v>
      </c>
      <c r="AB770" s="11">
        <v>38.244999999999997</v>
      </c>
      <c r="AC770" s="11">
        <v>37.289000000000001</v>
      </c>
      <c r="AD770" s="11">
        <v>12.18</v>
      </c>
      <c r="AE770" s="11">
        <v>14</v>
      </c>
      <c r="AF770" s="11">
        <v>12</v>
      </c>
      <c r="AG770" s="11">
        <v>12</v>
      </c>
      <c r="AH770" s="11">
        <v>12</v>
      </c>
    </row>
    <row r="771" spans="1:34" s="33" customFormat="1" x14ac:dyDescent="0.2">
      <c r="A771" s="11">
        <v>899</v>
      </c>
      <c r="B771" s="11"/>
      <c r="C771" s="11"/>
      <c r="D771" s="11"/>
      <c r="E771" s="11"/>
      <c r="F771" s="11" t="s">
        <v>51</v>
      </c>
      <c r="G771" s="11" t="s">
        <v>51</v>
      </c>
      <c r="H771" s="56" t="str">
        <f>VLOOKUP(Table6[[#This Row],[ICD Code]],ICD_summary!$I$3:$M$38,5,0)</f>
        <v>Misc/Other</v>
      </c>
      <c r="I771" s="12">
        <v>999</v>
      </c>
      <c r="J7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1" s="11" t="s">
        <v>51</v>
      </c>
      <c r="L771" s="11"/>
      <c r="M771" s="11"/>
      <c r="N771" s="11">
        <v>43.322000000000003</v>
      </c>
      <c r="O771" s="11">
        <v>42.21</v>
      </c>
      <c r="P771" s="11">
        <v>85.474999999999994</v>
      </c>
      <c r="Q771" s="11">
        <v>86.268000000000001</v>
      </c>
      <c r="R771" s="11">
        <v>81.968000000000004</v>
      </c>
      <c r="S771" s="11">
        <v>82.289000000000001</v>
      </c>
      <c r="T771" s="11">
        <v>115.164</v>
      </c>
      <c r="U771" s="11">
        <v>114.381</v>
      </c>
      <c r="V771" s="11">
        <v>62.302</v>
      </c>
      <c r="W771" s="11">
        <v>64.474000000000004</v>
      </c>
      <c r="X771" s="11">
        <v>37.698</v>
      </c>
      <c r="Y771" s="11">
        <v>35.526000000000003</v>
      </c>
      <c r="Z771" s="11">
        <v>14.446</v>
      </c>
      <c r="AA771" s="11">
        <v>12.989000000000001</v>
      </c>
      <c r="AB771" s="11">
        <v>35.526000000000003</v>
      </c>
      <c r="AC771" s="11">
        <v>37.698</v>
      </c>
      <c r="AD771" s="11">
        <v>15.186</v>
      </c>
      <c r="AE771" s="11">
        <v>17</v>
      </c>
      <c r="AF771" s="11">
        <v>14</v>
      </c>
      <c r="AG771" s="11">
        <v>14</v>
      </c>
      <c r="AH771" s="11">
        <v>14</v>
      </c>
    </row>
    <row r="772" spans="1:34" s="33" customFormat="1" x14ac:dyDescent="0.2">
      <c r="A772" s="11">
        <v>900</v>
      </c>
      <c r="B772" s="11"/>
      <c r="C772" s="11"/>
      <c r="D772" s="11"/>
      <c r="E772" s="11"/>
      <c r="F772" s="11" t="s">
        <v>51</v>
      </c>
      <c r="G772" s="11" t="s">
        <v>51</v>
      </c>
      <c r="H772" s="56" t="str">
        <f>VLOOKUP(Table6[[#This Row],[ICD Code]],ICD_summary!$I$3:$M$38,5,0)</f>
        <v>Misc/Other</v>
      </c>
      <c r="I772" s="12">
        <v>77.900000000000006</v>
      </c>
      <c r="J7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2" s="11" t="s">
        <v>52</v>
      </c>
      <c r="L772" s="11"/>
      <c r="M772" s="11"/>
      <c r="N772" s="11" t="s">
        <v>51</v>
      </c>
      <c r="O772" s="11" t="s">
        <v>51</v>
      </c>
      <c r="P772" s="11" t="s">
        <v>51</v>
      </c>
      <c r="Q772" s="11" t="s">
        <v>51</v>
      </c>
      <c r="R772" s="11" t="s">
        <v>51</v>
      </c>
      <c r="S772" s="11" t="s">
        <v>51</v>
      </c>
      <c r="T772" s="11" t="s">
        <v>51</v>
      </c>
      <c r="U772" s="11" t="s">
        <v>51</v>
      </c>
      <c r="V772" s="11" t="s">
        <v>51</v>
      </c>
      <c r="W772" s="11" t="s">
        <v>51</v>
      </c>
      <c r="X772" s="11" t="s">
        <v>51</v>
      </c>
      <c r="Y772" s="11" t="s">
        <v>51</v>
      </c>
      <c r="Z772" s="11" t="s">
        <v>51</v>
      </c>
      <c r="AA772" s="11" t="s">
        <v>51</v>
      </c>
      <c r="AB772" s="11" t="s">
        <v>51</v>
      </c>
      <c r="AC772" s="11" t="s">
        <v>51</v>
      </c>
      <c r="AD772" s="11" t="s">
        <v>51</v>
      </c>
      <c r="AE772" s="11" t="s">
        <v>51</v>
      </c>
      <c r="AF772" s="11" t="s">
        <v>51</v>
      </c>
      <c r="AG772" s="11" t="s">
        <v>51</v>
      </c>
      <c r="AH772" s="11" t="s">
        <v>51</v>
      </c>
    </row>
    <row r="773" spans="1:34" s="33" customFormat="1" x14ac:dyDescent="0.2">
      <c r="A773" s="11">
        <v>901</v>
      </c>
      <c r="B773" s="11"/>
      <c r="C773" s="11"/>
      <c r="D773" s="11"/>
      <c r="E773" s="11"/>
      <c r="F773" s="11" t="s">
        <v>51</v>
      </c>
      <c r="G773" s="11" t="s">
        <v>51</v>
      </c>
      <c r="H773" s="56" t="str">
        <f>VLOOKUP(Table6[[#This Row],[ICD Code]],ICD_summary!$I$3:$M$38,5,0)</f>
        <v>Misc/Other</v>
      </c>
      <c r="I773" s="12">
        <v>999</v>
      </c>
      <c r="J7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3" s="11" t="s">
        <v>51</v>
      </c>
      <c r="L773" s="11"/>
      <c r="M773" s="11"/>
      <c r="N773" s="11" t="s">
        <v>51</v>
      </c>
      <c r="O773" s="11" t="s">
        <v>51</v>
      </c>
      <c r="P773" s="11" t="s">
        <v>51</v>
      </c>
      <c r="Q773" s="11" t="s">
        <v>51</v>
      </c>
      <c r="R773" s="11" t="s">
        <v>51</v>
      </c>
      <c r="S773" s="11" t="s">
        <v>51</v>
      </c>
      <c r="T773" s="11" t="s">
        <v>51</v>
      </c>
      <c r="U773" s="11" t="s">
        <v>51</v>
      </c>
      <c r="V773" s="11" t="s">
        <v>51</v>
      </c>
      <c r="W773" s="11" t="s">
        <v>51</v>
      </c>
      <c r="X773" s="11" t="s">
        <v>51</v>
      </c>
      <c r="Y773" s="11" t="s">
        <v>51</v>
      </c>
      <c r="Z773" s="11" t="s">
        <v>51</v>
      </c>
      <c r="AA773" s="11" t="s">
        <v>51</v>
      </c>
      <c r="AB773" s="11" t="s">
        <v>51</v>
      </c>
      <c r="AC773" s="11" t="s">
        <v>51</v>
      </c>
      <c r="AD773" s="11" t="s">
        <v>51</v>
      </c>
      <c r="AE773" s="11" t="s">
        <v>51</v>
      </c>
      <c r="AF773" s="11" t="s">
        <v>51</v>
      </c>
      <c r="AG773" s="11" t="s">
        <v>51</v>
      </c>
      <c r="AH773" s="11" t="s">
        <v>51</v>
      </c>
    </row>
    <row r="774" spans="1:34" s="33" customFormat="1" x14ac:dyDescent="0.2">
      <c r="A774" s="11">
        <v>902</v>
      </c>
      <c r="B774" s="11"/>
      <c r="C774" s="11"/>
      <c r="D774" s="11"/>
      <c r="E774" s="11"/>
      <c r="F774" s="11" t="s">
        <v>68</v>
      </c>
      <c r="G774" s="11" t="s">
        <v>69</v>
      </c>
      <c r="H774" s="56" t="str">
        <f>VLOOKUP(Table6[[#This Row],[ICD Code]],ICD_summary!$I$3:$M$38,5,0)</f>
        <v>Tremor, essential tremor</v>
      </c>
      <c r="I774" s="12">
        <v>75.900000000000006</v>
      </c>
      <c r="J7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4" s="11" t="s">
        <v>52</v>
      </c>
      <c r="L774" s="11"/>
      <c r="M774" s="11"/>
      <c r="N774" s="11">
        <v>37.395000000000003</v>
      </c>
      <c r="O774" s="11">
        <v>30.036999999999999</v>
      </c>
      <c r="P774" s="11">
        <v>67.641999999999996</v>
      </c>
      <c r="Q774" s="11">
        <v>67.238</v>
      </c>
      <c r="R774" s="11">
        <v>63.313000000000002</v>
      </c>
      <c r="S774" s="11">
        <v>62.991</v>
      </c>
      <c r="T774" s="11">
        <v>112.501</v>
      </c>
      <c r="U774" s="11">
        <v>112.182</v>
      </c>
      <c r="V774" s="11">
        <v>65.876000000000005</v>
      </c>
      <c r="W774" s="11">
        <v>65.001999999999995</v>
      </c>
      <c r="X774" s="11">
        <v>34.124000000000002</v>
      </c>
      <c r="Y774" s="11">
        <v>34.997999999999998</v>
      </c>
      <c r="Z774" s="11">
        <v>16.643999999999998</v>
      </c>
      <c r="AA774" s="11">
        <v>14.201000000000001</v>
      </c>
      <c r="AB774" s="11">
        <v>34.997999999999998</v>
      </c>
      <c r="AC774" s="11">
        <v>34.124000000000002</v>
      </c>
      <c r="AD774" s="11">
        <v>8.08</v>
      </c>
      <c r="AE774" s="11">
        <v>15</v>
      </c>
      <c r="AF774" s="11">
        <v>15</v>
      </c>
      <c r="AG774" s="11">
        <v>15</v>
      </c>
      <c r="AH774" s="11">
        <v>15</v>
      </c>
    </row>
    <row r="775" spans="1:34" s="33" customFormat="1" x14ac:dyDescent="0.2">
      <c r="A775" s="11">
        <v>903</v>
      </c>
      <c r="B775" s="11"/>
      <c r="C775" s="11"/>
      <c r="D775" s="11"/>
      <c r="E775" s="11"/>
      <c r="F775" s="11" t="s">
        <v>51</v>
      </c>
      <c r="G775" s="11" t="s">
        <v>51</v>
      </c>
      <c r="H775" s="56" t="str">
        <f>VLOOKUP(Table6[[#This Row],[ICD Code]],ICD_summary!$I$3:$M$38,5,0)</f>
        <v>Misc/Other</v>
      </c>
      <c r="I775" s="12">
        <v>999</v>
      </c>
      <c r="J7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5" s="11" t="s">
        <v>51</v>
      </c>
      <c r="L775" s="11"/>
      <c r="M775" s="11"/>
      <c r="N775" s="11">
        <v>15.375999999999999</v>
      </c>
      <c r="O775" s="11">
        <v>26.966999999999999</v>
      </c>
      <c r="P775" s="11">
        <v>42.655999999999999</v>
      </c>
      <c r="Q775" s="11">
        <v>41.616999999999997</v>
      </c>
      <c r="R775" s="11">
        <v>36.192</v>
      </c>
      <c r="S775" s="11">
        <v>36.133000000000003</v>
      </c>
      <c r="T775" s="11">
        <v>101.624</v>
      </c>
      <c r="U775" s="11">
        <v>101.38200000000001</v>
      </c>
      <c r="V775" s="11">
        <v>69.787000000000006</v>
      </c>
      <c r="W775" s="11">
        <v>76.492000000000004</v>
      </c>
      <c r="X775" s="11">
        <v>30.213000000000001</v>
      </c>
      <c r="Y775" s="11">
        <v>23.507999999999999</v>
      </c>
      <c r="Z775" s="11">
        <v>12.000999999999999</v>
      </c>
      <c r="AA775" s="11">
        <v>33.96</v>
      </c>
      <c r="AB775" s="11">
        <v>23.507999999999999</v>
      </c>
      <c r="AC775" s="11">
        <v>30.213000000000001</v>
      </c>
      <c r="AD775" s="11">
        <v>16.14</v>
      </c>
      <c r="AE775" s="11">
        <v>21</v>
      </c>
      <c r="AF775" s="11">
        <v>22</v>
      </c>
      <c r="AG775" s="11">
        <v>21</v>
      </c>
      <c r="AH775" s="11">
        <v>21</v>
      </c>
    </row>
    <row r="776" spans="1:34" s="33" customFormat="1" x14ac:dyDescent="0.2">
      <c r="A776" s="11">
        <v>904</v>
      </c>
      <c r="B776" s="11"/>
      <c r="C776" s="11"/>
      <c r="D776" s="11"/>
      <c r="E776" s="11"/>
      <c r="F776" s="11" t="s">
        <v>51</v>
      </c>
      <c r="G776" s="11" t="s">
        <v>51</v>
      </c>
      <c r="H776" s="56" t="str">
        <f>VLOOKUP(Table6[[#This Row],[ICD Code]],ICD_summary!$I$3:$M$38,5,0)</f>
        <v>Misc/Other</v>
      </c>
      <c r="I776" s="12">
        <v>999</v>
      </c>
      <c r="J7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6" s="11" t="s">
        <v>51</v>
      </c>
      <c r="L776" s="11"/>
      <c r="M776" s="11"/>
      <c r="N776" s="11">
        <v>49.856000000000002</v>
      </c>
      <c r="O776" s="11">
        <v>52.244999999999997</v>
      </c>
      <c r="P776" s="11">
        <v>103.024</v>
      </c>
      <c r="Q776" s="11">
        <v>101.629</v>
      </c>
      <c r="R776" s="11">
        <v>101.25</v>
      </c>
      <c r="S776" s="11">
        <v>100.64100000000001</v>
      </c>
      <c r="T776" s="11">
        <v>118.08499999999999</v>
      </c>
      <c r="U776" s="11">
        <v>117.556</v>
      </c>
      <c r="V776" s="11">
        <v>67.200999999999993</v>
      </c>
      <c r="W776" s="11">
        <v>61.247999999999998</v>
      </c>
      <c r="X776" s="11">
        <v>32.798999999999999</v>
      </c>
      <c r="Y776" s="11">
        <v>38.752000000000002</v>
      </c>
      <c r="Z776" s="11">
        <v>14.183</v>
      </c>
      <c r="AA776" s="11">
        <v>14.666</v>
      </c>
      <c r="AB776" s="11">
        <v>38.752000000000002</v>
      </c>
      <c r="AC776" s="11">
        <v>32.798999999999999</v>
      </c>
      <c r="AD776" s="11">
        <v>14.462</v>
      </c>
      <c r="AE776" s="11">
        <v>13</v>
      </c>
      <c r="AF776" s="11">
        <v>12</v>
      </c>
      <c r="AG776" s="11">
        <v>12</v>
      </c>
      <c r="AH776" s="11">
        <v>12</v>
      </c>
    </row>
    <row r="777" spans="1:34" s="33" customFormat="1" x14ac:dyDescent="0.2">
      <c r="A777" s="11">
        <v>905</v>
      </c>
      <c r="B777" s="11"/>
      <c r="C777" s="11"/>
      <c r="D777" s="11"/>
      <c r="E777" s="11"/>
      <c r="F777" s="11" t="s">
        <v>51</v>
      </c>
      <c r="G777" s="11" t="s">
        <v>51</v>
      </c>
      <c r="H777" s="56" t="str">
        <f>VLOOKUP(Table6[[#This Row],[ICD Code]],ICD_summary!$I$3:$M$38,5,0)</f>
        <v>Misc/Other</v>
      </c>
      <c r="I777" s="12">
        <v>999</v>
      </c>
      <c r="J7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7" s="11" t="s">
        <v>51</v>
      </c>
      <c r="L777" s="11"/>
      <c r="M777" s="11"/>
      <c r="N777" s="11" t="s">
        <v>51</v>
      </c>
      <c r="O777" s="11" t="s">
        <v>51</v>
      </c>
      <c r="P777" s="11" t="s">
        <v>51</v>
      </c>
      <c r="Q777" s="11" t="s">
        <v>51</v>
      </c>
      <c r="R777" s="11" t="s">
        <v>51</v>
      </c>
      <c r="S777" s="11" t="s">
        <v>51</v>
      </c>
      <c r="T777" s="11" t="s">
        <v>51</v>
      </c>
      <c r="U777" s="11" t="s">
        <v>51</v>
      </c>
      <c r="V777" s="11" t="s">
        <v>51</v>
      </c>
      <c r="W777" s="11" t="s">
        <v>51</v>
      </c>
      <c r="X777" s="11" t="s">
        <v>51</v>
      </c>
      <c r="Y777" s="11" t="s">
        <v>51</v>
      </c>
      <c r="Z777" s="11" t="s">
        <v>51</v>
      </c>
      <c r="AA777" s="11" t="s">
        <v>51</v>
      </c>
      <c r="AB777" s="11" t="s">
        <v>51</v>
      </c>
      <c r="AC777" s="11" t="s">
        <v>51</v>
      </c>
      <c r="AD777" s="11" t="s">
        <v>51</v>
      </c>
      <c r="AE777" s="11" t="s">
        <v>51</v>
      </c>
      <c r="AF777" s="11" t="s">
        <v>51</v>
      </c>
      <c r="AG777" s="11" t="s">
        <v>51</v>
      </c>
      <c r="AH777" s="11" t="s">
        <v>51</v>
      </c>
    </row>
    <row r="778" spans="1:34" s="33" customFormat="1" x14ac:dyDescent="0.2">
      <c r="A778" s="11">
        <v>906</v>
      </c>
      <c r="B778" s="11"/>
      <c r="C778" s="11"/>
      <c r="D778" s="11"/>
      <c r="E778" s="11"/>
      <c r="F778" s="11" t="s">
        <v>51</v>
      </c>
      <c r="G778" s="11" t="s">
        <v>51</v>
      </c>
      <c r="H778" s="56" t="str">
        <f>VLOOKUP(Table6[[#This Row],[ICD Code]],ICD_summary!$I$3:$M$38,5,0)</f>
        <v>Misc/Other</v>
      </c>
      <c r="I778" s="12">
        <v>75.8</v>
      </c>
      <c r="J7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8" s="11" t="s">
        <v>52</v>
      </c>
      <c r="L778" s="11"/>
      <c r="M778" s="11"/>
      <c r="N778" s="11" t="s">
        <v>51</v>
      </c>
      <c r="O778" s="11" t="s">
        <v>51</v>
      </c>
      <c r="P778" s="11" t="s">
        <v>51</v>
      </c>
      <c r="Q778" s="11" t="s">
        <v>51</v>
      </c>
      <c r="R778" s="11" t="s">
        <v>51</v>
      </c>
      <c r="S778" s="11" t="s">
        <v>51</v>
      </c>
      <c r="T778" s="11" t="s">
        <v>51</v>
      </c>
      <c r="U778" s="11" t="s">
        <v>51</v>
      </c>
      <c r="V778" s="11" t="s">
        <v>51</v>
      </c>
      <c r="W778" s="11" t="s">
        <v>51</v>
      </c>
      <c r="X778" s="11" t="s">
        <v>51</v>
      </c>
      <c r="Y778" s="11" t="s">
        <v>51</v>
      </c>
      <c r="Z778" s="11" t="s">
        <v>51</v>
      </c>
      <c r="AA778" s="11" t="s">
        <v>51</v>
      </c>
      <c r="AB778" s="11" t="s">
        <v>51</v>
      </c>
      <c r="AC778" s="11" t="s">
        <v>51</v>
      </c>
      <c r="AD778" s="11" t="s">
        <v>51</v>
      </c>
      <c r="AE778" s="11" t="s">
        <v>51</v>
      </c>
      <c r="AF778" s="11" t="s">
        <v>51</v>
      </c>
      <c r="AG778" s="11" t="s">
        <v>51</v>
      </c>
      <c r="AH778" s="11" t="s">
        <v>51</v>
      </c>
    </row>
    <row r="779" spans="1:34" s="33" customFormat="1" x14ac:dyDescent="0.2">
      <c r="A779" s="11">
        <v>907</v>
      </c>
      <c r="B779" s="11"/>
      <c r="C779" s="11"/>
      <c r="D779" s="11"/>
      <c r="E779" s="11"/>
      <c r="F779" s="11" t="s">
        <v>62</v>
      </c>
      <c r="G779" s="11" t="s">
        <v>63</v>
      </c>
      <c r="H779" s="56" t="str">
        <f>VLOOKUP(Table6[[#This Row],[ICD Code]],ICD_summary!$I$3:$M$38,5,0)</f>
        <v>PD</v>
      </c>
      <c r="I779" s="12">
        <v>67.3</v>
      </c>
      <c r="J7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79" s="11" t="s">
        <v>52</v>
      </c>
      <c r="L779" s="11"/>
      <c r="M779" s="11"/>
      <c r="N779" s="11" t="s">
        <v>51</v>
      </c>
      <c r="O779" s="11" t="s">
        <v>51</v>
      </c>
      <c r="P779" s="11" t="s">
        <v>51</v>
      </c>
      <c r="Q779" s="11" t="s">
        <v>51</v>
      </c>
      <c r="R779" s="11" t="s">
        <v>51</v>
      </c>
      <c r="S779" s="11" t="s">
        <v>51</v>
      </c>
      <c r="T779" s="11" t="s">
        <v>51</v>
      </c>
      <c r="U779" s="11" t="s">
        <v>51</v>
      </c>
      <c r="V779" s="11" t="s">
        <v>51</v>
      </c>
      <c r="W779" s="11" t="s">
        <v>51</v>
      </c>
      <c r="X779" s="11" t="s">
        <v>51</v>
      </c>
      <c r="Y779" s="11" t="s">
        <v>51</v>
      </c>
      <c r="Z779" s="11" t="s">
        <v>51</v>
      </c>
      <c r="AA779" s="11" t="s">
        <v>51</v>
      </c>
      <c r="AB779" s="11" t="s">
        <v>51</v>
      </c>
      <c r="AC779" s="11" t="s">
        <v>51</v>
      </c>
      <c r="AD779" s="11" t="s">
        <v>51</v>
      </c>
      <c r="AE779" s="11" t="s">
        <v>51</v>
      </c>
      <c r="AF779" s="11" t="s">
        <v>51</v>
      </c>
      <c r="AG779" s="11" t="s">
        <v>51</v>
      </c>
      <c r="AH779" s="11" t="s">
        <v>51</v>
      </c>
    </row>
    <row r="780" spans="1:34" s="33" customFormat="1" x14ac:dyDescent="0.2">
      <c r="A780" s="11">
        <v>908</v>
      </c>
      <c r="B780" s="11"/>
      <c r="C780" s="11"/>
      <c r="D780" s="11"/>
      <c r="E780" s="11"/>
      <c r="F780" s="11" t="s">
        <v>51</v>
      </c>
      <c r="G780" s="11" t="s">
        <v>51</v>
      </c>
      <c r="H780" s="56" t="str">
        <f>VLOOKUP(Table6[[#This Row],[ICD Code]],ICD_summary!$I$3:$M$38,5,0)</f>
        <v>Misc/Other</v>
      </c>
      <c r="I780" s="12">
        <v>999</v>
      </c>
      <c r="J7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80" s="11" t="s">
        <v>51</v>
      </c>
      <c r="L780" s="11"/>
      <c r="M780" s="11"/>
      <c r="N780" s="11">
        <v>58.643999999999998</v>
      </c>
      <c r="O780" s="11">
        <v>60.555</v>
      </c>
      <c r="P780" s="11">
        <v>119.02500000000001</v>
      </c>
      <c r="Q780" s="11">
        <v>118.827</v>
      </c>
      <c r="R780" s="11">
        <v>103.794</v>
      </c>
      <c r="S780" s="11">
        <v>104.96599999999999</v>
      </c>
      <c r="T780" s="11">
        <v>104.70699999999999</v>
      </c>
      <c r="U780" s="11">
        <v>105.79900000000001</v>
      </c>
      <c r="V780" s="11">
        <v>61.256999999999998</v>
      </c>
      <c r="W780" s="11">
        <v>62.094999999999999</v>
      </c>
      <c r="X780" s="11">
        <v>38.743000000000002</v>
      </c>
      <c r="Y780" s="11">
        <v>37.905000000000001</v>
      </c>
      <c r="Z780" s="11">
        <v>12.045</v>
      </c>
      <c r="AA780" s="11">
        <v>11.949</v>
      </c>
      <c r="AB780" s="11">
        <v>37.905000000000001</v>
      </c>
      <c r="AC780" s="11">
        <v>38.743000000000002</v>
      </c>
      <c r="AD780" s="11">
        <v>10.02</v>
      </c>
      <c r="AE780" s="11">
        <v>12</v>
      </c>
      <c r="AF780" s="11">
        <v>10</v>
      </c>
      <c r="AG780" s="11">
        <v>10</v>
      </c>
      <c r="AH780" s="11">
        <v>10</v>
      </c>
    </row>
    <row r="781" spans="1:34" s="33" customFormat="1" x14ac:dyDescent="0.2">
      <c r="A781" s="11">
        <v>909</v>
      </c>
      <c r="B781" s="11"/>
      <c r="C781" s="11"/>
      <c r="D781" s="11"/>
      <c r="E781" s="11"/>
      <c r="F781" s="11" t="s">
        <v>51</v>
      </c>
      <c r="G781" s="11" t="s">
        <v>51</v>
      </c>
      <c r="H781" s="56" t="str">
        <f>VLOOKUP(Table6[[#This Row],[ICD Code]],ICD_summary!$I$3:$M$38,5,0)</f>
        <v>Misc/Other</v>
      </c>
      <c r="I781" s="12">
        <v>999</v>
      </c>
      <c r="J7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81" s="11" t="s">
        <v>51</v>
      </c>
      <c r="L781" s="11"/>
      <c r="M781" s="11"/>
      <c r="N781" s="11">
        <v>38.281999999999996</v>
      </c>
      <c r="O781" s="11">
        <v>45.652999999999999</v>
      </c>
      <c r="P781" s="11">
        <v>83.861000000000004</v>
      </c>
      <c r="Q781" s="11">
        <v>83.933000000000007</v>
      </c>
      <c r="R781" s="11">
        <v>82.22</v>
      </c>
      <c r="S781" s="11">
        <v>82.521000000000001</v>
      </c>
      <c r="T781" s="11">
        <v>117.339</v>
      </c>
      <c r="U781" s="11">
        <v>117.872</v>
      </c>
      <c r="V781" s="11">
        <v>64.757999999999996</v>
      </c>
      <c r="W781" s="11">
        <v>64.481999999999999</v>
      </c>
      <c r="X781" s="11">
        <v>35.241999999999997</v>
      </c>
      <c r="Y781" s="11">
        <v>35.518000000000001</v>
      </c>
      <c r="Z781" s="11">
        <v>16.079000000000001</v>
      </c>
      <c r="AA781" s="11">
        <v>13.054</v>
      </c>
      <c r="AB781" s="11">
        <v>35.518000000000001</v>
      </c>
      <c r="AC781" s="11">
        <v>35.241999999999997</v>
      </c>
      <c r="AD781" s="11">
        <v>8.6999999999999993</v>
      </c>
      <c r="AE781" s="11">
        <v>11</v>
      </c>
      <c r="AF781" s="11">
        <v>12</v>
      </c>
      <c r="AG781" s="11">
        <v>11</v>
      </c>
      <c r="AH781" s="11">
        <v>11</v>
      </c>
    </row>
    <row r="782" spans="1:34" s="33" customFormat="1" x14ac:dyDescent="0.2">
      <c r="A782" s="11">
        <v>910</v>
      </c>
      <c r="B782" s="11"/>
      <c r="C782" s="11"/>
      <c r="D782" s="11"/>
      <c r="E782" s="11"/>
      <c r="F782" s="11" t="s">
        <v>51</v>
      </c>
      <c r="G782" s="11" t="s">
        <v>51</v>
      </c>
      <c r="H782" s="56" t="str">
        <f>VLOOKUP(Table6[[#This Row],[ICD Code]],ICD_summary!$I$3:$M$38,5,0)</f>
        <v>Misc/Other</v>
      </c>
      <c r="I782" s="12">
        <v>46.4</v>
      </c>
      <c r="J7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82" s="11" t="s">
        <v>55</v>
      </c>
      <c r="L782" s="11"/>
      <c r="M782" s="11"/>
      <c r="N782" s="11">
        <v>56.7</v>
      </c>
      <c r="O782" s="11">
        <v>44.52</v>
      </c>
      <c r="P782" s="11">
        <v>101.34</v>
      </c>
      <c r="Q782" s="11">
        <v>98.88</v>
      </c>
      <c r="R782" s="11">
        <v>73.92</v>
      </c>
      <c r="S782" s="11">
        <v>72.53</v>
      </c>
      <c r="T782" s="11">
        <v>87.43</v>
      </c>
      <c r="U782" s="11">
        <v>88.08</v>
      </c>
      <c r="V782" s="11">
        <v>62.6</v>
      </c>
      <c r="W782" s="11">
        <v>71.260000000000005</v>
      </c>
      <c r="X782" s="11">
        <v>37.4</v>
      </c>
      <c r="Y782" s="11">
        <v>28.74</v>
      </c>
      <c r="Z782" s="11">
        <v>14.46</v>
      </c>
      <c r="AA782" s="11">
        <v>19.649999999999999</v>
      </c>
      <c r="AB782" s="11">
        <v>28.74</v>
      </c>
      <c r="AC782" s="11">
        <v>37.4</v>
      </c>
      <c r="AD782" s="11">
        <v>26.58</v>
      </c>
      <c r="AE782" s="11">
        <v>14</v>
      </c>
      <c r="AF782" s="11">
        <v>11</v>
      </c>
      <c r="AG782" s="11">
        <v>10</v>
      </c>
      <c r="AH782" s="11">
        <v>10</v>
      </c>
    </row>
    <row r="783" spans="1:34" s="33" customFormat="1" x14ac:dyDescent="0.2">
      <c r="A783" s="11">
        <v>911</v>
      </c>
      <c r="B783" s="11"/>
      <c r="C783" s="11"/>
      <c r="D783" s="11"/>
      <c r="E783" s="11"/>
      <c r="F783" s="11" t="s">
        <v>51</v>
      </c>
      <c r="G783" s="11" t="s">
        <v>51</v>
      </c>
      <c r="H783" s="56" t="str">
        <f>VLOOKUP(Table6[[#This Row],[ICD Code]],ICD_summary!$I$3:$M$38,5,0)</f>
        <v>Misc/Other</v>
      </c>
      <c r="I783" s="12">
        <v>73.8</v>
      </c>
      <c r="J7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3" s="11" t="s">
        <v>52</v>
      </c>
      <c r="L783" s="11"/>
      <c r="M783" s="11"/>
      <c r="N783" s="11" t="s">
        <v>51</v>
      </c>
      <c r="O783" s="11" t="s">
        <v>51</v>
      </c>
      <c r="P783" s="11" t="s">
        <v>51</v>
      </c>
      <c r="Q783" s="11" t="s">
        <v>51</v>
      </c>
      <c r="R783" s="11" t="s">
        <v>51</v>
      </c>
      <c r="S783" s="11" t="s">
        <v>51</v>
      </c>
      <c r="T783" s="11" t="s">
        <v>51</v>
      </c>
      <c r="U783" s="11" t="s">
        <v>51</v>
      </c>
      <c r="V783" s="11" t="s">
        <v>51</v>
      </c>
      <c r="W783" s="11" t="s">
        <v>51</v>
      </c>
      <c r="X783" s="11" t="s">
        <v>51</v>
      </c>
      <c r="Y783" s="11" t="s">
        <v>51</v>
      </c>
      <c r="Z783" s="11" t="s">
        <v>51</v>
      </c>
      <c r="AA783" s="11" t="s">
        <v>51</v>
      </c>
      <c r="AB783" s="11" t="s">
        <v>51</v>
      </c>
      <c r="AC783" s="11" t="s">
        <v>51</v>
      </c>
      <c r="AD783" s="11" t="s">
        <v>51</v>
      </c>
      <c r="AE783" s="11" t="s">
        <v>51</v>
      </c>
      <c r="AF783" s="11" t="s">
        <v>51</v>
      </c>
      <c r="AG783" s="11" t="s">
        <v>51</v>
      </c>
      <c r="AH783" s="11" t="s">
        <v>51</v>
      </c>
    </row>
    <row r="784" spans="1:34" s="33" customFormat="1" x14ac:dyDescent="0.2">
      <c r="A784" s="11">
        <v>912</v>
      </c>
      <c r="B784" s="11"/>
      <c r="C784" s="11"/>
      <c r="D784" s="11"/>
      <c r="E784" s="11"/>
      <c r="F784" s="11" t="s">
        <v>51</v>
      </c>
      <c r="G784" s="11" t="s">
        <v>51</v>
      </c>
      <c r="H784" s="56" t="str">
        <f>VLOOKUP(Table6[[#This Row],[ICD Code]],ICD_summary!$I$3:$M$38,5,0)</f>
        <v>Misc/Other</v>
      </c>
      <c r="I784" s="12">
        <v>65.8</v>
      </c>
      <c r="J7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4" s="11" t="s">
        <v>52</v>
      </c>
      <c r="L784" s="11"/>
      <c r="M784" s="11"/>
      <c r="N784" s="11">
        <v>34.363</v>
      </c>
      <c r="O784" s="11">
        <v>34.683999999999997</v>
      </c>
      <c r="P784" s="11">
        <v>69.245000000000005</v>
      </c>
      <c r="Q784" s="11">
        <v>68.36</v>
      </c>
      <c r="R784" s="11">
        <v>45.137</v>
      </c>
      <c r="S784" s="11">
        <v>45.531999999999996</v>
      </c>
      <c r="T784" s="11">
        <v>78.816999999999993</v>
      </c>
      <c r="U784" s="11">
        <v>79.938999999999993</v>
      </c>
      <c r="V784" s="11">
        <v>69.141999999999996</v>
      </c>
      <c r="W784" s="11">
        <v>73.576999999999998</v>
      </c>
      <c r="X784" s="11">
        <v>30.858000000000001</v>
      </c>
      <c r="Y784" s="11">
        <v>26.422999999999998</v>
      </c>
      <c r="Z784" s="11">
        <v>21.373999999999999</v>
      </c>
      <c r="AA784" s="11">
        <v>21.934000000000001</v>
      </c>
      <c r="AB784" s="11">
        <v>26.422999999999998</v>
      </c>
      <c r="AC784" s="11">
        <v>30.858000000000001</v>
      </c>
      <c r="AD784" s="11">
        <v>13.82</v>
      </c>
      <c r="AE784" s="11">
        <v>13</v>
      </c>
      <c r="AF784" s="11">
        <v>12</v>
      </c>
      <c r="AG784" s="11">
        <v>12</v>
      </c>
      <c r="AH784" s="11">
        <v>12</v>
      </c>
    </row>
    <row r="785" spans="1:34" s="33" customFormat="1" x14ac:dyDescent="0.2">
      <c r="A785" s="11">
        <v>913</v>
      </c>
      <c r="B785" s="11"/>
      <c r="C785" s="11"/>
      <c r="D785" s="11"/>
      <c r="E785" s="11"/>
      <c r="F785" s="11" t="s">
        <v>51</v>
      </c>
      <c r="G785" s="11" t="s">
        <v>51</v>
      </c>
      <c r="H785" s="56" t="str">
        <f>VLOOKUP(Table6[[#This Row],[ICD Code]],ICD_summary!$I$3:$M$38,5,0)</f>
        <v>Misc/Other</v>
      </c>
      <c r="I785" s="12">
        <v>66.400000000000006</v>
      </c>
      <c r="J7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5" s="11" t="s">
        <v>52</v>
      </c>
      <c r="L785" s="11"/>
      <c r="M785" s="11"/>
      <c r="N785" s="11">
        <v>27.667000000000002</v>
      </c>
      <c r="O785" s="11">
        <v>25.367999999999999</v>
      </c>
      <c r="P785" s="11">
        <v>52.869</v>
      </c>
      <c r="Q785" s="11">
        <v>53.040999999999997</v>
      </c>
      <c r="R785" s="11">
        <v>45.776000000000003</v>
      </c>
      <c r="S785" s="11">
        <v>46.25</v>
      </c>
      <c r="T785" s="11">
        <v>104.815</v>
      </c>
      <c r="U785" s="11">
        <v>105.8</v>
      </c>
      <c r="V785" s="11">
        <v>66.730999999999995</v>
      </c>
      <c r="W785" s="11">
        <v>71.638999999999996</v>
      </c>
      <c r="X785" s="11">
        <v>33.268999999999998</v>
      </c>
      <c r="Y785" s="11">
        <v>28.361000000000001</v>
      </c>
      <c r="Z785" s="11">
        <v>19.210999999999999</v>
      </c>
      <c r="AA785" s="11">
        <v>19.184000000000001</v>
      </c>
      <c r="AB785" s="11">
        <v>28.361000000000001</v>
      </c>
      <c r="AC785" s="11">
        <v>33.268999999999998</v>
      </c>
      <c r="AD785" s="11">
        <v>11.602</v>
      </c>
      <c r="AE785" s="11">
        <v>19</v>
      </c>
      <c r="AF785" s="11">
        <v>16</v>
      </c>
      <c r="AG785" s="11">
        <v>16</v>
      </c>
      <c r="AH785" s="11">
        <v>16</v>
      </c>
    </row>
    <row r="786" spans="1:34" s="33" customFormat="1" x14ac:dyDescent="0.2">
      <c r="A786" s="11">
        <v>914</v>
      </c>
      <c r="B786" s="11"/>
      <c r="C786" s="11"/>
      <c r="D786" s="11"/>
      <c r="E786" s="11"/>
      <c r="F786" s="11" t="s">
        <v>51</v>
      </c>
      <c r="G786" s="11" t="s">
        <v>51</v>
      </c>
      <c r="H786" s="56" t="str">
        <f>VLOOKUP(Table6[[#This Row],[ICD Code]],ICD_summary!$I$3:$M$38,5,0)</f>
        <v>Misc/Other</v>
      </c>
      <c r="I786" s="12">
        <v>57</v>
      </c>
      <c r="J7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86" s="11" t="s">
        <v>52</v>
      </c>
      <c r="L786" s="11"/>
      <c r="M786" s="11"/>
      <c r="N786" s="11">
        <v>37.508000000000003</v>
      </c>
      <c r="O786" s="11">
        <v>36.04</v>
      </c>
      <c r="P786" s="11">
        <v>73.036000000000001</v>
      </c>
      <c r="Q786" s="11">
        <v>73.546000000000006</v>
      </c>
      <c r="R786" s="11">
        <v>79.494</v>
      </c>
      <c r="S786" s="11">
        <v>79.790000000000006</v>
      </c>
      <c r="T786" s="11">
        <v>129.73500000000001</v>
      </c>
      <c r="U786" s="11">
        <v>130.56899999999999</v>
      </c>
      <c r="V786" s="11">
        <v>63.991</v>
      </c>
      <c r="W786" s="11">
        <v>64.849000000000004</v>
      </c>
      <c r="X786" s="11">
        <v>36.009</v>
      </c>
      <c r="Y786" s="11">
        <v>35.151000000000003</v>
      </c>
      <c r="Z786" s="11">
        <v>15.003</v>
      </c>
      <c r="AA786" s="11">
        <v>13.244</v>
      </c>
      <c r="AB786" s="11">
        <v>35.151000000000003</v>
      </c>
      <c r="AC786" s="11">
        <v>36.009</v>
      </c>
      <c r="AD786" s="11">
        <v>16.187999999999999</v>
      </c>
      <c r="AE786" s="11">
        <v>11</v>
      </c>
      <c r="AF786" s="11">
        <v>14</v>
      </c>
      <c r="AG786" s="11">
        <v>11</v>
      </c>
      <c r="AH786" s="11">
        <v>11</v>
      </c>
    </row>
    <row r="787" spans="1:34" s="33" customFormat="1" x14ac:dyDescent="0.2">
      <c r="A787" s="11">
        <v>915</v>
      </c>
      <c r="B787" s="11"/>
      <c r="C787" s="11"/>
      <c r="D787" s="11"/>
      <c r="E787" s="11"/>
      <c r="F787" s="11" t="s">
        <v>51</v>
      </c>
      <c r="G787" s="11" t="s">
        <v>51</v>
      </c>
      <c r="H787" s="56" t="str">
        <f>VLOOKUP(Table6[[#This Row],[ICD Code]],ICD_summary!$I$3:$M$38,5,0)</f>
        <v>Misc/Other</v>
      </c>
      <c r="I787" s="12">
        <v>63.7</v>
      </c>
      <c r="J7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7" s="11" t="s">
        <v>55</v>
      </c>
      <c r="L787" s="11"/>
      <c r="M787" s="11"/>
      <c r="N787" s="11">
        <v>53.935000000000002</v>
      </c>
      <c r="O787" s="11">
        <v>51.606000000000002</v>
      </c>
      <c r="P787" s="11">
        <v>105.223</v>
      </c>
      <c r="Q787" s="11">
        <v>105.831</v>
      </c>
      <c r="R787" s="11">
        <v>89.144999999999996</v>
      </c>
      <c r="S787" s="11">
        <v>89.533000000000001</v>
      </c>
      <c r="T787" s="11">
        <v>100.819</v>
      </c>
      <c r="U787" s="11">
        <v>101.274</v>
      </c>
      <c r="V787" s="11">
        <v>64.998000000000005</v>
      </c>
      <c r="W787" s="11">
        <v>63.357999999999997</v>
      </c>
      <c r="X787" s="11">
        <v>35.002000000000002</v>
      </c>
      <c r="Y787" s="11">
        <v>36.642000000000003</v>
      </c>
      <c r="Z787" s="11">
        <v>14.202</v>
      </c>
      <c r="AA787" s="11">
        <v>14.215</v>
      </c>
      <c r="AB787" s="11">
        <v>36.642000000000003</v>
      </c>
      <c r="AC787" s="11">
        <v>35.002000000000002</v>
      </c>
      <c r="AD787" s="11">
        <v>10.486000000000001</v>
      </c>
      <c r="AE787" s="11">
        <v>7</v>
      </c>
      <c r="AF787" s="11">
        <v>9</v>
      </c>
      <c r="AG787" s="11">
        <v>7</v>
      </c>
      <c r="AH787" s="11">
        <v>7</v>
      </c>
    </row>
    <row r="788" spans="1:34" s="33" customFormat="1" x14ac:dyDescent="0.2">
      <c r="A788" s="11">
        <v>916</v>
      </c>
      <c r="B788" s="11"/>
      <c r="C788" s="11"/>
      <c r="D788" s="11"/>
      <c r="E788" s="11"/>
      <c r="F788" s="11" t="s">
        <v>51</v>
      </c>
      <c r="G788" s="11" t="s">
        <v>51</v>
      </c>
      <c r="H788" s="56" t="str">
        <f>VLOOKUP(Table6[[#This Row],[ICD Code]],ICD_summary!$I$3:$M$38,5,0)</f>
        <v>Misc/Other</v>
      </c>
      <c r="I788" s="12">
        <v>72.400000000000006</v>
      </c>
      <c r="J7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8" s="11" t="s">
        <v>52</v>
      </c>
      <c r="L788" s="11"/>
      <c r="M788" s="11"/>
      <c r="N788" s="11">
        <v>42.414999999999999</v>
      </c>
      <c r="O788" s="11">
        <v>36.703000000000003</v>
      </c>
      <c r="P788" s="11">
        <v>79.049000000000007</v>
      </c>
      <c r="Q788" s="11">
        <v>79.138999999999996</v>
      </c>
      <c r="R788" s="11">
        <v>79.087000000000003</v>
      </c>
      <c r="S788" s="11">
        <v>79.114000000000004</v>
      </c>
      <c r="T788" s="11">
        <v>120.197</v>
      </c>
      <c r="U788" s="11">
        <v>119.773</v>
      </c>
      <c r="V788" s="11">
        <v>65.798000000000002</v>
      </c>
      <c r="W788" s="11">
        <v>65.39</v>
      </c>
      <c r="X788" s="11">
        <v>34.201999999999998</v>
      </c>
      <c r="Y788" s="11">
        <v>34.61</v>
      </c>
      <c r="Z788" s="11">
        <v>16.736999999999998</v>
      </c>
      <c r="AA788" s="11">
        <v>14.340999999999999</v>
      </c>
      <c r="AB788" s="11">
        <v>34.61</v>
      </c>
      <c r="AC788" s="11">
        <v>34.201999999999998</v>
      </c>
      <c r="AD788" s="11">
        <v>10.308</v>
      </c>
      <c r="AE788" s="11">
        <v>12</v>
      </c>
      <c r="AF788" s="11">
        <v>15</v>
      </c>
      <c r="AG788" s="11">
        <v>12</v>
      </c>
      <c r="AH788" s="11">
        <v>12</v>
      </c>
    </row>
    <row r="789" spans="1:34" s="33" customFormat="1" x14ac:dyDescent="0.2">
      <c r="A789" s="11">
        <v>917</v>
      </c>
      <c r="B789" s="11"/>
      <c r="C789" s="11"/>
      <c r="D789" s="11"/>
      <c r="E789" s="11"/>
      <c r="F789" s="11" t="s">
        <v>51</v>
      </c>
      <c r="G789" s="11" t="s">
        <v>51</v>
      </c>
      <c r="H789" s="56" t="str">
        <f>VLOOKUP(Table6[[#This Row],[ICD Code]],ICD_summary!$I$3:$M$38,5,0)</f>
        <v>Misc/Other</v>
      </c>
      <c r="I789" s="12">
        <v>70.8</v>
      </c>
      <c r="J7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9" s="11" t="s">
        <v>52</v>
      </c>
      <c r="L789" s="11"/>
      <c r="M789" s="11"/>
      <c r="N789" s="11">
        <v>66.116</v>
      </c>
      <c r="O789" s="11">
        <v>67.465000000000003</v>
      </c>
      <c r="P789" s="11">
        <v>132.56899999999999</v>
      </c>
      <c r="Q789" s="11">
        <v>135.62299999999999</v>
      </c>
      <c r="R789" s="11">
        <v>101.592</v>
      </c>
      <c r="S789" s="11">
        <v>103.724</v>
      </c>
      <c r="T789" s="11">
        <v>91.802000000000007</v>
      </c>
      <c r="U789" s="11">
        <v>91.587999999999994</v>
      </c>
      <c r="V789" s="11">
        <v>63.65</v>
      </c>
      <c r="W789" s="11">
        <v>63.341999999999999</v>
      </c>
      <c r="X789" s="11">
        <v>36.35</v>
      </c>
      <c r="Y789" s="11">
        <v>36.658000000000001</v>
      </c>
      <c r="Z789" s="11">
        <v>14.301</v>
      </c>
      <c r="AA789" s="11">
        <v>14.516999999999999</v>
      </c>
      <c r="AB789" s="11">
        <v>36.658000000000001</v>
      </c>
      <c r="AC789" s="11">
        <v>36.35</v>
      </c>
      <c r="AD789" s="11">
        <v>9.7520000000000007</v>
      </c>
      <c r="AE789" s="11">
        <v>8</v>
      </c>
      <c r="AF789" s="11">
        <v>6</v>
      </c>
      <c r="AG789" s="11">
        <v>6</v>
      </c>
      <c r="AH789" s="11">
        <v>6</v>
      </c>
    </row>
    <row r="790" spans="1:34" s="33" customFormat="1" x14ac:dyDescent="0.2">
      <c r="A790" s="11">
        <v>918</v>
      </c>
      <c r="B790" s="11"/>
      <c r="C790" s="11"/>
      <c r="D790" s="11"/>
      <c r="E790" s="11"/>
      <c r="F790" s="11" t="s">
        <v>51</v>
      </c>
      <c r="G790" s="11" t="s">
        <v>51</v>
      </c>
      <c r="H790" s="56" t="str">
        <f>VLOOKUP(Table6[[#This Row],[ICD Code]],ICD_summary!$I$3:$M$38,5,0)</f>
        <v>Misc/Other</v>
      </c>
      <c r="I790" s="12">
        <v>0</v>
      </c>
      <c r="J7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790" s="11" t="s">
        <v>52</v>
      </c>
      <c r="L790" s="11"/>
      <c r="M790" s="11"/>
      <c r="N790" s="11" t="s">
        <v>51</v>
      </c>
      <c r="O790" s="11" t="s">
        <v>51</v>
      </c>
      <c r="P790" s="11" t="s">
        <v>51</v>
      </c>
      <c r="Q790" s="11" t="s">
        <v>51</v>
      </c>
      <c r="R790" s="11" t="s">
        <v>51</v>
      </c>
      <c r="S790" s="11" t="s">
        <v>51</v>
      </c>
      <c r="T790" s="11" t="s">
        <v>51</v>
      </c>
      <c r="U790" s="11" t="s">
        <v>51</v>
      </c>
      <c r="V790" s="11" t="s">
        <v>51</v>
      </c>
      <c r="W790" s="11" t="s">
        <v>51</v>
      </c>
      <c r="X790" s="11" t="s">
        <v>51</v>
      </c>
      <c r="Y790" s="11" t="s">
        <v>51</v>
      </c>
      <c r="Z790" s="11" t="s">
        <v>51</v>
      </c>
      <c r="AA790" s="11" t="s">
        <v>51</v>
      </c>
      <c r="AB790" s="11" t="s">
        <v>51</v>
      </c>
      <c r="AC790" s="11" t="s">
        <v>51</v>
      </c>
      <c r="AD790" s="11" t="s">
        <v>51</v>
      </c>
      <c r="AE790" s="11" t="s">
        <v>51</v>
      </c>
      <c r="AF790" s="11" t="s">
        <v>51</v>
      </c>
      <c r="AG790" s="11" t="s">
        <v>51</v>
      </c>
      <c r="AH790" s="11" t="s">
        <v>51</v>
      </c>
    </row>
    <row r="791" spans="1:34" s="33" customFormat="1" x14ac:dyDescent="0.2">
      <c r="A791" s="11">
        <v>919</v>
      </c>
      <c r="B791" s="11"/>
      <c r="C791" s="11"/>
      <c r="D791" s="11"/>
      <c r="E791" s="11"/>
      <c r="F791" s="11" t="s">
        <v>51</v>
      </c>
      <c r="G791" s="11" t="s">
        <v>51</v>
      </c>
      <c r="H791" s="56" t="str">
        <f>VLOOKUP(Table6[[#This Row],[ICD Code]],ICD_summary!$I$3:$M$38,5,0)</f>
        <v>Misc/Other</v>
      </c>
      <c r="I791" s="12">
        <v>0</v>
      </c>
      <c r="J7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791" s="11" t="s">
        <v>52</v>
      </c>
      <c r="L791" s="11"/>
      <c r="M791" s="11"/>
      <c r="N791" s="11" t="s">
        <v>51</v>
      </c>
      <c r="O791" s="11" t="s">
        <v>51</v>
      </c>
      <c r="P791" s="11" t="s">
        <v>51</v>
      </c>
      <c r="Q791" s="11" t="s">
        <v>51</v>
      </c>
      <c r="R791" s="11" t="s">
        <v>51</v>
      </c>
      <c r="S791" s="11" t="s">
        <v>51</v>
      </c>
      <c r="T791" s="11" t="s">
        <v>51</v>
      </c>
      <c r="U791" s="11" t="s">
        <v>51</v>
      </c>
      <c r="V791" s="11" t="s">
        <v>51</v>
      </c>
      <c r="W791" s="11" t="s">
        <v>51</v>
      </c>
      <c r="X791" s="11" t="s">
        <v>51</v>
      </c>
      <c r="Y791" s="11" t="s">
        <v>51</v>
      </c>
      <c r="Z791" s="11" t="s">
        <v>51</v>
      </c>
      <c r="AA791" s="11" t="s">
        <v>51</v>
      </c>
      <c r="AB791" s="11" t="s">
        <v>51</v>
      </c>
      <c r="AC791" s="11" t="s">
        <v>51</v>
      </c>
      <c r="AD791" s="11" t="s">
        <v>51</v>
      </c>
      <c r="AE791" s="11" t="s">
        <v>51</v>
      </c>
      <c r="AF791" s="11" t="s">
        <v>51</v>
      </c>
      <c r="AG791" s="11" t="s">
        <v>51</v>
      </c>
      <c r="AH791" s="11" t="s">
        <v>51</v>
      </c>
    </row>
    <row r="792" spans="1:34" s="33" customFormat="1" x14ac:dyDescent="0.2">
      <c r="A792" s="11">
        <v>920</v>
      </c>
      <c r="B792" s="11"/>
      <c r="C792" s="11"/>
      <c r="D792" s="11"/>
      <c r="E792" s="11"/>
      <c r="F792" s="11" t="s">
        <v>51</v>
      </c>
      <c r="G792" s="11" t="s">
        <v>51</v>
      </c>
      <c r="H792" s="56" t="str">
        <f>VLOOKUP(Table6[[#This Row],[ICD Code]],ICD_summary!$I$3:$M$38,5,0)</f>
        <v>Misc/Other</v>
      </c>
      <c r="I792" s="12">
        <v>56.4</v>
      </c>
      <c r="J7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92" s="11" t="s">
        <v>52</v>
      </c>
      <c r="L792" s="11"/>
      <c r="M792" s="11"/>
      <c r="N792" s="11">
        <v>53.055</v>
      </c>
      <c r="O792" s="11">
        <v>53.427999999999997</v>
      </c>
      <c r="P792" s="11">
        <v>106.92400000000001</v>
      </c>
      <c r="Q792" s="11">
        <v>106.634</v>
      </c>
      <c r="R792" s="11">
        <v>76.317999999999998</v>
      </c>
      <c r="S792" s="11">
        <v>75.981999999999999</v>
      </c>
      <c r="T792" s="11">
        <v>84.98</v>
      </c>
      <c r="U792" s="11">
        <v>84.991</v>
      </c>
      <c r="V792" s="11">
        <v>64.352000000000004</v>
      </c>
      <c r="W792" s="11">
        <v>64.576999999999998</v>
      </c>
      <c r="X792" s="11">
        <v>35.648000000000003</v>
      </c>
      <c r="Y792" s="11">
        <v>35.423000000000002</v>
      </c>
      <c r="Z792" s="11">
        <v>16.565999999999999</v>
      </c>
      <c r="AA792" s="11">
        <v>13.343999999999999</v>
      </c>
      <c r="AB792" s="11">
        <v>35.423000000000002</v>
      </c>
      <c r="AC792" s="11">
        <v>35.648000000000003</v>
      </c>
      <c r="AD792" s="11">
        <v>11.032</v>
      </c>
      <c r="AE792" s="11">
        <v>10</v>
      </c>
      <c r="AF792" s="11">
        <v>10</v>
      </c>
      <c r="AG792" s="11">
        <v>10</v>
      </c>
      <c r="AH792" s="11">
        <v>10</v>
      </c>
    </row>
    <row r="793" spans="1:34" s="33" customFormat="1" x14ac:dyDescent="0.2">
      <c r="A793" s="11">
        <v>921</v>
      </c>
      <c r="B793" s="11"/>
      <c r="C793" s="11"/>
      <c r="D793" s="11"/>
      <c r="E793" s="11"/>
      <c r="F793" s="11" t="s">
        <v>51</v>
      </c>
      <c r="G793" s="11" t="s">
        <v>51</v>
      </c>
      <c r="H793" s="56" t="str">
        <f>VLOOKUP(Table6[[#This Row],[ICD Code]],ICD_summary!$I$3:$M$38,5,0)</f>
        <v>Misc/Other</v>
      </c>
      <c r="I793" s="12">
        <v>42.5</v>
      </c>
      <c r="J7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93" s="11" t="s">
        <v>52</v>
      </c>
      <c r="L793" s="11"/>
      <c r="M793" s="11"/>
      <c r="N793" s="11" t="s">
        <v>51</v>
      </c>
      <c r="O793" s="11" t="s">
        <v>51</v>
      </c>
      <c r="P793" s="11" t="s">
        <v>51</v>
      </c>
      <c r="Q793" s="11" t="s">
        <v>51</v>
      </c>
      <c r="R793" s="11" t="s">
        <v>51</v>
      </c>
      <c r="S793" s="11" t="s">
        <v>51</v>
      </c>
      <c r="T793" s="11" t="s">
        <v>51</v>
      </c>
      <c r="U793" s="11" t="s">
        <v>51</v>
      </c>
      <c r="V793" s="11" t="s">
        <v>51</v>
      </c>
      <c r="W793" s="11" t="s">
        <v>51</v>
      </c>
      <c r="X793" s="11" t="s">
        <v>51</v>
      </c>
      <c r="Y793" s="11" t="s">
        <v>51</v>
      </c>
      <c r="Z793" s="11" t="s">
        <v>51</v>
      </c>
      <c r="AA793" s="11" t="s">
        <v>51</v>
      </c>
      <c r="AB793" s="11" t="s">
        <v>51</v>
      </c>
      <c r="AC793" s="11" t="s">
        <v>51</v>
      </c>
      <c r="AD793" s="11" t="s">
        <v>51</v>
      </c>
      <c r="AE793" s="11" t="s">
        <v>51</v>
      </c>
      <c r="AF793" s="11" t="s">
        <v>51</v>
      </c>
      <c r="AG793" s="11" t="s">
        <v>51</v>
      </c>
      <c r="AH793" s="11" t="s">
        <v>51</v>
      </c>
    </row>
    <row r="794" spans="1:34" s="33" customFormat="1" x14ac:dyDescent="0.2">
      <c r="A794" s="11">
        <v>922</v>
      </c>
      <c r="B794" s="11"/>
      <c r="C794" s="11"/>
      <c r="D794" s="11"/>
      <c r="E794" s="11"/>
      <c r="F794" s="11" t="s">
        <v>51</v>
      </c>
      <c r="G794" s="11" t="s">
        <v>51</v>
      </c>
      <c r="H794" s="56" t="str">
        <f>VLOOKUP(Table6[[#This Row],[ICD Code]],ICD_summary!$I$3:$M$38,5,0)</f>
        <v>Misc/Other</v>
      </c>
      <c r="I794" s="12">
        <v>999</v>
      </c>
      <c r="J7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94" s="11" t="s">
        <v>52</v>
      </c>
      <c r="L794" s="11"/>
      <c r="M794" s="11"/>
      <c r="N794" s="11">
        <v>30.427</v>
      </c>
      <c r="O794" s="11">
        <v>29.791</v>
      </c>
      <c r="P794" s="11">
        <v>60.460999999999999</v>
      </c>
      <c r="Q794" s="11">
        <v>60.015000000000001</v>
      </c>
      <c r="R794" s="11">
        <v>36.340000000000003</v>
      </c>
      <c r="S794" s="11">
        <v>36.792999999999999</v>
      </c>
      <c r="T794" s="11">
        <v>72.677999999999997</v>
      </c>
      <c r="U794" s="11">
        <v>73.39</v>
      </c>
      <c r="V794" s="11">
        <v>72.853999999999999</v>
      </c>
      <c r="W794" s="11">
        <v>72.853999999999999</v>
      </c>
      <c r="X794" s="11">
        <v>27.146000000000001</v>
      </c>
      <c r="Y794" s="11">
        <v>27.146000000000001</v>
      </c>
      <c r="Z794" s="11">
        <v>24.640999999999998</v>
      </c>
      <c r="AA794" s="11">
        <v>21.245000000000001</v>
      </c>
      <c r="AB794" s="11">
        <v>27.146000000000001</v>
      </c>
      <c r="AC794" s="11">
        <v>27.146000000000001</v>
      </c>
      <c r="AD794" s="11">
        <v>31.262</v>
      </c>
      <c r="AE794" s="11">
        <v>16</v>
      </c>
      <c r="AF794" s="11">
        <v>18</v>
      </c>
      <c r="AG794" s="11">
        <v>16</v>
      </c>
      <c r="AH794" s="11">
        <v>16</v>
      </c>
    </row>
    <row r="795" spans="1:34" s="33" customFormat="1" x14ac:dyDescent="0.2">
      <c r="A795" s="11">
        <v>923</v>
      </c>
      <c r="B795" s="11"/>
      <c r="C795" s="11"/>
      <c r="D795" s="11"/>
      <c r="E795" s="11"/>
      <c r="F795" s="11" t="s">
        <v>51</v>
      </c>
      <c r="G795" s="11" t="s">
        <v>51</v>
      </c>
      <c r="H795" s="56" t="str">
        <f>VLOOKUP(Table6[[#This Row],[ICD Code]],ICD_summary!$I$3:$M$38,5,0)</f>
        <v>Misc/Other</v>
      </c>
      <c r="I795" s="12">
        <v>73.7</v>
      </c>
      <c r="J7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5" s="11" t="s">
        <v>55</v>
      </c>
      <c r="L795" s="11"/>
      <c r="M795" s="11"/>
      <c r="N795" s="11">
        <v>38.735999999999997</v>
      </c>
      <c r="O795" s="11">
        <v>38.351999999999997</v>
      </c>
      <c r="P795" s="11">
        <v>76.540000000000006</v>
      </c>
      <c r="Q795" s="11">
        <v>77.397999999999996</v>
      </c>
      <c r="R795" s="11">
        <v>75.838999999999999</v>
      </c>
      <c r="S795" s="11">
        <v>75.611000000000004</v>
      </c>
      <c r="T795" s="11">
        <v>118.98099999999999</v>
      </c>
      <c r="U795" s="11">
        <v>118.124</v>
      </c>
      <c r="V795" s="11">
        <v>63.070999999999998</v>
      </c>
      <c r="W795" s="11">
        <v>62.597000000000001</v>
      </c>
      <c r="X795" s="11">
        <v>36.929000000000002</v>
      </c>
      <c r="Y795" s="11">
        <v>37.402999999999999</v>
      </c>
      <c r="Z795" s="11">
        <v>12.369</v>
      </c>
      <c r="AA795" s="11">
        <v>13.063000000000001</v>
      </c>
      <c r="AB795" s="11">
        <v>37.402999999999999</v>
      </c>
      <c r="AC795" s="11">
        <v>36.929000000000002</v>
      </c>
      <c r="AD795" s="11">
        <v>5.9420000000000002</v>
      </c>
      <c r="AE795" s="11">
        <v>13</v>
      </c>
      <c r="AF795" s="11">
        <v>13</v>
      </c>
      <c r="AG795" s="11">
        <v>13</v>
      </c>
      <c r="AH795" s="11">
        <v>13</v>
      </c>
    </row>
    <row r="796" spans="1:34" s="33" customFormat="1" x14ac:dyDescent="0.2">
      <c r="A796" s="11">
        <v>924</v>
      </c>
      <c r="B796" s="11"/>
      <c r="C796" s="11"/>
      <c r="D796" s="11"/>
      <c r="E796" s="11"/>
      <c r="F796" s="11" t="s">
        <v>51</v>
      </c>
      <c r="G796" s="11" t="s">
        <v>51</v>
      </c>
      <c r="H796" s="56" t="str">
        <f>VLOOKUP(Table6[[#This Row],[ICD Code]],ICD_summary!$I$3:$M$38,5,0)</f>
        <v>Misc/Other</v>
      </c>
      <c r="I796" s="12">
        <v>34.1</v>
      </c>
      <c r="J7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796" s="11" t="s">
        <v>51</v>
      </c>
      <c r="L796" s="11"/>
      <c r="M796" s="11"/>
      <c r="N796" s="11">
        <v>57.128</v>
      </c>
      <c r="O796" s="11">
        <v>53.988</v>
      </c>
      <c r="P796" s="11">
        <v>111.815</v>
      </c>
      <c r="Q796" s="11">
        <v>110.861</v>
      </c>
      <c r="R796" s="11">
        <v>93.611999999999995</v>
      </c>
      <c r="S796" s="11">
        <v>93.846000000000004</v>
      </c>
      <c r="T796" s="11">
        <v>100.245</v>
      </c>
      <c r="U796" s="11">
        <v>100.291</v>
      </c>
      <c r="V796" s="11">
        <v>63.03</v>
      </c>
      <c r="W796" s="11">
        <v>62.470999999999997</v>
      </c>
      <c r="X796" s="11">
        <v>36.97</v>
      </c>
      <c r="Y796" s="11">
        <v>37.529000000000003</v>
      </c>
      <c r="Z796" s="11">
        <v>13.231999999999999</v>
      </c>
      <c r="AA796" s="11">
        <v>13.037000000000001</v>
      </c>
      <c r="AB796" s="11">
        <v>37.529000000000003</v>
      </c>
      <c r="AC796" s="11">
        <v>36.97</v>
      </c>
      <c r="AD796" s="11">
        <v>9.1620000000000008</v>
      </c>
      <c r="AE796" s="11">
        <v>10</v>
      </c>
      <c r="AF796" s="11">
        <v>8</v>
      </c>
      <c r="AG796" s="11">
        <v>8</v>
      </c>
      <c r="AH796" s="11">
        <v>8</v>
      </c>
    </row>
    <row r="797" spans="1:34" s="33" customFormat="1" x14ac:dyDescent="0.2">
      <c r="A797" s="11">
        <v>925</v>
      </c>
      <c r="B797" s="11"/>
      <c r="C797" s="11"/>
      <c r="D797" s="11"/>
      <c r="E797" s="11"/>
      <c r="F797" s="11" t="s">
        <v>51</v>
      </c>
      <c r="G797" s="11" t="s">
        <v>51</v>
      </c>
      <c r="H797" s="56" t="str">
        <f>VLOOKUP(Table6[[#This Row],[ICD Code]],ICD_summary!$I$3:$M$38,5,0)</f>
        <v>Misc/Other</v>
      </c>
      <c r="I797" s="12">
        <v>65</v>
      </c>
      <c r="J7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97" s="11" t="s">
        <v>52</v>
      </c>
      <c r="L797" s="11"/>
      <c r="M797" s="11"/>
      <c r="N797" s="11">
        <v>41.152000000000001</v>
      </c>
      <c r="O797" s="11">
        <v>45.125</v>
      </c>
      <c r="P797" s="11">
        <v>85.134</v>
      </c>
      <c r="Q797" s="11">
        <v>85.706999999999994</v>
      </c>
      <c r="R797" s="11">
        <v>71.903999999999996</v>
      </c>
      <c r="S797" s="11">
        <v>73.403999999999996</v>
      </c>
      <c r="T797" s="11">
        <v>100.986</v>
      </c>
      <c r="U797" s="11">
        <v>101.557</v>
      </c>
      <c r="V797" s="11">
        <v>68.206999999999994</v>
      </c>
      <c r="W797" s="11">
        <v>64.183000000000007</v>
      </c>
      <c r="X797" s="11">
        <v>31.792999999999999</v>
      </c>
      <c r="Y797" s="11">
        <v>35.817</v>
      </c>
      <c r="Z797" s="11">
        <v>17.702999999999999</v>
      </c>
      <c r="AA797" s="11">
        <v>15.458</v>
      </c>
      <c r="AB797" s="11">
        <v>35.817</v>
      </c>
      <c r="AC797" s="11">
        <v>31.792999999999999</v>
      </c>
      <c r="AD797" s="11">
        <v>10.65</v>
      </c>
      <c r="AE797" s="11">
        <v>12</v>
      </c>
      <c r="AF797" s="11">
        <v>11</v>
      </c>
      <c r="AG797" s="11">
        <v>11</v>
      </c>
      <c r="AH797" s="11">
        <v>11</v>
      </c>
    </row>
    <row r="798" spans="1:34" s="33" customFormat="1" x14ac:dyDescent="0.2">
      <c r="A798" s="11">
        <v>926</v>
      </c>
      <c r="B798" s="11"/>
      <c r="C798" s="11"/>
      <c r="D798" s="11"/>
      <c r="E798" s="11"/>
      <c r="F798" s="11" t="s">
        <v>51</v>
      </c>
      <c r="G798" s="11" t="s">
        <v>51</v>
      </c>
      <c r="H798" s="56" t="str">
        <f>VLOOKUP(Table6[[#This Row],[ICD Code]],ICD_summary!$I$3:$M$38,5,0)</f>
        <v>Misc/Other</v>
      </c>
      <c r="I798" s="12">
        <v>73.2</v>
      </c>
      <c r="J7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8" s="11" t="s">
        <v>55</v>
      </c>
      <c r="L798" s="11"/>
      <c r="M798" s="11"/>
      <c r="N798" s="11">
        <v>32.604999999999997</v>
      </c>
      <c r="O798" s="11">
        <v>25.486000000000001</v>
      </c>
      <c r="P798" s="11">
        <v>58.137999999999998</v>
      </c>
      <c r="Q798" s="11">
        <v>57.524999999999999</v>
      </c>
      <c r="R798" s="11">
        <v>51.64</v>
      </c>
      <c r="S798" s="11">
        <v>51.015999999999998</v>
      </c>
      <c r="T798" s="11">
        <v>105.2</v>
      </c>
      <c r="U798" s="11">
        <v>105.029</v>
      </c>
      <c r="V798" s="11">
        <v>65.897000000000006</v>
      </c>
      <c r="W798" s="11">
        <v>67.102000000000004</v>
      </c>
      <c r="X798" s="11">
        <v>34.103000000000002</v>
      </c>
      <c r="Y798" s="11">
        <v>32.898000000000003</v>
      </c>
      <c r="Z798" s="11">
        <v>17.611999999999998</v>
      </c>
      <c r="AA798" s="11">
        <v>15.582000000000001</v>
      </c>
      <c r="AB798" s="11">
        <v>32.898000000000003</v>
      </c>
      <c r="AC798" s="11">
        <v>34.103000000000002</v>
      </c>
      <c r="AD798" s="11">
        <v>12.576000000000001</v>
      </c>
      <c r="AE798" s="11">
        <v>15</v>
      </c>
      <c r="AF798" s="11">
        <v>13</v>
      </c>
      <c r="AG798" s="11">
        <v>13</v>
      </c>
      <c r="AH798" s="11">
        <v>13</v>
      </c>
    </row>
    <row r="799" spans="1:34" s="33" customFormat="1" x14ac:dyDescent="0.2">
      <c r="A799" s="11">
        <v>927</v>
      </c>
      <c r="B799" s="11"/>
      <c r="C799" s="11"/>
      <c r="D799" s="11"/>
      <c r="E799" s="11"/>
      <c r="F799" s="11" t="s">
        <v>51</v>
      </c>
      <c r="G799" s="11" t="s">
        <v>51</v>
      </c>
      <c r="H799" s="56" t="str">
        <f>VLOOKUP(Table6[[#This Row],[ICD Code]],ICD_summary!$I$3:$M$38,5,0)</f>
        <v>Misc/Other</v>
      </c>
      <c r="I799" s="12">
        <v>999</v>
      </c>
      <c r="J7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99" s="11" t="s">
        <v>55</v>
      </c>
      <c r="L799" s="11"/>
      <c r="M799" s="11"/>
      <c r="N799" s="11" t="s">
        <v>51</v>
      </c>
      <c r="O799" s="11" t="s">
        <v>51</v>
      </c>
      <c r="P799" s="11" t="s">
        <v>51</v>
      </c>
      <c r="Q799" s="11" t="s">
        <v>51</v>
      </c>
      <c r="R799" s="11" t="s">
        <v>51</v>
      </c>
      <c r="S799" s="11" t="s">
        <v>51</v>
      </c>
      <c r="T799" s="11" t="s">
        <v>51</v>
      </c>
      <c r="U799" s="11" t="s">
        <v>51</v>
      </c>
      <c r="V799" s="11" t="s">
        <v>51</v>
      </c>
      <c r="W799" s="11" t="s">
        <v>51</v>
      </c>
      <c r="X799" s="11" t="s">
        <v>51</v>
      </c>
      <c r="Y799" s="11" t="s">
        <v>51</v>
      </c>
      <c r="Z799" s="11" t="s">
        <v>51</v>
      </c>
      <c r="AA799" s="11" t="s">
        <v>51</v>
      </c>
      <c r="AB799" s="11" t="s">
        <v>51</v>
      </c>
      <c r="AC799" s="11" t="s">
        <v>51</v>
      </c>
      <c r="AD799" s="11" t="s">
        <v>51</v>
      </c>
      <c r="AE799" s="11" t="s">
        <v>51</v>
      </c>
      <c r="AF799" s="11" t="s">
        <v>51</v>
      </c>
      <c r="AG799" s="11" t="s">
        <v>51</v>
      </c>
      <c r="AH799" s="11" t="s">
        <v>51</v>
      </c>
    </row>
    <row r="800" spans="1:34" s="33" customFormat="1" x14ac:dyDescent="0.2">
      <c r="A800" s="11">
        <v>928</v>
      </c>
      <c r="B800" s="11"/>
      <c r="C800" s="11"/>
      <c r="D800" s="11"/>
      <c r="E800" s="11"/>
      <c r="F800" s="11" t="s">
        <v>51</v>
      </c>
      <c r="G800" s="11" t="s">
        <v>51</v>
      </c>
      <c r="H800" s="56" t="str">
        <f>VLOOKUP(Table6[[#This Row],[ICD Code]],ICD_summary!$I$3:$M$38,5,0)</f>
        <v>Misc/Other</v>
      </c>
      <c r="I800" s="12">
        <v>72.400000000000006</v>
      </c>
      <c r="J8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0" s="11" t="s">
        <v>52</v>
      </c>
      <c r="L800" s="11"/>
      <c r="M800" s="11"/>
      <c r="N800" s="11" t="s">
        <v>51</v>
      </c>
      <c r="O800" s="11" t="s">
        <v>51</v>
      </c>
      <c r="P800" s="11" t="s">
        <v>51</v>
      </c>
      <c r="Q800" s="11" t="s">
        <v>51</v>
      </c>
      <c r="R800" s="11" t="s">
        <v>51</v>
      </c>
      <c r="S800" s="11" t="s">
        <v>51</v>
      </c>
      <c r="T800" s="11" t="s">
        <v>51</v>
      </c>
      <c r="U800" s="11" t="s">
        <v>51</v>
      </c>
      <c r="V800" s="11" t="s">
        <v>51</v>
      </c>
      <c r="W800" s="11" t="s">
        <v>51</v>
      </c>
      <c r="X800" s="11" t="s">
        <v>51</v>
      </c>
      <c r="Y800" s="11" t="s">
        <v>51</v>
      </c>
      <c r="Z800" s="11" t="s">
        <v>51</v>
      </c>
      <c r="AA800" s="11" t="s">
        <v>51</v>
      </c>
      <c r="AB800" s="11" t="s">
        <v>51</v>
      </c>
      <c r="AC800" s="11" t="s">
        <v>51</v>
      </c>
      <c r="AD800" s="11" t="s">
        <v>51</v>
      </c>
      <c r="AE800" s="11" t="s">
        <v>51</v>
      </c>
      <c r="AF800" s="11" t="s">
        <v>51</v>
      </c>
      <c r="AG800" s="11" t="s">
        <v>51</v>
      </c>
      <c r="AH800" s="11" t="s">
        <v>51</v>
      </c>
    </row>
    <row r="801" spans="1:34" s="33" customFormat="1" x14ac:dyDescent="0.2">
      <c r="A801" s="11">
        <v>929</v>
      </c>
      <c r="B801" s="11"/>
      <c r="C801" s="11"/>
      <c r="D801" s="11"/>
      <c r="E801" s="11"/>
      <c r="F801" s="11" t="s">
        <v>51</v>
      </c>
      <c r="G801" s="11" t="s">
        <v>51</v>
      </c>
      <c r="H801" s="56" t="str">
        <f>VLOOKUP(Table6[[#This Row],[ICD Code]],ICD_summary!$I$3:$M$38,5,0)</f>
        <v>Misc/Other</v>
      </c>
      <c r="I801" s="12">
        <v>50.2</v>
      </c>
      <c r="J8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01" s="11" t="s">
        <v>52</v>
      </c>
      <c r="L801" s="11"/>
      <c r="M801" s="11"/>
      <c r="N801" s="11">
        <v>50.695</v>
      </c>
      <c r="O801" s="11">
        <v>56.253999999999998</v>
      </c>
      <c r="P801" s="11">
        <v>106.825</v>
      </c>
      <c r="Q801" s="11">
        <v>107.52200000000001</v>
      </c>
      <c r="R801" s="11">
        <v>70.709999999999994</v>
      </c>
      <c r="S801" s="11">
        <v>71.025999999999996</v>
      </c>
      <c r="T801" s="11">
        <v>78.805999999999997</v>
      </c>
      <c r="U801" s="11">
        <v>79.158000000000001</v>
      </c>
      <c r="V801" s="11">
        <v>68.222999999999999</v>
      </c>
      <c r="W801" s="11">
        <v>64.185000000000002</v>
      </c>
      <c r="X801" s="11">
        <v>31.777000000000001</v>
      </c>
      <c r="Y801" s="11">
        <v>35.814999999999998</v>
      </c>
      <c r="Z801" s="11">
        <v>16.829999999999998</v>
      </c>
      <c r="AA801" s="11">
        <v>15.284000000000001</v>
      </c>
      <c r="AB801" s="11">
        <v>35.814999999999998</v>
      </c>
      <c r="AC801" s="11">
        <v>31.777000000000001</v>
      </c>
      <c r="AD801" s="11">
        <v>11.114000000000001</v>
      </c>
      <c r="AE801" s="11">
        <v>9</v>
      </c>
      <c r="AF801" s="11">
        <v>10</v>
      </c>
      <c r="AG801" s="11">
        <v>9</v>
      </c>
      <c r="AH801" s="11">
        <v>9</v>
      </c>
    </row>
    <row r="802" spans="1:34" s="33" customFormat="1" x14ac:dyDescent="0.2">
      <c r="A802" s="11">
        <v>930</v>
      </c>
      <c r="B802" s="11"/>
      <c r="C802" s="11"/>
      <c r="D802" s="11"/>
      <c r="E802" s="11"/>
      <c r="F802" s="11" t="s">
        <v>51</v>
      </c>
      <c r="G802" s="11" t="s">
        <v>51</v>
      </c>
      <c r="H802" s="56" t="str">
        <f>VLOOKUP(Table6[[#This Row],[ICD Code]],ICD_summary!$I$3:$M$38,5,0)</f>
        <v>Misc/Other</v>
      </c>
      <c r="I802" s="12">
        <v>54.2</v>
      </c>
      <c r="J8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02" s="11" t="s">
        <v>52</v>
      </c>
      <c r="L802" s="11"/>
      <c r="M802" s="11"/>
      <c r="N802" s="11" t="s">
        <v>51</v>
      </c>
      <c r="O802" s="11" t="s">
        <v>51</v>
      </c>
      <c r="P802" s="11" t="s">
        <v>51</v>
      </c>
      <c r="Q802" s="11" t="s">
        <v>51</v>
      </c>
      <c r="R802" s="11" t="s">
        <v>51</v>
      </c>
      <c r="S802" s="11" t="s">
        <v>51</v>
      </c>
      <c r="T802" s="11" t="s">
        <v>51</v>
      </c>
      <c r="U802" s="11" t="s">
        <v>51</v>
      </c>
      <c r="V802" s="11" t="s">
        <v>51</v>
      </c>
      <c r="W802" s="11" t="s">
        <v>51</v>
      </c>
      <c r="X802" s="11" t="s">
        <v>51</v>
      </c>
      <c r="Y802" s="11" t="s">
        <v>51</v>
      </c>
      <c r="Z802" s="11" t="s">
        <v>51</v>
      </c>
      <c r="AA802" s="11" t="s">
        <v>51</v>
      </c>
      <c r="AB802" s="11" t="s">
        <v>51</v>
      </c>
      <c r="AC802" s="11" t="s">
        <v>51</v>
      </c>
      <c r="AD802" s="11" t="s">
        <v>51</v>
      </c>
      <c r="AE802" s="11" t="s">
        <v>51</v>
      </c>
      <c r="AF802" s="11" t="s">
        <v>51</v>
      </c>
      <c r="AG802" s="11" t="s">
        <v>51</v>
      </c>
      <c r="AH802" s="11" t="s">
        <v>51</v>
      </c>
    </row>
    <row r="803" spans="1:34" s="33" customFormat="1" x14ac:dyDescent="0.2">
      <c r="A803" s="11">
        <v>931</v>
      </c>
      <c r="B803" s="11"/>
      <c r="C803" s="11"/>
      <c r="D803" s="11"/>
      <c r="E803" s="11"/>
      <c r="F803" s="11" t="s">
        <v>51</v>
      </c>
      <c r="G803" s="11" t="s">
        <v>51</v>
      </c>
      <c r="H803" s="56" t="str">
        <f>VLOOKUP(Table6[[#This Row],[ICD Code]],ICD_summary!$I$3:$M$38,5,0)</f>
        <v>Misc/Other</v>
      </c>
      <c r="I803" s="12">
        <v>68.8</v>
      </c>
      <c r="J8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3" s="11" t="s">
        <v>52</v>
      </c>
      <c r="L803" s="11"/>
      <c r="M803" s="11"/>
      <c r="N803" s="11">
        <v>40.704000000000001</v>
      </c>
      <c r="O803" s="11">
        <v>37.127000000000002</v>
      </c>
      <c r="P803" s="11">
        <v>78.674999999999997</v>
      </c>
      <c r="Q803" s="11">
        <v>76.239999999999995</v>
      </c>
      <c r="R803" s="11">
        <v>50.661999999999999</v>
      </c>
      <c r="S803" s="11">
        <v>49.545000000000002</v>
      </c>
      <c r="T803" s="11">
        <v>76.771000000000001</v>
      </c>
      <c r="U803" s="11">
        <v>76.849999999999994</v>
      </c>
      <c r="V803" s="11">
        <v>68.876000000000005</v>
      </c>
      <c r="W803" s="11">
        <v>69.518000000000001</v>
      </c>
      <c r="X803" s="11">
        <v>31.123999999999999</v>
      </c>
      <c r="Y803" s="11">
        <v>30.481999999999999</v>
      </c>
      <c r="Z803" s="11">
        <v>18.544</v>
      </c>
      <c r="AA803" s="11">
        <v>20.274000000000001</v>
      </c>
      <c r="AB803" s="11">
        <v>30.481999999999999</v>
      </c>
      <c r="AC803" s="11">
        <v>31.123999999999999</v>
      </c>
      <c r="AD803" s="11">
        <v>15.496</v>
      </c>
      <c r="AE803" s="11">
        <v>13</v>
      </c>
      <c r="AF803" s="11">
        <v>11</v>
      </c>
      <c r="AG803" s="11">
        <v>11</v>
      </c>
      <c r="AH803" s="11">
        <v>11</v>
      </c>
    </row>
    <row r="804" spans="1:34" s="33" customFormat="1" x14ac:dyDescent="0.2">
      <c r="A804" s="11">
        <v>932</v>
      </c>
      <c r="B804" s="11"/>
      <c r="C804" s="11"/>
      <c r="D804" s="11"/>
      <c r="E804" s="11"/>
      <c r="F804" s="11" t="s">
        <v>51</v>
      </c>
      <c r="G804" s="11" t="s">
        <v>51</v>
      </c>
      <c r="H804" s="56" t="str">
        <f>VLOOKUP(Table6[[#This Row],[ICD Code]],ICD_summary!$I$3:$M$38,5,0)</f>
        <v>Misc/Other</v>
      </c>
      <c r="I804" s="12">
        <v>74.400000000000006</v>
      </c>
      <c r="J8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4" s="11" t="s">
        <v>52</v>
      </c>
      <c r="L804" s="11"/>
      <c r="M804" s="11"/>
      <c r="N804" s="11">
        <v>37.981999999999999</v>
      </c>
      <c r="O804" s="11">
        <v>33.6</v>
      </c>
      <c r="P804" s="11">
        <v>71.879000000000005</v>
      </c>
      <c r="Q804" s="11">
        <v>70.930999999999997</v>
      </c>
      <c r="R804" s="11">
        <v>43.953000000000003</v>
      </c>
      <c r="S804" s="11">
        <v>44.603000000000002</v>
      </c>
      <c r="T804" s="11">
        <v>73.715999999999994</v>
      </c>
      <c r="U804" s="11">
        <v>74.78</v>
      </c>
      <c r="V804" s="11">
        <v>69.617000000000004</v>
      </c>
      <c r="W804" s="11">
        <v>70.067999999999998</v>
      </c>
      <c r="X804" s="11">
        <v>30.382999999999999</v>
      </c>
      <c r="Y804" s="11">
        <v>29.931999999999999</v>
      </c>
      <c r="Z804" s="11">
        <v>19.12</v>
      </c>
      <c r="AA804" s="11">
        <v>20.704999999999998</v>
      </c>
      <c r="AB804" s="11">
        <v>29.931999999999999</v>
      </c>
      <c r="AC804" s="11">
        <v>30.382999999999999</v>
      </c>
      <c r="AD804" s="11">
        <v>16.010000000000002</v>
      </c>
      <c r="AE804" s="11">
        <v>13</v>
      </c>
      <c r="AF804" s="11">
        <v>13</v>
      </c>
      <c r="AG804" s="11">
        <v>13</v>
      </c>
      <c r="AH804" s="11">
        <v>13</v>
      </c>
    </row>
    <row r="805" spans="1:34" s="33" customFormat="1" x14ac:dyDescent="0.2">
      <c r="A805" s="11">
        <v>933</v>
      </c>
      <c r="B805" s="11"/>
      <c r="C805" s="11"/>
      <c r="D805" s="11"/>
      <c r="E805" s="11"/>
      <c r="F805" s="11" t="s">
        <v>51</v>
      </c>
      <c r="G805" s="11" t="s">
        <v>51</v>
      </c>
      <c r="H805" s="56" t="str">
        <f>VLOOKUP(Table6[[#This Row],[ICD Code]],ICD_summary!$I$3:$M$38,5,0)</f>
        <v>Misc/Other</v>
      </c>
      <c r="I805" s="12">
        <v>70.599999999999994</v>
      </c>
      <c r="J8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5" s="11" t="s">
        <v>52</v>
      </c>
      <c r="L805" s="11"/>
      <c r="M805" s="11"/>
      <c r="N805" s="11">
        <v>28.274000000000001</v>
      </c>
      <c r="O805" s="11">
        <v>27.39</v>
      </c>
      <c r="P805" s="11">
        <v>55.354999999999997</v>
      </c>
      <c r="Q805" s="11">
        <v>55.503</v>
      </c>
      <c r="R805" s="11">
        <v>69.108999999999995</v>
      </c>
      <c r="S805" s="11">
        <v>69.236000000000004</v>
      </c>
      <c r="T805" s="11">
        <v>149.74100000000001</v>
      </c>
      <c r="U805" s="11">
        <v>149.86600000000001</v>
      </c>
      <c r="V805" s="11">
        <v>65.876000000000005</v>
      </c>
      <c r="W805" s="11">
        <v>52.5</v>
      </c>
      <c r="X805" s="11">
        <v>34.124000000000002</v>
      </c>
      <c r="Y805" s="11">
        <v>47.5</v>
      </c>
      <c r="Z805" s="11">
        <v>3.6960000000000002</v>
      </c>
      <c r="AA805" s="11">
        <v>14.135999999999999</v>
      </c>
      <c r="AB805" s="11">
        <v>47.5</v>
      </c>
      <c r="AC805" s="11">
        <v>34.124000000000002</v>
      </c>
      <c r="AD805" s="11">
        <v>19.582000000000001</v>
      </c>
      <c r="AE805" s="11">
        <v>16</v>
      </c>
      <c r="AF805" s="11">
        <v>16</v>
      </c>
      <c r="AG805" s="11">
        <v>16</v>
      </c>
      <c r="AH805" s="11">
        <v>16</v>
      </c>
    </row>
    <row r="806" spans="1:34" s="33" customFormat="1" x14ac:dyDescent="0.2">
      <c r="A806" s="11">
        <v>934</v>
      </c>
      <c r="B806" s="11"/>
      <c r="C806" s="11"/>
      <c r="D806" s="11"/>
      <c r="E806" s="11"/>
      <c r="F806" s="11" t="s">
        <v>51</v>
      </c>
      <c r="G806" s="11" t="s">
        <v>51</v>
      </c>
      <c r="H806" s="56" t="str">
        <f>VLOOKUP(Table6[[#This Row],[ICD Code]],ICD_summary!$I$3:$M$38,5,0)</f>
        <v>Misc/Other</v>
      </c>
      <c r="I806" s="12">
        <v>66.8</v>
      </c>
      <c r="J8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6" s="11" t="s">
        <v>52</v>
      </c>
      <c r="L806" s="11"/>
      <c r="M806" s="11"/>
      <c r="N806" s="11" t="s">
        <v>51</v>
      </c>
      <c r="O806" s="11" t="s">
        <v>51</v>
      </c>
      <c r="P806" s="11" t="s">
        <v>51</v>
      </c>
      <c r="Q806" s="11" t="s">
        <v>51</v>
      </c>
      <c r="R806" s="11" t="s">
        <v>51</v>
      </c>
      <c r="S806" s="11" t="s">
        <v>51</v>
      </c>
      <c r="T806" s="11" t="s">
        <v>51</v>
      </c>
      <c r="U806" s="11" t="s">
        <v>51</v>
      </c>
      <c r="V806" s="11" t="s">
        <v>51</v>
      </c>
      <c r="W806" s="11" t="s">
        <v>51</v>
      </c>
      <c r="X806" s="11" t="s">
        <v>51</v>
      </c>
      <c r="Y806" s="11" t="s">
        <v>51</v>
      </c>
      <c r="Z806" s="11" t="s">
        <v>51</v>
      </c>
      <c r="AA806" s="11" t="s">
        <v>51</v>
      </c>
      <c r="AB806" s="11" t="s">
        <v>51</v>
      </c>
      <c r="AC806" s="11" t="s">
        <v>51</v>
      </c>
      <c r="AD806" s="11" t="s">
        <v>51</v>
      </c>
      <c r="AE806" s="11" t="s">
        <v>51</v>
      </c>
      <c r="AF806" s="11" t="s">
        <v>51</v>
      </c>
      <c r="AG806" s="11" t="s">
        <v>51</v>
      </c>
      <c r="AH806" s="11" t="s">
        <v>51</v>
      </c>
    </row>
    <row r="807" spans="1:34" s="33" customFormat="1" x14ac:dyDescent="0.2">
      <c r="A807" s="11">
        <v>935</v>
      </c>
      <c r="B807" s="11"/>
      <c r="C807" s="11"/>
      <c r="D807" s="11"/>
      <c r="E807" s="11"/>
      <c r="F807" s="11" t="s">
        <v>51</v>
      </c>
      <c r="G807" s="11" t="s">
        <v>51</v>
      </c>
      <c r="H807" s="56" t="str">
        <f>VLOOKUP(Table6[[#This Row],[ICD Code]],ICD_summary!$I$3:$M$38,5,0)</f>
        <v>Misc/Other</v>
      </c>
      <c r="I807" s="12">
        <v>999</v>
      </c>
      <c r="J8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07" s="11" t="s">
        <v>51</v>
      </c>
      <c r="L807" s="11"/>
      <c r="M807" s="11"/>
      <c r="N807" s="11" t="s">
        <v>51</v>
      </c>
      <c r="O807" s="11" t="s">
        <v>51</v>
      </c>
      <c r="P807" s="11" t="s">
        <v>51</v>
      </c>
      <c r="Q807" s="11" t="s">
        <v>51</v>
      </c>
      <c r="R807" s="11" t="s">
        <v>51</v>
      </c>
      <c r="S807" s="11" t="s">
        <v>51</v>
      </c>
      <c r="T807" s="11" t="s">
        <v>51</v>
      </c>
      <c r="U807" s="11" t="s">
        <v>51</v>
      </c>
      <c r="V807" s="11" t="s">
        <v>51</v>
      </c>
      <c r="W807" s="11" t="s">
        <v>51</v>
      </c>
      <c r="X807" s="11" t="s">
        <v>51</v>
      </c>
      <c r="Y807" s="11" t="s">
        <v>51</v>
      </c>
      <c r="Z807" s="11" t="s">
        <v>51</v>
      </c>
      <c r="AA807" s="11" t="s">
        <v>51</v>
      </c>
      <c r="AB807" s="11" t="s">
        <v>51</v>
      </c>
      <c r="AC807" s="11" t="s">
        <v>51</v>
      </c>
      <c r="AD807" s="11" t="s">
        <v>51</v>
      </c>
      <c r="AE807" s="11" t="s">
        <v>51</v>
      </c>
      <c r="AF807" s="11" t="s">
        <v>51</v>
      </c>
      <c r="AG807" s="11" t="s">
        <v>51</v>
      </c>
      <c r="AH807" s="11" t="s">
        <v>51</v>
      </c>
    </row>
    <row r="808" spans="1:34" s="33" customFormat="1" x14ac:dyDescent="0.2">
      <c r="A808" s="11">
        <v>936</v>
      </c>
      <c r="B808" s="11"/>
      <c r="C808" s="11"/>
      <c r="D808" s="11"/>
      <c r="E808" s="11"/>
      <c r="F808" s="11" t="s">
        <v>51</v>
      </c>
      <c r="G808" s="11" t="s">
        <v>51</v>
      </c>
      <c r="H808" s="56" t="str">
        <f>VLOOKUP(Table6[[#This Row],[ICD Code]],ICD_summary!$I$3:$M$38,5,0)</f>
        <v>Misc/Other</v>
      </c>
      <c r="I808" s="12">
        <v>67.400000000000006</v>
      </c>
      <c r="J8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8" s="11" t="s">
        <v>55</v>
      </c>
      <c r="L808" s="11"/>
      <c r="M808" s="11"/>
      <c r="N808" s="11">
        <v>32.603000000000002</v>
      </c>
      <c r="O808" s="11">
        <v>36.030999999999999</v>
      </c>
      <c r="P808" s="11">
        <v>68.995999999999995</v>
      </c>
      <c r="Q808" s="11">
        <v>68.519000000000005</v>
      </c>
      <c r="R808" s="11">
        <v>51.628</v>
      </c>
      <c r="S808" s="11">
        <v>51.588000000000001</v>
      </c>
      <c r="T808" s="11">
        <v>90.441999999999993</v>
      </c>
      <c r="U808" s="11">
        <v>90.671000000000006</v>
      </c>
      <c r="V808" s="11">
        <v>70.853999999999999</v>
      </c>
      <c r="W808" s="11">
        <v>68.164000000000001</v>
      </c>
      <c r="X808" s="11">
        <v>29.146000000000001</v>
      </c>
      <c r="Y808" s="11">
        <v>31.835999999999999</v>
      </c>
      <c r="Z808" s="11">
        <v>19.510999999999999</v>
      </c>
      <c r="AA808" s="11">
        <v>20.026</v>
      </c>
      <c r="AB808" s="11">
        <v>31.835999999999999</v>
      </c>
      <c r="AC808" s="11">
        <v>29.146000000000001</v>
      </c>
      <c r="AD808" s="11">
        <v>15.794</v>
      </c>
      <c r="AE808" s="11">
        <v>15</v>
      </c>
      <c r="AF808" s="11">
        <v>16</v>
      </c>
      <c r="AG808" s="11">
        <v>15</v>
      </c>
      <c r="AH808" s="11">
        <v>15</v>
      </c>
    </row>
    <row r="809" spans="1:34" s="33" customFormat="1" x14ac:dyDescent="0.2">
      <c r="A809" s="11">
        <v>937</v>
      </c>
      <c r="B809" s="11"/>
      <c r="C809" s="11"/>
      <c r="D809" s="11"/>
      <c r="E809" s="11"/>
      <c r="F809" s="11" t="s">
        <v>51</v>
      </c>
      <c r="G809" s="11" t="s">
        <v>51</v>
      </c>
      <c r="H809" s="56" t="str">
        <f>VLOOKUP(Table6[[#This Row],[ICD Code]],ICD_summary!$I$3:$M$38,5,0)</f>
        <v>Misc/Other</v>
      </c>
      <c r="I809" s="12">
        <v>0</v>
      </c>
      <c r="J8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809" s="11" t="s">
        <v>52</v>
      </c>
      <c r="L809" s="11"/>
      <c r="M809" s="11"/>
      <c r="N809" s="11">
        <v>39.237000000000002</v>
      </c>
      <c r="O809" s="11">
        <v>40.701000000000001</v>
      </c>
      <c r="P809" s="11">
        <v>79.724999999999994</v>
      </c>
      <c r="Q809" s="11">
        <v>79.88</v>
      </c>
      <c r="R809" s="11">
        <v>74.522999999999996</v>
      </c>
      <c r="S809" s="11">
        <v>74.873999999999995</v>
      </c>
      <c r="T809" s="11">
        <v>112.85</v>
      </c>
      <c r="U809" s="11">
        <v>112.279</v>
      </c>
      <c r="V809" s="11">
        <v>67.974999999999994</v>
      </c>
      <c r="W809" s="11">
        <v>68.174000000000007</v>
      </c>
      <c r="X809" s="11">
        <v>32.024999999999999</v>
      </c>
      <c r="Y809" s="11">
        <v>31.826000000000001</v>
      </c>
      <c r="Z809" s="11">
        <v>18.614000000000001</v>
      </c>
      <c r="AA809" s="11">
        <v>18.172000000000001</v>
      </c>
      <c r="AB809" s="11">
        <v>31.826000000000001</v>
      </c>
      <c r="AC809" s="11">
        <v>32.024999999999999</v>
      </c>
      <c r="AD809" s="11">
        <v>14.27</v>
      </c>
      <c r="AE809" s="11">
        <v>12</v>
      </c>
      <c r="AF809" s="11">
        <v>13</v>
      </c>
      <c r="AG809" s="11">
        <v>12</v>
      </c>
      <c r="AH809" s="11">
        <v>12</v>
      </c>
    </row>
    <row r="810" spans="1:34" s="33" customFormat="1" x14ac:dyDescent="0.2">
      <c r="A810" s="11">
        <v>938</v>
      </c>
      <c r="B810" s="11"/>
      <c r="C810" s="11"/>
      <c r="D810" s="11"/>
      <c r="E810" s="11"/>
      <c r="F810" s="11" t="s">
        <v>51</v>
      </c>
      <c r="G810" s="11" t="s">
        <v>51</v>
      </c>
      <c r="H810" s="56" t="str">
        <f>VLOOKUP(Table6[[#This Row],[ICD Code]],ICD_summary!$I$3:$M$38,5,0)</f>
        <v>Misc/Other</v>
      </c>
      <c r="I810" s="12">
        <v>59.2</v>
      </c>
      <c r="J8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10" s="11" t="s">
        <v>52</v>
      </c>
      <c r="L810" s="11"/>
      <c r="M810" s="11"/>
      <c r="N810" s="11">
        <v>27.966999999999999</v>
      </c>
      <c r="O810" s="11">
        <v>30.187999999999999</v>
      </c>
      <c r="P810" s="11">
        <v>58.439</v>
      </c>
      <c r="Q810" s="11">
        <v>57.106999999999999</v>
      </c>
      <c r="R810" s="11">
        <v>55.43</v>
      </c>
      <c r="S810" s="11">
        <v>55.066000000000003</v>
      </c>
      <c r="T810" s="11">
        <v>114.30800000000001</v>
      </c>
      <c r="U810" s="11">
        <v>115.723</v>
      </c>
      <c r="V810" s="11">
        <v>68.938999999999993</v>
      </c>
      <c r="W810" s="11">
        <v>64.852000000000004</v>
      </c>
      <c r="X810" s="11">
        <v>31.061</v>
      </c>
      <c r="Y810" s="11">
        <v>35.148000000000003</v>
      </c>
      <c r="Z810" s="11">
        <v>19.100000000000001</v>
      </c>
      <c r="AA810" s="11">
        <v>14.417</v>
      </c>
      <c r="AB810" s="11">
        <v>35.148000000000003</v>
      </c>
      <c r="AC810" s="11">
        <v>31.061</v>
      </c>
      <c r="AD810" s="11">
        <v>18.577999999999999</v>
      </c>
      <c r="AE810" s="11">
        <v>17</v>
      </c>
      <c r="AF810" s="11">
        <v>17</v>
      </c>
      <c r="AG810" s="11">
        <v>17</v>
      </c>
      <c r="AH810" s="11">
        <v>17</v>
      </c>
    </row>
    <row r="811" spans="1:34" s="33" customFormat="1" x14ac:dyDescent="0.2">
      <c r="A811" s="11">
        <v>939</v>
      </c>
      <c r="B811" s="11"/>
      <c r="C811" s="11"/>
      <c r="D811" s="11"/>
      <c r="E811" s="11"/>
      <c r="F811" s="11" t="s">
        <v>51</v>
      </c>
      <c r="G811" s="11" t="s">
        <v>51</v>
      </c>
      <c r="H811" s="56" t="str">
        <f>VLOOKUP(Table6[[#This Row],[ICD Code]],ICD_summary!$I$3:$M$38,5,0)</f>
        <v>Misc/Other</v>
      </c>
      <c r="I811" s="12">
        <v>60.4</v>
      </c>
      <c r="J8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1" s="11" t="s">
        <v>52</v>
      </c>
      <c r="L811" s="11"/>
      <c r="M811" s="11"/>
      <c r="N811" s="11">
        <v>47.152999999999999</v>
      </c>
      <c r="O811" s="11">
        <v>44.322000000000003</v>
      </c>
      <c r="P811" s="11">
        <v>91.991</v>
      </c>
      <c r="Q811" s="11">
        <v>91.799000000000007</v>
      </c>
      <c r="R811" s="11">
        <v>68.064999999999998</v>
      </c>
      <c r="S811" s="11">
        <v>68.191999999999993</v>
      </c>
      <c r="T811" s="11">
        <v>87.968000000000004</v>
      </c>
      <c r="U811" s="11">
        <v>88.498000000000005</v>
      </c>
      <c r="V811" s="11">
        <v>67.218999999999994</v>
      </c>
      <c r="W811" s="11">
        <v>66.058000000000007</v>
      </c>
      <c r="X811" s="11">
        <v>32.780999999999999</v>
      </c>
      <c r="Y811" s="11">
        <v>33.942</v>
      </c>
      <c r="Z811" s="11">
        <v>18.93</v>
      </c>
      <c r="AA811" s="11">
        <v>14.744</v>
      </c>
      <c r="AB811" s="11">
        <v>33.942</v>
      </c>
      <c r="AC811" s="11">
        <v>32.780999999999999</v>
      </c>
      <c r="AD811" s="11">
        <v>11.206</v>
      </c>
      <c r="AE811" s="11">
        <v>10</v>
      </c>
      <c r="AF811" s="11">
        <v>10</v>
      </c>
      <c r="AG811" s="11">
        <v>10</v>
      </c>
      <c r="AH811" s="11">
        <v>10</v>
      </c>
    </row>
    <row r="812" spans="1:34" s="33" customFormat="1" x14ac:dyDescent="0.2">
      <c r="A812" s="11">
        <v>940</v>
      </c>
      <c r="B812" s="11"/>
      <c r="C812" s="11"/>
      <c r="D812" s="11"/>
      <c r="E812" s="11"/>
      <c r="F812" s="11" t="s">
        <v>51</v>
      </c>
      <c r="G812" s="11" t="s">
        <v>51</v>
      </c>
      <c r="H812" s="56" t="str">
        <f>VLOOKUP(Table6[[#This Row],[ICD Code]],ICD_summary!$I$3:$M$38,5,0)</f>
        <v>Misc/Other</v>
      </c>
      <c r="I812" s="12">
        <v>63.2</v>
      </c>
      <c r="J8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2" s="11" t="s">
        <v>55</v>
      </c>
      <c r="L812" s="11"/>
      <c r="M812" s="11"/>
      <c r="N812" s="11">
        <v>28.663</v>
      </c>
      <c r="O812" s="11">
        <v>32.299999999999997</v>
      </c>
      <c r="P812" s="11">
        <v>60.587000000000003</v>
      </c>
      <c r="Q812" s="11">
        <v>61.436999999999998</v>
      </c>
      <c r="R812" s="11">
        <v>50.906999999999996</v>
      </c>
      <c r="S812" s="11">
        <v>51.189</v>
      </c>
      <c r="T812" s="11">
        <v>100.88200000000001</v>
      </c>
      <c r="U812" s="11">
        <v>100.39</v>
      </c>
      <c r="V812" s="11">
        <v>66.745000000000005</v>
      </c>
      <c r="W812" s="11">
        <v>65.548000000000002</v>
      </c>
      <c r="X812" s="11">
        <v>33.255000000000003</v>
      </c>
      <c r="Y812" s="11">
        <v>34.451999999999998</v>
      </c>
      <c r="Z812" s="11">
        <v>17.103000000000002</v>
      </c>
      <c r="AA812" s="11">
        <v>15.433999999999999</v>
      </c>
      <c r="AB812" s="11">
        <v>34.451999999999998</v>
      </c>
      <c r="AC812" s="11">
        <v>33.255000000000003</v>
      </c>
      <c r="AD812" s="11">
        <v>13.586</v>
      </c>
      <c r="AE812" s="11">
        <v>17</v>
      </c>
      <c r="AF812" s="11">
        <v>16</v>
      </c>
      <c r="AG812" s="11">
        <v>16</v>
      </c>
      <c r="AH812" s="11">
        <v>16</v>
      </c>
    </row>
    <row r="813" spans="1:34" s="33" customFormat="1" x14ac:dyDescent="0.2">
      <c r="A813" s="11">
        <v>941</v>
      </c>
      <c r="B813" s="11"/>
      <c r="C813" s="11"/>
      <c r="D813" s="11"/>
      <c r="E813" s="11"/>
      <c r="F813" s="11" t="s">
        <v>51</v>
      </c>
      <c r="G813" s="11" t="s">
        <v>51</v>
      </c>
      <c r="H813" s="56" t="str">
        <f>VLOOKUP(Table6[[#This Row],[ICD Code]],ICD_summary!$I$3:$M$38,5,0)</f>
        <v>Misc/Other</v>
      </c>
      <c r="I813" s="12">
        <v>76</v>
      </c>
      <c r="J8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13" s="11" t="s">
        <v>55</v>
      </c>
      <c r="L813" s="11"/>
      <c r="M813" s="11"/>
      <c r="N813" s="11">
        <v>41.048999999999999</v>
      </c>
      <c r="O813" s="11">
        <v>40.451999999999998</v>
      </c>
      <c r="P813" s="11">
        <v>81.489999999999995</v>
      </c>
      <c r="Q813" s="11">
        <v>81.665000000000006</v>
      </c>
      <c r="R813" s="11">
        <v>59.951000000000001</v>
      </c>
      <c r="S813" s="11">
        <v>60.298999999999999</v>
      </c>
      <c r="T813" s="11">
        <v>87.921999999999997</v>
      </c>
      <c r="U813" s="11">
        <v>88.533000000000001</v>
      </c>
      <c r="V813" s="11">
        <v>68.543999999999997</v>
      </c>
      <c r="W813" s="11">
        <v>67.239999999999995</v>
      </c>
      <c r="X813" s="11">
        <v>31.456</v>
      </c>
      <c r="Y813" s="11">
        <v>32.76</v>
      </c>
      <c r="Z813" s="11">
        <v>16.332999999999998</v>
      </c>
      <c r="AA813" s="11">
        <v>19.155999999999999</v>
      </c>
      <c r="AB813" s="11">
        <v>32.76</v>
      </c>
      <c r="AC813" s="11">
        <v>31.456</v>
      </c>
      <c r="AD813" s="11">
        <v>9.016</v>
      </c>
      <c r="AE813" s="11">
        <v>11</v>
      </c>
      <c r="AF813" s="11">
        <v>10</v>
      </c>
      <c r="AG813" s="11">
        <v>10</v>
      </c>
      <c r="AH813" s="11">
        <v>10</v>
      </c>
    </row>
    <row r="814" spans="1:34" s="33" customFormat="1" x14ac:dyDescent="0.2">
      <c r="A814" s="11">
        <v>1001</v>
      </c>
      <c r="B814" s="11"/>
      <c r="C814" s="11"/>
      <c r="D814" s="11"/>
      <c r="E814" s="11"/>
      <c r="F814" s="11" t="s">
        <v>51</v>
      </c>
      <c r="G814" s="11" t="s">
        <v>51</v>
      </c>
      <c r="H814" s="56" t="str">
        <f>VLOOKUP(Table6[[#This Row],[ICD Code]],ICD_summary!$I$3:$M$38,5,0)</f>
        <v>Misc/Other</v>
      </c>
      <c r="I814" s="12">
        <v>68.5</v>
      </c>
      <c r="J8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4" s="11" t="s">
        <v>52</v>
      </c>
      <c r="L814" s="11"/>
      <c r="M814" s="11"/>
      <c r="N814" s="11">
        <v>34.238</v>
      </c>
      <c r="O814" s="11">
        <v>39.899000000000001</v>
      </c>
      <c r="P814" s="11">
        <v>73.799000000000007</v>
      </c>
      <c r="Q814" s="11">
        <v>75.182000000000002</v>
      </c>
      <c r="R814" s="11">
        <v>60.322000000000003</v>
      </c>
      <c r="S814" s="11">
        <v>61.609000000000002</v>
      </c>
      <c r="T814" s="11">
        <v>99.051000000000002</v>
      </c>
      <c r="U814" s="11">
        <v>98.980999999999995</v>
      </c>
      <c r="V814" s="11">
        <v>62.710999999999999</v>
      </c>
      <c r="W814" s="11">
        <v>62.722000000000001</v>
      </c>
      <c r="X814" s="11">
        <v>37.289000000000001</v>
      </c>
      <c r="Y814" s="11">
        <v>37.277999999999999</v>
      </c>
      <c r="Z814" s="11">
        <v>13.618</v>
      </c>
      <c r="AA814" s="11">
        <v>12.672000000000001</v>
      </c>
      <c r="AB814" s="11">
        <v>37.277999999999999</v>
      </c>
      <c r="AC814" s="11">
        <v>37.289000000000001</v>
      </c>
      <c r="AD814" s="11">
        <v>15.885999999999999</v>
      </c>
      <c r="AE814" s="11">
        <v>15</v>
      </c>
      <c r="AF814" s="11">
        <v>14</v>
      </c>
      <c r="AG814" s="11">
        <v>14</v>
      </c>
      <c r="AH814" s="11">
        <v>14</v>
      </c>
    </row>
    <row r="815" spans="1:34" s="33" customFormat="1" x14ac:dyDescent="0.2">
      <c r="A815" s="11">
        <v>1002</v>
      </c>
      <c r="B815" s="11"/>
      <c r="C815" s="11"/>
      <c r="D815" s="11"/>
      <c r="E815" s="11"/>
      <c r="F815" s="11" t="s">
        <v>51</v>
      </c>
      <c r="G815" s="11" t="s">
        <v>51</v>
      </c>
      <c r="H815" s="56" t="str">
        <f>VLOOKUP(Table6[[#This Row],[ICD Code]],ICD_summary!$I$3:$M$38,5,0)</f>
        <v>Misc/Other</v>
      </c>
      <c r="I815" s="12">
        <v>999</v>
      </c>
      <c r="J8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5" s="11" t="s">
        <v>51</v>
      </c>
      <c r="L815" s="11"/>
      <c r="M815" s="11"/>
      <c r="N815" s="11">
        <v>18.48</v>
      </c>
      <c r="O815" s="11">
        <v>11.406000000000001</v>
      </c>
      <c r="P815" s="11">
        <v>29.869</v>
      </c>
      <c r="Q815" s="11">
        <v>30.035</v>
      </c>
      <c r="R815" s="11">
        <v>18.55</v>
      </c>
      <c r="S815" s="11">
        <v>18.451000000000001</v>
      </c>
      <c r="T815" s="11">
        <v>74.551000000000002</v>
      </c>
      <c r="U815" s="11">
        <v>73.239000000000004</v>
      </c>
      <c r="V815" s="11">
        <v>72.096000000000004</v>
      </c>
      <c r="W815" s="11">
        <v>79.914000000000001</v>
      </c>
      <c r="X815" s="11">
        <v>27.904</v>
      </c>
      <c r="Y815" s="11">
        <v>20.085999999999999</v>
      </c>
      <c r="Z815" s="11">
        <v>30.507000000000001</v>
      </c>
      <c r="AA815" s="11">
        <v>21.670999999999999</v>
      </c>
      <c r="AB815" s="11">
        <v>20.085999999999999</v>
      </c>
      <c r="AC815" s="11">
        <v>27.904</v>
      </c>
      <c r="AD815" s="11">
        <v>11.545</v>
      </c>
      <c r="AE815" s="11">
        <v>16</v>
      </c>
      <c r="AF815" s="11">
        <v>16</v>
      </c>
      <c r="AG815" s="11">
        <v>16</v>
      </c>
      <c r="AH815" s="11">
        <v>16</v>
      </c>
    </row>
    <row r="816" spans="1:34" s="33" customFormat="1" x14ac:dyDescent="0.2">
      <c r="A816" s="11">
        <v>1003</v>
      </c>
      <c r="B816" s="11"/>
      <c r="C816" s="11"/>
      <c r="D816" s="11"/>
      <c r="E816" s="11"/>
      <c r="F816" s="11" t="s">
        <v>51</v>
      </c>
      <c r="G816" s="11" t="s">
        <v>51</v>
      </c>
      <c r="H816" s="56" t="str">
        <f>VLOOKUP(Table6[[#This Row],[ICD Code]],ICD_summary!$I$3:$M$38,5,0)</f>
        <v>Misc/Other</v>
      </c>
      <c r="I816" s="12">
        <v>999</v>
      </c>
      <c r="J8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6" s="11" t="s">
        <v>52</v>
      </c>
      <c r="L816" s="11"/>
      <c r="M816" s="11"/>
      <c r="N816" s="11">
        <v>53.045000000000002</v>
      </c>
      <c r="O816" s="11">
        <v>52.527999999999999</v>
      </c>
      <c r="P816" s="11">
        <v>106.502</v>
      </c>
      <c r="Q816" s="11">
        <v>104.967</v>
      </c>
      <c r="R816" s="11">
        <v>94.081000000000003</v>
      </c>
      <c r="S816" s="11">
        <v>92.647000000000006</v>
      </c>
      <c r="T816" s="11">
        <v>105.96899999999999</v>
      </c>
      <c r="U816" s="11">
        <v>105.79</v>
      </c>
      <c r="V816" s="11">
        <v>63.924999999999997</v>
      </c>
      <c r="W816" s="11">
        <v>63.29</v>
      </c>
      <c r="X816" s="11">
        <v>36.075000000000003</v>
      </c>
      <c r="Y816" s="11">
        <v>36.71</v>
      </c>
      <c r="Z816" s="11">
        <v>14.771000000000001</v>
      </c>
      <c r="AA816" s="11">
        <v>12.691000000000001</v>
      </c>
      <c r="AB816" s="11">
        <v>36.71</v>
      </c>
      <c r="AC816" s="11">
        <v>36.075000000000003</v>
      </c>
      <c r="AD816" s="11">
        <v>12.614000000000001</v>
      </c>
      <c r="AE816" s="11">
        <v>12</v>
      </c>
      <c r="AF816" s="11">
        <v>13</v>
      </c>
      <c r="AG816" s="11">
        <v>12</v>
      </c>
      <c r="AH816" s="11">
        <v>12</v>
      </c>
    </row>
    <row r="817" spans="1:34" s="33" customFormat="1" x14ac:dyDescent="0.2">
      <c r="A817" s="11">
        <v>1004</v>
      </c>
      <c r="B817" s="11"/>
      <c r="C817" s="11"/>
      <c r="D817" s="11"/>
      <c r="E817" s="11"/>
      <c r="F817" s="11" t="s">
        <v>51</v>
      </c>
      <c r="G817" s="11" t="s">
        <v>51</v>
      </c>
      <c r="H817" s="56" t="str">
        <f>VLOOKUP(Table6[[#This Row],[ICD Code]],ICD_summary!$I$3:$M$38,5,0)</f>
        <v>Misc/Other</v>
      </c>
      <c r="I817" s="12">
        <v>999</v>
      </c>
      <c r="J8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7" s="11" t="s">
        <v>51</v>
      </c>
      <c r="L817" s="11"/>
      <c r="M817" s="11"/>
      <c r="N817" s="11">
        <v>53.07</v>
      </c>
      <c r="O817" s="11">
        <v>55.802</v>
      </c>
      <c r="P817" s="11">
        <v>108.81699999999999</v>
      </c>
      <c r="Q817" s="11">
        <v>109.438</v>
      </c>
      <c r="R817" s="11">
        <v>101.431</v>
      </c>
      <c r="S817" s="11">
        <v>102.05500000000001</v>
      </c>
      <c r="T817" s="11">
        <v>111.83499999999999</v>
      </c>
      <c r="U817" s="11">
        <v>111.395</v>
      </c>
      <c r="V817" s="11">
        <v>63.896999999999998</v>
      </c>
      <c r="W817" s="11">
        <v>63.046999999999997</v>
      </c>
      <c r="X817" s="11">
        <v>36.103000000000002</v>
      </c>
      <c r="Y817" s="11">
        <v>36.953000000000003</v>
      </c>
      <c r="Z817" s="11">
        <v>14.468</v>
      </c>
      <c r="AA817" s="11">
        <v>12.964</v>
      </c>
      <c r="AB817" s="11">
        <v>36.953000000000003</v>
      </c>
      <c r="AC817" s="11">
        <v>36.103000000000002</v>
      </c>
      <c r="AD817" s="11">
        <v>9.43</v>
      </c>
      <c r="AE817" s="11">
        <v>9</v>
      </c>
      <c r="AF817" s="11">
        <v>9</v>
      </c>
      <c r="AG817" s="11">
        <v>9</v>
      </c>
      <c r="AH817" s="11">
        <v>9</v>
      </c>
    </row>
    <row r="818" spans="1:34" s="33" customFormat="1" x14ac:dyDescent="0.2">
      <c r="A818" s="11">
        <v>1005</v>
      </c>
      <c r="B818" s="11"/>
      <c r="C818" s="11"/>
      <c r="D818" s="11"/>
      <c r="E818" s="11"/>
      <c r="F818" s="11" t="s">
        <v>51</v>
      </c>
      <c r="G818" s="11" t="s">
        <v>51</v>
      </c>
      <c r="H818" s="56" t="str">
        <f>VLOOKUP(Table6[[#This Row],[ICD Code]],ICD_summary!$I$3:$M$38,5,0)</f>
        <v>Misc/Other</v>
      </c>
      <c r="I818" s="12">
        <v>999</v>
      </c>
      <c r="J8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8" s="11" t="s">
        <v>52</v>
      </c>
      <c r="L818" s="11"/>
      <c r="M818" s="11"/>
      <c r="N818" s="11">
        <v>33.999000000000002</v>
      </c>
      <c r="O818" s="11">
        <v>40.234000000000002</v>
      </c>
      <c r="P818" s="11">
        <v>74.206999999999994</v>
      </c>
      <c r="Q818" s="11">
        <v>74.366</v>
      </c>
      <c r="R818" s="11">
        <v>78.295000000000002</v>
      </c>
      <c r="S818" s="11">
        <v>78.781999999999996</v>
      </c>
      <c r="T818" s="11">
        <v>126.38800000000001</v>
      </c>
      <c r="U818" s="11">
        <v>126.083</v>
      </c>
      <c r="V818" s="11">
        <v>64.537000000000006</v>
      </c>
      <c r="W818" s="11">
        <v>63.387999999999998</v>
      </c>
      <c r="X818" s="11">
        <v>35.463000000000001</v>
      </c>
      <c r="Y818" s="11">
        <v>36.612000000000002</v>
      </c>
      <c r="Z818" s="11">
        <v>14.122999999999999</v>
      </c>
      <c r="AA818" s="11">
        <v>14.111000000000001</v>
      </c>
      <c r="AB818" s="11">
        <v>36.612000000000002</v>
      </c>
      <c r="AC818" s="11">
        <v>35.463000000000001</v>
      </c>
      <c r="AD818" s="11">
        <v>11.08</v>
      </c>
      <c r="AE818" s="11">
        <v>17</v>
      </c>
      <c r="AF818" s="11">
        <v>16</v>
      </c>
      <c r="AG818" s="11">
        <v>16</v>
      </c>
      <c r="AH818" s="11">
        <v>16</v>
      </c>
    </row>
    <row r="819" spans="1:34" s="33" customFormat="1" x14ac:dyDescent="0.2">
      <c r="A819" s="11">
        <v>1006</v>
      </c>
      <c r="B819" s="11"/>
      <c r="C819" s="11"/>
      <c r="D819" s="11"/>
      <c r="E819" s="11"/>
      <c r="F819" s="11" t="s">
        <v>51</v>
      </c>
      <c r="G819" s="11" t="s">
        <v>51</v>
      </c>
      <c r="H819" s="56" t="str">
        <f>VLOOKUP(Table6[[#This Row],[ICD Code]],ICD_summary!$I$3:$M$38,5,0)</f>
        <v>Misc/Other</v>
      </c>
      <c r="I819" s="12">
        <v>999</v>
      </c>
      <c r="J8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9" s="11" t="s">
        <v>51</v>
      </c>
      <c r="L819" s="11"/>
      <c r="M819" s="11"/>
      <c r="N819" s="11">
        <v>39.866999999999997</v>
      </c>
      <c r="O819" s="11">
        <v>41.046999999999997</v>
      </c>
      <c r="P819" s="11">
        <v>80.265000000000001</v>
      </c>
      <c r="Q819" s="11">
        <v>81.183000000000007</v>
      </c>
      <c r="R819" s="11">
        <v>83.576999999999998</v>
      </c>
      <c r="S819" s="11">
        <v>84.293999999999997</v>
      </c>
      <c r="T819" s="11">
        <v>123.77500000000001</v>
      </c>
      <c r="U819" s="11">
        <v>123.709</v>
      </c>
      <c r="V819" s="11">
        <v>65.822000000000003</v>
      </c>
      <c r="W819" s="11">
        <v>64.897000000000006</v>
      </c>
      <c r="X819" s="11">
        <v>34.177999999999997</v>
      </c>
      <c r="Y819" s="11">
        <v>35.103000000000002</v>
      </c>
      <c r="Z819" s="11">
        <v>16.317</v>
      </c>
      <c r="AA819" s="11">
        <v>14.33</v>
      </c>
      <c r="AB819" s="11">
        <v>35.103000000000002</v>
      </c>
      <c r="AC819" s="11">
        <v>34.177999999999997</v>
      </c>
      <c r="AD819" s="11">
        <v>11.602</v>
      </c>
      <c r="AE819" s="11">
        <v>22</v>
      </c>
      <c r="AF819" s="11">
        <v>20</v>
      </c>
      <c r="AG819" s="11">
        <v>20</v>
      </c>
      <c r="AH819" s="11">
        <v>20</v>
      </c>
    </row>
    <row r="820" spans="1:34" s="33" customFormat="1" x14ac:dyDescent="0.2">
      <c r="A820" s="11">
        <v>1007</v>
      </c>
      <c r="B820" s="11"/>
      <c r="C820" s="11"/>
      <c r="D820" s="11"/>
      <c r="E820" s="11"/>
      <c r="F820" s="11" t="s">
        <v>51</v>
      </c>
      <c r="G820" s="11" t="s">
        <v>51</v>
      </c>
      <c r="H820" s="56" t="str">
        <f>VLOOKUP(Table6[[#This Row],[ICD Code]],ICD_summary!$I$3:$M$38,5,0)</f>
        <v>Misc/Other</v>
      </c>
      <c r="I820" s="12">
        <v>999</v>
      </c>
      <c r="J8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0" s="11" t="s">
        <v>51</v>
      </c>
      <c r="L820" s="11"/>
      <c r="M820" s="11"/>
      <c r="N820" s="11">
        <v>48.097999999999999</v>
      </c>
      <c r="O820" s="11">
        <v>44.033000000000001</v>
      </c>
      <c r="P820" s="11">
        <v>91.180999999999997</v>
      </c>
      <c r="Q820" s="11">
        <v>93.227999999999994</v>
      </c>
      <c r="R820" s="11">
        <v>75.62</v>
      </c>
      <c r="S820" s="11">
        <v>76.986000000000004</v>
      </c>
      <c r="T820" s="11">
        <v>98.998000000000005</v>
      </c>
      <c r="U820" s="11">
        <v>98.988</v>
      </c>
      <c r="V820" s="11">
        <v>63.661000000000001</v>
      </c>
      <c r="W820" s="11">
        <v>65.548000000000002</v>
      </c>
      <c r="X820" s="11">
        <v>36.338999999999999</v>
      </c>
      <c r="Y820" s="11">
        <v>34.451999999999998</v>
      </c>
      <c r="Z820" s="11">
        <v>14.545999999999999</v>
      </c>
      <c r="AA820" s="11">
        <v>15.634</v>
      </c>
      <c r="AB820" s="11">
        <v>34.451999999999998</v>
      </c>
      <c r="AC820" s="11">
        <v>36.338999999999999</v>
      </c>
      <c r="AD820" s="11">
        <v>10.255000000000001</v>
      </c>
      <c r="AE820" s="11">
        <v>13</v>
      </c>
      <c r="AF820" s="11">
        <v>12</v>
      </c>
      <c r="AG820" s="11">
        <v>12</v>
      </c>
      <c r="AH820" s="11">
        <v>12</v>
      </c>
    </row>
    <row r="821" spans="1:34" s="33" customFormat="1" x14ac:dyDescent="0.2">
      <c r="A821" s="11">
        <v>1008</v>
      </c>
      <c r="B821" s="11"/>
      <c r="C821" s="11"/>
      <c r="D821" s="11"/>
      <c r="E821" s="11"/>
      <c r="F821" s="11" t="s">
        <v>51</v>
      </c>
      <c r="G821" s="11" t="s">
        <v>51</v>
      </c>
      <c r="H821" s="56" t="str">
        <f>VLOOKUP(Table6[[#This Row],[ICD Code]],ICD_summary!$I$3:$M$38,5,0)</f>
        <v>Misc/Other</v>
      </c>
      <c r="I821" s="12">
        <v>68.8</v>
      </c>
      <c r="J8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21" s="11" t="s">
        <v>52</v>
      </c>
      <c r="L821" s="11"/>
      <c r="M821" s="11"/>
      <c r="N821" s="11">
        <v>50.204999999999998</v>
      </c>
      <c r="O821" s="11">
        <v>53.063000000000002</v>
      </c>
      <c r="P821" s="11">
        <v>102.788</v>
      </c>
      <c r="Q821" s="11">
        <v>103.279</v>
      </c>
      <c r="R821" s="11">
        <v>80.959000000000003</v>
      </c>
      <c r="S821" s="11">
        <v>81.478999999999999</v>
      </c>
      <c r="T821" s="11">
        <v>93.971999999999994</v>
      </c>
      <c r="U821" s="11">
        <v>94.433000000000007</v>
      </c>
      <c r="V821" s="11">
        <v>65.546000000000006</v>
      </c>
      <c r="W821" s="11">
        <v>61.728999999999999</v>
      </c>
      <c r="X821" s="11">
        <v>34.454000000000001</v>
      </c>
      <c r="Y821" s="11">
        <v>38.271000000000001</v>
      </c>
      <c r="Z821" s="11">
        <v>15.175000000000001</v>
      </c>
      <c r="AA821" s="11">
        <v>12.51</v>
      </c>
      <c r="AB821" s="11">
        <v>38.271000000000001</v>
      </c>
      <c r="AC821" s="11">
        <v>34.454000000000001</v>
      </c>
      <c r="AD821" s="11">
        <v>12.045</v>
      </c>
      <c r="AE821" s="11">
        <v>10</v>
      </c>
      <c r="AF821" s="11">
        <v>10</v>
      </c>
      <c r="AG821" s="11">
        <v>10</v>
      </c>
      <c r="AH821" s="11">
        <v>10</v>
      </c>
    </row>
    <row r="822" spans="1:34" s="33" customFormat="1" x14ac:dyDescent="0.2">
      <c r="A822" s="11">
        <v>1009</v>
      </c>
      <c r="B822" s="11"/>
      <c r="C822" s="11"/>
      <c r="D822" s="11"/>
      <c r="E822" s="11"/>
      <c r="F822" s="11" t="s">
        <v>51</v>
      </c>
      <c r="G822" s="11" t="s">
        <v>51</v>
      </c>
      <c r="H822" s="56" t="str">
        <f>VLOOKUP(Table6[[#This Row],[ICD Code]],ICD_summary!$I$3:$M$38,5,0)</f>
        <v>Misc/Other</v>
      </c>
      <c r="I822" s="12">
        <v>999</v>
      </c>
      <c r="J8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2" s="11" t="s">
        <v>52</v>
      </c>
      <c r="L822" s="11"/>
      <c r="M822" s="11"/>
      <c r="N822" s="11">
        <v>44.465000000000003</v>
      </c>
      <c r="O822" s="11">
        <v>47.933</v>
      </c>
      <c r="P822" s="11">
        <v>92.111000000000004</v>
      </c>
      <c r="Q822" s="11">
        <v>92.427000000000007</v>
      </c>
      <c r="R822" s="11">
        <v>87.168000000000006</v>
      </c>
      <c r="S822" s="11">
        <v>87.152000000000001</v>
      </c>
      <c r="T822" s="11">
        <v>113.29</v>
      </c>
      <c r="U822" s="11">
        <v>113.04</v>
      </c>
      <c r="V822" s="11">
        <v>63.862000000000002</v>
      </c>
      <c r="W822" s="11">
        <v>61.816000000000003</v>
      </c>
      <c r="X822" s="11">
        <v>36.137999999999998</v>
      </c>
      <c r="Y822" s="11">
        <v>38.183999999999997</v>
      </c>
      <c r="Z822" s="11">
        <v>12.867000000000001</v>
      </c>
      <c r="AA822" s="11">
        <v>13.124000000000001</v>
      </c>
      <c r="AB822" s="11">
        <v>38.183999999999997</v>
      </c>
      <c r="AC822" s="11">
        <v>36.137999999999998</v>
      </c>
      <c r="AD822" s="11">
        <v>11.218</v>
      </c>
      <c r="AE822" s="11">
        <v>16</v>
      </c>
      <c r="AF822" s="11">
        <v>15</v>
      </c>
      <c r="AG822" s="11">
        <v>15</v>
      </c>
      <c r="AH822" s="11">
        <v>15</v>
      </c>
    </row>
    <row r="823" spans="1:34" s="33" customFormat="1" x14ac:dyDescent="0.2">
      <c r="A823" s="11">
        <v>1010</v>
      </c>
      <c r="B823" s="11"/>
      <c r="C823" s="11"/>
      <c r="D823" s="11"/>
      <c r="E823" s="11"/>
      <c r="F823" s="11" t="s">
        <v>51</v>
      </c>
      <c r="G823" s="11" t="s">
        <v>51</v>
      </c>
      <c r="H823" s="56" t="str">
        <f>VLOOKUP(Table6[[#This Row],[ICD Code]],ICD_summary!$I$3:$M$38,5,0)</f>
        <v>Misc/Other</v>
      </c>
      <c r="I823" s="12">
        <v>999</v>
      </c>
      <c r="J8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3" s="11" t="s">
        <v>51</v>
      </c>
      <c r="L823" s="11"/>
      <c r="M823" s="11"/>
      <c r="N823" s="11">
        <v>40.32</v>
      </c>
      <c r="O823" s="11">
        <v>41.530999999999999</v>
      </c>
      <c r="P823" s="11">
        <v>81.721000000000004</v>
      </c>
      <c r="Q823" s="11">
        <v>81.840999999999994</v>
      </c>
      <c r="R823" s="11">
        <v>95.915000000000006</v>
      </c>
      <c r="S823" s="11">
        <v>96.525000000000006</v>
      </c>
      <c r="T823" s="11">
        <v>141.761</v>
      </c>
      <c r="U823" s="11">
        <v>141.23699999999999</v>
      </c>
      <c r="V823" s="11">
        <v>61.066000000000003</v>
      </c>
      <c r="W823" s="11">
        <v>61.201999999999998</v>
      </c>
      <c r="X823" s="11">
        <v>38.933999999999997</v>
      </c>
      <c r="Y823" s="11">
        <v>38.798000000000002</v>
      </c>
      <c r="Z823" s="11">
        <v>12.116</v>
      </c>
      <c r="AA823" s="11">
        <v>10.504</v>
      </c>
      <c r="AB823" s="11">
        <v>38.798000000000002</v>
      </c>
      <c r="AC823" s="11">
        <v>38.933999999999997</v>
      </c>
      <c r="AD823" s="11">
        <v>7.9749999999999996</v>
      </c>
      <c r="AE823" s="11">
        <v>16</v>
      </c>
      <c r="AF823" s="11">
        <v>14</v>
      </c>
      <c r="AG823" s="11">
        <v>14</v>
      </c>
      <c r="AH823" s="11">
        <v>14</v>
      </c>
    </row>
    <row r="824" spans="1:34" s="33" customFormat="1" x14ac:dyDescent="0.2">
      <c r="A824" s="11">
        <v>1011</v>
      </c>
      <c r="B824" s="11"/>
      <c r="C824" s="11"/>
      <c r="D824" s="11"/>
      <c r="E824" s="11"/>
      <c r="F824" s="11" t="s">
        <v>51</v>
      </c>
      <c r="G824" s="11" t="s">
        <v>51</v>
      </c>
      <c r="H824" s="56" t="str">
        <f>VLOOKUP(Table6[[#This Row],[ICD Code]],ICD_summary!$I$3:$M$38,5,0)</f>
        <v>Misc/Other</v>
      </c>
      <c r="I824" s="12">
        <v>999</v>
      </c>
      <c r="J8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4" s="11" t="s">
        <v>51</v>
      </c>
      <c r="L824" s="11"/>
      <c r="M824" s="11"/>
      <c r="N824" s="11">
        <v>30.475999999999999</v>
      </c>
      <c r="O824" s="11">
        <v>33.753999999999998</v>
      </c>
      <c r="P824" s="11">
        <v>64.775000000000006</v>
      </c>
      <c r="Q824" s="11">
        <v>64.111999999999995</v>
      </c>
      <c r="R824" s="11">
        <v>65.421000000000006</v>
      </c>
      <c r="S824" s="11">
        <v>65.111999999999995</v>
      </c>
      <c r="T824" s="11">
        <v>120.85599999999999</v>
      </c>
      <c r="U824" s="11">
        <v>120.992</v>
      </c>
      <c r="V824" s="11">
        <v>65.506</v>
      </c>
      <c r="W824" s="11">
        <v>66.656999999999996</v>
      </c>
      <c r="X824" s="11">
        <v>34.494</v>
      </c>
      <c r="Y824" s="11">
        <v>33.343000000000004</v>
      </c>
      <c r="Z824" s="11">
        <v>14.487</v>
      </c>
      <c r="AA824" s="11">
        <v>17.331</v>
      </c>
      <c r="AB824" s="11">
        <v>33.343000000000004</v>
      </c>
      <c r="AC824" s="11">
        <v>34.494</v>
      </c>
      <c r="AD824" s="11">
        <v>24.44</v>
      </c>
      <c r="AE824" s="11">
        <v>10</v>
      </c>
      <c r="AF824" s="11">
        <v>10</v>
      </c>
      <c r="AG824" s="11">
        <v>10</v>
      </c>
      <c r="AH824" s="11">
        <v>10</v>
      </c>
    </row>
    <row r="825" spans="1:34" s="33" customFormat="1" x14ac:dyDescent="0.2">
      <c r="A825" s="11">
        <v>1012</v>
      </c>
      <c r="B825" s="11"/>
      <c r="C825" s="11"/>
      <c r="D825" s="11"/>
      <c r="E825" s="11"/>
      <c r="F825" s="11" t="s">
        <v>51</v>
      </c>
      <c r="G825" s="11" t="s">
        <v>51</v>
      </c>
      <c r="H825" s="56" t="str">
        <f>VLOOKUP(Table6[[#This Row],[ICD Code]],ICD_summary!$I$3:$M$38,5,0)</f>
        <v>Misc/Other</v>
      </c>
      <c r="I825" s="12">
        <v>999</v>
      </c>
      <c r="J8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5" s="11" t="s">
        <v>51</v>
      </c>
      <c r="L825" s="11"/>
      <c r="M825" s="11"/>
      <c r="N825" s="11">
        <v>36.615000000000002</v>
      </c>
      <c r="O825" s="11">
        <v>27.248999999999999</v>
      </c>
      <c r="P825" s="11">
        <v>64.316999999999993</v>
      </c>
      <c r="Q825" s="11">
        <v>64.025000000000006</v>
      </c>
      <c r="R825" s="11">
        <v>73.677999999999997</v>
      </c>
      <c r="S825" s="11">
        <v>73.662000000000006</v>
      </c>
      <c r="T825" s="11">
        <v>139.404</v>
      </c>
      <c r="U825" s="11">
        <v>138.024</v>
      </c>
      <c r="V825" s="11">
        <v>62.578000000000003</v>
      </c>
      <c r="W825" s="11">
        <v>64.024000000000001</v>
      </c>
      <c r="X825" s="11">
        <v>37.421999999999997</v>
      </c>
      <c r="Y825" s="11">
        <v>35.975999999999999</v>
      </c>
      <c r="Z825" s="11">
        <v>15.906000000000001</v>
      </c>
      <c r="AA825" s="11">
        <v>10.717000000000001</v>
      </c>
      <c r="AB825" s="11">
        <v>35.975999999999999</v>
      </c>
      <c r="AC825" s="11">
        <v>37.421999999999997</v>
      </c>
      <c r="AD825" s="11">
        <v>22.036999999999999</v>
      </c>
      <c r="AE825" s="11">
        <v>18</v>
      </c>
      <c r="AF825" s="11">
        <v>17</v>
      </c>
      <c r="AG825" s="11">
        <v>17</v>
      </c>
      <c r="AH825" s="11">
        <v>17</v>
      </c>
    </row>
    <row r="826" spans="1:34" s="33" customFormat="1" x14ac:dyDescent="0.2">
      <c r="A826" s="11">
        <v>1013</v>
      </c>
      <c r="B826" s="11"/>
      <c r="C826" s="11"/>
      <c r="D826" s="11"/>
      <c r="E826" s="11"/>
      <c r="F826" s="11" t="s">
        <v>51</v>
      </c>
      <c r="G826" s="11" t="s">
        <v>51</v>
      </c>
      <c r="H826" s="56" t="str">
        <f>VLOOKUP(Table6[[#This Row],[ICD Code]],ICD_summary!$I$3:$M$38,5,0)</f>
        <v>Misc/Other</v>
      </c>
      <c r="I826" s="12">
        <v>999</v>
      </c>
      <c r="J8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6" s="11" t="s">
        <v>52</v>
      </c>
      <c r="L826" s="11"/>
      <c r="M826" s="11"/>
      <c r="N826" s="11">
        <v>43.862000000000002</v>
      </c>
      <c r="O826" s="11">
        <v>42.747999999999998</v>
      </c>
      <c r="P826" s="11">
        <v>86.626999999999995</v>
      </c>
      <c r="Q826" s="11">
        <v>86.105000000000004</v>
      </c>
      <c r="R826" s="11">
        <v>88.352000000000004</v>
      </c>
      <c r="S826" s="11">
        <v>88.555999999999997</v>
      </c>
      <c r="T826" s="11">
        <v>122.449</v>
      </c>
      <c r="U826" s="11">
        <v>123.092</v>
      </c>
      <c r="V826" s="11">
        <v>64.828999999999994</v>
      </c>
      <c r="W826" s="11">
        <v>62.552999999999997</v>
      </c>
      <c r="X826" s="11">
        <v>35.170999999999999</v>
      </c>
      <c r="Y826" s="11">
        <v>37.447000000000003</v>
      </c>
      <c r="Z826" s="11">
        <v>12.051</v>
      </c>
      <c r="AA826" s="11">
        <v>15.757999999999999</v>
      </c>
      <c r="AB826" s="11">
        <v>37.447000000000003</v>
      </c>
      <c r="AC826" s="11">
        <v>35.170999999999999</v>
      </c>
      <c r="AD826" s="11">
        <v>17.547999999999998</v>
      </c>
      <c r="AE826" s="11">
        <v>17</v>
      </c>
      <c r="AF826" s="11">
        <v>18</v>
      </c>
      <c r="AG826" s="11">
        <v>17</v>
      </c>
      <c r="AH826" s="11">
        <v>17</v>
      </c>
    </row>
    <row r="827" spans="1:34" s="33" customFormat="1" x14ac:dyDescent="0.2">
      <c r="A827" s="11">
        <v>1014</v>
      </c>
      <c r="B827" s="11"/>
      <c r="C827" s="11"/>
      <c r="D827" s="11"/>
      <c r="E827" s="11"/>
      <c r="F827" s="11" t="s">
        <v>51</v>
      </c>
      <c r="G827" s="11" t="s">
        <v>51</v>
      </c>
      <c r="H827" s="56" t="str">
        <f>VLOOKUP(Table6[[#This Row],[ICD Code]],ICD_summary!$I$3:$M$38,5,0)</f>
        <v>Misc/Other</v>
      </c>
      <c r="I827" s="12">
        <v>72.2</v>
      </c>
      <c r="J8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27" s="11" t="s">
        <v>51</v>
      </c>
      <c r="L827" s="11"/>
      <c r="M827" s="11"/>
      <c r="N827" s="11" t="s">
        <v>51</v>
      </c>
      <c r="O827" s="11" t="s">
        <v>51</v>
      </c>
      <c r="P827" s="11" t="s">
        <v>51</v>
      </c>
      <c r="Q827" s="11" t="s">
        <v>51</v>
      </c>
      <c r="R827" s="11" t="s">
        <v>51</v>
      </c>
      <c r="S827" s="11" t="s">
        <v>51</v>
      </c>
      <c r="T827" s="11" t="s">
        <v>51</v>
      </c>
      <c r="U827" s="11" t="s">
        <v>51</v>
      </c>
      <c r="V827" s="11" t="s">
        <v>51</v>
      </c>
      <c r="W827" s="11" t="s">
        <v>51</v>
      </c>
      <c r="X827" s="11" t="s">
        <v>51</v>
      </c>
      <c r="Y827" s="11" t="s">
        <v>51</v>
      </c>
      <c r="Z827" s="11" t="s">
        <v>51</v>
      </c>
      <c r="AA827" s="11" t="s">
        <v>51</v>
      </c>
      <c r="AB827" s="11" t="s">
        <v>51</v>
      </c>
      <c r="AC827" s="11" t="s">
        <v>51</v>
      </c>
      <c r="AD827" s="11" t="s">
        <v>51</v>
      </c>
      <c r="AE827" s="11" t="s">
        <v>51</v>
      </c>
      <c r="AF827" s="11" t="s">
        <v>51</v>
      </c>
      <c r="AG827" s="11" t="s">
        <v>51</v>
      </c>
      <c r="AH827" s="11" t="s">
        <v>51</v>
      </c>
    </row>
    <row r="828" spans="1:34" s="33" customFormat="1" x14ac:dyDescent="0.2">
      <c r="A828" s="11">
        <v>1015</v>
      </c>
      <c r="B828" s="11"/>
      <c r="C828" s="11"/>
      <c r="D828" s="11"/>
      <c r="E828" s="11"/>
      <c r="F828" s="11" t="s">
        <v>51</v>
      </c>
      <c r="G828" s="11" t="s">
        <v>51</v>
      </c>
      <c r="H828" s="56" t="str">
        <f>VLOOKUP(Table6[[#This Row],[ICD Code]],ICD_summary!$I$3:$M$38,5,0)</f>
        <v>Misc/Other</v>
      </c>
      <c r="I828" s="12">
        <v>999</v>
      </c>
      <c r="J8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8" s="11" t="s">
        <v>51</v>
      </c>
      <c r="L828" s="11"/>
      <c r="M828" s="11"/>
      <c r="N828" s="11">
        <v>49.069000000000003</v>
      </c>
      <c r="O828" s="11">
        <v>50.335999999999999</v>
      </c>
      <c r="P828" s="11">
        <v>99.013000000000005</v>
      </c>
      <c r="Q828" s="11">
        <v>100.005</v>
      </c>
      <c r="R828" s="11">
        <v>114.369</v>
      </c>
      <c r="S828" s="11">
        <v>115.399</v>
      </c>
      <c r="T828" s="11">
        <v>140.61099999999999</v>
      </c>
      <c r="U828" s="11">
        <v>142.19200000000001</v>
      </c>
      <c r="V828" s="11">
        <v>60.363</v>
      </c>
      <c r="W828" s="11">
        <v>61.267000000000003</v>
      </c>
      <c r="X828" s="11">
        <v>39.637</v>
      </c>
      <c r="Y828" s="11">
        <v>38.732999999999997</v>
      </c>
      <c r="Z828" s="11">
        <v>12.019</v>
      </c>
      <c r="AA828" s="11">
        <v>9.7569999999999997</v>
      </c>
      <c r="AB828" s="11">
        <v>38.732999999999997</v>
      </c>
      <c r="AC828" s="11">
        <v>39.637</v>
      </c>
      <c r="AD828" s="11">
        <v>13.936</v>
      </c>
      <c r="AE828" s="11">
        <v>17</v>
      </c>
      <c r="AF828" s="11">
        <v>16</v>
      </c>
      <c r="AG828" s="11">
        <v>16</v>
      </c>
      <c r="AH828" s="11">
        <v>16</v>
      </c>
    </row>
    <row r="829" spans="1:34" s="33" customFormat="1" x14ac:dyDescent="0.2">
      <c r="A829" s="11">
        <v>1016</v>
      </c>
      <c r="B829" s="11"/>
      <c r="C829" s="11"/>
      <c r="D829" s="11"/>
      <c r="E829" s="11"/>
      <c r="F829" s="11" t="s">
        <v>51</v>
      </c>
      <c r="G829" s="11" t="s">
        <v>51</v>
      </c>
      <c r="H829" s="56" t="str">
        <f>VLOOKUP(Table6[[#This Row],[ICD Code]],ICD_summary!$I$3:$M$38,5,0)</f>
        <v>Misc/Other</v>
      </c>
      <c r="I829" s="12">
        <v>999</v>
      </c>
      <c r="J8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9" s="11" t="s">
        <v>51</v>
      </c>
      <c r="L829" s="11"/>
      <c r="M829" s="11"/>
      <c r="N829" s="11">
        <v>26.585999999999999</v>
      </c>
      <c r="O829" s="11">
        <v>40.590000000000003</v>
      </c>
      <c r="P829" s="11">
        <v>66.945999999999998</v>
      </c>
      <c r="Q829" s="11">
        <v>66.554000000000002</v>
      </c>
      <c r="R829" s="11">
        <v>54.765000000000001</v>
      </c>
      <c r="S829" s="11">
        <v>54.965000000000003</v>
      </c>
      <c r="T829" s="11">
        <v>100.392</v>
      </c>
      <c r="U829" s="11">
        <v>100.02800000000001</v>
      </c>
      <c r="V829" s="11">
        <v>67.966999999999999</v>
      </c>
      <c r="W829" s="11">
        <v>66.149000000000001</v>
      </c>
      <c r="X829" s="11">
        <v>32.033000000000001</v>
      </c>
      <c r="Y829" s="11">
        <v>33.850999999999999</v>
      </c>
      <c r="Z829" s="11">
        <v>17.77</v>
      </c>
      <c r="AA829" s="11">
        <v>16.521000000000001</v>
      </c>
      <c r="AB829" s="11">
        <v>33.850999999999999</v>
      </c>
      <c r="AC829" s="11">
        <v>32.033000000000001</v>
      </c>
      <c r="AD829" s="11">
        <v>11.875</v>
      </c>
      <c r="AE829" s="11">
        <v>19</v>
      </c>
      <c r="AF829" s="11">
        <v>16</v>
      </c>
      <c r="AG829" s="11">
        <v>16</v>
      </c>
      <c r="AH829" s="11">
        <v>16</v>
      </c>
    </row>
    <row r="830" spans="1:34" s="33" customFormat="1" x14ac:dyDescent="0.2">
      <c r="A830" s="11">
        <v>1017</v>
      </c>
      <c r="B830" s="11"/>
      <c r="C830" s="11"/>
      <c r="D830" s="11"/>
      <c r="E830" s="11"/>
      <c r="F830" s="11" t="s">
        <v>51</v>
      </c>
      <c r="G830" s="11" t="s">
        <v>51</v>
      </c>
      <c r="H830" s="56" t="str">
        <f>VLOOKUP(Table6[[#This Row],[ICD Code]],ICD_summary!$I$3:$M$38,5,0)</f>
        <v>Misc/Other</v>
      </c>
      <c r="I830" s="12">
        <v>999</v>
      </c>
      <c r="J8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0" s="11" t="s">
        <v>52</v>
      </c>
      <c r="L830" s="11"/>
      <c r="M830" s="11"/>
      <c r="N830" s="11">
        <v>50.195</v>
      </c>
      <c r="O830" s="11">
        <v>46.162999999999997</v>
      </c>
      <c r="P830" s="11">
        <v>96.707999999999998</v>
      </c>
      <c r="Q830" s="11">
        <v>97.090999999999994</v>
      </c>
      <c r="R830" s="11">
        <v>121.758</v>
      </c>
      <c r="S830" s="11">
        <v>121.67</v>
      </c>
      <c r="T830" s="11">
        <v>151.79900000000001</v>
      </c>
      <c r="U830" s="11">
        <v>151.03800000000001</v>
      </c>
      <c r="V830" s="11">
        <v>60.542000000000002</v>
      </c>
      <c r="W830" s="11">
        <v>60.234999999999999</v>
      </c>
      <c r="X830" s="11">
        <v>39.457999999999998</v>
      </c>
      <c r="Y830" s="11">
        <v>39.765000000000001</v>
      </c>
      <c r="Z830" s="11">
        <v>9.8119999999999994</v>
      </c>
      <c r="AA830" s="11">
        <v>11.186</v>
      </c>
      <c r="AB830" s="11">
        <v>39.765000000000001</v>
      </c>
      <c r="AC830" s="11">
        <v>39.457999999999998</v>
      </c>
      <c r="AD830" s="11">
        <v>9.9740000000000002</v>
      </c>
      <c r="AE830" s="11">
        <v>15</v>
      </c>
      <c r="AF830" s="11">
        <v>15</v>
      </c>
      <c r="AG830" s="11">
        <v>15</v>
      </c>
      <c r="AH830" s="11">
        <v>15</v>
      </c>
    </row>
    <row r="831" spans="1:34" s="33" customFormat="1" x14ac:dyDescent="0.2">
      <c r="A831" s="11">
        <v>1018</v>
      </c>
      <c r="B831" s="11"/>
      <c r="C831" s="11"/>
      <c r="D831" s="11"/>
      <c r="E831" s="11"/>
      <c r="F831" s="11" t="s">
        <v>51</v>
      </c>
      <c r="G831" s="11" t="s">
        <v>51</v>
      </c>
      <c r="H831" s="56" t="str">
        <f>VLOOKUP(Table6[[#This Row],[ICD Code]],ICD_summary!$I$3:$M$38,5,0)</f>
        <v>Misc/Other</v>
      </c>
      <c r="I831" s="12">
        <v>999</v>
      </c>
      <c r="J8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1" s="11" t="s">
        <v>51</v>
      </c>
      <c r="L831" s="11"/>
      <c r="M831" s="11"/>
      <c r="N831" s="11">
        <v>49.423999999999999</v>
      </c>
      <c r="O831" s="11">
        <v>50.253999999999998</v>
      </c>
      <c r="P831" s="11">
        <v>99.908000000000001</v>
      </c>
      <c r="Q831" s="11">
        <v>99.533000000000001</v>
      </c>
      <c r="R831" s="11">
        <v>93.685000000000002</v>
      </c>
      <c r="S831" s="11">
        <v>93.423000000000002</v>
      </c>
      <c r="T831" s="11">
        <v>112.654</v>
      </c>
      <c r="U831" s="11">
        <v>112.869</v>
      </c>
      <c r="V831" s="11">
        <v>63.4</v>
      </c>
      <c r="W831" s="11">
        <v>61.497999999999998</v>
      </c>
      <c r="X831" s="11">
        <v>36.6</v>
      </c>
      <c r="Y831" s="11">
        <v>38.502000000000002</v>
      </c>
      <c r="Z831" s="11">
        <v>13.683999999999999</v>
      </c>
      <c r="AA831" s="11">
        <v>11.058</v>
      </c>
      <c r="AB831" s="11">
        <v>38.502000000000002</v>
      </c>
      <c r="AC831" s="11">
        <v>36.6</v>
      </c>
      <c r="AD831" s="11">
        <v>12.342000000000001</v>
      </c>
      <c r="AE831" s="11">
        <v>14</v>
      </c>
      <c r="AF831" s="11">
        <v>11</v>
      </c>
      <c r="AG831" s="11">
        <v>11</v>
      </c>
      <c r="AH831" s="11">
        <v>11</v>
      </c>
    </row>
    <row r="832" spans="1:34" s="33" customFormat="1" x14ac:dyDescent="0.2">
      <c r="A832" s="11">
        <v>1019</v>
      </c>
      <c r="B832" s="11"/>
      <c r="C832" s="11"/>
      <c r="D832" s="11"/>
      <c r="E832" s="11"/>
      <c r="F832" s="11" t="s">
        <v>51</v>
      </c>
      <c r="G832" s="11" t="s">
        <v>51</v>
      </c>
      <c r="H832" s="56" t="str">
        <f>VLOOKUP(Table6[[#This Row],[ICD Code]],ICD_summary!$I$3:$M$38,5,0)</f>
        <v>Misc/Other</v>
      </c>
      <c r="I832" s="12">
        <v>999</v>
      </c>
      <c r="J8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2" s="11" t="s">
        <v>51</v>
      </c>
      <c r="L832" s="11"/>
      <c r="M832" s="11"/>
      <c r="N832" s="11">
        <v>49.082999999999998</v>
      </c>
      <c r="O832" s="11">
        <v>50.926000000000002</v>
      </c>
      <c r="P832" s="11">
        <v>100.14</v>
      </c>
      <c r="Q832" s="11">
        <v>100.10599999999999</v>
      </c>
      <c r="R832" s="11">
        <v>84.71</v>
      </c>
      <c r="S832" s="11">
        <v>84.918000000000006</v>
      </c>
      <c r="T832" s="11">
        <v>101.86</v>
      </c>
      <c r="U832" s="11">
        <v>101.76900000000001</v>
      </c>
      <c r="V832" s="11">
        <v>64.054000000000002</v>
      </c>
      <c r="W832" s="11">
        <v>64.201999999999998</v>
      </c>
      <c r="X832" s="11">
        <v>35.945999999999998</v>
      </c>
      <c r="Y832" s="11">
        <v>35.798000000000002</v>
      </c>
      <c r="Z832" s="11">
        <v>15.907999999999999</v>
      </c>
      <c r="AA832" s="11">
        <v>13.012</v>
      </c>
      <c r="AB832" s="11">
        <v>35.798000000000002</v>
      </c>
      <c r="AC832" s="11">
        <v>35.945999999999998</v>
      </c>
      <c r="AD832" s="11">
        <v>10.212</v>
      </c>
      <c r="AE832" s="11">
        <v>14</v>
      </c>
      <c r="AF832" s="11">
        <v>10</v>
      </c>
      <c r="AG832" s="11">
        <v>10</v>
      </c>
      <c r="AH832" s="11">
        <v>10</v>
      </c>
    </row>
    <row r="833" spans="1:34" s="33" customFormat="1" x14ac:dyDescent="0.2">
      <c r="A833" s="11">
        <v>1020</v>
      </c>
      <c r="B833" s="11"/>
      <c r="C833" s="11"/>
      <c r="D833" s="11"/>
      <c r="E833" s="11"/>
      <c r="F833" s="11" t="s">
        <v>51</v>
      </c>
      <c r="G833" s="11" t="s">
        <v>51</v>
      </c>
      <c r="H833" s="56" t="str">
        <f>VLOOKUP(Table6[[#This Row],[ICD Code]],ICD_summary!$I$3:$M$38,5,0)</f>
        <v>Misc/Other</v>
      </c>
      <c r="I833" s="12">
        <v>999</v>
      </c>
      <c r="J8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3" s="11" t="s">
        <v>51</v>
      </c>
      <c r="L833" s="11"/>
      <c r="M833" s="11"/>
      <c r="N833" s="11">
        <v>41.104999999999997</v>
      </c>
      <c r="O833" s="11">
        <v>36.593000000000004</v>
      </c>
      <c r="P833" s="11">
        <v>78.644999999999996</v>
      </c>
      <c r="Q833" s="11">
        <v>78.040000000000006</v>
      </c>
      <c r="R833" s="11">
        <v>32.631999999999998</v>
      </c>
      <c r="S833" s="11">
        <v>32.249000000000002</v>
      </c>
      <c r="T833" s="11">
        <v>49.55</v>
      </c>
      <c r="U833" s="11">
        <v>49.048999999999999</v>
      </c>
      <c r="V833" s="11">
        <v>75.218000000000004</v>
      </c>
      <c r="W833" s="11">
        <v>77.484999999999999</v>
      </c>
      <c r="X833" s="11">
        <v>24.782</v>
      </c>
      <c r="Y833" s="11">
        <v>22.513999999999999</v>
      </c>
      <c r="Z833" s="11">
        <v>27.228999999999999</v>
      </c>
      <c r="AA833" s="11">
        <v>26.052</v>
      </c>
      <c r="AB833" s="11">
        <v>22.513999999999999</v>
      </c>
      <c r="AC833" s="11">
        <v>24.782</v>
      </c>
      <c r="AD833" s="11">
        <v>9.3230000000000004</v>
      </c>
      <c r="AE833" s="11">
        <v>11</v>
      </c>
      <c r="AF833" s="11">
        <v>11</v>
      </c>
      <c r="AG833" s="11">
        <v>11</v>
      </c>
      <c r="AH833" s="11">
        <v>11</v>
      </c>
    </row>
    <row r="834" spans="1:34" s="33" customFormat="1" x14ac:dyDescent="0.2">
      <c r="A834" s="11">
        <v>1021</v>
      </c>
      <c r="B834" s="11"/>
      <c r="C834" s="11"/>
      <c r="D834" s="11"/>
      <c r="E834" s="11"/>
      <c r="F834" s="11" t="s">
        <v>51</v>
      </c>
      <c r="G834" s="11" t="s">
        <v>51</v>
      </c>
      <c r="H834" s="56" t="str">
        <f>VLOOKUP(Table6[[#This Row],[ICD Code]],ICD_summary!$I$3:$M$38,5,0)</f>
        <v>Misc/Other</v>
      </c>
      <c r="I834" s="12">
        <v>999</v>
      </c>
      <c r="J8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4" s="11" t="s">
        <v>51</v>
      </c>
      <c r="L834" s="11"/>
      <c r="M834" s="11"/>
      <c r="N834" s="11">
        <v>41.646000000000001</v>
      </c>
      <c r="O834" s="11">
        <v>44.790999999999997</v>
      </c>
      <c r="P834" s="11">
        <v>85.837999999999994</v>
      </c>
      <c r="Q834" s="11">
        <v>87.864999999999995</v>
      </c>
      <c r="R834" s="11">
        <v>111.21899999999999</v>
      </c>
      <c r="S834" s="11">
        <v>112.67100000000001</v>
      </c>
      <c r="T834" s="11">
        <v>154.67500000000001</v>
      </c>
      <c r="U834" s="11">
        <v>153.292</v>
      </c>
      <c r="V834" s="11">
        <v>60.206000000000003</v>
      </c>
      <c r="W834" s="11">
        <v>62.072000000000003</v>
      </c>
      <c r="X834" s="11">
        <v>39.793999999999997</v>
      </c>
      <c r="Y834" s="11">
        <v>37.927999999999997</v>
      </c>
      <c r="Z834" s="11">
        <v>11.461</v>
      </c>
      <c r="AA834" s="11">
        <v>10.260999999999999</v>
      </c>
      <c r="AB834" s="11">
        <v>37.927999999999997</v>
      </c>
      <c r="AC834" s="11">
        <v>39.793999999999997</v>
      </c>
      <c r="AD834" s="11">
        <v>9.6379999999999999</v>
      </c>
      <c r="AE834" s="11">
        <v>16</v>
      </c>
      <c r="AF834" s="11">
        <v>15</v>
      </c>
      <c r="AG834" s="11">
        <v>15</v>
      </c>
      <c r="AH834" s="11">
        <v>15</v>
      </c>
    </row>
    <row r="835" spans="1:34" s="33" customFormat="1" x14ac:dyDescent="0.2">
      <c r="A835" s="11">
        <v>1022</v>
      </c>
      <c r="B835" s="11"/>
      <c r="C835" s="11"/>
      <c r="D835" s="11"/>
      <c r="E835" s="11"/>
      <c r="F835" s="11" t="s">
        <v>51</v>
      </c>
      <c r="G835" s="11" t="s">
        <v>51</v>
      </c>
      <c r="H835" s="56" t="str">
        <f>VLOOKUP(Table6[[#This Row],[ICD Code]],ICD_summary!$I$3:$M$38,5,0)</f>
        <v>Misc/Other</v>
      </c>
      <c r="I835" s="12">
        <v>999</v>
      </c>
      <c r="J8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5" s="11" t="s">
        <v>51</v>
      </c>
      <c r="L835" s="11"/>
      <c r="M835" s="11"/>
      <c r="N835" s="11">
        <v>37.502000000000002</v>
      </c>
      <c r="O835" s="11">
        <v>37.088999999999999</v>
      </c>
      <c r="P835" s="11">
        <v>74.081999999999994</v>
      </c>
      <c r="Q835" s="11">
        <v>74.799000000000007</v>
      </c>
      <c r="R835" s="11">
        <v>93.022999999999996</v>
      </c>
      <c r="S835" s="11">
        <v>93.213999999999999</v>
      </c>
      <c r="T835" s="11">
        <v>150.88900000000001</v>
      </c>
      <c r="U835" s="11">
        <v>150.36099999999999</v>
      </c>
      <c r="V835" s="11">
        <v>64.933000000000007</v>
      </c>
      <c r="W835" s="11">
        <v>63.226999999999997</v>
      </c>
      <c r="X835" s="11">
        <v>35.067</v>
      </c>
      <c r="Y835" s="11">
        <v>36.773000000000003</v>
      </c>
      <c r="Z835" s="11">
        <v>13.919</v>
      </c>
      <c r="AA835" s="11">
        <v>14.326000000000001</v>
      </c>
      <c r="AB835" s="11">
        <v>36.773000000000003</v>
      </c>
      <c r="AC835" s="11">
        <v>35.067</v>
      </c>
      <c r="AD835" s="11">
        <v>20.498000000000001</v>
      </c>
      <c r="AE835" s="11">
        <v>19</v>
      </c>
      <c r="AF835" s="11">
        <v>22</v>
      </c>
      <c r="AG835" s="11">
        <v>19</v>
      </c>
      <c r="AH835" s="11">
        <v>19</v>
      </c>
    </row>
    <row r="836" spans="1:34" s="33" customFormat="1" x14ac:dyDescent="0.2">
      <c r="A836" s="11">
        <v>1023</v>
      </c>
      <c r="B836" s="11"/>
      <c r="C836" s="11"/>
      <c r="D836" s="11"/>
      <c r="E836" s="11"/>
      <c r="F836" s="11" t="s">
        <v>51</v>
      </c>
      <c r="G836" s="11" t="s">
        <v>51</v>
      </c>
      <c r="H836" s="56" t="str">
        <f>VLOOKUP(Table6[[#This Row],[ICD Code]],ICD_summary!$I$3:$M$38,5,0)</f>
        <v>Misc/Other</v>
      </c>
      <c r="I836" s="12">
        <v>999</v>
      </c>
      <c r="J8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6" s="11" t="s">
        <v>55</v>
      </c>
      <c r="L836" s="11"/>
      <c r="M836" s="11"/>
      <c r="N836" s="11">
        <v>43.308999999999997</v>
      </c>
      <c r="O836" s="11">
        <v>44.524999999999999</v>
      </c>
      <c r="P836" s="11">
        <v>87.965999999999994</v>
      </c>
      <c r="Q836" s="11">
        <v>87.644999999999996</v>
      </c>
      <c r="R836" s="11">
        <v>81.23</v>
      </c>
      <c r="S836" s="11">
        <v>81.182000000000002</v>
      </c>
      <c r="T836" s="11">
        <v>110.666</v>
      </c>
      <c r="U836" s="11">
        <v>110.605</v>
      </c>
      <c r="V836" s="11">
        <v>64.765000000000001</v>
      </c>
      <c r="W836" s="11">
        <v>65.811000000000007</v>
      </c>
      <c r="X836" s="11">
        <v>35.234999999999999</v>
      </c>
      <c r="Y836" s="11">
        <v>34.189</v>
      </c>
      <c r="Z836" s="11">
        <v>14.882</v>
      </c>
      <c r="AA836" s="11">
        <v>15.692</v>
      </c>
      <c r="AB836" s="11">
        <v>34.189</v>
      </c>
      <c r="AC836" s="11">
        <v>35.234999999999999</v>
      </c>
      <c r="AD836" s="11">
        <v>12.428000000000001</v>
      </c>
      <c r="AE836" s="11">
        <v>12</v>
      </c>
      <c r="AF836" s="11">
        <v>11</v>
      </c>
      <c r="AG836" s="11">
        <v>11</v>
      </c>
      <c r="AH836" s="11">
        <v>11</v>
      </c>
    </row>
    <row r="837" spans="1:34" s="33" customFormat="1" x14ac:dyDescent="0.2">
      <c r="A837" s="11">
        <v>1024</v>
      </c>
      <c r="B837" s="11"/>
      <c r="C837" s="11"/>
      <c r="D837" s="11"/>
      <c r="E837" s="11"/>
      <c r="F837" s="11" t="s">
        <v>51</v>
      </c>
      <c r="G837" s="11" t="s">
        <v>51</v>
      </c>
      <c r="H837" s="56" t="str">
        <f>VLOOKUP(Table6[[#This Row],[ICD Code]],ICD_summary!$I$3:$M$38,5,0)</f>
        <v>Misc/Other</v>
      </c>
      <c r="I837" s="12">
        <v>999</v>
      </c>
      <c r="J8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7" s="11" t="s">
        <v>51</v>
      </c>
      <c r="L837" s="11"/>
      <c r="M837" s="11"/>
      <c r="N837" s="11">
        <v>60.295999999999999</v>
      </c>
      <c r="O837" s="11">
        <v>61.124000000000002</v>
      </c>
      <c r="P837" s="11">
        <v>122.874</v>
      </c>
      <c r="Q837" s="11">
        <v>120.697</v>
      </c>
      <c r="R837" s="11">
        <v>103.325</v>
      </c>
      <c r="S837" s="11">
        <v>101.244</v>
      </c>
      <c r="T837" s="11">
        <v>101.29900000000001</v>
      </c>
      <c r="U837" s="11">
        <v>100.129</v>
      </c>
      <c r="V837" s="11">
        <v>64.021000000000001</v>
      </c>
      <c r="W837" s="11">
        <v>62.851999999999997</v>
      </c>
      <c r="X837" s="11">
        <v>35.978999999999999</v>
      </c>
      <c r="Y837" s="11">
        <v>37.148000000000003</v>
      </c>
      <c r="Z837" s="11">
        <v>13.555999999999999</v>
      </c>
      <c r="AA837" s="11">
        <v>13.532</v>
      </c>
      <c r="AB837" s="11">
        <v>37.148000000000003</v>
      </c>
      <c r="AC837" s="11">
        <v>35.978999999999999</v>
      </c>
      <c r="AD837" s="11">
        <v>11.332000000000001</v>
      </c>
      <c r="AE837" s="11">
        <v>10</v>
      </c>
      <c r="AF837" s="11">
        <v>11</v>
      </c>
      <c r="AG837" s="11">
        <v>10</v>
      </c>
      <c r="AH837" s="11">
        <v>10</v>
      </c>
    </row>
    <row r="838" spans="1:34" s="33" customFormat="1" x14ac:dyDescent="0.2">
      <c r="A838" s="11">
        <v>1025</v>
      </c>
      <c r="B838" s="11"/>
      <c r="C838" s="11"/>
      <c r="D838" s="11"/>
      <c r="E838" s="11"/>
      <c r="F838" s="11" t="s">
        <v>51</v>
      </c>
      <c r="G838" s="11" t="s">
        <v>51</v>
      </c>
      <c r="H838" s="56" t="str">
        <f>VLOOKUP(Table6[[#This Row],[ICD Code]],ICD_summary!$I$3:$M$38,5,0)</f>
        <v>Misc/Other</v>
      </c>
      <c r="I838" s="12">
        <v>999</v>
      </c>
      <c r="J8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8" s="11" t="s">
        <v>51</v>
      </c>
      <c r="L838" s="11"/>
      <c r="M838" s="11"/>
      <c r="N838" s="11">
        <v>22.835999999999999</v>
      </c>
      <c r="O838" s="11">
        <v>16.167000000000002</v>
      </c>
      <c r="P838" s="11">
        <v>37.954000000000001</v>
      </c>
      <c r="Q838" s="11">
        <v>41.509</v>
      </c>
      <c r="R838" s="11">
        <v>40.692999999999998</v>
      </c>
      <c r="S838" s="11">
        <v>42.645000000000003</v>
      </c>
      <c r="T838" s="11">
        <v>136.43100000000001</v>
      </c>
      <c r="U838" s="11">
        <v>133.91200000000001</v>
      </c>
      <c r="V838" s="11">
        <v>75.802000000000007</v>
      </c>
      <c r="W838" s="11">
        <v>74.063000000000002</v>
      </c>
      <c r="X838" s="11">
        <v>24.198</v>
      </c>
      <c r="Y838" s="11">
        <v>25.937000000000001</v>
      </c>
      <c r="Z838" s="11">
        <v>25.026</v>
      </c>
      <c r="AA838" s="11">
        <v>25.495000000000001</v>
      </c>
      <c r="AB838" s="11">
        <v>25.937000000000001</v>
      </c>
      <c r="AC838" s="11">
        <v>24.198</v>
      </c>
      <c r="AD838" s="11">
        <v>14.305</v>
      </c>
      <c r="AE838" s="11">
        <v>11</v>
      </c>
      <c r="AF838" s="11">
        <v>11</v>
      </c>
      <c r="AG838" s="11">
        <v>11</v>
      </c>
      <c r="AH838" s="11">
        <v>11</v>
      </c>
    </row>
    <row r="839" spans="1:34" s="33" customFormat="1" x14ac:dyDescent="0.2">
      <c r="A839" s="11">
        <v>1026</v>
      </c>
      <c r="B839" s="11"/>
      <c r="C839" s="11"/>
      <c r="D839" s="11"/>
      <c r="E839" s="11"/>
      <c r="F839" s="11" t="s">
        <v>51</v>
      </c>
      <c r="G839" s="11" t="s">
        <v>51</v>
      </c>
      <c r="H839" s="56" t="str">
        <f>VLOOKUP(Table6[[#This Row],[ICD Code]],ICD_summary!$I$3:$M$38,5,0)</f>
        <v>Misc/Other</v>
      </c>
      <c r="I839" s="12">
        <v>999</v>
      </c>
      <c r="J8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9" s="11" t="s">
        <v>51</v>
      </c>
      <c r="L839" s="11"/>
      <c r="M839" s="11"/>
      <c r="N839" s="11">
        <v>57.043999999999997</v>
      </c>
      <c r="O839" s="11">
        <v>53.247</v>
      </c>
      <c r="P839" s="11">
        <v>108.813</v>
      </c>
      <c r="Q839" s="11">
        <v>110.291</v>
      </c>
      <c r="R839" s="11">
        <v>112.492</v>
      </c>
      <c r="S839" s="11">
        <v>113.438</v>
      </c>
      <c r="T839" s="11">
        <v>123.04</v>
      </c>
      <c r="U839" s="11">
        <v>123.58799999999999</v>
      </c>
      <c r="V839" s="11">
        <v>64.754999999999995</v>
      </c>
      <c r="W839" s="11">
        <v>66.731999999999999</v>
      </c>
      <c r="X839" s="11">
        <v>35.244</v>
      </c>
      <c r="Y839" s="11">
        <v>33.268000000000001</v>
      </c>
      <c r="Z839" s="11">
        <v>15.048</v>
      </c>
      <c r="AA839" s="11">
        <v>16.3</v>
      </c>
      <c r="AB839" s="11">
        <v>33.268000000000001</v>
      </c>
      <c r="AC839" s="11">
        <v>35.244</v>
      </c>
      <c r="AD839" s="11">
        <v>5.6879999999999997</v>
      </c>
      <c r="AE839" s="11">
        <v>10</v>
      </c>
      <c r="AF839" s="11">
        <v>15</v>
      </c>
      <c r="AG839" s="11">
        <v>10</v>
      </c>
      <c r="AH839" s="11">
        <v>10</v>
      </c>
    </row>
    <row r="840" spans="1:34" s="33" customFormat="1" x14ac:dyDescent="0.2">
      <c r="A840" s="11">
        <v>1027</v>
      </c>
      <c r="B840" s="11"/>
      <c r="C840" s="11"/>
      <c r="D840" s="11"/>
      <c r="E840" s="11"/>
      <c r="F840" s="11" t="s">
        <v>51</v>
      </c>
      <c r="G840" s="11" t="s">
        <v>51</v>
      </c>
      <c r="H840" s="56" t="str">
        <f>VLOOKUP(Table6[[#This Row],[ICD Code]],ICD_summary!$I$3:$M$38,5,0)</f>
        <v>Misc/Other</v>
      </c>
      <c r="I840" s="12">
        <v>999</v>
      </c>
      <c r="J8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0" s="11" t="s">
        <v>51</v>
      </c>
      <c r="L840" s="11"/>
      <c r="M840" s="11"/>
      <c r="N840" s="11">
        <v>28.73</v>
      </c>
      <c r="O840" s="11">
        <v>30.265000000000001</v>
      </c>
      <c r="P840" s="11">
        <v>59.279000000000003</v>
      </c>
      <c r="Q840" s="11">
        <v>59.194000000000003</v>
      </c>
      <c r="R840" s="11">
        <v>49.091000000000001</v>
      </c>
      <c r="S840" s="11">
        <v>49.188000000000002</v>
      </c>
      <c r="T840" s="11">
        <v>99.658000000000001</v>
      </c>
      <c r="U840" s="11">
        <v>99.320999999999998</v>
      </c>
      <c r="V840" s="11">
        <v>68.594999999999999</v>
      </c>
      <c r="W840" s="11">
        <v>71.108000000000004</v>
      </c>
      <c r="X840" s="11">
        <v>31.405000000000001</v>
      </c>
      <c r="Y840" s="11">
        <v>28.891999999999999</v>
      </c>
      <c r="Z840" s="11">
        <v>22.248999999999999</v>
      </c>
      <c r="AA840" s="11">
        <v>17.561</v>
      </c>
      <c r="AB840" s="11">
        <v>28.891999999999999</v>
      </c>
      <c r="AC840" s="11">
        <v>31.405000000000001</v>
      </c>
      <c r="AD840" s="11">
        <v>14.72</v>
      </c>
      <c r="AE840" s="11">
        <v>18</v>
      </c>
      <c r="AF840" s="11">
        <v>18</v>
      </c>
      <c r="AG840" s="11">
        <v>18</v>
      </c>
      <c r="AH840" s="11">
        <v>18</v>
      </c>
    </row>
    <row r="841" spans="1:34" s="33" customFormat="1" x14ac:dyDescent="0.2">
      <c r="A841" s="11">
        <v>1028</v>
      </c>
      <c r="B841" s="11"/>
      <c r="C841" s="11"/>
      <c r="D841" s="11"/>
      <c r="E841" s="11"/>
      <c r="F841" s="11" t="s">
        <v>51</v>
      </c>
      <c r="G841" s="11" t="s">
        <v>51</v>
      </c>
      <c r="H841" s="56" t="str">
        <f>VLOOKUP(Table6[[#This Row],[ICD Code]],ICD_summary!$I$3:$M$38,5,0)</f>
        <v>Misc/Other</v>
      </c>
      <c r="I841" s="12">
        <v>999</v>
      </c>
      <c r="J8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1" s="11" t="s">
        <v>51</v>
      </c>
      <c r="L841" s="11"/>
      <c r="M841" s="11"/>
      <c r="N841" s="11">
        <v>62.628</v>
      </c>
      <c r="O841" s="11">
        <v>64.474999999999994</v>
      </c>
      <c r="P841" s="11">
        <v>126.511</v>
      </c>
      <c r="Q841" s="11">
        <v>127.63</v>
      </c>
      <c r="R841" s="11">
        <v>121.014</v>
      </c>
      <c r="S841" s="11">
        <v>121.602</v>
      </c>
      <c r="T841" s="11">
        <v>114.102</v>
      </c>
      <c r="U841" s="11">
        <v>114.538</v>
      </c>
      <c r="V841" s="11">
        <v>65.159000000000006</v>
      </c>
      <c r="W841" s="11">
        <v>64.106999999999999</v>
      </c>
      <c r="X841" s="11">
        <v>34.841000000000001</v>
      </c>
      <c r="Y841" s="11">
        <v>35.893000000000001</v>
      </c>
      <c r="Z841" s="11">
        <v>14.938000000000001</v>
      </c>
      <c r="AA841" s="11">
        <v>14.494999999999999</v>
      </c>
      <c r="AB841" s="11">
        <v>35.893000000000001</v>
      </c>
      <c r="AC841" s="11">
        <v>34.841000000000001</v>
      </c>
      <c r="AD841" s="11">
        <v>12.066000000000001</v>
      </c>
      <c r="AE841" s="11">
        <v>10</v>
      </c>
      <c r="AF841" s="11">
        <v>8</v>
      </c>
      <c r="AG841" s="11">
        <v>8</v>
      </c>
      <c r="AH841" s="11">
        <v>8</v>
      </c>
    </row>
    <row r="842" spans="1:34" s="33" customFormat="1" x14ac:dyDescent="0.2">
      <c r="A842" s="11">
        <v>1029</v>
      </c>
      <c r="B842" s="11"/>
      <c r="C842" s="11"/>
      <c r="D842" s="11"/>
      <c r="E842" s="11"/>
      <c r="F842" s="11" t="s">
        <v>51</v>
      </c>
      <c r="G842" s="11" t="s">
        <v>51</v>
      </c>
      <c r="H842" s="56" t="str">
        <f>VLOOKUP(Table6[[#This Row],[ICD Code]],ICD_summary!$I$3:$M$38,5,0)</f>
        <v>Misc/Other</v>
      </c>
      <c r="I842" s="12">
        <v>999</v>
      </c>
      <c r="J8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2" s="11" t="s">
        <v>51</v>
      </c>
      <c r="L842" s="11"/>
      <c r="M842" s="11"/>
      <c r="N842" s="11">
        <v>58.639000000000003</v>
      </c>
      <c r="O842" s="11">
        <v>66.781000000000006</v>
      </c>
      <c r="P842" s="11">
        <v>125.56399999999999</v>
      </c>
      <c r="Q842" s="11">
        <v>126.012</v>
      </c>
      <c r="R842" s="11">
        <v>115.92100000000001</v>
      </c>
      <c r="S842" s="11">
        <v>116.97499999999999</v>
      </c>
      <c r="T842" s="11">
        <v>111.479</v>
      </c>
      <c r="U842" s="11">
        <v>111.17</v>
      </c>
      <c r="V842" s="11">
        <v>60.064999999999998</v>
      </c>
      <c r="W842" s="11">
        <v>63.505000000000003</v>
      </c>
      <c r="X842" s="11">
        <v>39.935000000000002</v>
      </c>
      <c r="Y842" s="11">
        <v>36.494999999999997</v>
      </c>
      <c r="Z842" s="11">
        <v>10.763</v>
      </c>
      <c r="AA842" s="11">
        <v>13.115</v>
      </c>
      <c r="AB842" s="11">
        <v>36.494999999999997</v>
      </c>
      <c r="AC842" s="11">
        <v>39.935000000000002</v>
      </c>
      <c r="AD842" s="11">
        <v>11.222</v>
      </c>
      <c r="AE842" s="11">
        <v>11</v>
      </c>
      <c r="AF842" s="11">
        <v>10</v>
      </c>
      <c r="AG842" s="11">
        <v>10</v>
      </c>
      <c r="AH842" s="11">
        <v>10</v>
      </c>
    </row>
    <row r="843" spans="1:34" s="33" customFormat="1" x14ac:dyDescent="0.2">
      <c r="A843" s="11">
        <v>1030</v>
      </c>
      <c r="B843" s="11"/>
      <c r="C843" s="11"/>
      <c r="D843" s="11"/>
      <c r="E843" s="11"/>
      <c r="F843" s="11" t="s">
        <v>51</v>
      </c>
      <c r="G843" s="11" t="s">
        <v>51</v>
      </c>
      <c r="H843" s="56" t="str">
        <f>VLOOKUP(Table6[[#This Row],[ICD Code]],ICD_summary!$I$3:$M$38,5,0)</f>
        <v>Misc/Other</v>
      </c>
      <c r="I843" s="12">
        <v>999</v>
      </c>
      <c r="J8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3" s="11" t="s">
        <v>51</v>
      </c>
      <c r="L843" s="11"/>
      <c r="M843" s="11"/>
      <c r="N843" s="11">
        <v>48.255000000000003</v>
      </c>
      <c r="O843" s="11">
        <v>50.38</v>
      </c>
      <c r="P843" s="11">
        <v>100.367</v>
      </c>
      <c r="Q843" s="11">
        <v>98.295000000000002</v>
      </c>
      <c r="R843" s="11">
        <v>91.218999999999994</v>
      </c>
      <c r="S843" s="11">
        <v>90.906000000000006</v>
      </c>
      <c r="T843" s="11">
        <v>108.913</v>
      </c>
      <c r="U843" s="11">
        <v>109.41200000000001</v>
      </c>
      <c r="V843" s="11">
        <v>64.200999999999993</v>
      </c>
      <c r="W843" s="11">
        <v>63.465000000000003</v>
      </c>
      <c r="X843" s="11">
        <v>35.798999999999999</v>
      </c>
      <c r="Y843" s="11">
        <v>36.534999999999997</v>
      </c>
      <c r="Z843" s="11">
        <v>14.49</v>
      </c>
      <c r="AA843" s="11">
        <v>13.439</v>
      </c>
      <c r="AB843" s="11">
        <v>36.534999999999997</v>
      </c>
      <c r="AC843" s="11">
        <v>35.798999999999999</v>
      </c>
      <c r="AD843" s="11">
        <v>12.477</v>
      </c>
      <c r="AE843" s="11">
        <v>9</v>
      </c>
      <c r="AF843" s="11">
        <v>11</v>
      </c>
      <c r="AG843" s="11">
        <v>9</v>
      </c>
      <c r="AH843" s="11">
        <v>9</v>
      </c>
    </row>
    <row r="844" spans="1:34" s="33" customFormat="1" x14ac:dyDescent="0.2">
      <c r="A844" s="11">
        <v>1031</v>
      </c>
      <c r="B844" s="11"/>
      <c r="C844" s="11"/>
      <c r="D844" s="11"/>
      <c r="E844" s="11"/>
      <c r="F844" s="11" t="s">
        <v>51</v>
      </c>
      <c r="G844" s="11" t="s">
        <v>51</v>
      </c>
      <c r="H844" s="56" t="str">
        <f>VLOOKUP(Table6[[#This Row],[ICD Code]],ICD_summary!$I$3:$M$38,5,0)</f>
        <v>Misc/Other</v>
      </c>
      <c r="I844" s="12">
        <v>999</v>
      </c>
      <c r="J8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4" s="11" t="s">
        <v>51</v>
      </c>
      <c r="L844" s="11"/>
      <c r="M844" s="11"/>
      <c r="N844" s="11">
        <v>56.828000000000003</v>
      </c>
      <c r="O844" s="11">
        <v>59.253</v>
      </c>
      <c r="P844" s="11">
        <v>116.035</v>
      </c>
      <c r="Q844" s="11">
        <v>115.125</v>
      </c>
      <c r="R844" s="11">
        <v>92.355999999999995</v>
      </c>
      <c r="S844" s="11">
        <v>90.744</v>
      </c>
      <c r="T844" s="11">
        <v>95.185000000000002</v>
      </c>
      <c r="U844" s="11">
        <v>94.668999999999997</v>
      </c>
      <c r="V844" s="11">
        <v>64.245999999999995</v>
      </c>
      <c r="W844" s="11">
        <v>61.399000000000001</v>
      </c>
      <c r="X844" s="11">
        <v>35.753999999999998</v>
      </c>
      <c r="Y844" s="11">
        <v>38.600999999999999</v>
      </c>
      <c r="Z844" s="11">
        <v>12.428000000000001</v>
      </c>
      <c r="AA844" s="11">
        <v>13.349</v>
      </c>
      <c r="AB844" s="11">
        <v>38.600999999999999</v>
      </c>
      <c r="AC844" s="11">
        <v>35.753999999999998</v>
      </c>
      <c r="AD844" s="11">
        <v>11.932</v>
      </c>
      <c r="AE844" s="11">
        <v>15</v>
      </c>
      <c r="AF844" s="11">
        <v>14</v>
      </c>
      <c r="AG844" s="11">
        <v>14</v>
      </c>
      <c r="AH844" s="11">
        <v>14</v>
      </c>
    </row>
    <row r="845" spans="1:34" s="33" customFormat="1" x14ac:dyDescent="0.2">
      <c r="A845" s="11">
        <v>1032</v>
      </c>
      <c r="B845" s="11"/>
      <c r="C845" s="11"/>
      <c r="D845" s="11"/>
      <c r="E845" s="11"/>
      <c r="F845" s="11" t="s">
        <v>51</v>
      </c>
      <c r="G845" s="11" t="s">
        <v>51</v>
      </c>
      <c r="H845" s="56" t="str">
        <f>VLOOKUP(Table6[[#This Row],[ICD Code]],ICD_summary!$I$3:$M$38,5,0)</f>
        <v>Misc/Other</v>
      </c>
      <c r="I845" s="12">
        <v>999</v>
      </c>
      <c r="J8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5" s="11" t="s">
        <v>52</v>
      </c>
      <c r="L845" s="11"/>
      <c r="M845" s="11"/>
      <c r="N845" s="11">
        <v>38.218000000000004</v>
      </c>
      <c r="O845" s="11">
        <v>41.399000000000001</v>
      </c>
      <c r="P845" s="11">
        <v>79.662999999999997</v>
      </c>
      <c r="Q845" s="11">
        <v>79.637</v>
      </c>
      <c r="R845" s="11">
        <v>75.162000000000006</v>
      </c>
      <c r="S845" s="11">
        <v>74.56</v>
      </c>
      <c r="T845" s="11">
        <v>112.953</v>
      </c>
      <c r="U845" s="11">
        <v>112.887</v>
      </c>
      <c r="V845" s="11">
        <v>65.301000000000002</v>
      </c>
      <c r="W845" s="11">
        <v>66.034999999999997</v>
      </c>
      <c r="X845" s="11">
        <v>34.698999999999998</v>
      </c>
      <c r="Y845" s="11">
        <v>33.965000000000003</v>
      </c>
      <c r="Z845" s="11">
        <v>16.244</v>
      </c>
      <c r="AA845" s="11">
        <v>15.436</v>
      </c>
      <c r="AB845" s="11">
        <v>33.965000000000003</v>
      </c>
      <c r="AC845" s="11">
        <v>34.698999999999998</v>
      </c>
      <c r="AD845" s="11">
        <v>20.552</v>
      </c>
      <c r="AE845" s="11">
        <v>14</v>
      </c>
      <c r="AF845" s="11">
        <v>13</v>
      </c>
      <c r="AG845" s="11">
        <v>13</v>
      </c>
      <c r="AH845" s="11">
        <v>13</v>
      </c>
    </row>
    <row r="846" spans="1:34" s="33" customFormat="1" x14ac:dyDescent="0.2">
      <c r="A846" s="11">
        <v>1033</v>
      </c>
      <c r="B846" s="11"/>
      <c r="C846" s="11"/>
      <c r="D846" s="11"/>
      <c r="E846" s="11"/>
      <c r="F846" s="11" t="s">
        <v>51</v>
      </c>
      <c r="G846" s="11" t="s">
        <v>51</v>
      </c>
      <c r="H846" s="56" t="str">
        <f>VLOOKUP(Table6[[#This Row],[ICD Code]],ICD_summary!$I$3:$M$38,5,0)</f>
        <v>Misc/Other</v>
      </c>
      <c r="I846" s="12">
        <v>999</v>
      </c>
      <c r="J8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6" s="11" t="s">
        <v>51</v>
      </c>
      <c r="L846" s="11"/>
      <c r="M846" s="11"/>
      <c r="N846" s="11">
        <v>70.644999999999996</v>
      </c>
      <c r="O846" s="11">
        <v>68.251000000000005</v>
      </c>
      <c r="P846" s="11">
        <v>139.77099999999999</v>
      </c>
      <c r="Q846" s="11">
        <v>139.90799999999999</v>
      </c>
      <c r="R846" s="11">
        <v>141.78299999999999</v>
      </c>
      <c r="S846" s="11">
        <v>141.577</v>
      </c>
      <c r="T846" s="11">
        <v>122.753</v>
      </c>
      <c r="U846" s="11">
        <v>122.988</v>
      </c>
      <c r="V846" s="11">
        <v>59.648000000000003</v>
      </c>
      <c r="W846" s="11">
        <v>58.207000000000001</v>
      </c>
      <c r="X846" s="11">
        <v>40.351999999999997</v>
      </c>
      <c r="Y846" s="11">
        <v>41.792999999999999</v>
      </c>
      <c r="Z846" s="11">
        <v>9.3859999999999992</v>
      </c>
      <c r="AA846" s="11">
        <v>9.2309999999999999</v>
      </c>
      <c r="AB846" s="11">
        <v>41.792999999999999</v>
      </c>
      <c r="AC846" s="11">
        <v>40.351999999999997</v>
      </c>
      <c r="AD846" s="11">
        <v>12.385</v>
      </c>
      <c r="AE846" s="11">
        <v>5</v>
      </c>
      <c r="AF846" s="11">
        <v>5</v>
      </c>
      <c r="AG846" s="11">
        <v>5</v>
      </c>
      <c r="AH846" s="11">
        <v>5</v>
      </c>
    </row>
    <row r="847" spans="1:34" s="33" customFormat="1" x14ac:dyDescent="0.2">
      <c r="A847" s="11">
        <v>1034</v>
      </c>
      <c r="B847" s="11"/>
      <c r="C847" s="11"/>
      <c r="D847" s="11"/>
      <c r="E847" s="11"/>
      <c r="F847" s="11" t="s">
        <v>51</v>
      </c>
      <c r="G847" s="11" t="s">
        <v>51</v>
      </c>
      <c r="H847" s="56" t="str">
        <f>VLOOKUP(Table6[[#This Row],[ICD Code]],ICD_summary!$I$3:$M$38,5,0)</f>
        <v>Misc/Other</v>
      </c>
      <c r="I847" s="12">
        <v>999</v>
      </c>
      <c r="J8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7" s="11" t="s">
        <v>51</v>
      </c>
      <c r="L847" s="11"/>
      <c r="M847" s="11"/>
      <c r="N847" s="11">
        <v>57.082000000000001</v>
      </c>
      <c r="O847" s="11">
        <v>55.694000000000003</v>
      </c>
      <c r="P847" s="11">
        <v>113.06699999999999</v>
      </c>
      <c r="Q847" s="11">
        <v>112.45</v>
      </c>
      <c r="R847" s="11">
        <v>116.15300000000001</v>
      </c>
      <c r="S847" s="11">
        <v>115.134</v>
      </c>
      <c r="T847" s="11">
        <v>123.024</v>
      </c>
      <c r="U847" s="11">
        <v>122.42100000000001</v>
      </c>
      <c r="V847" s="11">
        <v>61.648000000000003</v>
      </c>
      <c r="W847" s="11">
        <v>61.481999999999999</v>
      </c>
      <c r="X847" s="11">
        <v>38.351999999999997</v>
      </c>
      <c r="Y847" s="11">
        <v>38.518000000000001</v>
      </c>
      <c r="Z847" s="11">
        <v>10.151</v>
      </c>
      <c r="AA847" s="11">
        <v>13.124000000000001</v>
      </c>
      <c r="AB847" s="11">
        <v>38.518000000000001</v>
      </c>
      <c r="AC847" s="11">
        <v>38.351999999999997</v>
      </c>
      <c r="AD847" s="11">
        <v>12.02</v>
      </c>
      <c r="AE847" s="11">
        <v>10</v>
      </c>
      <c r="AF847" s="11">
        <v>9</v>
      </c>
      <c r="AG847" s="11">
        <v>9</v>
      </c>
      <c r="AH847" s="11">
        <v>9</v>
      </c>
    </row>
    <row r="848" spans="1:34" s="33" customFormat="1" x14ac:dyDescent="0.2">
      <c r="A848" s="11">
        <v>1035</v>
      </c>
      <c r="B848" s="11"/>
      <c r="C848" s="11"/>
      <c r="D848" s="11"/>
      <c r="E848" s="11"/>
      <c r="F848" s="11" t="s">
        <v>51</v>
      </c>
      <c r="G848" s="11" t="s">
        <v>51</v>
      </c>
      <c r="H848" s="56" t="str">
        <f>VLOOKUP(Table6[[#This Row],[ICD Code]],ICD_summary!$I$3:$M$38,5,0)</f>
        <v>Misc/Other</v>
      </c>
      <c r="I848" s="12">
        <v>999</v>
      </c>
      <c r="J8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8" s="11" t="s">
        <v>51</v>
      </c>
      <c r="L848" s="11"/>
      <c r="M848" s="11"/>
      <c r="N848" s="11">
        <v>57.085000000000001</v>
      </c>
      <c r="O848" s="11">
        <v>58.488</v>
      </c>
      <c r="P848" s="11">
        <v>115.86799999999999</v>
      </c>
      <c r="Q848" s="11">
        <v>115.401</v>
      </c>
      <c r="R848" s="11">
        <v>112.393</v>
      </c>
      <c r="S848" s="11">
        <v>112.301</v>
      </c>
      <c r="T848" s="11">
        <v>116.083</v>
      </c>
      <c r="U848" s="11">
        <v>116.155</v>
      </c>
      <c r="V848" s="11">
        <v>60.734000000000002</v>
      </c>
      <c r="W848" s="11">
        <v>57.828000000000003</v>
      </c>
      <c r="X848" s="11">
        <v>39.265999999999998</v>
      </c>
      <c r="Y848" s="11">
        <v>42.171999999999997</v>
      </c>
      <c r="Z848" s="11">
        <v>9.0909999999999993</v>
      </c>
      <c r="AA848" s="11">
        <v>9.9220000000000006</v>
      </c>
      <c r="AB848" s="11">
        <v>42.171999999999997</v>
      </c>
      <c r="AC848" s="11">
        <v>39.265999999999998</v>
      </c>
      <c r="AD848" s="11">
        <v>11.391999999999999</v>
      </c>
      <c r="AE848" s="11">
        <v>11</v>
      </c>
      <c r="AF848" s="11">
        <v>10</v>
      </c>
      <c r="AG848" s="11">
        <v>10</v>
      </c>
      <c r="AH848" s="11">
        <v>10</v>
      </c>
    </row>
    <row r="849" spans="1:34" s="33" customFormat="1" x14ac:dyDescent="0.2">
      <c r="A849" s="11">
        <v>1036</v>
      </c>
      <c r="B849" s="11"/>
      <c r="C849" s="11"/>
      <c r="D849" s="11"/>
      <c r="E849" s="11"/>
      <c r="F849" s="11" t="s">
        <v>51</v>
      </c>
      <c r="G849" s="11" t="s">
        <v>51</v>
      </c>
      <c r="H849" s="56" t="str">
        <f>VLOOKUP(Table6[[#This Row],[ICD Code]],ICD_summary!$I$3:$M$38,5,0)</f>
        <v>Misc/Other</v>
      </c>
      <c r="I849" s="12">
        <v>999</v>
      </c>
      <c r="J8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9" s="11" t="s">
        <v>51</v>
      </c>
      <c r="L849" s="11"/>
      <c r="M849" s="11"/>
      <c r="N849" s="11">
        <v>52.56</v>
      </c>
      <c r="O849" s="11">
        <v>60.546999999999997</v>
      </c>
      <c r="P849" s="11">
        <v>113.425</v>
      </c>
      <c r="Q849" s="11">
        <v>113.43899999999999</v>
      </c>
      <c r="R849" s="11">
        <v>106.664</v>
      </c>
      <c r="S849" s="11">
        <v>106.26600000000001</v>
      </c>
      <c r="T849" s="11">
        <v>112.289</v>
      </c>
      <c r="U849" s="11">
        <v>111.998</v>
      </c>
      <c r="V849" s="11">
        <v>64.191999999999993</v>
      </c>
      <c r="W849" s="11">
        <v>63.850999999999999</v>
      </c>
      <c r="X849" s="11">
        <v>35.808</v>
      </c>
      <c r="Y849" s="11">
        <v>36.149000000000001</v>
      </c>
      <c r="Z849" s="11">
        <v>14.401999999999999</v>
      </c>
      <c r="AA849" s="11">
        <v>13.664</v>
      </c>
      <c r="AB849" s="11">
        <v>36.149000000000001</v>
      </c>
      <c r="AC849" s="11">
        <v>35.808</v>
      </c>
      <c r="AD849" s="11">
        <v>11.06</v>
      </c>
      <c r="AE849" s="11">
        <v>14</v>
      </c>
      <c r="AF849" s="11">
        <v>12</v>
      </c>
      <c r="AG849" s="11">
        <v>12</v>
      </c>
      <c r="AH849" s="11">
        <v>12</v>
      </c>
    </row>
    <row r="850" spans="1:34" s="33" customFormat="1" x14ac:dyDescent="0.2">
      <c r="A850" s="11">
        <v>1037</v>
      </c>
      <c r="B850" s="11"/>
      <c r="C850" s="11"/>
      <c r="D850" s="11"/>
      <c r="E850" s="11"/>
      <c r="F850" s="11" t="s">
        <v>51</v>
      </c>
      <c r="G850" s="11" t="s">
        <v>51</v>
      </c>
      <c r="H850" s="56" t="str">
        <f>VLOOKUP(Table6[[#This Row],[ICD Code]],ICD_summary!$I$3:$M$38,5,0)</f>
        <v>Misc/Other</v>
      </c>
      <c r="I850" s="12">
        <v>999</v>
      </c>
      <c r="J8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0" s="11" t="s">
        <v>51</v>
      </c>
      <c r="L850" s="11"/>
      <c r="M850" s="11"/>
      <c r="N850" s="11">
        <v>50.771000000000001</v>
      </c>
      <c r="O850" s="11">
        <v>50.459000000000003</v>
      </c>
      <c r="P850" s="11">
        <v>101.24</v>
      </c>
      <c r="Q850" s="11">
        <v>102.55</v>
      </c>
      <c r="R850" s="11">
        <v>104.098</v>
      </c>
      <c r="S850" s="11">
        <v>105.28100000000001</v>
      </c>
      <c r="T850" s="11">
        <v>121.89</v>
      </c>
      <c r="U850" s="11">
        <v>122.858</v>
      </c>
      <c r="V850" s="11">
        <v>58.628</v>
      </c>
      <c r="W850" s="11">
        <v>58.668999999999997</v>
      </c>
      <c r="X850" s="11">
        <v>41.372</v>
      </c>
      <c r="Y850" s="11">
        <v>41.331000000000003</v>
      </c>
      <c r="Z850" s="11">
        <v>8.8670000000000009</v>
      </c>
      <c r="AA850" s="11">
        <v>8.8170000000000002</v>
      </c>
      <c r="AB850" s="11">
        <v>41.331000000000003</v>
      </c>
      <c r="AC850" s="11">
        <v>41.372</v>
      </c>
      <c r="AD850" s="11">
        <v>6.4660000000000002</v>
      </c>
      <c r="AE850" s="11">
        <v>15</v>
      </c>
      <c r="AF850" s="11">
        <v>12</v>
      </c>
      <c r="AG850" s="11">
        <v>12</v>
      </c>
      <c r="AH850" s="11">
        <v>12</v>
      </c>
    </row>
    <row r="851" spans="1:34" s="33" customFormat="1" x14ac:dyDescent="0.2">
      <c r="A851" s="11">
        <v>1038</v>
      </c>
      <c r="B851" s="11"/>
      <c r="C851" s="11"/>
      <c r="D851" s="11"/>
      <c r="E851" s="11"/>
      <c r="F851" s="11" t="s">
        <v>51</v>
      </c>
      <c r="G851" s="11" t="s">
        <v>51</v>
      </c>
      <c r="H851" s="56" t="str">
        <f>VLOOKUP(Table6[[#This Row],[ICD Code]],ICD_summary!$I$3:$M$38,5,0)</f>
        <v>Misc/Other</v>
      </c>
      <c r="I851" s="12">
        <v>999</v>
      </c>
      <c r="J8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1" s="11" t="s">
        <v>51</v>
      </c>
      <c r="L851" s="11"/>
      <c r="M851" s="11"/>
      <c r="N851" s="11">
        <v>48.491999999999997</v>
      </c>
      <c r="O851" s="11">
        <v>59.932000000000002</v>
      </c>
      <c r="P851" s="11">
        <v>106.31399999999999</v>
      </c>
      <c r="Q851" s="11">
        <v>110.22799999999999</v>
      </c>
      <c r="R851" s="11">
        <v>83.888000000000005</v>
      </c>
      <c r="S851" s="11">
        <v>85.09</v>
      </c>
      <c r="T851" s="11">
        <v>93.274000000000001</v>
      </c>
      <c r="U851" s="11">
        <v>93.463999999999999</v>
      </c>
      <c r="V851" s="11">
        <v>67.963999999999999</v>
      </c>
      <c r="W851" s="11">
        <v>66.611999999999995</v>
      </c>
      <c r="X851" s="11">
        <v>32.036000000000001</v>
      </c>
      <c r="Y851" s="11">
        <v>33.387999999999998</v>
      </c>
      <c r="Z851" s="11">
        <v>19.388999999999999</v>
      </c>
      <c r="AA851" s="11">
        <v>15.882999999999999</v>
      </c>
      <c r="AB851" s="11">
        <v>33.387999999999998</v>
      </c>
      <c r="AC851" s="11">
        <v>32.036000000000001</v>
      </c>
      <c r="AD851" s="11">
        <v>8.9320000000000004</v>
      </c>
      <c r="AE851" s="11">
        <v>13</v>
      </c>
      <c r="AF851" s="11">
        <v>14</v>
      </c>
      <c r="AG851" s="11">
        <v>13</v>
      </c>
      <c r="AH851" s="11">
        <v>13</v>
      </c>
    </row>
    <row r="852" spans="1:34" s="33" customFormat="1" x14ac:dyDescent="0.2">
      <c r="A852" s="11">
        <v>1039</v>
      </c>
      <c r="B852" s="11"/>
      <c r="C852" s="11"/>
      <c r="D852" s="11"/>
      <c r="E852" s="11"/>
      <c r="F852" s="11" t="s">
        <v>51</v>
      </c>
      <c r="G852" s="11" t="s">
        <v>51</v>
      </c>
      <c r="H852" s="56" t="str">
        <f>VLOOKUP(Table6[[#This Row],[ICD Code]],ICD_summary!$I$3:$M$38,5,0)</f>
        <v>Misc/Other</v>
      </c>
      <c r="I852" s="12">
        <v>999</v>
      </c>
      <c r="J8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2" s="11" t="s">
        <v>51</v>
      </c>
      <c r="L852" s="11"/>
      <c r="M852" s="11"/>
      <c r="N852" s="11">
        <v>67.641999999999996</v>
      </c>
      <c r="O852" s="11">
        <v>67.427000000000007</v>
      </c>
      <c r="P852" s="11">
        <v>134.548</v>
      </c>
      <c r="Q852" s="11">
        <v>136.209</v>
      </c>
      <c r="R852" s="11">
        <v>114.315</v>
      </c>
      <c r="S852" s="11">
        <v>115.569</v>
      </c>
      <c r="T852" s="11">
        <v>101.786</v>
      </c>
      <c r="U852" s="11">
        <v>101.50700000000001</v>
      </c>
      <c r="V852" s="11">
        <v>61.652000000000001</v>
      </c>
      <c r="W852" s="11">
        <v>61.003</v>
      </c>
      <c r="X852" s="11">
        <v>38.347999999999999</v>
      </c>
      <c r="Y852" s="11">
        <v>38.997</v>
      </c>
      <c r="Z852" s="11">
        <v>11.566000000000001</v>
      </c>
      <c r="AA852" s="11">
        <v>11.586</v>
      </c>
      <c r="AB852" s="11">
        <v>38.997</v>
      </c>
      <c r="AC852" s="11">
        <v>38.347999999999999</v>
      </c>
      <c r="AD852" s="11">
        <v>14.173999999999999</v>
      </c>
      <c r="AE852" s="11">
        <v>8</v>
      </c>
      <c r="AF852" s="11">
        <v>9</v>
      </c>
      <c r="AG852" s="11">
        <v>8</v>
      </c>
      <c r="AH852" s="11">
        <v>8</v>
      </c>
    </row>
    <row r="853" spans="1:34" s="33" customFormat="1" x14ac:dyDescent="0.2">
      <c r="A853" s="11">
        <v>1040</v>
      </c>
      <c r="B853" s="11"/>
      <c r="C853" s="11"/>
      <c r="D853" s="11"/>
      <c r="E853" s="11"/>
      <c r="F853" s="11" t="s">
        <v>51</v>
      </c>
      <c r="G853" s="11" t="s">
        <v>51</v>
      </c>
      <c r="H853" s="56" t="str">
        <f>VLOOKUP(Table6[[#This Row],[ICD Code]],ICD_summary!$I$3:$M$38,5,0)</f>
        <v>Misc/Other</v>
      </c>
      <c r="I853" s="12">
        <v>999</v>
      </c>
      <c r="J8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3" s="11" t="s">
        <v>51</v>
      </c>
      <c r="L853" s="11"/>
      <c r="M853" s="11"/>
      <c r="N853" s="11">
        <v>64.239999999999995</v>
      </c>
      <c r="O853" s="11">
        <v>64.424000000000007</v>
      </c>
      <c r="P853" s="11">
        <v>128.47300000000001</v>
      </c>
      <c r="Q853" s="11">
        <v>128.69200000000001</v>
      </c>
      <c r="R853" s="11">
        <v>115.92400000000001</v>
      </c>
      <c r="S853" s="11">
        <v>116.79</v>
      </c>
      <c r="T853" s="11">
        <v>107.929</v>
      </c>
      <c r="U853" s="11">
        <v>108.621</v>
      </c>
      <c r="V853" s="11">
        <v>63.587000000000003</v>
      </c>
      <c r="W853" s="11">
        <v>62.496000000000002</v>
      </c>
      <c r="X853" s="11">
        <v>36.412999999999997</v>
      </c>
      <c r="Y853" s="11">
        <v>37.503999999999998</v>
      </c>
      <c r="Z853" s="11">
        <v>13.782999999999999</v>
      </c>
      <c r="AA853" s="11">
        <v>12.647</v>
      </c>
      <c r="AB853" s="11">
        <v>37.503999999999998</v>
      </c>
      <c r="AC853" s="11">
        <v>36.412999999999997</v>
      </c>
      <c r="AD853" s="11">
        <v>9.4260000000000002</v>
      </c>
      <c r="AE853" s="11">
        <v>10</v>
      </c>
      <c r="AF853" s="11">
        <v>9</v>
      </c>
      <c r="AG853" s="11">
        <v>9</v>
      </c>
      <c r="AH853" s="11">
        <v>9</v>
      </c>
    </row>
    <row r="854" spans="1:34" s="33" customFormat="1" x14ac:dyDescent="0.2">
      <c r="A854" s="11">
        <v>1041</v>
      </c>
      <c r="B854" s="11"/>
      <c r="C854" s="11"/>
      <c r="D854" s="11"/>
      <c r="E854" s="11"/>
      <c r="F854" s="11" t="s">
        <v>51</v>
      </c>
      <c r="G854" s="11" t="s">
        <v>51</v>
      </c>
      <c r="H854" s="56" t="str">
        <f>VLOOKUP(Table6[[#This Row],[ICD Code]],ICD_summary!$I$3:$M$38,5,0)</f>
        <v>Misc/Other</v>
      </c>
      <c r="I854" s="12">
        <v>999</v>
      </c>
      <c r="J8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4" s="11" t="s">
        <v>51</v>
      </c>
      <c r="L854" s="11"/>
      <c r="M854" s="11"/>
      <c r="N854" s="11">
        <v>45.161000000000001</v>
      </c>
      <c r="O854" s="11">
        <v>46.034999999999997</v>
      </c>
      <c r="P854" s="11">
        <v>90.671000000000006</v>
      </c>
      <c r="Q854" s="11">
        <v>91.573999999999998</v>
      </c>
      <c r="R854" s="11">
        <v>75.370999999999995</v>
      </c>
      <c r="S854" s="11">
        <v>75.379000000000005</v>
      </c>
      <c r="T854" s="11">
        <v>99.808999999999997</v>
      </c>
      <c r="U854" s="11">
        <v>98.031999999999996</v>
      </c>
      <c r="V854" s="11">
        <v>65.396000000000001</v>
      </c>
      <c r="W854" s="11">
        <v>63.46</v>
      </c>
      <c r="X854" s="11">
        <v>34.603999999999999</v>
      </c>
      <c r="Y854" s="11">
        <v>36.54</v>
      </c>
      <c r="Z854" s="11">
        <v>14.29</v>
      </c>
      <c r="AA854" s="11">
        <v>14.16</v>
      </c>
      <c r="AB854" s="11">
        <v>36.54</v>
      </c>
      <c r="AC854" s="11">
        <v>34.603999999999999</v>
      </c>
      <c r="AD854" s="11">
        <v>12.9</v>
      </c>
      <c r="AE854" s="11">
        <v>10</v>
      </c>
      <c r="AF854" s="11">
        <v>12</v>
      </c>
      <c r="AG854" s="11">
        <v>10</v>
      </c>
      <c r="AH854" s="11">
        <v>10</v>
      </c>
    </row>
    <row r="855" spans="1:34" s="33" customFormat="1" x14ac:dyDescent="0.2">
      <c r="A855" s="11">
        <v>1042</v>
      </c>
      <c r="B855" s="11"/>
      <c r="C855" s="11"/>
      <c r="D855" s="11"/>
      <c r="E855" s="11"/>
      <c r="F855" s="11" t="s">
        <v>51</v>
      </c>
      <c r="G855" s="11" t="s">
        <v>51</v>
      </c>
      <c r="H855" s="56" t="str">
        <f>VLOOKUP(Table6[[#This Row],[ICD Code]],ICD_summary!$I$3:$M$38,5,0)</f>
        <v>Misc/Other</v>
      </c>
      <c r="I855" s="12">
        <v>999</v>
      </c>
      <c r="J8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5" s="11" t="s">
        <v>51</v>
      </c>
      <c r="L855" s="11"/>
      <c r="M855" s="11"/>
      <c r="N855" s="11">
        <v>38.08</v>
      </c>
      <c r="O855" s="11">
        <v>34.063000000000002</v>
      </c>
      <c r="P855" s="11">
        <v>72.010000000000005</v>
      </c>
      <c r="Q855" s="11">
        <v>72.325999999999993</v>
      </c>
      <c r="R855" s="11">
        <v>48.106000000000002</v>
      </c>
      <c r="S855" s="11">
        <v>48.540999999999997</v>
      </c>
      <c r="T855" s="11">
        <v>79.364000000000004</v>
      </c>
      <c r="U855" s="11">
        <v>80.45</v>
      </c>
      <c r="V855" s="11">
        <v>71.108999999999995</v>
      </c>
      <c r="W855" s="11">
        <v>67.781999999999996</v>
      </c>
      <c r="X855" s="11">
        <v>28.890999999999998</v>
      </c>
      <c r="Y855" s="11">
        <v>32.218000000000004</v>
      </c>
      <c r="Z855" s="11">
        <v>18.309000000000001</v>
      </c>
      <c r="AA855" s="11">
        <v>20.774000000000001</v>
      </c>
      <c r="AB855" s="11">
        <v>32.218000000000004</v>
      </c>
      <c r="AC855" s="11">
        <v>28.890999999999998</v>
      </c>
      <c r="AD855" s="11">
        <v>17.797999999999998</v>
      </c>
      <c r="AE855" s="11">
        <v>14</v>
      </c>
      <c r="AF855" s="11">
        <v>14</v>
      </c>
      <c r="AG855" s="11">
        <v>14</v>
      </c>
      <c r="AH855" s="11">
        <v>14</v>
      </c>
    </row>
    <row r="856" spans="1:34" s="33" customFormat="1" x14ac:dyDescent="0.2">
      <c r="A856" s="11">
        <v>1043</v>
      </c>
      <c r="B856" s="11"/>
      <c r="C856" s="11"/>
      <c r="D856" s="11"/>
      <c r="E856" s="11"/>
      <c r="F856" s="11" t="s">
        <v>51</v>
      </c>
      <c r="G856" s="11" t="s">
        <v>51</v>
      </c>
      <c r="H856" s="56" t="str">
        <f>VLOOKUP(Table6[[#This Row],[ICD Code]],ICD_summary!$I$3:$M$38,5,0)</f>
        <v>Misc/Other</v>
      </c>
      <c r="I856" s="12">
        <v>999</v>
      </c>
      <c r="J8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6" s="11" t="s">
        <v>51</v>
      </c>
      <c r="L856" s="11"/>
      <c r="M856" s="11"/>
      <c r="N856" s="11">
        <v>46.052</v>
      </c>
      <c r="O856" s="11">
        <v>48.183</v>
      </c>
      <c r="P856" s="11">
        <v>94.384</v>
      </c>
      <c r="Q856" s="11">
        <v>95.099000000000004</v>
      </c>
      <c r="R856" s="11">
        <v>85.867999999999995</v>
      </c>
      <c r="S856" s="11">
        <v>86.444999999999993</v>
      </c>
      <c r="T856" s="11">
        <v>109.304</v>
      </c>
      <c r="U856" s="11">
        <v>109.264</v>
      </c>
      <c r="V856" s="11">
        <v>67.344999999999999</v>
      </c>
      <c r="W856" s="11">
        <v>64.063999999999993</v>
      </c>
      <c r="X856" s="11">
        <v>32.655000000000001</v>
      </c>
      <c r="Y856" s="11">
        <v>35.936</v>
      </c>
      <c r="Z856" s="11">
        <v>15.637</v>
      </c>
      <c r="AA856" s="11">
        <v>15.813000000000001</v>
      </c>
      <c r="AB856" s="11">
        <v>35.936</v>
      </c>
      <c r="AC856" s="11">
        <v>32.655000000000001</v>
      </c>
      <c r="AD856" s="11">
        <v>13.956</v>
      </c>
      <c r="AE856" s="11">
        <v>15</v>
      </c>
      <c r="AF856" s="11">
        <v>14</v>
      </c>
      <c r="AG856" s="11">
        <v>14</v>
      </c>
      <c r="AH856" s="11">
        <v>14</v>
      </c>
    </row>
    <row r="857" spans="1:34" s="33" customFormat="1" x14ac:dyDescent="0.2">
      <c r="A857" s="11">
        <v>1044</v>
      </c>
      <c r="B857" s="11"/>
      <c r="C857" s="11"/>
      <c r="D857" s="11"/>
      <c r="E857" s="11"/>
      <c r="F857" s="11" t="s">
        <v>51</v>
      </c>
      <c r="G857" s="11" t="s">
        <v>51</v>
      </c>
      <c r="H857" s="56" t="str">
        <f>VLOOKUP(Table6[[#This Row],[ICD Code]],ICD_summary!$I$3:$M$38,5,0)</f>
        <v>Misc/Other</v>
      </c>
      <c r="I857" s="12">
        <v>999</v>
      </c>
      <c r="J8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7" s="11" t="s">
        <v>51</v>
      </c>
      <c r="L857" s="11"/>
      <c r="M857" s="11"/>
      <c r="N857" s="11">
        <v>54.374000000000002</v>
      </c>
      <c r="O857" s="11">
        <v>51.618000000000002</v>
      </c>
      <c r="P857" s="11">
        <v>106.43300000000001</v>
      </c>
      <c r="Q857" s="11">
        <v>105.876</v>
      </c>
      <c r="R857" s="11">
        <v>92.364999999999995</v>
      </c>
      <c r="S857" s="11">
        <v>91.570999999999998</v>
      </c>
      <c r="T857" s="11">
        <v>103.488</v>
      </c>
      <c r="U857" s="11">
        <v>103.304</v>
      </c>
      <c r="V857" s="11">
        <v>65.367999999999995</v>
      </c>
      <c r="W857" s="11">
        <v>61.34</v>
      </c>
      <c r="X857" s="11">
        <v>34.631999999999998</v>
      </c>
      <c r="Y857" s="11">
        <v>38.659999999999997</v>
      </c>
      <c r="Z857" s="11">
        <v>13.335000000000001</v>
      </c>
      <c r="AA857" s="11">
        <v>13.688000000000001</v>
      </c>
      <c r="AB857" s="11">
        <v>38.659999999999997</v>
      </c>
      <c r="AC857" s="11">
        <v>34.631999999999998</v>
      </c>
      <c r="AD857" s="11">
        <v>9.7639999999999993</v>
      </c>
      <c r="AE857" s="11">
        <v>14</v>
      </c>
      <c r="AF857" s="11">
        <v>13</v>
      </c>
      <c r="AG857" s="11">
        <v>13</v>
      </c>
      <c r="AH857" s="11">
        <v>13</v>
      </c>
    </row>
    <row r="858" spans="1:34" s="33" customFormat="1" x14ac:dyDescent="0.2">
      <c r="A858" s="11">
        <v>1045</v>
      </c>
      <c r="B858" s="11"/>
      <c r="C858" s="11"/>
      <c r="D858" s="11"/>
      <c r="E858" s="11"/>
      <c r="F858" s="11" t="s">
        <v>51</v>
      </c>
      <c r="G858" s="11" t="s">
        <v>51</v>
      </c>
      <c r="H858" s="56" t="str">
        <f>VLOOKUP(Table6[[#This Row],[ICD Code]],ICD_summary!$I$3:$M$38,5,0)</f>
        <v>Misc/Other</v>
      </c>
      <c r="I858" s="12">
        <v>999</v>
      </c>
      <c r="J8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8" s="11" t="s">
        <v>55</v>
      </c>
      <c r="L858" s="11"/>
      <c r="M858" s="11"/>
      <c r="N858" s="11">
        <v>43.015999999999998</v>
      </c>
      <c r="O858" s="11">
        <v>50.756999999999998</v>
      </c>
      <c r="P858" s="11">
        <v>94.012</v>
      </c>
      <c r="Q858" s="11">
        <v>93.316000000000003</v>
      </c>
      <c r="R858" s="11">
        <v>84.617000000000004</v>
      </c>
      <c r="S858" s="11">
        <v>84.561999999999998</v>
      </c>
      <c r="T858" s="11">
        <v>108.468</v>
      </c>
      <c r="U858" s="11">
        <v>108.702</v>
      </c>
      <c r="V858" s="11">
        <v>65.001999999999995</v>
      </c>
      <c r="W858" s="11">
        <v>62.831000000000003</v>
      </c>
      <c r="X858" s="11">
        <v>34.997</v>
      </c>
      <c r="Y858" s="11">
        <v>37.168999999999997</v>
      </c>
      <c r="Z858" s="11">
        <v>16.709</v>
      </c>
      <c r="AA858" s="11">
        <v>11.996</v>
      </c>
      <c r="AB858" s="11">
        <v>37.168999999999997</v>
      </c>
      <c r="AC858" s="11">
        <v>34.997</v>
      </c>
      <c r="AD858" s="11">
        <v>13.016</v>
      </c>
      <c r="AE858" s="11">
        <v>13</v>
      </c>
      <c r="AF858" s="11">
        <v>12</v>
      </c>
      <c r="AG858" s="11">
        <v>12</v>
      </c>
      <c r="AH858" s="11">
        <v>12</v>
      </c>
    </row>
    <row r="859" spans="1:34" s="33" customFormat="1" x14ac:dyDescent="0.2">
      <c r="A859" s="11">
        <v>1046</v>
      </c>
      <c r="B859" s="11"/>
      <c r="C859" s="11"/>
      <c r="D859" s="11"/>
      <c r="E859" s="11"/>
      <c r="F859" s="11" t="s">
        <v>51</v>
      </c>
      <c r="G859" s="11" t="s">
        <v>51</v>
      </c>
      <c r="H859" s="56" t="str">
        <f>VLOOKUP(Table6[[#This Row],[ICD Code]],ICD_summary!$I$3:$M$38,5,0)</f>
        <v>Misc/Other</v>
      </c>
      <c r="I859" s="12">
        <v>999</v>
      </c>
      <c r="J8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9" s="11" t="s">
        <v>51</v>
      </c>
      <c r="L859" s="11"/>
      <c r="M859" s="11"/>
      <c r="N859" s="11">
        <v>73.703999999999994</v>
      </c>
      <c r="O859" s="11">
        <v>71.019000000000005</v>
      </c>
      <c r="P859" s="11">
        <v>144.87700000000001</v>
      </c>
      <c r="Q859" s="11">
        <v>145.30199999999999</v>
      </c>
      <c r="R859" s="11">
        <v>148.68799999999999</v>
      </c>
      <c r="S859" s="11">
        <v>149.58000000000001</v>
      </c>
      <c r="T859" s="11">
        <v>123.63500000000001</v>
      </c>
      <c r="U859" s="11">
        <v>123.02500000000001</v>
      </c>
      <c r="V859" s="11">
        <v>60.194000000000003</v>
      </c>
      <c r="W859" s="11">
        <v>58.924999999999997</v>
      </c>
      <c r="X859" s="11">
        <v>39.805999999999997</v>
      </c>
      <c r="Y859" s="11">
        <v>41.075000000000003</v>
      </c>
      <c r="Z859" s="11">
        <v>11.272</v>
      </c>
      <c r="AA859" s="11">
        <v>9.5730000000000004</v>
      </c>
      <c r="AB859" s="11">
        <v>41.075000000000003</v>
      </c>
      <c r="AC859" s="11">
        <v>39.805999999999997</v>
      </c>
      <c r="AD859" s="11">
        <v>10.602</v>
      </c>
      <c r="AE859" s="11">
        <v>8</v>
      </c>
      <c r="AF859" s="11">
        <v>9</v>
      </c>
      <c r="AG859" s="11">
        <v>8</v>
      </c>
      <c r="AH859" s="11">
        <v>8</v>
      </c>
    </row>
    <row r="860" spans="1:34" s="33" customFormat="1" x14ac:dyDescent="0.2">
      <c r="A860" s="11">
        <v>1047</v>
      </c>
      <c r="B860" s="11"/>
      <c r="C860" s="11"/>
      <c r="D860" s="11"/>
      <c r="E860" s="11"/>
      <c r="F860" s="11" t="s">
        <v>51</v>
      </c>
      <c r="G860" s="11" t="s">
        <v>51</v>
      </c>
      <c r="H860" s="56" t="str">
        <f>VLOOKUP(Table6[[#This Row],[ICD Code]],ICD_summary!$I$3:$M$38,5,0)</f>
        <v>Misc/Other</v>
      </c>
      <c r="I860" s="12">
        <v>999</v>
      </c>
      <c r="J8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0" s="11" t="s">
        <v>51</v>
      </c>
      <c r="L860" s="11"/>
      <c r="M860" s="11"/>
      <c r="N860" s="11">
        <v>66.835999999999999</v>
      </c>
      <c r="O860" s="11">
        <v>65.846000000000004</v>
      </c>
      <c r="P860" s="11">
        <v>133.03899999999999</v>
      </c>
      <c r="Q860" s="11">
        <v>133.41399999999999</v>
      </c>
      <c r="R860" s="11">
        <v>120.992</v>
      </c>
      <c r="S860" s="11">
        <v>121.73399999999999</v>
      </c>
      <c r="T860" s="11">
        <v>108.096</v>
      </c>
      <c r="U860" s="11">
        <v>108.955</v>
      </c>
      <c r="V860" s="11">
        <v>64.129000000000005</v>
      </c>
      <c r="W860" s="11">
        <v>61.076999999999998</v>
      </c>
      <c r="X860" s="11">
        <v>35.871000000000002</v>
      </c>
      <c r="Y860" s="11">
        <v>38.923000000000002</v>
      </c>
      <c r="Z860" s="11">
        <v>12.295999999999999</v>
      </c>
      <c r="AA860" s="11">
        <v>13.125999999999999</v>
      </c>
      <c r="AB860" s="11">
        <v>38.923000000000002</v>
      </c>
      <c r="AC860" s="11">
        <v>35.871000000000002</v>
      </c>
      <c r="AD860" s="11">
        <v>9.5039999999999996</v>
      </c>
      <c r="AE860" s="11">
        <v>10</v>
      </c>
      <c r="AF860" s="11">
        <v>10</v>
      </c>
      <c r="AG860" s="11">
        <v>10</v>
      </c>
      <c r="AH860" s="11">
        <v>10</v>
      </c>
    </row>
    <row r="861" spans="1:34" s="33" customFormat="1" x14ac:dyDescent="0.2">
      <c r="A861" s="11">
        <v>1048</v>
      </c>
      <c r="B861" s="11"/>
      <c r="C861" s="11"/>
      <c r="D861" s="11"/>
      <c r="E861" s="11"/>
      <c r="F861" s="11" t="s">
        <v>51</v>
      </c>
      <c r="G861" s="11" t="s">
        <v>51</v>
      </c>
      <c r="H861" s="56" t="str">
        <f>VLOOKUP(Table6[[#This Row],[ICD Code]],ICD_summary!$I$3:$M$38,5,0)</f>
        <v>Misc/Other</v>
      </c>
      <c r="I861" s="12">
        <v>999</v>
      </c>
      <c r="J8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1" s="11" t="s">
        <v>51</v>
      </c>
      <c r="L861" s="11"/>
      <c r="M861" s="11"/>
      <c r="N861" s="11">
        <v>33.414000000000001</v>
      </c>
      <c r="O861" s="11">
        <v>34.536999999999999</v>
      </c>
      <c r="P861" s="11">
        <v>67.804000000000002</v>
      </c>
      <c r="Q861" s="11">
        <v>67.953999999999994</v>
      </c>
      <c r="R861" s="11">
        <v>64.513000000000005</v>
      </c>
      <c r="S861" s="11">
        <v>64.569999999999993</v>
      </c>
      <c r="T861" s="11">
        <v>114.14400000000001</v>
      </c>
      <c r="U861" s="11">
        <v>113.678</v>
      </c>
      <c r="V861" s="11">
        <v>65.242999999999995</v>
      </c>
      <c r="W861" s="11">
        <v>65.45</v>
      </c>
      <c r="X861" s="11">
        <v>34.756999999999998</v>
      </c>
      <c r="Y861" s="11">
        <v>34.549999999999997</v>
      </c>
      <c r="Z861" s="11">
        <v>14.907999999999999</v>
      </c>
      <c r="AA861" s="11">
        <v>15.981</v>
      </c>
      <c r="AB861" s="11">
        <v>34.549999999999997</v>
      </c>
      <c r="AC861" s="11">
        <v>34.756999999999998</v>
      </c>
      <c r="AD861" s="11">
        <v>14.071999999999999</v>
      </c>
      <c r="AE861" s="11">
        <v>18</v>
      </c>
      <c r="AF861" s="11">
        <v>17</v>
      </c>
      <c r="AG861" s="11">
        <v>17</v>
      </c>
      <c r="AH861" s="11">
        <v>17</v>
      </c>
    </row>
    <row r="862" spans="1:34" s="33" customFormat="1" x14ac:dyDescent="0.2">
      <c r="A862" s="11">
        <v>1049</v>
      </c>
      <c r="B862" s="11"/>
      <c r="C862" s="11"/>
      <c r="D862" s="11"/>
      <c r="E862" s="11"/>
      <c r="F862" s="11" t="s">
        <v>51</v>
      </c>
      <c r="G862" s="11" t="s">
        <v>51</v>
      </c>
      <c r="H862" s="56" t="str">
        <f>VLOOKUP(Table6[[#This Row],[ICD Code]],ICD_summary!$I$3:$M$38,5,0)</f>
        <v>Misc/Other</v>
      </c>
      <c r="I862" s="12">
        <v>999</v>
      </c>
      <c r="J8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2" s="11" t="s">
        <v>55</v>
      </c>
      <c r="L862" s="11"/>
      <c r="M862" s="11"/>
      <c r="N862" s="11">
        <v>51.679000000000002</v>
      </c>
      <c r="O862" s="11">
        <v>49.143999999999998</v>
      </c>
      <c r="P862" s="11">
        <v>101.295</v>
      </c>
      <c r="Q862" s="11">
        <v>100.65300000000001</v>
      </c>
      <c r="R862" s="11">
        <v>92.683999999999997</v>
      </c>
      <c r="S862" s="11">
        <v>91.554000000000002</v>
      </c>
      <c r="T862" s="11">
        <v>108.73099999999999</v>
      </c>
      <c r="U862" s="11">
        <v>108.214</v>
      </c>
      <c r="V862" s="11">
        <v>65.403000000000006</v>
      </c>
      <c r="W862" s="11">
        <v>64.031999999999996</v>
      </c>
      <c r="X862" s="11">
        <v>34.597000000000001</v>
      </c>
      <c r="Y862" s="11">
        <v>35.968000000000004</v>
      </c>
      <c r="Z862" s="11">
        <v>13.55</v>
      </c>
      <c r="AA862" s="11">
        <v>16.420000000000002</v>
      </c>
      <c r="AB862" s="11">
        <v>35.968000000000004</v>
      </c>
      <c r="AC862" s="11">
        <v>34.597000000000001</v>
      </c>
      <c r="AD862" s="11">
        <v>9.0280000000000005</v>
      </c>
      <c r="AE862" s="11">
        <v>13</v>
      </c>
      <c r="AF862" s="11">
        <v>16</v>
      </c>
      <c r="AG862" s="11">
        <v>13</v>
      </c>
      <c r="AH862" s="11">
        <v>13</v>
      </c>
    </row>
    <row r="863" spans="1:34" s="33" customFormat="1" x14ac:dyDescent="0.2">
      <c r="A863" s="11">
        <v>1050</v>
      </c>
      <c r="B863" s="11"/>
      <c r="C863" s="11"/>
      <c r="D863" s="11"/>
      <c r="E863" s="11"/>
      <c r="F863" s="11" t="s">
        <v>51</v>
      </c>
      <c r="G863" s="11" t="s">
        <v>51</v>
      </c>
      <c r="H863" s="56" t="str">
        <f>VLOOKUP(Table6[[#This Row],[ICD Code]],ICD_summary!$I$3:$M$38,5,0)</f>
        <v>Misc/Other</v>
      </c>
      <c r="I863" s="12">
        <v>999</v>
      </c>
      <c r="J8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3" s="11" t="s">
        <v>51</v>
      </c>
      <c r="L863" s="11"/>
      <c r="M863" s="11"/>
      <c r="N863" s="11">
        <v>48.329000000000001</v>
      </c>
      <c r="O863" s="11">
        <v>51.994999999999997</v>
      </c>
      <c r="P863" s="11">
        <v>100.479</v>
      </c>
      <c r="Q863" s="11">
        <v>100.654</v>
      </c>
      <c r="R863" s="11">
        <v>92.623999999999995</v>
      </c>
      <c r="S863" s="11">
        <v>93.201999999999998</v>
      </c>
      <c r="T863" s="11">
        <v>110.047</v>
      </c>
      <c r="U863" s="11">
        <v>110.559</v>
      </c>
      <c r="V863" s="11">
        <v>63.744</v>
      </c>
      <c r="W863" s="11">
        <v>61.848999999999997</v>
      </c>
      <c r="X863" s="11">
        <v>36.256</v>
      </c>
      <c r="Y863" s="11">
        <v>38.151000000000003</v>
      </c>
      <c r="Z863" s="11">
        <v>12.733000000000001</v>
      </c>
      <c r="AA863" s="11">
        <v>13.273999999999999</v>
      </c>
      <c r="AB863" s="11">
        <v>38.151000000000003</v>
      </c>
      <c r="AC863" s="11">
        <v>36.256</v>
      </c>
      <c r="AD863" s="11">
        <v>11.33</v>
      </c>
      <c r="AE863" s="11">
        <v>9</v>
      </c>
      <c r="AF863" s="11">
        <v>7</v>
      </c>
      <c r="AG863" s="11">
        <v>7</v>
      </c>
      <c r="AH863" s="11">
        <v>7</v>
      </c>
    </row>
    <row r="864" spans="1:34" s="33" customFormat="1" x14ac:dyDescent="0.2">
      <c r="A864" s="11">
        <v>1051</v>
      </c>
      <c r="B864" s="11"/>
      <c r="C864" s="11"/>
      <c r="D864" s="11"/>
      <c r="E864" s="11"/>
      <c r="F864" s="11" t="s">
        <v>51</v>
      </c>
      <c r="G864" s="11" t="s">
        <v>51</v>
      </c>
      <c r="H864" s="56" t="str">
        <f>VLOOKUP(Table6[[#This Row],[ICD Code]],ICD_summary!$I$3:$M$38,5,0)</f>
        <v>Misc/Other</v>
      </c>
      <c r="I864" s="12">
        <v>65.599999999999994</v>
      </c>
      <c r="J8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64" s="11" t="s">
        <v>51</v>
      </c>
      <c r="L864" s="11"/>
      <c r="M864" s="11"/>
      <c r="N864" s="11">
        <v>37.148000000000003</v>
      </c>
      <c r="O864" s="11">
        <v>45.777999999999999</v>
      </c>
      <c r="P864" s="11">
        <v>83.418000000000006</v>
      </c>
      <c r="Q864" s="11">
        <v>81.161000000000001</v>
      </c>
      <c r="R864" s="11">
        <v>64.825000000000003</v>
      </c>
      <c r="S864" s="11">
        <v>62.195999999999998</v>
      </c>
      <c r="T864" s="11">
        <v>91.016999999999996</v>
      </c>
      <c r="U864" s="11">
        <v>89.861999999999995</v>
      </c>
      <c r="V864" s="11">
        <v>70.381</v>
      </c>
      <c r="W864" s="11">
        <v>64.503</v>
      </c>
      <c r="X864" s="11">
        <v>29.619</v>
      </c>
      <c r="Y864" s="11">
        <v>35.497</v>
      </c>
      <c r="Z864" s="11">
        <v>16.677</v>
      </c>
      <c r="AA864" s="11">
        <v>18.649000000000001</v>
      </c>
      <c r="AB864" s="11">
        <v>35.497</v>
      </c>
      <c r="AC864" s="11">
        <v>29.619</v>
      </c>
      <c r="AD864" s="11">
        <v>19.922000000000001</v>
      </c>
      <c r="AE864" s="11">
        <v>14</v>
      </c>
      <c r="AF864" s="11">
        <v>14</v>
      </c>
      <c r="AG864" s="11">
        <v>14</v>
      </c>
      <c r="AH864" s="11">
        <v>14</v>
      </c>
    </row>
    <row r="865" spans="1:34" s="33" customFormat="1" x14ac:dyDescent="0.2">
      <c r="A865" s="11">
        <v>1052</v>
      </c>
      <c r="B865" s="11"/>
      <c r="C865" s="11"/>
      <c r="D865" s="11"/>
      <c r="E865" s="11"/>
      <c r="F865" s="11" t="s">
        <v>51</v>
      </c>
      <c r="G865" s="11" t="s">
        <v>51</v>
      </c>
      <c r="H865" s="56" t="str">
        <f>VLOOKUP(Table6[[#This Row],[ICD Code]],ICD_summary!$I$3:$M$38,5,0)</f>
        <v>Misc/Other</v>
      </c>
      <c r="I865" s="12">
        <v>999</v>
      </c>
      <c r="J8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5" s="11" t="s">
        <v>51</v>
      </c>
      <c r="L865" s="11"/>
      <c r="M865" s="11"/>
      <c r="N865" s="11">
        <v>69.826999999999998</v>
      </c>
      <c r="O865" s="11">
        <v>73.391000000000005</v>
      </c>
      <c r="P865" s="11">
        <v>143.76</v>
      </c>
      <c r="Q865" s="11">
        <v>143.089</v>
      </c>
      <c r="R865" s="11">
        <v>99.396000000000001</v>
      </c>
      <c r="S865" s="11">
        <v>100.188</v>
      </c>
      <c r="T865" s="11">
        <v>82.700999999999993</v>
      </c>
      <c r="U865" s="11">
        <v>83.350999999999999</v>
      </c>
      <c r="V865" s="11">
        <v>64.447999999999993</v>
      </c>
      <c r="W865" s="11">
        <v>61.36</v>
      </c>
      <c r="X865" s="11">
        <v>35.552</v>
      </c>
      <c r="Y865" s="11">
        <v>38.64</v>
      </c>
      <c r="Z865" s="11">
        <v>12.661</v>
      </c>
      <c r="AA865" s="11">
        <v>13.759</v>
      </c>
      <c r="AB865" s="11">
        <v>38.64</v>
      </c>
      <c r="AC865" s="11">
        <v>35.552</v>
      </c>
      <c r="AD865" s="11">
        <v>12.228</v>
      </c>
      <c r="AE865" s="11">
        <v>10</v>
      </c>
      <c r="AF865" s="11">
        <v>10</v>
      </c>
      <c r="AG865" s="11">
        <v>10</v>
      </c>
      <c r="AH865" s="11">
        <v>10</v>
      </c>
    </row>
    <row r="866" spans="1:34" s="33" customFormat="1" x14ac:dyDescent="0.2">
      <c r="A866" s="11">
        <v>1053</v>
      </c>
      <c r="B866" s="11"/>
      <c r="C866" s="11"/>
      <c r="D866" s="11"/>
      <c r="E866" s="11"/>
      <c r="F866" s="11" t="s">
        <v>51</v>
      </c>
      <c r="G866" s="11" t="s">
        <v>51</v>
      </c>
      <c r="H866" s="56" t="str">
        <f>VLOOKUP(Table6[[#This Row],[ICD Code]],ICD_summary!$I$3:$M$38,5,0)</f>
        <v>Misc/Other</v>
      </c>
      <c r="I866" s="12">
        <v>74.599999999999994</v>
      </c>
      <c r="J8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66" s="11" t="s">
        <v>52</v>
      </c>
      <c r="L866" s="11"/>
      <c r="M866" s="11"/>
      <c r="N866" s="11" t="s">
        <v>51</v>
      </c>
      <c r="O866" s="11" t="s">
        <v>51</v>
      </c>
      <c r="P866" s="11" t="s">
        <v>51</v>
      </c>
      <c r="Q866" s="11" t="s">
        <v>51</v>
      </c>
      <c r="R866" s="11" t="s">
        <v>51</v>
      </c>
      <c r="S866" s="11" t="s">
        <v>51</v>
      </c>
      <c r="T866" s="11" t="s">
        <v>51</v>
      </c>
      <c r="U866" s="11" t="s">
        <v>51</v>
      </c>
      <c r="V866" s="11" t="s">
        <v>51</v>
      </c>
      <c r="W866" s="11" t="s">
        <v>51</v>
      </c>
      <c r="X866" s="11" t="s">
        <v>51</v>
      </c>
      <c r="Y866" s="11" t="s">
        <v>51</v>
      </c>
      <c r="Z866" s="11" t="s">
        <v>51</v>
      </c>
      <c r="AA866" s="11" t="s">
        <v>51</v>
      </c>
      <c r="AB866" s="11" t="s">
        <v>51</v>
      </c>
      <c r="AC866" s="11" t="s">
        <v>51</v>
      </c>
      <c r="AD866" s="11" t="s">
        <v>51</v>
      </c>
      <c r="AE866" s="11" t="s">
        <v>51</v>
      </c>
      <c r="AF866" s="11" t="s">
        <v>51</v>
      </c>
      <c r="AG866" s="11" t="s">
        <v>51</v>
      </c>
      <c r="AH866" s="11" t="s">
        <v>51</v>
      </c>
    </row>
    <row r="867" spans="1:34" s="33" customFormat="1" x14ac:dyDescent="0.2">
      <c r="A867" s="11">
        <v>1054</v>
      </c>
      <c r="B867" s="11"/>
      <c r="C867" s="11"/>
      <c r="D867" s="11"/>
      <c r="E867" s="11"/>
      <c r="F867" s="11" t="s">
        <v>51</v>
      </c>
      <c r="G867" s="11" t="s">
        <v>51</v>
      </c>
      <c r="H867" s="56" t="str">
        <f>VLOOKUP(Table6[[#This Row],[ICD Code]],ICD_summary!$I$3:$M$38,5,0)</f>
        <v>Misc/Other</v>
      </c>
      <c r="I867" s="12">
        <v>999</v>
      </c>
      <c r="J8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7" s="11" t="s">
        <v>51</v>
      </c>
      <c r="L867" s="11"/>
      <c r="M867" s="11"/>
      <c r="N867" s="11">
        <v>65.106999999999999</v>
      </c>
      <c r="O867" s="11">
        <v>64.778000000000006</v>
      </c>
      <c r="P867" s="11">
        <v>130.98099999999999</v>
      </c>
      <c r="Q867" s="11">
        <v>129.405</v>
      </c>
      <c r="R867" s="11">
        <v>138.90100000000001</v>
      </c>
      <c r="S867" s="11">
        <v>138.40199999999999</v>
      </c>
      <c r="T867" s="11">
        <v>127.621</v>
      </c>
      <c r="U867" s="11">
        <v>128.029</v>
      </c>
      <c r="V867" s="11">
        <v>60.244999999999997</v>
      </c>
      <c r="W867" s="11">
        <v>60.750999999999998</v>
      </c>
      <c r="X867" s="11">
        <v>39.755000000000003</v>
      </c>
      <c r="Y867" s="11">
        <v>39.249000000000002</v>
      </c>
      <c r="Z867" s="11">
        <v>10.519</v>
      </c>
      <c r="AA867" s="11">
        <v>10.369</v>
      </c>
      <c r="AB867" s="11">
        <v>39.249000000000002</v>
      </c>
      <c r="AC867" s="11">
        <v>39.755000000000003</v>
      </c>
      <c r="AD867" s="11">
        <v>10.577999999999999</v>
      </c>
      <c r="AE867" s="11">
        <v>8</v>
      </c>
      <c r="AF867" s="11">
        <v>6</v>
      </c>
      <c r="AG867" s="11">
        <v>6</v>
      </c>
      <c r="AH867" s="11">
        <v>6</v>
      </c>
    </row>
    <row r="868" spans="1:34" s="33" customFormat="1" x14ac:dyDescent="0.2">
      <c r="A868" s="11">
        <v>1055</v>
      </c>
      <c r="B868" s="11"/>
      <c r="C868" s="11"/>
      <c r="D868" s="11"/>
      <c r="E868" s="11"/>
      <c r="F868" s="11" t="s">
        <v>51</v>
      </c>
      <c r="G868" s="11" t="s">
        <v>51</v>
      </c>
      <c r="H868" s="56" t="str">
        <f>VLOOKUP(Table6[[#This Row],[ICD Code]],ICD_summary!$I$3:$M$38,5,0)</f>
        <v>Misc/Other</v>
      </c>
      <c r="I868" s="12">
        <v>999</v>
      </c>
      <c r="J8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8" s="11" t="s">
        <v>51</v>
      </c>
      <c r="L868" s="11"/>
      <c r="M868" s="11"/>
      <c r="N868" s="11">
        <v>41.69</v>
      </c>
      <c r="O868" s="11">
        <v>51.552999999999997</v>
      </c>
      <c r="P868" s="11">
        <v>92.692999999999998</v>
      </c>
      <c r="Q868" s="11">
        <v>94.072000000000003</v>
      </c>
      <c r="R868" s="11">
        <v>98.474000000000004</v>
      </c>
      <c r="S868" s="11">
        <v>99.328999999999994</v>
      </c>
      <c r="T868" s="11">
        <v>125.378</v>
      </c>
      <c r="U868" s="11">
        <v>125.11</v>
      </c>
      <c r="V868" s="11">
        <v>63.243000000000002</v>
      </c>
      <c r="W868" s="11">
        <v>62.78</v>
      </c>
      <c r="X868" s="11">
        <v>36.756999999999998</v>
      </c>
      <c r="Y868" s="11">
        <v>37.22</v>
      </c>
      <c r="Z868" s="11">
        <v>12.025</v>
      </c>
      <c r="AA868" s="11">
        <v>14.082000000000001</v>
      </c>
      <c r="AB868" s="11">
        <v>37.22</v>
      </c>
      <c r="AC868" s="11">
        <v>36.756999999999998</v>
      </c>
      <c r="AD868" s="11">
        <v>10.27</v>
      </c>
      <c r="AE868" s="11">
        <v>13</v>
      </c>
      <c r="AF868" s="11">
        <v>13</v>
      </c>
      <c r="AG868" s="11">
        <v>13</v>
      </c>
      <c r="AH868" s="11">
        <v>13</v>
      </c>
    </row>
    <row r="869" spans="1:34" s="33" customFormat="1" x14ac:dyDescent="0.2">
      <c r="A869" s="11">
        <v>1056</v>
      </c>
      <c r="B869" s="11"/>
      <c r="C869" s="11"/>
      <c r="D869" s="11"/>
      <c r="E869" s="11"/>
      <c r="F869" s="11" t="s">
        <v>51</v>
      </c>
      <c r="G869" s="11" t="s">
        <v>51</v>
      </c>
      <c r="H869" s="56" t="str">
        <f>VLOOKUP(Table6[[#This Row],[ICD Code]],ICD_summary!$I$3:$M$38,5,0)</f>
        <v>Misc/Other</v>
      </c>
      <c r="I869" s="12">
        <v>999</v>
      </c>
      <c r="J8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9" s="11" t="s">
        <v>51</v>
      </c>
      <c r="L869" s="11"/>
      <c r="M869" s="11"/>
      <c r="N869" s="11">
        <v>59.661000000000001</v>
      </c>
      <c r="O869" s="11">
        <v>62.069000000000003</v>
      </c>
      <c r="P869" s="11">
        <v>122.408</v>
      </c>
      <c r="Q869" s="11">
        <v>121.364</v>
      </c>
      <c r="R869" s="11">
        <v>114.60599999999999</v>
      </c>
      <c r="S869" s="11">
        <v>114.175</v>
      </c>
      <c r="T869" s="11">
        <v>111.67700000000001</v>
      </c>
      <c r="U869" s="11">
        <v>112.44799999999999</v>
      </c>
      <c r="V869" s="11">
        <v>61.773000000000003</v>
      </c>
      <c r="W869" s="11">
        <v>62.744999999999997</v>
      </c>
      <c r="X869" s="11">
        <v>38.226999999999997</v>
      </c>
      <c r="Y869" s="11">
        <v>37.255000000000003</v>
      </c>
      <c r="Z869" s="11">
        <v>12.548</v>
      </c>
      <c r="AA869" s="11">
        <v>12.275</v>
      </c>
      <c r="AB869" s="11">
        <v>37.255000000000003</v>
      </c>
      <c r="AC869" s="11">
        <v>38.226999999999997</v>
      </c>
      <c r="AD869" s="11">
        <v>11.21</v>
      </c>
      <c r="AE869" s="11">
        <v>10</v>
      </c>
      <c r="AF869" s="11">
        <v>11</v>
      </c>
      <c r="AG869" s="11">
        <v>10</v>
      </c>
      <c r="AH869" s="11">
        <v>10</v>
      </c>
    </row>
    <row r="870" spans="1:34" s="33" customFormat="1" x14ac:dyDescent="0.2">
      <c r="A870" s="11">
        <v>1057</v>
      </c>
      <c r="B870" s="11"/>
      <c r="C870" s="11"/>
      <c r="D870" s="11"/>
      <c r="E870" s="11"/>
      <c r="F870" s="11" t="s">
        <v>51</v>
      </c>
      <c r="G870" s="11" t="s">
        <v>51</v>
      </c>
      <c r="H870" s="56" t="str">
        <f>VLOOKUP(Table6[[#This Row],[ICD Code]],ICD_summary!$I$3:$M$38,5,0)</f>
        <v>Misc/Other</v>
      </c>
      <c r="I870" s="12">
        <v>999</v>
      </c>
      <c r="J8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0" s="11" t="s">
        <v>51</v>
      </c>
      <c r="L870" s="11"/>
      <c r="M870" s="11"/>
      <c r="N870" s="11">
        <v>30.879000000000001</v>
      </c>
      <c r="O870" s="11">
        <v>28.03</v>
      </c>
      <c r="P870" s="11">
        <v>52.511000000000003</v>
      </c>
      <c r="Q870" s="11">
        <v>62.488</v>
      </c>
      <c r="R870" s="11">
        <v>65.185000000000002</v>
      </c>
      <c r="S870" s="11">
        <v>63.906999999999996</v>
      </c>
      <c r="T870" s="11">
        <v>1758.7260000000001</v>
      </c>
      <c r="U870" s="11">
        <v>1082.4970000000001</v>
      </c>
      <c r="V870" s="11">
        <v>202.94800000000001</v>
      </c>
      <c r="W870" s="11">
        <v>-506.76</v>
      </c>
      <c r="X870" s="11">
        <v>-102.946</v>
      </c>
      <c r="Y870" s="11">
        <v>606.76199999999994</v>
      </c>
      <c r="Z870" s="11">
        <v>-804.91</v>
      </c>
      <c r="AA870" s="11">
        <v>-833.51300000000003</v>
      </c>
      <c r="AB870" s="11">
        <v>606.76199999999994</v>
      </c>
      <c r="AC870" s="11">
        <v>-102.946</v>
      </c>
      <c r="AD870" s="11">
        <v>20.943000000000001</v>
      </c>
      <c r="AE870" s="11">
        <v>23</v>
      </c>
      <c r="AF870" s="11">
        <v>22</v>
      </c>
      <c r="AG870" s="11">
        <v>20</v>
      </c>
      <c r="AH870" s="11">
        <v>20</v>
      </c>
    </row>
    <row r="871" spans="1:34" s="33" customFormat="1" x14ac:dyDescent="0.2">
      <c r="A871" s="11">
        <v>1058</v>
      </c>
      <c r="B871" s="11"/>
      <c r="C871" s="11"/>
      <c r="D871" s="11"/>
      <c r="E871" s="11"/>
      <c r="F871" s="11" t="s">
        <v>51</v>
      </c>
      <c r="G871" s="11" t="s">
        <v>51</v>
      </c>
      <c r="H871" s="56" t="str">
        <f>VLOOKUP(Table6[[#This Row],[ICD Code]],ICD_summary!$I$3:$M$38,5,0)</f>
        <v>Misc/Other</v>
      </c>
      <c r="I871" s="12">
        <v>999</v>
      </c>
      <c r="J8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1" s="11" t="s">
        <v>51</v>
      </c>
      <c r="L871" s="11"/>
      <c r="M871" s="11"/>
      <c r="N871" s="11">
        <v>31.068000000000001</v>
      </c>
      <c r="O871" s="11">
        <v>34.749000000000002</v>
      </c>
      <c r="P871" s="11">
        <v>65.542000000000002</v>
      </c>
      <c r="Q871" s="11">
        <v>65.527000000000001</v>
      </c>
      <c r="R871" s="11">
        <v>62.999000000000002</v>
      </c>
      <c r="S871" s="11">
        <v>63.481000000000002</v>
      </c>
      <c r="T871" s="11">
        <v>115.654</v>
      </c>
      <c r="U871" s="11">
        <v>115.583</v>
      </c>
      <c r="V871" s="11">
        <v>64.897000000000006</v>
      </c>
      <c r="W871" s="11">
        <v>65.989999999999995</v>
      </c>
      <c r="X871" s="11">
        <v>35.103000000000002</v>
      </c>
      <c r="Y871" s="11">
        <v>34.01</v>
      </c>
      <c r="Z871" s="11">
        <v>15.698</v>
      </c>
      <c r="AA871" s="11">
        <v>15.598000000000001</v>
      </c>
      <c r="AB871" s="11">
        <v>34.01</v>
      </c>
      <c r="AC871" s="11">
        <v>35.103000000000002</v>
      </c>
      <c r="AD871" s="11">
        <v>6.9550000000000001</v>
      </c>
      <c r="AE871" s="11">
        <v>17</v>
      </c>
      <c r="AF871" s="11">
        <v>16</v>
      </c>
      <c r="AG871" s="11">
        <v>16</v>
      </c>
      <c r="AH871" s="11">
        <v>16</v>
      </c>
    </row>
    <row r="872" spans="1:34" s="33" customFormat="1" x14ac:dyDescent="0.2">
      <c r="A872" s="11">
        <v>1059</v>
      </c>
      <c r="B872" s="11"/>
      <c r="C872" s="11"/>
      <c r="D872" s="11"/>
      <c r="E872" s="11"/>
      <c r="F872" s="11" t="s">
        <v>51</v>
      </c>
      <c r="G872" s="11" t="s">
        <v>51</v>
      </c>
      <c r="H872" s="56" t="str">
        <f>VLOOKUP(Table6[[#This Row],[ICD Code]],ICD_summary!$I$3:$M$38,5,0)</f>
        <v>Misc/Other</v>
      </c>
      <c r="I872" s="12">
        <v>999</v>
      </c>
      <c r="J8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2" s="11" t="s">
        <v>51</v>
      </c>
      <c r="L872" s="11"/>
      <c r="M872" s="11"/>
      <c r="N872" s="11">
        <v>49.735999999999997</v>
      </c>
      <c r="O872" s="11">
        <v>55.231999999999999</v>
      </c>
      <c r="P872" s="11">
        <v>104.922</v>
      </c>
      <c r="Q872" s="11">
        <v>107.99</v>
      </c>
      <c r="R872" s="11">
        <v>101.401</v>
      </c>
      <c r="S872" s="11">
        <v>102.32</v>
      </c>
      <c r="T872" s="11">
        <v>115.98399999999999</v>
      </c>
      <c r="U872" s="11">
        <v>114.919</v>
      </c>
      <c r="V872" s="11">
        <v>63.134999999999998</v>
      </c>
      <c r="W872" s="11">
        <v>61.709000000000003</v>
      </c>
      <c r="X872" s="11">
        <v>36.865000000000002</v>
      </c>
      <c r="Y872" s="11">
        <v>38.290999999999997</v>
      </c>
      <c r="Z872" s="11">
        <v>12.555</v>
      </c>
      <c r="AA872" s="11">
        <v>13.26</v>
      </c>
      <c r="AB872" s="11">
        <v>38.290999999999997</v>
      </c>
      <c r="AC872" s="11">
        <v>36.865000000000002</v>
      </c>
      <c r="AD872" s="11">
        <v>9.9600000000000009</v>
      </c>
      <c r="AE872" s="11">
        <v>15</v>
      </c>
      <c r="AF872" s="11">
        <v>12</v>
      </c>
      <c r="AG872" s="11">
        <v>12</v>
      </c>
      <c r="AH872" s="11">
        <v>12</v>
      </c>
    </row>
    <row r="873" spans="1:34" s="33" customFormat="1" x14ac:dyDescent="0.2">
      <c r="A873" s="11">
        <v>1060</v>
      </c>
      <c r="B873" s="11"/>
      <c r="C873" s="11"/>
      <c r="D873" s="11"/>
      <c r="E873" s="11"/>
      <c r="F873" s="11" t="s">
        <v>51</v>
      </c>
      <c r="G873" s="11" t="s">
        <v>51</v>
      </c>
      <c r="H873" s="56" t="str">
        <f>VLOOKUP(Table6[[#This Row],[ICD Code]],ICD_summary!$I$3:$M$38,5,0)</f>
        <v>Misc/Other</v>
      </c>
      <c r="I873" s="12">
        <v>999</v>
      </c>
      <c r="J8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3" s="11" t="s">
        <v>51</v>
      </c>
      <c r="L873" s="11"/>
      <c r="M873" s="11"/>
      <c r="N873" s="11">
        <v>47.031999999999996</v>
      </c>
      <c r="O873" s="11">
        <v>43.618000000000002</v>
      </c>
      <c r="P873" s="11">
        <v>90.540999999999997</v>
      </c>
      <c r="Q873" s="11">
        <v>90.88</v>
      </c>
      <c r="R873" s="11">
        <v>98.328000000000003</v>
      </c>
      <c r="S873" s="11">
        <v>99.021000000000001</v>
      </c>
      <c r="T873" s="11">
        <v>129.39599999999999</v>
      </c>
      <c r="U873" s="11">
        <v>130.23400000000001</v>
      </c>
      <c r="V873" s="11">
        <v>62.670999999999999</v>
      </c>
      <c r="W873" s="11">
        <v>61.524999999999999</v>
      </c>
      <c r="X873" s="11">
        <v>37.329000000000001</v>
      </c>
      <c r="Y873" s="11">
        <v>38.475000000000001</v>
      </c>
      <c r="Z873" s="11">
        <v>12.816000000000001</v>
      </c>
      <c r="AA873" s="11">
        <v>11.805999999999999</v>
      </c>
      <c r="AB873" s="11">
        <v>38.475000000000001</v>
      </c>
      <c r="AC873" s="11">
        <v>37.329000000000001</v>
      </c>
      <c r="AD873" s="11">
        <v>9.4939999999999998</v>
      </c>
      <c r="AE873" s="11">
        <v>14</v>
      </c>
      <c r="AF873" s="11">
        <v>15</v>
      </c>
      <c r="AG873" s="11">
        <v>14</v>
      </c>
      <c r="AH873" s="11">
        <v>14</v>
      </c>
    </row>
    <row r="874" spans="1:34" s="33" customFormat="1" x14ac:dyDescent="0.2">
      <c r="A874" s="11">
        <v>1061</v>
      </c>
      <c r="B874" s="11"/>
      <c r="C874" s="11"/>
      <c r="D874" s="11"/>
      <c r="E874" s="11"/>
      <c r="F874" s="11" t="s">
        <v>51</v>
      </c>
      <c r="G874" s="11" t="s">
        <v>51</v>
      </c>
      <c r="H874" s="56" t="str">
        <f>VLOOKUP(Table6[[#This Row],[ICD Code]],ICD_summary!$I$3:$M$38,5,0)</f>
        <v>Misc/Other</v>
      </c>
      <c r="I874" s="12">
        <v>75.7</v>
      </c>
      <c r="J8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4" s="11" t="s">
        <v>52</v>
      </c>
      <c r="L874" s="11"/>
      <c r="M874" s="11"/>
      <c r="N874" s="11">
        <v>42.863</v>
      </c>
      <c r="O874" s="11">
        <v>40.630000000000003</v>
      </c>
      <c r="P874" s="11">
        <v>83.498000000000005</v>
      </c>
      <c r="Q874" s="11">
        <v>84.227000000000004</v>
      </c>
      <c r="R874" s="11">
        <v>72.435000000000002</v>
      </c>
      <c r="S874" s="11">
        <v>72.929000000000002</v>
      </c>
      <c r="T874" s="11">
        <v>104.651</v>
      </c>
      <c r="U874" s="11">
        <v>104.121</v>
      </c>
      <c r="V874" s="11">
        <v>67.683999999999997</v>
      </c>
      <c r="W874" s="11">
        <v>67.281000000000006</v>
      </c>
      <c r="X874" s="11">
        <v>32.316000000000003</v>
      </c>
      <c r="Y874" s="11">
        <v>32.719000000000001</v>
      </c>
      <c r="Z874" s="11">
        <v>20.234999999999999</v>
      </c>
      <c r="AA874" s="11">
        <v>14.927</v>
      </c>
      <c r="AB874" s="11">
        <v>32.719000000000001</v>
      </c>
      <c r="AC874" s="11">
        <v>32.316000000000003</v>
      </c>
      <c r="AD874" s="11">
        <v>18.577999999999999</v>
      </c>
      <c r="AE874" s="11">
        <v>11</v>
      </c>
      <c r="AF874" s="11">
        <v>12</v>
      </c>
      <c r="AG874" s="11">
        <v>11</v>
      </c>
      <c r="AH874" s="11">
        <v>11</v>
      </c>
    </row>
    <row r="875" spans="1:34" s="33" customFormat="1" x14ac:dyDescent="0.2">
      <c r="A875" s="11">
        <v>1062</v>
      </c>
      <c r="B875" s="11"/>
      <c r="C875" s="11"/>
      <c r="D875" s="11"/>
      <c r="E875" s="11"/>
      <c r="F875" s="11" t="s">
        <v>51</v>
      </c>
      <c r="G875" s="11" t="s">
        <v>51</v>
      </c>
      <c r="H875" s="56" t="str">
        <f>VLOOKUP(Table6[[#This Row],[ICD Code]],ICD_summary!$I$3:$M$38,5,0)</f>
        <v>Misc/Other</v>
      </c>
      <c r="I875" s="12">
        <v>65.099999999999994</v>
      </c>
      <c r="J8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75" s="11" t="s">
        <v>52</v>
      </c>
      <c r="L875" s="11"/>
      <c r="M875" s="11"/>
      <c r="N875" s="11">
        <v>46.484999999999999</v>
      </c>
      <c r="O875" s="11">
        <v>51.530999999999999</v>
      </c>
      <c r="P875" s="11">
        <v>99.438000000000002</v>
      </c>
      <c r="Q875" s="11">
        <v>96.611999999999995</v>
      </c>
      <c r="R875" s="11">
        <v>74.328000000000003</v>
      </c>
      <c r="S875" s="11">
        <v>74.100999999999999</v>
      </c>
      <c r="T875" s="11">
        <v>90.346999999999994</v>
      </c>
      <c r="U875" s="11">
        <v>91.150999999999996</v>
      </c>
      <c r="V875" s="11">
        <v>65.442999999999998</v>
      </c>
      <c r="W875" s="11">
        <v>66.411000000000001</v>
      </c>
      <c r="X875" s="11">
        <v>34.557000000000002</v>
      </c>
      <c r="Y875" s="11">
        <v>33.588999999999999</v>
      </c>
      <c r="Z875" s="11">
        <v>18.521000000000001</v>
      </c>
      <c r="AA875" s="11">
        <v>14.619</v>
      </c>
      <c r="AB875" s="11">
        <v>33.588999999999999</v>
      </c>
      <c r="AC875" s="11">
        <v>34.557000000000002</v>
      </c>
      <c r="AD875" s="11">
        <v>16.146000000000001</v>
      </c>
      <c r="AE875" s="11">
        <v>10</v>
      </c>
      <c r="AF875" s="11">
        <v>10</v>
      </c>
      <c r="AG875" s="11">
        <v>10</v>
      </c>
      <c r="AH875" s="11">
        <v>10</v>
      </c>
    </row>
    <row r="876" spans="1:34" s="33" customFormat="1" x14ac:dyDescent="0.2">
      <c r="A876" s="11">
        <v>1063</v>
      </c>
      <c r="B876" s="11"/>
      <c r="C876" s="11"/>
      <c r="D876" s="11"/>
      <c r="E876" s="11"/>
      <c r="F876" s="11" t="s">
        <v>51</v>
      </c>
      <c r="G876" s="11" t="s">
        <v>51</v>
      </c>
      <c r="H876" s="56" t="str">
        <f>VLOOKUP(Table6[[#This Row],[ICD Code]],ICD_summary!$I$3:$M$38,5,0)</f>
        <v>Misc/Other</v>
      </c>
      <c r="I876" s="12">
        <v>34.4</v>
      </c>
      <c r="J8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876" s="11" t="s">
        <v>52</v>
      </c>
      <c r="L876" s="11"/>
      <c r="M876" s="11"/>
      <c r="N876" s="11">
        <v>58.37</v>
      </c>
      <c r="O876" s="11">
        <v>57.296999999999997</v>
      </c>
      <c r="P876" s="11">
        <v>116.82899999999999</v>
      </c>
      <c r="Q876" s="11">
        <v>113.087</v>
      </c>
      <c r="R876" s="11">
        <v>59.762999999999998</v>
      </c>
      <c r="S876" s="11">
        <v>59.546999999999997</v>
      </c>
      <c r="T876" s="11">
        <v>61.732999999999997</v>
      </c>
      <c r="U876" s="11">
        <v>62.378999999999998</v>
      </c>
      <c r="V876" s="11">
        <v>64.870999999999995</v>
      </c>
      <c r="W876" s="11">
        <v>67.073999999999998</v>
      </c>
      <c r="X876" s="11">
        <v>35.128999999999998</v>
      </c>
      <c r="Y876" s="11">
        <v>32.926000000000002</v>
      </c>
      <c r="Z876" s="11">
        <v>14.409000000000001</v>
      </c>
      <c r="AA876" s="11">
        <v>18.315999999999999</v>
      </c>
      <c r="AB876" s="11">
        <v>32.926000000000002</v>
      </c>
      <c r="AC876" s="11">
        <v>35.128999999999998</v>
      </c>
      <c r="AD876" s="11">
        <v>18.262</v>
      </c>
      <c r="AE876" s="11">
        <v>10</v>
      </c>
      <c r="AF876" s="11">
        <v>7</v>
      </c>
      <c r="AG876" s="11">
        <v>7</v>
      </c>
      <c r="AH876" s="11">
        <v>7</v>
      </c>
    </row>
    <row r="877" spans="1:34" s="33" customFormat="1" x14ac:dyDescent="0.2">
      <c r="A877" s="11">
        <v>1064</v>
      </c>
      <c r="B877" s="11"/>
      <c r="C877" s="11"/>
      <c r="D877" s="11"/>
      <c r="E877" s="11"/>
      <c r="F877" s="11" t="s">
        <v>51</v>
      </c>
      <c r="G877" s="11" t="s">
        <v>51</v>
      </c>
      <c r="H877" s="56" t="str">
        <f>VLOOKUP(Table6[[#This Row],[ICD Code]],ICD_summary!$I$3:$M$38,5,0)</f>
        <v>Misc/Other</v>
      </c>
      <c r="I877" s="12">
        <v>76.8</v>
      </c>
      <c r="J8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7" s="11" t="s">
        <v>52</v>
      </c>
      <c r="L877" s="11"/>
      <c r="M877" s="11"/>
      <c r="N877" s="11">
        <v>41.848999999999997</v>
      </c>
      <c r="O877" s="11">
        <v>39.267000000000003</v>
      </c>
      <c r="P877" s="11">
        <v>81.406000000000006</v>
      </c>
      <c r="Q877" s="11">
        <v>80.709999999999994</v>
      </c>
      <c r="R877" s="11">
        <v>62.112000000000002</v>
      </c>
      <c r="S877" s="11">
        <v>61.646000000000001</v>
      </c>
      <c r="T877" s="11">
        <v>90.932000000000002</v>
      </c>
      <c r="U877" s="11">
        <v>90.811999999999998</v>
      </c>
      <c r="V877" s="11">
        <v>66.224000000000004</v>
      </c>
      <c r="W877" s="11">
        <v>68.569999999999993</v>
      </c>
      <c r="X877" s="11">
        <v>33.776000000000003</v>
      </c>
      <c r="Y877" s="11">
        <v>31.43</v>
      </c>
      <c r="Z877" s="11">
        <v>17.747</v>
      </c>
      <c r="AA877" s="11">
        <v>17.428000000000001</v>
      </c>
      <c r="AB877" s="11">
        <v>31.43</v>
      </c>
      <c r="AC877" s="11">
        <v>33.776000000000003</v>
      </c>
      <c r="AD877" s="11">
        <v>17.11</v>
      </c>
      <c r="AE877" s="11">
        <v>12</v>
      </c>
      <c r="AF877" s="11">
        <v>12</v>
      </c>
      <c r="AG877" s="11">
        <v>12</v>
      </c>
      <c r="AH877" s="11">
        <v>12</v>
      </c>
    </row>
    <row r="878" spans="1:34" s="33" customFormat="1" x14ac:dyDescent="0.2">
      <c r="A878" s="11">
        <v>1065</v>
      </c>
      <c r="B878" s="11"/>
      <c r="C878" s="11"/>
      <c r="D878" s="11"/>
      <c r="E878" s="11"/>
      <c r="F878" s="11" t="s">
        <v>51</v>
      </c>
      <c r="G878" s="11" t="s">
        <v>51</v>
      </c>
      <c r="H878" s="56" t="str">
        <f>VLOOKUP(Table6[[#This Row],[ICD Code]],ICD_summary!$I$3:$M$38,5,0)</f>
        <v>Misc/Other</v>
      </c>
      <c r="I878" s="12">
        <v>71.8</v>
      </c>
      <c r="J8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8" s="11" t="s">
        <v>52</v>
      </c>
      <c r="L878" s="11"/>
      <c r="M878" s="11"/>
      <c r="N878" s="11">
        <v>42.517000000000003</v>
      </c>
      <c r="O878" s="11">
        <v>40.497999999999998</v>
      </c>
      <c r="P878" s="11">
        <v>83.388000000000005</v>
      </c>
      <c r="Q878" s="11">
        <v>83.341999999999999</v>
      </c>
      <c r="R878" s="11">
        <v>70.456999999999994</v>
      </c>
      <c r="S878" s="11">
        <v>70.331999999999994</v>
      </c>
      <c r="T878" s="11">
        <v>102.09399999999999</v>
      </c>
      <c r="U878" s="11">
        <v>102.121</v>
      </c>
      <c r="V878" s="11">
        <v>63.887999999999998</v>
      </c>
      <c r="W878" s="11">
        <v>64.784000000000006</v>
      </c>
      <c r="X878" s="11">
        <v>36.112000000000002</v>
      </c>
      <c r="Y878" s="11">
        <v>35.216000000000001</v>
      </c>
      <c r="Z878" s="11">
        <v>16.745000000000001</v>
      </c>
      <c r="AA878" s="11">
        <v>12.673</v>
      </c>
      <c r="AB878" s="11">
        <v>35.216000000000001</v>
      </c>
      <c r="AC878" s="11">
        <v>36.112000000000002</v>
      </c>
      <c r="AD878" s="11">
        <v>11.295999999999999</v>
      </c>
      <c r="AE878" s="11">
        <v>13</v>
      </c>
      <c r="AF878" s="11">
        <v>11</v>
      </c>
      <c r="AG878" s="11">
        <v>11</v>
      </c>
      <c r="AH878" s="11">
        <v>11</v>
      </c>
    </row>
    <row r="879" spans="1:34" s="33" customFormat="1" x14ac:dyDescent="0.2">
      <c r="A879" s="11">
        <v>1066</v>
      </c>
      <c r="B879" s="11"/>
      <c r="C879" s="11"/>
      <c r="D879" s="11"/>
      <c r="E879" s="11"/>
      <c r="F879" s="11" t="s">
        <v>51</v>
      </c>
      <c r="G879" s="11" t="s">
        <v>51</v>
      </c>
      <c r="H879" s="56" t="str">
        <f>VLOOKUP(Table6[[#This Row],[ICD Code]],ICD_summary!$I$3:$M$38,5,0)</f>
        <v>Misc/Other</v>
      </c>
      <c r="I879" s="12">
        <v>64.400000000000006</v>
      </c>
      <c r="J8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79" s="11" t="s">
        <v>52</v>
      </c>
      <c r="L879" s="11"/>
      <c r="M879" s="11"/>
      <c r="N879" s="11">
        <v>44.491999999999997</v>
      </c>
      <c r="O879" s="11">
        <v>41.402000000000001</v>
      </c>
      <c r="P879" s="11">
        <v>85.656999999999996</v>
      </c>
      <c r="Q879" s="11">
        <v>85.596999999999994</v>
      </c>
      <c r="R879" s="11">
        <v>86.813000000000002</v>
      </c>
      <c r="S879" s="11">
        <v>87.155000000000001</v>
      </c>
      <c r="T879" s="11">
        <v>121.32</v>
      </c>
      <c r="U879" s="11">
        <v>121.367</v>
      </c>
      <c r="V879" s="11">
        <v>62.712000000000003</v>
      </c>
      <c r="W879" s="11">
        <v>63.262999999999998</v>
      </c>
      <c r="X879" s="11">
        <v>37.287999999999997</v>
      </c>
      <c r="Y879" s="11">
        <v>36.737000000000002</v>
      </c>
      <c r="Z879" s="11">
        <v>13.553000000000001</v>
      </c>
      <c r="AA879" s="11">
        <v>12.635</v>
      </c>
      <c r="AB879" s="11">
        <v>36.737000000000002</v>
      </c>
      <c r="AC879" s="11">
        <v>37.287999999999997</v>
      </c>
      <c r="AD879" s="11">
        <v>7.6079999999999997</v>
      </c>
      <c r="AE879" s="11">
        <v>11</v>
      </c>
      <c r="AF879" s="11">
        <v>10</v>
      </c>
      <c r="AG879" s="11">
        <v>10</v>
      </c>
      <c r="AH879" s="11">
        <v>10</v>
      </c>
    </row>
    <row r="880" spans="1:34" s="33" customFormat="1" x14ac:dyDescent="0.2">
      <c r="A880" s="11">
        <v>1067</v>
      </c>
      <c r="B880" s="11"/>
      <c r="C880" s="11"/>
      <c r="D880" s="11"/>
      <c r="E880" s="11"/>
      <c r="F880" s="11" t="s">
        <v>51</v>
      </c>
      <c r="G880" s="11" t="s">
        <v>51</v>
      </c>
      <c r="H880" s="56" t="str">
        <f>VLOOKUP(Table6[[#This Row],[ICD Code]],ICD_summary!$I$3:$M$38,5,0)</f>
        <v>Misc/Other</v>
      </c>
      <c r="I880" s="12">
        <v>71.5</v>
      </c>
      <c r="J8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0" s="11" t="s">
        <v>52</v>
      </c>
      <c r="L880" s="11"/>
      <c r="M880" s="11"/>
      <c r="N880" s="11">
        <v>53.945</v>
      </c>
      <c r="O880" s="11">
        <v>55.378</v>
      </c>
      <c r="P880" s="11">
        <v>109.13500000000001</v>
      </c>
      <c r="Q880" s="11">
        <v>109.768</v>
      </c>
      <c r="R880" s="11">
        <v>101.569</v>
      </c>
      <c r="S880" s="11">
        <v>102.59699999999999</v>
      </c>
      <c r="T880" s="11">
        <v>111.494</v>
      </c>
      <c r="U880" s="11">
        <v>111.59399999999999</v>
      </c>
      <c r="V880" s="11">
        <v>62.761000000000003</v>
      </c>
      <c r="W880" s="11">
        <v>63.753999999999998</v>
      </c>
      <c r="X880" s="11">
        <v>37.238999999999997</v>
      </c>
      <c r="Y880" s="11">
        <v>36.246000000000002</v>
      </c>
      <c r="Z880" s="11">
        <v>13.22</v>
      </c>
      <c r="AA880" s="11">
        <v>13.936999999999999</v>
      </c>
      <c r="AB880" s="11">
        <v>36.246000000000002</v>
      </c>
      <c r="AC880" s="11">
        <v>37.238999999999997</v>
      </c>
      <c r="AD880" s="11">
        <v>12.156000000000001</v>
      </c>
      <c r="AE880" s="11">
        <v>10</v>
      </c>
      <c r="AF880" s="11">
        <v>10</v>
      </c>
      <c r="AG880" s="11">
        <v>10</v>
      </c>
      <c r="AH880" s="11">
        <v>10</v>
      </c>
    </row>
    <row r="881" spans="1:34" s="33" customFormat="1" x14ac:dyDescent="0.2">
      <c r="A881" s="11">
        <v>1068</v>
      </c>
      <c r="B881" s="11"/>
      <c r="C881" s="11"/>
      <c r="D881" s="11"/>
      <c r="E881" s="11"/>
      <c r="F881" s="11" t="s">
        <v>51</v>
      </c>
      <c r="G881" s="11" t="s">
        <v>51</v>
      </c>
      <c r="H881" s="56" t="str">
        <f>VLOOKUP(Table6[[#This Row],[ICD Code]],ICD_summary!$I$3:$M$38,5,0)</f>
        <v>Misc/Other</v>
      </c>
      <c r="I881" s="12">
        <v>72.099999999999994</v>
      </c>
      <c r="J8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1" s="11" t="s">
        <v>52</v>
      </c>
      <c r="L881" s="11"/>
      <c r="M881" s="11"/>
      <c r="N881" s="11">
        <v>43.423999999999999</v>
      </c>
      <c r="O881" s="11">
        <v>38.039000000000001</v>
      </c>
      <c r="P881" s="11">
        <v>81.462999999999994</v>
      </c>
      <c r="Q881" s="11">
        <v>79.787999999999997</v>
      </c>
      <c r="R881" s="11">
        <v>69.483999999999995</v>
      </c>
      <c r="S881" s="11">
        <v>69.715999999999994</v>
      </c>
      <c r="T881" s="11">
        <v>103.06</v>
      </c>
      <c r="U881" s="11">
        <v>104.976</v>
      </c>
      <c r="V881" s="11">
        <v>66.152000000000001</v>
      </c>
      <c r="W881" s="11">
        <v>67.869</v>
      </c>
      <c r="X881" s="11">
        <v>33.847999999999999</v>
      </c>
      <c r="Y881" s="11">
        <v>32.131</v>
      </c>
      <c r="Z881" s="11">
        <v>17.164000000000001</v>
      </c>
      <c r="AA881" s="11">
        <v>17.635999999999999</v>
      </c>
      <c r="AB881" s="11">
        <v>32.131</v>
      </c>
      <c r="AC881" s="11">
        <v>33.847999999999999</v>
      </c>
      <c r="AD881" s="11">
        <v>8.452</v>
      </c>
      <c r="AE881" s="11">
        <v>15</v>
      </c>
      <c r="AF881" s="11">
        <v>10</v>
      </c>
      <c r="AG881" s="11">
        <v>10</v>
      </c>
      <c r="AH881" s="11">
        <v>10</v>
      </c>
    </row>
    <row r="882" spans="1:34" s="33" customFormat="1" x14ac:dyDescent="0.2">
      <c r="A882" s="11">
        <v>1069</v>
      </c>
      <c r="B882" s="11"/>
      <c r="C882" s="11"/>
      <c r="D882" s="11"/>
      <c r="E882" s="11"/>
      <c r="F882" s="11" t="s">
        <v>51</v>
      </c>
      <c r="G882" s="11" t="s">
        <v>51</v>
      </c>
      <c r="H882" s="56" t="str">
        <f>VLOOKUP(Table6[[#This Row],[ICD Code]],ICD_summary!$I$3:$M$38,5,0)</f>
        <v>Misc/Other</v>
      </c>
      <c r="I882" s="12">
        <v>62.4</v>
      </c>
      <c r="J8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82" s="11" t="s">
        <v>55</v>
      </c>
      <c r="L882" s="11"/>
      <c r="M882" s="11"/>
      <c r="N882" s="11">
        <v>56.734000000000002</v>
      </c>
      <c r="O882" s="11">
        <v>57.762999999999998</v>
      </c>
      <c r="P882" s="11">
        <v>115.08499999999999</v>
      </c>
      <c r="Q882" s="11">
        <v>113.80200000000001</v>
      </c>
      <c r="R882" s="11">
        <v>97.68</v>
      </c>
      <c r="S882" s="11">
        <v>97.391000000000005</v>
      </c>
      <c r="T882" s="11">
        <v>101.21899999999999</v>
      </c>
      <c r="U882" s="11">
        <v>101.812</v>
      </c>
      <c r="V882" s="11">
        <v>66.484999999999999</v>
      </c>
      <c r="W882" s="11">
        <v>64.596000000000004</v>
      </c>
      <c r="X882" s="11">
        <v>33.515000000000001</v>
      </c>
      <c r="Y882" s="11">
        <v>35.404000000000003</v>
      </c>
      <c r="Z882" s="11">
        <v>15.109</v>
      </c>
      <c r="AA882" s="11">
        <v>15.542</v>
      </c>
      <c r="AB882" s="11">
        <v>35.404000000000003</v>
      </c>
      <c r="AC882" s="11">
        <v>33.515000000000001</v>
      </c>
      <c r="AD882" s="11">
        <v>12.986000000000001</v>
      </c>
      <c r="AE882" s="11">
        <v>10</v>
      </c>
      <c r="AF882" s="11">
        <v>10</v>
      </c>
      <c r="AG882" s="11">
        <v>10</v>
      </c>
      <c r="AH882" s="11">
        <v>10</v>
      </c>
    </row>
    <row r="883" spans="1:34" s="33" customFormat="1" x14ac:dyDescent="0.2">
      <c r="A883" s="11">
        <v>1070</v>
      </c>
      <c r="B883" s="11"/>
      <c r="C883" s="11"/>
      <c r="D883" s="11"/>
      <c r="E883" s="11"/>
      <c r="F883" s="11" t="s">
        <v>51</v>
      </c>
      <c r="G883" s="11" t="s">
        <v>51</v>
      </c>
      <c r="H883" s="56" t="str">
        <f>VLOOKUP(Table6[[#This Row],[ICD Code]],ICD_summary!$I$3:$M$38,5,0)</f>
        <v>Misc/Other</v>
      </c>
      <c r="I883" s="12">
        <v>64.2</v>
      </c>
      <c r="J8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83" s="11" t="s">
        <v>52</v>
      </c>
      <c r="L883" s="11"/>
      <c r="M883" s="11"/>
      <c r="N883" s="11">
        <v>37.027999999999999</v>
      </c>
      <c r="O883" s="11">
        <v>36.685000000000002</v>
      </c>
      <c r="P883" s="11">
        <v>74.376999999999995</v>
      </c>
      <c r="Q883" s="11">
        <v>72.775000000000006</v>
      </c>
      <c r="R883" s="11">
        <v>58.884999999999998</v>
      </c>
      <c r="S883" s="11">
        <v>58.35</v>
      </c>
      <c r="T883" s="11">
        <v>95.394000000000005</v>
      </c>
      <c r="U883" s="11">
        <v>95.691000000000003</v>
      </c>
      <c r="V883" s="11">
        <v>62.432000000000002</v>
      </c>
      <c r="W883" s="11">
        <v>68.27</v>
      </c>
      <c r="X883" s="11">
        <v>37.567999999999998</v>
      </c>
      <c r="Y883" s="11">
        <v>31.73</v>
      </c>
      <c r="Z883" s="11">
        <v>15.965999999999999</v>
      </c>
      <c r="AA883" s="11">
        <v>14.667</v>
      </c>
      <c r="AB883" s="11">
        <v>31.73</v>
      </c>
      <c r="AC883" s="11">
        <v>37.567999999999998</v>
      </c>
      <c r="AD883" s="11">
        <v>11.74</v>
      </c>
      <c r="AE883" s="11">
        <v>12</v>
      </c>
      <c r="AF883" s="11">
        <v>13</v>
      </c>
      <c r="AG883" s="11">
        <v>12</v>
      </c>
      <c r="AH883" s="11">
        <v>12</v>
      </c>
    </row>
    <row r="884" spans="1:34" s="33" customFormat="1" x14ac:dyDescent="0.2">
      <c r="A884" s="11">
        <v>1071</v>
      </c>
      <c r="B884" s="11"/>
      <c r="C884" s="11"/>
      <c r="D884" s="11"/>
      <c r="E884" s="11"/>
      <c r="F884" s="11" t="s">
        <v>51</v>
      </c>
      <c r="G884" s="11" t="s">
        <v>51</v>
      </c>
      <c r="H884" s="56" t="str">
        <f>VLOOKUP(Table6[[#This Row],[ICD Code]],ICD_summary!$I$3:$M$38,5,0)</f>
        <v>Misc/Other</v>
      </c>
      <c r="I884" s="12">
        <v>76.2</v>
      </c>
      <c r="J8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4" s="11" t="s">
        <v>52</v>
      </c>
      <c r="L884" s="11"/>
      <c r="M884" s="11"/>
      <c r="N884" s="11">
        <v>33.74</v>
      </c>
      <c r="O884" s="11">
        <v>30.175000000000001</v>
      </c>
      <c r="P884" s="11">
        <v>63.856000000000002</v>
      </c>
      <c r="Q884" s="11">
        <v>63.914000000000001</v>
      </c>
      <c r="R884" s="11">
        <v>44.826999999999998</v>
      </c>
      <c r="S884" s="11">
        <v>44.738</v>
      </c>
      <c r="T884" s="11">
        <v>83.825999999999993</v>
      </c>
      <c r="U884" s="11">
        <v>83.817999999999998</v>
      </c>
      <c r="V884" s="11">
        <v>70.308000000000007</v>
      </c>
      <c r="W884" s="11">
        <v>71.147999999999996</v>
      </c>
      <c r="X884" s="11">
        <v>29.692</v>
      </c>
      <c r="Y884" s="11">
        <v>28.852</v>
      </c>
      <c r="Z884" s="11">
        <v>20.76</v>
      </c>
      <c r="AA884" s="11">
        <v>21.164000000000001</v>
      </c>
      <c r="AB884" s="11">
        <v>28.852</v>
      </c>
      <c r="AC884" s="11">
        <v>29.692</v>
      </c>
      <c r="AD884" s="11">
        <v>14.311999999999999</v>
      </c>
      <c r="AE884" s="11">
        <v>15</v>
      </c>
      <c r="AF884" s="11">
        <v>15</v>
      </c>
      <c r="AG884" s="11">
        <v>15</v>
      </c>
      <c r="AH884" s="11">
        <v>15</v>
      </c>
    </row>
    <row r="885" spans="1:34" s="33" customFormat="1" x14ac:dyDescent="0.2">
      <c r="A885" s="11">
        <v>1072</v>
      </c>
      <c r="B885" s="11"/>
      <c r="C885" s="11"/>
      <c r="D885" s="11"/>
      <c r="E885" s="11"/>
      <c r="F885" s="11" t="s">
        <v>51</v>
      </c>
      <c r="G885" s="11" t="s">
        <v>51</v>
      </c>
      <c r="H885" s="56" t="str">
        <f>VLOOKUP(Table6[[#This Row],[ICD Code]],ICD_summary!$I$3:$M$38,5,0)</f>
        <v>Misc/Other</v>
      </c>
      <c r="I885" s="12">
        <v>80.400000000000006</v>
      </c>
      <c r="J8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85" s="11" t="s">
        <v>52</v>
      </c>
      <c r="L885" s="11"/>
      <c r="M885" s="11"/>
      <c r="N885" s="11">
        <v>49.155999999999999</v>
      </c>
      <c r="O885" s="11">
        <v>49.042000000000002</v>
      </c>
      <c r="P885" s="11">
        <v>96.905000000000001</v>
      </c>
      <c r="Q885" s="11">
        <v>98.697000000000003</v>
      </c>
      <c r="R885" s="11">
        <v>88.664000000000001</v>
      </c>
      <c r="S885" s="11">
        <v>91.207999999999998</v>
      </c>
      <c r="T885" s="11">
        <v>110.45099999999999</v>
      </c>
      <c r="U885" s="11">
        <v>109.93300000000001</v>
      </c>
      <c r="V885" s="11">
        <v>65.680000000000007</v>
      </c>
      <c r="W885" s="11">
        <v>67.180999999999997</v>
      </c>
      <c r="X885" s="11">
        <v>34.32</v>
      </c>
      <c r="Y885" s="11">
        <v>32.819000000000003</v>
      </c>
      <c r="Z885" s="11">
        <v>16.527999999999999</v>
      </c>
      <c r="AA885" s="11">
        <v>16.97</v>
      </c>
      <c r="AB885" s="11">
        <v>32.819000000000003</v>
      </c>
      <c r="AC885" s="11">
        <v>34.32</v>
      </c>
      <c r="AD885" s="11">
        <v>8.74</v>
      </c>
      <c r="AE885" s="11">
        <v>11</v>
      </c>
      <c r="AF885" s="11">
        <v>10</v>
      </c>
      <c r="AG885" s="11">
        <v>10</v>
      </c>
      <c r="AH885" s="11">
        <v>10</v>
      </c>
    </row>
    <row r="886" spans="1:34" s="33" customFormat="1" x14ac:dyDescent="0.2">
      <c r="A886" s="11">
        <v>1073</v>
      </c>
      <c r="B886" s="11"/>
      <c r="C886" s="11"/>
      <c r="D886" s="11"/>
      <c r="E886" s="11"/>
      <c r="F886" s="11" t="s">
        <v>51</v>
      </c>
      <c r="G886" s="11" t="s">
        <v>51</v>
      </c>
      <c r="H886" s="56" t="str">
        <f>VLOOKUP(Table6[[#This Row],[ICD Code]],ICD_summary!$I$3:$M$38,5,0)</f>
        <v>Misc/Other</v>
      </c>
      <c r="I886" s="12">
        <v>70</v>
      </c>
      <c r="J8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6" s="11" t="s">
        <v>52</v>
      </c>
      <c r="L886" s="11"/>
      <c r="M886" s="11"/>
      <c r="N886" s="11" t="s">
        <v>51</v>
      </c>
      <c r="O886" s="11" t="s">
        <v>51</v>
      </c>
      <c r="P886" s="11" t="s">
        <v>51</v>
      </c>
      <c r="Q886" s="11" t="s">
        <v>51</v>
      </c>
      <c r="R886" s="11" t="s">
        <v>51</v>
      </c>
      <c r="S886" s="11" t="s">
        <v>51</v>
      </c>
      <c r="T886" s="11" t="s">
        <v>51</v>
      </c>
      <c r="U886" s="11" t="s">
        <v>51</v>
      </c>
      <c r="V886" s="11" t="s">
        <v>51</v>
      </c>
      <c r="W886" s="11" t="s">
        <v>51</v>
      </c>
      <c r="X886" s="11" t="s">
        <v>51</v>
      </c>
      <c r="Y886" s="11" t="s">
        <v>51</v>
      </c>
      <c r="Z886" s="11" t="s">
        <v>51</v>
      </c>
      <c r="AA886" s="11" t="s">
        <v>51</v>
      </c>
      <c r="AB886" s="11" t="s">
        <v>51</v>
      </c>
      <c r="AC886" s="11" t="s">
        <v>51</v>
      </c>
      <c r="AD886" s="11" t="s">
        <v>51</v>
      </c>
      <c r="AE886" s="11" t="s">
        <v>51</v>
      </c>
      <c r="AF886" s="11" t="s">
        <v>51</v>
      </c>
      <c r="AG886" s="11" t="s">
        <v>51</v>
      </c>
      <c r="AH886" s="11" t="s">
        <v>51</v>
      </c>
    </row>
    <row r="887" spans="1:34" s="33" customFormat="1" x14ac:dyDescent="0.2">
      <c r="A887" s="11">
        <v>1074</v>
      </c>
      <c r="B887" s="11"/>
      <c r="C887" s="11"/>
      <c r="D887" s="11"/>
      <c r="E887" s="11"/>
      <c r="F887" s="11" t="s">
        <v>51</v>
      </c>
      <c r="G887" s="11" t="s">
        <v>51</v>
      </c>
      <c r="H887" s="56" t="str">
        <f>VLOOKUP(Table6[[#This Row],[ICD Code]],ICD_summary!$I$3:$M$38,5,0)</f>
        <v>Misc/Other</v>
      </c>
      <c r="I887" s="12">
        <v>51.4</v>
      </c>
      <c r="J8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87" s="11" t="s">
        <v>52</v>
      </c>
      <c r="L887" s="11"/>
      <c r="M887" s="11"/>
      <c r="N887" s="11">
        <v>51.871000000000002</v>
      </c>
      <c r="O887" s="11">
        <v>54.218000000000004</v>
      </c>
      <c r="P887" s="11">
        <v>106.254</v>
      </c>
      <c r="Q887" s="11">
        <v>105.676</v>
      </c>
      <c r="R887" s="11">
        <v>84.117000000000004</v>
      </c>
      <c r="S887" s="11">
        <v>83.507999999999996</v>
      </c>
      <c r="T887" s="11">
        <v>94.5</v>
      </c>
      <c r="U887" s="11">
        <v>94.453999999999994</v>
      </c>
      <c r="V887" s="11">
        <v>64.465000000000003</v>
      </c>
      <c r="W887" s="11">
        <v>65.388000000000005</v>
      </c>
      <c r="X887" s="11">
        <v>35.534999999999997</v>
      </c>
      <c r="Y887" s="11">
        <v>34.612000000000002</v>
      </c>
      <c r="Z887" s="11">
        <v>15.872</v>
      </c>
      <c r="AA887" s="11">
        <v>14.215999999999999</v>
      </c>
      <c r="AB887" s="11">
        <v>34.612000000000002</v>
      </c>
      <c r="AC887" s="11">
        <v>35.534999999999997</v>
      </c>
      <c r="AD887" s="11">
        <v>16.788</v>
      </c>
      <c r="AE887" s="11">
        <v>10</v>
      </c>
      <c r="AF887" s="11">
        <v>10</v>
      </c>
      <c r="AG887" s="11">
        <v>10</v>
      </c>
      <c r="AH887" s="11">
        <v>10</v>
      </c>
    </row>
    <row r="888" spans="1:34" s="33" customFormat="1" x14ac:dyDescent="0.2">
      <c r="A888" s="11">
        <v>1075</v>
      </c>
      <c r="B888" s="11"/>
      <c r="C888" s="11"/>
      <c r="D888" s="11"/>
      <c r="E888" s="11"/>
      <c r="F888" s="11" t="s">
        <v>51</v>
      </c>
      <c r="G888" s="11" t="s">
        <v>51</v>
      </c>
      <c r="H888" s="56" t="str">
        <f>VLOOKUP(Table6[[#This Row],[ICD Code]],ICD_summary!$I$3:$M$38,5,0)</f>
        <v>Misc/Other</v>
      </c>
      <c r="I888" s="12">
        <v>72.8</v>
      </c>
      <c r="J8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8" s="11" t="s">
        <v>52</v>
      </c>
      <c r="L888" s="11"/>
      <c r="M888" s="11"/>
      <c r="N888" s="11" t="s">
        <v>51</v>
      </c>
      <c r="O888" s="11" t="s">
        <v>51</v>
      </c>
      <c r="P888" s="11" t="s">
        <v>51</v>
      </c>
      <c r="Q888" s="11" t="s">
        <v>51</v>
      </c>
      <c r="R888" s="11" t="s">
        <v>51</v>
      </c>
      <c r="S888" s="11" t="s">
        <v>51</v>
      </c>
      <c r="T888" s="11" t="s">
        <v>51</v>
      </c>
      <c r="U888" s="11" t="s">
        <v>51</v>
      </c>
      <c r="V888" s="11" t="s">
        <v>51</v>
      </c>
      <c r="W888" s="11" t="s">
        <v>51</v>
      </c>
      <c r="X888" s="11" t="s">
        <v>51</v>
      </c>
      <c r="Y888" s="11" t="s">
        <v>51</v>
      </c>
      <c r="Z888" s="11" t="s">
        <v>51</v>
      </c>
      <c r="AA888" s="11" t="s">
        <v>51</v>
      </c>
      <c r="AB888" s="11" t="s">
        <v>51</v>
      </c>
      <c r="AC888" s="11" t="s">
        <v>51</v>
      </c>
      <c r="AD888" s="11" t="s">
        <v>51</v>
      </c>
      <c r="AE888" s="11" t="s">
        <v>51</v>
      </c>
      <c r="AF888" s="11" t="s">
        <v>51</v>
      </c>
      <c r="AG888" s="11" t="s">
        <v>51</v>
      </c>
      <c r="AH888" s="11" t="s">
        <v>51</v>
      </c>
    </row>
    <row r="889" spans="1:34" s="33" customFormat="1" x14ac:dyDescent="0.2">
      <c r="A889" s="11">
        <v>1076</v>
      </c>
      <c r="B889" s="11"/>
      <c r="C889" s="11"/>
      <c r="D889" s="11"/>
      <c r="E889" s="11"/>
      <c r="F889" s="11" t="s">
        <v>51</v>
      </c>
      <c r="G889" s="11" t="s">
        <v>51</v>
      </c>
      <c r="H889" s="56" t="str">
        <f>VLOOKUP(Table6[[#This Row],[ICD Code]],ICD_summary!$I$3:$M$38,5,0)</f>
        <v>Misc/Other</v>
      </c>
      <c r="I889" s="12">
        <v>74.099999999999994</v>
      </c>
      <c r="J8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9" s="11" t="s">
        <v>55</v>
      </c>
      <c r="L889" s="11"/>
      <c r="M889" s="11"/>
      <c r="N889" s="11" t="s">
        <v>51</v>
      </c>
      <c r="O889" s="11" t="s">
        <v>51</v>
      </c>
      <c r="P889" s="11" t="s">
        <v>51</v>
      </c>
      <c r="Q889" s="11" t="s">
        <v>51</v>
      </c>
      <c r="R889" s="11" t="s">
        <v>51</v>
      </c>
      <c r="S889" s="11" t="s">
        <v>51</v>
      </c>
      <c r="T889" s="11" t="s">
        <v>51</v>
      </c>
      <c r="U889" s="11" t="s">
        <v>51</v>
      </c>
      <c r="V889" s="11" t="s">
        <v>51</v>
      </c>
      <c r="W889" s="11" t="s">
        <v>51</v>
      </c>
      <c r="X889" s="11" t="s">
        <v>51</v>
      </c>
      <c r="Y889" s="11" t="s">
        <v>51</v>
      </c>
      <c r="Z889" s="11" t="s">
        <v>51</v>
      </c>
      <c r="AA889" s="11" t="s">
        <v>51</v>
      </c>
      <c r="AB889" s="11" t="s">
        <v>51</v>
      </c>
      <c r="AC889" s="11" t="s">
        <v>51</v>
      </c>
      <c r="AD889" s="11" t="s">
        <v>51</v>
      </c>
      <c r="AE889" s="11" t="s">
        <v>51</v>
      </c>
      <c r="AF889" s="11" t="s">
        <v>51</v>
      </c>
      <c r="AG889" s="11" t="s">
        <v>51</v>
      </c>
      <c r="AH889" s="11" t="s">
        <v>51</v>
      </c>
    </row>
    <row r="890" spans="1:34" s="33" customFormat="1" x14ac:dyDescent="0.2">
      <c r="A890" s="11">
        <v>1077</v>
      </c>
      <c r="B890" s="11"/>
      <c r="C890" s="11"/>
      <c r="D890" s="11"/>
      <c r="E890" s="11"/>
      <c r="F890" s="11" t="s">
        <v>51</v>
      </c>
      <c r="G890" s="11" t="s">
        <v>51</v>
      </c>
      <c r="H890" s="56" t="str">
        <f>VLOOKUP(Table6[[#This Row],[ICD Code]],ICD_summary!$I$3:$M$38,5,0)</f>
        <v>Misc/Other</v>
      </c>
      <c r="I890" s="12">
        <v>24</v>
      </c>
      <c r="J8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890" s="11" t="s">
        <v>55</v>
      </c>
      <c r="L890" s="11"/>
      <c r="M890" s="11"/>
      <c r="N890" s="11">
        <v>46.640999999999998</v>
      </c>
      <c r="O890" s="11">
        <v>46.094999999999999</v>
      </c>
      <c r="P890" s="11">
        <v>92.6</v>
      </c>
      <c r="Q890" s="11">
        <v>93.061999999999998</v>
      </c>
      <c r="R890" s="11">
        <v>70.715999999999994</v>
      </c>
      <c r="S890" s="11">
        <v>71.034000000000006</v>
      </c>
      <c r="T890" s="11">
        <v>91.742999999999995</v>
      </c>
      <c r="U890" s="11">
        <v>91.506</v>
      </c>
      <c r="V890" s="11">
        <v>67.224999999999994</v>
      </c>
      <c r="W890" s="11">
        <v>63.981999999999999</v>
      </c>
      <c r="X890" s="11">
        <v>32.776000000000003</v>
      </c>
      <c r="Y890" s="11">
        <v>36.018000000000001</v>
      </c>
      <c r="Z890" s="11">
        <v>16.923999999999999</v>
      </c>
      <c r="AA890" s="11">
        <v>14.473000000000001</v>
      </c>
      <c r="AB890" s="11">
        <v>36.018000000000001</v>
      </c>
      <c r="AC890" s="11">
        <v>32.776000000000003</v>
      </c>
      <c r="AD890" s="11">
        <v>11.04</v>
      </c>
      <c r="AE890" s="11">
        <v>12</v>
      </c>
      <c r="AF890" s="11">
        <v>15</v>
      </c>
      <c r="AG890" s="11">
        <v>12</v>
      </c>
      <c r="AH890" s="11">
        <v>10</v>
      </c>
    </row>
    <row r="891" spans="1:34" s="33" customFormat="1" x14ac:dyDescent="0.2">
      <c r="A891" s="11">
        <v>1078</v>
      </c>
      <c r="B891" s="11"/>
      <c r="C891" s="11"/>
      <c r="D891" s="11"/>
      <c r="E891" s="11"/>
      <c r="F891" s="11" t="s">
        <v>51</v>
      </c>
      <c r="G891" s="11" t="s">
        <v>51</v>
      </c>
      <c r="H891" s="56" t="str">
        <f>VLOOKUP(Table6[[#This Row],[ICD Code]],ICD_summary!$I$3:$M$38,5,0)</f>
        <v>Misc/Other</v>
      </c>
      <c r="I891" s="12">
        <v>71.7</v>
      </c>
      <c r="J8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1" s="11" t="s">
        <v>55</v>
      </c>
      <c r="L891" s="11"/>
      <c r="M891" s="11"/>
      <c r="N891" s="11">
        <v>39.487000000000002</v>
      </c>
      <c r="O891" s="11">
        <v>40.862000000000002</v>
      </c>
      <c r="P891" s="11">
        <v>80.063999999999993</v>
      </c>
      <c r="Q891" s="11">
        <v>80.361999999999995</v>
      </c>
      <c r="R891" s="11">
        <v>56.441000000000003</v>
      </c>
      <c r="S891" s="11">
        <v>56.332000000000001</v>
      </c>
      <c r="T891" s="11">
        <v>84.501999999999995</v>
      </c>
      <c r="U891" s="11">
        <v>84.072000000000003</v>
      </c>
      <c r="V891" s="11">
        <v>67.287000000000006</v>
      </c>
      <c r="W891" s="11">
        <v>67.188000000000002</v>
      </c>
      <c r="X891" s="11">
        <v>32.713000000000001</v>
      </c>
      <c r="Y891" s="11">
        <v>32.811999999999998</v>
      </c>
      <c r="Z891" s="11">
        <v>17.356999999999999</v>
      </c>
      <c r="AA891" s="11">
        <v>17.393999999999998</v>
      </c>
      <c r="AB891" s="11">
        <v>32.811999999999998</v>
      </c>
      <c r="AC891" s="11">
        <v>32.713000000000001</v>
      </c>
      <c r="AD891" s="11">
        <v>12.144</v>
      </c>
      <c r="AE891" s="11">
        <v>15</v>
      </c>
      <c r="AF891" s="11">
        <v>15</v>
      </c>
      <c r="AG891" s="11">
        <v>13</v>
      </c>
      <c r="AH891" s="11">
        <v>12</v>
      </c>
    </row>
    <row r="892" spans="1:34" s="33" customFormat="1" x14ac:dyDescent="0.2">
      <c r="A892" s="11">
        <v>1079</v>
      </c>
      <c r="B892" s="11"/>
      <c r="C892" s="11"/>
      <c r="D892" s="11"/>
      <c r="E892" s="11"/>
      <c r="F892" s="11" t="s">
        <v>51</v>
      </c>
      <c r="G892" s="11" t="s">
        <v>51</v>
      </c>
      <c r="H892" s="56" t="str">
        <f>VLOOKUP(Table6[[#This Row],[ICD Code]],ICD_summary!$I$3:$M$38,5,0)</f>
        <v>Misc/Other</v>
      </c>
      <c r="I892" s="12">
        <v>75.599999999999994</v>
      </c>
      <c r="J8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2" s="11" t="s">
        <v>52</v>
      </c>
      <c r="L892" s="11"/>
      <c r="M892" s="11"/>
      <c r="N892" s="11">
        <v>43.981999999999999</v>
      </c>
      <c r="O892" s="11">
        <v>48.226999999999997</v>
      </c>
      <c r="P892" s="11">
        <v>92.007000000000005</v>
      </c>
      <c r="Q892" s="11">
        <v>93.331999999999994</v>
      </c>
      <c r="R892" s="11">
        <v>83.188999999999993</v>
      </c>
      <c r="S892" s="11">
        <v>83.578999999999994</v>
      </c>
      <c r="T892" s="11">
        <v>107.61</v>
      </c>
      <c r="U892" s="11">
        <v>106.68899999999999</v>
      </c>
      <c r="V892" s="11">
        <v>63.14</v>
      </c>
      <c r="W892" s="11">
        <v>63.996000000000002</v>
      </c>
      <c r="X892" s="11">
        <v>36.86</v>
      </c>
      <c r="Y892" s="11">
        <v>36.003999999999998</v>
      </c>
      <c r="Z892" s="11">
        <v>13.831</v>
      </c>
      <c r="AA892" s="11">
        <v>13.039</v>
      </c>
      <c r="AB892" s="11">
        <v>36.003999999999998</v>
      </c>
      <c r="AC892" s="11">
        <v>36.86</v>
      </c>
      <c r="AD892" s="11">
        <v>11.752000000000001</v>
      </c>
      <c r="AE892" s="11">
        <v>14</v>
      </c>
      <c r="AF892" s="11">
        <v>12</v>
      </c>
      <c r="AG892" s="11">
        <v>11</v>
      </c>
      <c r="AH892" s="11">
        <v>10</v>
      </c>
    </row>
    <row r="893" spans="1:34" s="33" customFormat="1" x14ac:dyDescent="0.2">
      <c r="A893" s="11">
        <v>1080</v>
      </c>
      <c r="B893" s="11"/>
      <c r="C893" s="11"/>
      <c r="D893" s="11"/>
      <c r="E893" s="11"/>
      <c r="F893" s="11" t="s">
        <v>51</v>
      </c>
      <c r="G893" s="11" t="s">
        <v>51</v>
      </c>
      <c r="H893" s="56" t="str">
        <f>VLOOKUP(Table6[[#This Row],[ICD Code]],ICD_summary!$I$3:$M$38,5,0)</f>
        <v>Misc/Other</v>
      </c>
      <c r="I893" s="12">
        <v>79</v>
      </c>
      <c r="J8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3" s="11" t="s">
        <v>52</v>
      </c>
      <c r="L893" s="11"/>
      <c r="M893" s="11"/>
      <c r="N893" s="11">
        <v>12.15</v>
      </c>
      <c r="O893" s="11">
        <v>24.202999999999999</v>
      </c>
      <c r="P893" s="11">
        <v>36.517000000000003</v>
      </c>
      <c r="Q893" s="11">
        <v>34.338999999999999</v>
      </c>
      <c r="R893" s="11">
        <v>30.231999999999999</v>
      </c>
      <c r="S893" s="11">
        <v>29.690999999999999</v>
      </c>
      <c r="T893" s="11">
        <v>98.414000000000001</v>
      </c>
      <c r="U893" s="11">
        <v>101.226</v>
      </c>
      <c r="V893" s="11">
        <v>70.977999999999994</v>
      </c>
      <c r="W893" s="11">
        <v>71.661000000000001</v>
      </c>
      <c r="X893" s="11">
        <v>29.021999999999998</v>
      </c>
      <c r="Y893" s="11">
        <v>28.338999999999999</v>
      </c>
      <c r="Z893" s="11">
        <v>20.276</v>
      </c>
      <c r="AA893" s="11">
        <v>22.265999999999998</v>
      </c>
      <c r="AB893" s="11">
        <v>28.338999999999999</v>
      </c>
      <c r="AC893" s="11">
        <v>29.021999999999998</v>
      </c>
      <c r="AD893" s="11">
        <v>11.342000000000001</v>
      </c>
      <c r="AE893" s="11">
        <v>24</v>
      </c>
      <c r="AF893" s="11">
        <v>24</v>
      </c>
      <c r="AG893" s="11">
        <v>22</v>
      </c>
      <c r="AH893" s="11">
        <v>21</v>
      </c>
    </row>
    <row r="894" spans="1:34" s="33" customFormat="1" x14ac:dyDescent="0.2">
      <c r="A894" s="11">
        <v>1081</v>
      </c>
      <c r="B894" s="11"/>
      <c r="C894" s="11"/>
      <c r="D894" s="11"/>
      <c r="E894" s="11"/>
      <c r="F894" s="11" t="s">
        <v>51</v>
      </c>
      <c r="G894" s="11" t="s">
        <v>51</v>
      </c>
      <c r="H894" s="56" t="str">
        <f>VLOOKUP(Table6[[#This Row],[ICD Code]],ICD_summary!$I$3:$M$38,5,0)</f>
        <v>Misc/Other</v>
      </c>
      <c r="I894" s="12">
        <v>54.8</v>
      </c>
      <c r="J8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94" s="11" t="s">
        <v>55</v>
      </c>
      <c r="L894" s="11"/>
      <c r="M894" s="11"/>
      <c r="N894" s="11">
        <v>12.135</v>
      </c>
      <c r="O894" s="11">
        <v>24.242000000000001</v>
      </c>
      <c r="P894" s="11">
        <v>36.487000000000002</v>
      </c>
      <c r="Q894" s="11">
        <v>35.921999999999997</v>
      </c>
      <c r="R894" s="11">
        <v>30.109000000000002</v>
      </c>
      <c r="S894" s="11">
        <v>29.771999999999998</v>
      </c>
      <c r="T894" s="11">
        <v>98.4</v>
      </c>
      <c r="U894" s="11">
        <v>99.15</v>
      </c>
      <c r="V894" s="11">
        <v>70.718999999999994</v>
      </c>
      <c r="W894" s="11">
        <v>71.747</v>
      </c>
      <c r="X894" s="11">
        <v>29.280999999999999</v>
      </c>
      <c r="Y894" s="11">
        <v>28.253</v>
      </c>
      <c r="Z894" s="11">
        <v>19.852</v>
      </c>
      <c r="AA894" s="11">
        <v>21.686</v>
      </c>
      <c r="AB894" s="11">
        <v>28.253</v>
      </c>
      <c r="AC894" s="11">
        <v>29.280999999999999</v>
      </c>
      <c r="AD894" s="11">
        <v>10.978</v>
      </c>
      <c r="AE894" s="11">
        <v>25</v>
      </c>
      <c r="AF894" s="11">
        <v>24</v>
      </c>
      <c r="AG894" s="11">
        <v>22</v>
      </c>
      <c r="AH894" s="11">
        <v>22</v>
      </c>
    </row>
    <row r="895" spans="1:34" s="33" customFormat="1" x14ac:dyDescent="0.2">
      <c r="A895" s="11">
        <v>1082</v>
      </c>
      <c r="B895" s="11"/>
      <c r="C895" s="11"/>
      <c r="D895" s="11"/>
      <c r="E895" s="11"/>
      <c r="F895" s="11" t="s">
        <v>51</v>
      </c>
      <c r="G895" s="11" t="s">
        <v>51</v>
      </c>
      <c r="H895" s="56" t="str">
        <f>VLOOKUP(Table6[[#This Row],[ICD Code]],ICD_summary!$I$3:$M$38,5,0)</f>
        <v>Misc/Other</v>
      </c>
      <c r="I895" s="12">
        <v>76.900000000000006</v>
      </c>
      <c r="J8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5" s="11" t="s">
        <v>55</v>
      </c>
      <c r="L895" s="11"/>
      <c r="M895" s="11"/>
      <c r="N895" s="11">
        <v>27.337</v>
      </c>
      <c r="O895" s="11">
        <v>28.696000000000002</v>
      </c>
      <c r="P895" s="11">
        <v>55.761000000000003</v>
      </c>
      <c r="Q895" s="11">
        <v>56.587000000000003</v>
      </c>
      <c r="R895" s="11">
        <v>30.164999999999999</v>
      </c>
      <c r="S895" s="11">
        <v>30.16</v>
      </c>
      <c r="T895" s="11">
        <v>64.545000000000002</v>
      </c>
      <c r="U895" s="11">
        <v>63.912999999999997</v>
      </c>
      <c r="V895" s="11">
        <v>75.747</v>
      </c>
      <c r="W895" s="11">
        <v>76.334000000000003</v>
      </c>
      <c r="X895" s="11">
        <v>24.253</v>
      </c>
      <c r="Y895" s="11">
        <v>23.666</v>
      </c>
      <c r="Z895" s="11">
        <v>24.555</v>
      </c>
      <c r="AA895" s="11">
        <v>28.079000000000001</v>
      </c>
      <c r="AB895" s="11">
        <v>23.666</v>
      </c>
      <c r="AC895" s="11">
        <v>24.253</v>
      </c>
      <c r="AD895" s="11">
        <v>20.216000000000001</v>
      </c>
      <c r="AE895" s="11">
        <v>16</v>
      </c>
      <c r="AF895" s="11">
        <v>16</v>
      </c>
      <c r="AG895" s="11">
        <v>14</v>
      </c>
      <c r="AH895" s="11">
        <v>13</v>
      </c>
    </row>
    <row r="896" spans="1:34" s="33" customFormat="1" x14ac:dyDescent="0.2">
      <c r="A896" s="11">
        <v>1083</v>
      </c>
      <c r="B896" s="11"/>
      <c r="C896" s="11"/>
      <c r="D896" s="11"/>
      <c r="E896" s="11"/>
      <c r="F896" s="11" t="s">
        <v>51</v>
      </c>
      <c r="G896" s="11" t="s">
        <v>51</v>
      </c>
      <c r="H896" s="56" t="str">
        <f>VLOOKUP(Table6[[#This Row],[ICD Code]],ICD_summary!$I$3:$M$38,5,0)</f>
        <v>Misc/Other</v>
      </c>
      <c r="I896" s="12">
        <v>62</v>
      </c>
      <c r="J8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96" s="11" t="s">
        <v>52</v>
      </c>
      <c r="L896" s="11"/>
      <c r="M896" s="11"/>
      <c r="N896" s="11">
        <v>52.8</v>
      </c>
      <c r="O896" s="11">
        <v>59.101999999999997</v>
      </c>
      <c r="P896" s="11">
        <v>110.96599999999999</v>
      </c>
      <c r="Q896" s="11">
        <v>112.68899999999999</v>
      </c>
      <c r="R896" s="11">
        <v>80.558999999999997</v>
      </c>
      <c r="S896" s="11">
        <v>81.727000000000004</v>
      </c>
      <c r="T896" s="11">
        <v>87.67</v>
      </c>
      <c r="U896" s="11">
        <v>87.168000000000006</v>
      </c>
      <c r="V896" s="11">
        <v>64.47</v>
      </c>
      <c r="W896" s="11">
        <v>64.98</v>
      </c>
      <c r="X896" s="11">
        <v>35.53</v>
      </c>
      <c r="Y896" s="11">
        <v>35.020000000000003</v>
      </c>
      <c r="Z896" s="11">
        <v>13.041</v>
      </c>
      <c r="AA896" s="11">
        <v>16.504000000000001</v>
      </c>
      <c r="AB896" s="11">
        <v>35.020000000000003</v>
      </c>
      <c r="AC896" s="11">
        <v>35.53</v>
      </c>
      <c r="AD896" s="11">
        <v>24.173999999999999</v>
      </c>
      <c r="AE896" s="11">
        <v>12</v>
      </c>
      <c r="AF896" s="11">
        <v>12</v>
      </c>
      <c r="AG896" s="11">
        <v>9</v>
      </c>
      <c r="AH896" s="11">
        <v>10</v>
      </c>
    </row>
    <row r="897" spans="1:34" s="33" customFormat="1" x14ac:dyDescent="0.2">
      <c r="A897" s="11">
        <v>1084</v>
      </c>
      <c r="B897" s="11"/>
      <c r="C897" s="11"/>
      <c r="D897" s="11"/>
      <c r="E897" s="11"/>
      <c r="F897" s="11" t="s">
        <v>51</v>
      </c>
      <c r="G897" s="11" t="s">
        <v>51</v>
      </c>
      <c r="H897" s="56" t="str">
        <f>VLOOKUP(Table6[[#This Row],[ICD Code]],ICD_summary!$I$3:$M$38,5,0)</f>
        <v>Misc/Other</v>
      </c>
      <c r="I897" s="12">
        <v>73.8</v>
      </c>
      <c r="J8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7" s="11" t="s">
        <v>52</v>
      </c>
      <c r="L897" s="11"/>
      <c r="M897" s="11"/>
      <c r="N897" s="11">
        <v>64.325000000000003</v>
      </c>
      <c r="O897" s="11">
        <v>63.014000000000003</v>
      </c>
      <c r="P897" s="11">
        <v>127.321</v>
      </c>
      <c r="Q897" s="11">
        <v>127.514</v>
      </c>
      <c r="R897" s="11">
        <v>109.824</v>
      </c>
      <c r="S897" s="11">
        <v>111.821</v>
      </c>
      <c r="T897" s="11">
        <v>103.352</v>
      </c>
      <c r="U897" s="11">
        <v>104.944</v>
      </c>
      <c r="V897" s="11">
        <v>63.204999999999998</v>
      </c>
      <c r="W897" s="11">
        <v>61.121000000000002</v>
      </c>
      <c r="X897" s="11">
        <v>36.795000000000002</v>
      </c>
      <c r="Y897" s="11">
        <v>38.878999999999998</v>
      </c>
      <c r="Z897" s="11">
        <v>13.955</v>
      </c>
      <c r="AA897" s="11">
        <v>11.475</v>
      </c>
      <c r="AB897" s="11">
        <v>38.878999999999998</v>
      </c>
      <c r="AC897" s="11">
        <v>36.795000000000002</v>
      </c>
      <c r="AD897" s="11">
        <v>10.89</v>
      </c>
      <c r="AE897" s="11">
        <v>10</v>
      </c>
      <c r="AF897" s="11">
        <v>14</v>
      </c>
      <c r="AG897" s="11">
        <v>9</v>
      </c>
      <c r="AH897" s="11">
        <v>10</v>
      </c>
    </row>
    <row r="898" spans="1:34" s="33" customFormat="1" x14ac:dyDescent="0.2">
      <c r="A898" s="11">
        <v>1085</v>
      </c>
      <c r="B898" s="11"/>
      <c r="C898" s="11"/>
      <c r="D898" s="11"/>
      <c r="E898" s="11"/>
      <c r="F898" s="11" t="s">
        <v>51</v>
      </c>
      <c r="G898" s="11" t="s">
        <v>51</v>
      </c>
      <c r="H898" s="56" t="str">
        <f>VLOOKUP(Table6[[#This Row],[ICD Code]],ICD_summary!$I$3:$M$38,5,0)</f>
        <v>Misc/Other</v>
      </c>
      <c r="I898" s="12">
        <v>64.3</v>
      </c>
      <c r="J8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98" s="11" t="s">
        <v>55</v>
      </c>
      <c r="L898" s="11"/>
      <c r="M898" s="11"/>
      <c r="N898" s="11">
        <v>58.131</v>
      </c>
      <c r="O898" s="11">
        <v>58.238</v>
      </c>
      <c r="P898" s="11">
        <v>116.345</v>
      </c>
      <c r="Q898" s="11">
        <v>116.33799999999999</v>
      </c>
      <c r="R898" s="11">
        <v>92.575000000000003</v>
      </c>
      <c r="S898" s="11">
        <v>92.795000000000002</v>
      </c>
      <c r="T898" s="11">
        <v>94.715000000000003</v>
      </c>
      <c r="U898" s="11">
        <v>95.093000000000004</v>
      </c>
      <c r="V898" s="11">
        <v>64.046000000000006</v>
      </c>
      <c r="W898" s="11">
        <v>63.356999999999999</v>
      </c>
      <c r="X898" s="11">
        <v>35.954000000000001</v>
      </c>
      <c r="Y898" s="11">
        <v>36.643000000000001</v>
      </c>
      <c r="Z898" s="11">
        <v>14.303000000000001</v>
      </c>
      <c r="AA898" s="11">
        <v>14.099</v>
      </c>
      <c r="AB898" s="11">
        <v>36.643000000000001</v>
      </c>
      <c r="AC898" s="11">
        <v>35.954000000000001</v>
      </c>
      <c r="AD898" s="11">
        <v>11.97</v>
      </c>
      <c r="AE898" s="11">
        <v>11</v>
      </c>
      <c r="AF898" s="11">
        <v>13</v>
      </c>
      <c r="AG898" s="11">
        <v>9</v>
      </c>
      <c r="AH898" s="11">
        <v>10</v>
      </c>
    </row>
    <row r="899" spans="1:34" s="33" customFormat="1" x14ac:dyDescent="0.2">
      <c r="A899" s="11">
        <v>1086</v>
      </c>
      <c r="B899" s="11"/>
      <c r="C899" s="11"/>
      <c r="D899" s="11"/>
      <c r="E899" s="11"/>
      <c r="F899" s="11" t="s">
        <v>51</v>
      </c>
      <c r="G899" s="11" t="s">
        <v>51</v>
      </c>
      <c r="H899" s="56" t="str">
        <f>VLOOKUP(Table6[[#This Row],[ICD Code]],ICD_summary!$I$3:$M$38,5,0)</f>
        <v>Misc/Other</v>
      </c>
      <c r="I899" s="12">
        <v>47.9</v>
      </c>
      <c r="J8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899" s="11" t="s">
        <v>55</v>
      </c>
      <c r="L899" s="11"/>
      <c r="M899" s="11"/>
      <c r="N899" s="11">
        <v>51.548999999999999</v>
      </c>
      <c r="O899" s="11">
        <v>49.517000000000003</v>
      </c>
      <c r="P899" s="11">
        <v>101.044</v>
      </c>
      <c r="Q899" s="11">
        <v>101.253</v>
      </c>
      <c r="R899" s="11">
        <v>103.258</v>
      </c>
      <c r="S899" s="11">
        <v>103.044</v>
      </c>
      <c r="T899" s="11">
        <v>122.27200000000001</v>
      </c>
      <c r="U899" s="11">
        <v>121.256</v>
      </c>
      <c r="V899" s="11">
        <v>62.036999999999999</v>
      </c>
      <c r="W899" s="11">
        <v>63.481999999999999</v>
      </c>
      <c r="X899" s="11">
        <v>37.963000000000001</v>
      </c>
      <c r="Y899" s="11">
        <v>36.518000000000001</v>
      </c>
      <c r="Z899" s="11">
        <v>12.14</v>
      </c>
      <c r="AA899" s="11">
        <v>13.021000000000001</v>
      </c>
      <c r="AB899" s="11">
        <v>36.518000000000001</v>
      </c>
      <c r="AC899" s="11">
        <v>37.963000000000001</v>
      </c>
      <c r="AD899" s="11">
        <v>8.08</v>
      </c>
      <c r="AE899" s="11">
        <v>12</v>
      </c>
      <c r="AF899" s="11">
        <v>13</v>
      </c>
      <c r="AG899" s="11">
        <v>10</v>
      </c>
      <c r="AH899" s="11">
        <v>10</v>
      </c>
    </row>
    <row r="900" spans="1:34" s="33" customFormat="1" x14ac:dyDescent="0.2">
      <c r="A900" s="11">
        <v>1087</v>
      </c>
      <c r="B900" s="11"/>
      <c r="C900" s="11"/>
      <c r="D900" s="11"/>
      <c r="E900" s="11"/>
      <c r="F900" s="11" t="s">
        <v>51</v>
      </c>
      <c r="G900" s="11" t="s">
        <v>51</v>
      </c>
      <c r="H900" s="56" t="str">
        <f>VLOOKUP(Table6[[#This Row],[ICD Code]],ICD_summary!$I$3:$M$38,5,0)</f>
        <v>Misc/Other</v>
      </c>
      <c r="I900" s="12">
        <v>61.1</v>
      </c>
      <c r="J9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00" s="11" t="s">
        <v>52</v>
      </c>
      <c r="L900" s="11"/>
      <c r="M900" s="11"/>
      <c r="N900" s="11">
        <v>61.728000000000002</v>
      </c>
      <c r="O900" s="11">
        <v>63.850999999999999</v>
      </c>
      <c r="P900" s="11">
        <v>126.33499999999999</v>
      </c>
      <c r="Q900" s="11">
        <v>125.212</v>
      </c>
      <c r="R900" s="11">
        <v>109.68600000000001</v>
      </c>
      <c r="S900" s="11">
        <v>110.05500000000001</v>
      </c>
      <c r="T900" s="11">
        <v>104.051</v>
      </c>
      <c r="U900" s="11">
        <v>104.999</v>
      </c>
      <c r="V900" s="11">
        <v>63.676000000000002</v>
      </c>
      <c r="W900" s="11">
        <v>63.241</v>
      </c>
      <c r="X900" s="11">
        <v>36.323999999999998</v>
      </c>
      <c r="Y900" s="11">
        <v>36.759</v>
      </c>
      <c r="Z900" s="11">
        <v>14.04</v>
      </c>
      <c r="AA900" s="11">
        <v>13.116</v>
      </c>
      <c r="AB900" s="11">
        <v>36.759</v>
      </c>
      <c r="AC900" s="11">
        <v>36.323999999999998</v>
      </c>
      <c r="AD900" s="11">
        <v>11.018000000000001</v>
      </c>
      <c r="AE900" s="11">
        <v>10</v>
      </c>
      <c r="AF900" s="11">
        <v>11</v>
      </c>
      <c r="AG900" s="11">
        <v>7</v>
      </c>
      <c r="AH900" s="11">
        <v>9</v>
      </c>
    </row>
    <row r="901" spans="1:34" s="33" customFormat="1" x14ac:dyDescent="0.2">
      <c r="A901" s="11">
        <v>1088</v>
      </c>
      <c r="B901" s="11"/>
      <c r="C901" s="11"/>
      <c r="D901" s="11"/>
      <c r="E901" s="11"/>
      <c r="F901" s="11" t="s">
        <v>51</v>
      </c>
      <c r="G901" s="11" t="s">
        <v>51</v>
      </c>
      <c r="H901" s="56" t="str">
        <f>VLOOKUP(Table6[[#This Row],[ICD Code]],ICD_summary!$I$3:$M$38,5,0)</f>
        <v>Misc/Other</v>
      </c>
      <c r="I901" s="12">
        <v>79.400000000000006</v>
      </c>
      <c r="J9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1" s="11" t="s">
        <v>55</v>
      </c>
      <c r="L901" s="11"/>
      <c r="M901" s="11"/>
      <c r="N901" s="11">
        <v>39.271999999999998</v>
      </c>
      <c r="O901" s="11">
        <v>34.674999999999997</v>
      </c>
      <c r="P901" s="11">
        <v>74.156999999999996</v>
      </c>
      <c r="Q901" s="11">
        <v>74.251999999999995</v>
      </c>
      <c r="R901" s="11">
        <v>48.075000000000003</v>
      </c>
      <c r="S901" s="11">
        <v>47.987000000000002</v>
      </c>
      <c r="T901" s="11">
        <v>78.328999999999994</v>
      </c>
      <c r="U901" s="11">
        <v>77.63</v>
      </c>
      <c r="V901" s="11">
        <v>66.522999999999996</v>
      </c>
      <c r="W901" s="11">
        <v>70.510000000000005</v>
      </c>
      <c r="X901" s="11">
        <v>33.476999999999997</v>
      </c>
      <c r="Y901" s="11">
        <v>29.49</v>
      </c>
      <c r="Z901" s="11">
        <v>18.097000000000001</v>
      </c>
      <c r="AA901" s="11">
        <v>19.402000000000001</v>
      </c>
      <c r="AB901" s="11">
        <v>29.49</v>
      </c>
      <c r="AC901" s="11">
        <v>33.476999999999997</v>
      </c>
      <c r="AD901" s="11">
        <v>11.922000000000001</v>
      </c>
      <c r="AE901" s="11">
        <v>18</v>
      </c>
      <c r="AF901" s="11">
        <v>17</v>
      </c>
      <c r="AG901" s="11">
        <v>16</v>
      </c>
      <c r="AH901" s="11">
        <v>14</v>
      </c>
    </row>
    <row r="902" spans="1:34" s="33" customFormat="1" x14ac:dyDescent="0.2">
      <c r="A902" s="11">
        <v>1089</v>
      </c>
      <c r="B902" s="11"/>
      <c r="C902" s="11"/>
      <c r="D902" s="11"/>
      <c r="E902" s="11"/>
      <c r="F902" s="11" t="s">
        <v>51</v>
      </c>
      <c r="G902" s="11" t="s">
        <v>51</v>
      </c>
      <c r="H902" s="56" t="str">
        <f>VLOOKUP(Table6[[#This Row],[ICD Code]],ICD_summary!$I$3:$M$38,5,0)</f>
        <v>Misc/Other</v>
      </c>
      <c r="I902" s="12">
        <v>76.5</v>
      </c>
      <c r="J9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2" s="11" t="s">
        <v>55</v>
      </c>
      <c r="L902" s="11"/>
      <c r="M902" s="11"/>
      <c r="N902" s="11" t="s">
        <v>51</v>
      </c>
      <c r="O902" s="11" t="s">
        <v>51</v>
      </c>
      <c r="P902" s="11" t="s">
        <v>51</v>
      </c>
      <c r="Q902" s="11" t="s">
        <v>51</v>
      </c>
      <c r="R902" s="11" t="s">
        <v>51</v>
      </c>
      <c r="S902" s="11" t="s">
        <v>51</v>
      </c>
      <c r="T902" s="11" t="s">
        <v>51</v>
      </c>
      <c r="U902" s="11" t="s">
        <v>51</v>
      </c>
      <c r="V902" s="11" t="s">
        <v>51</v>
      </c>
      <c r="W902" s="11" t="s">
        <v>51</v>
      </c>
      <c r="X902" s="11" t="s">
        <v>51</v>
      </c>
      <c r="Y902" s="11" t="s">
        <v>51</v>
      </c>
      <c r="Z902" s="11" t="s">
        <v>51</v>
      </c>
      <c r="AA902" s="11" t="s">
        <v>51</v>
      </c>
      <c r="AB902" s="11" t="s">
        <v>51</v>
      </c>
      <c r="AC902" s="11" t="s">
        <v>51</v>
      </c>
      <c r="AD902" s="11" t="s">
        <v>51</v>
      </c>
      <c r="AE902" s="11" t="s">
        <v>51</v>
      </c>
      <c r="AF902" s="11" t="s">
        <v>51</v>
      </c>
      <c r="AG902" s="11" t="s">
        <v>51</v>
      </c>
      <c r="AH902" s="11" t="s">
        <v>51</v>
      </c>
    </row>
    <row r="903" spans="1:34" s="33" customFormat="1" x14ac:dyDescent="0.2">
      <c r="A903" s="11">
        <v>1090</v>
      </c>
      <c r="B903" s="11"/>
      <c r="C903" s="11"/>
      <c r="D903" s="11"/>
      <c r="E903" s="11"/>
      <c r="F903" s="11" t="s">
        <v>51</v>
      </c>
      <c r="G903" s="11" t="s">
        <v>51</v>
      </c>
      <c r="H903" s="56" t="str">
        <f>VLOOKUP(Table6[[#This Row],[ICD Code]],ICD_summary!$I$3:$M$38,5,0)</f>
        <v>Misc/Other</v>
      </c>
      <c r="I903" s="12">
        <v>77.8</v>
      </c>
      <c r="J9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3" s="11" t="s">
        <v>55</v>
      </c>
      <c r="L903" s="11"/>
      <c r="M903" s="11"/>
      <c r="N903" s="11" t="s">
        <v>51</v>
      </c>
      <c r="O903" s="11" t="s">
        <v>51</v>
      </c>
      <c r="P903" s="11" t="s">
        <v>51</v>
      </c>
      <c r="Q903" s="11" t="s">
        <v>51</v>
      </c>
      <c r="R903" s="11" t="s">
        <v>51</v>
      </c>
      <c r="S903" s="11" t="s">
        <v>51</v>
      </c>
      <c r="T903" s="11" t="s">
        <v>51</v>
      </c>
      <c r="U903" s="11" t="s">
        <v>51</v>
      </c>
      <c r="V903" s="11" t="s">
        <v>51</v>
      </c>
      <c r="W903" s="11" t="s">
        <v>51</v>
      </c>
      <c r="X903" s="11" t="s">
        <v>51</v>
      </c>
      <c r="Y903" s="11" t="s">
        <v>51</v>
      </c>
      <c r="Z903" s="11" t="s">
        <v>51</v>
      </c>
      <c r="AA903" s="11" t="s">
        <v>51</v>
      </c>
      <c r="AB903" s="11" t="s">
        <v>51</v>
      </c>
      <c r="AC903" s="11" t="s">
        <v>51</v>
      </c>
      <c r="AD903" s="11" t="s">
        <v>51</v>
      </c>
      <c r="AE903" s="11" t="s">
        <v>51</v>
      </c>
      <c r="AF903" s="11" t="s">
        <v>51</v>
      </c>
      <c r="AG903" s="11" t="s">
        <v>51</v>
      </c>
      <c r="AH903" s="11" t="s">
        <v>51</v>
      </c>
    </row>
    <row r="904" spans="1:34" s="33" customFormat="1" x14ac:dyDescent="0.2">
      <c r="A904" s="11">
        <v>1091</v>
      </c>
      <c r="B904" s="11"/>
      <c r="C904" s="11"/>
      <c r="D904" s="11"/>
      <c r="E904" s="11"/>
      <c r="F904" s="11" t="s">
        <v>51</v>
      </c>
      <c r="G904" s="11" t="s">
        <v>51</v>
      </c>
      <c r="H904" s="56" t="str">
        <f>VLOOKUP(Table6[[#This Row],[ICD Code]],ICD_summary!$I$3:$M$38,5,0)</f>
        <v>Misc/Other</v>
      </c>
      <c r="I904" s="12">
        <v>54.4</v>
      </c>
      <c r="J9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04" s="11" t="s">
        <v>52</v>
      </c>
      <c r="L904" s="11"/>
      <c r="M904" s="11"/>
      <c r="N904" s="11">
        <v>43.48</v>
      </c>
      <c r="O904" s="11">
        <v>42.335000000000001</v>
      </c>
      <c r="P904" s="11">
        <v>85.988</v>
      </c>
      <c r="Q904" s="11">
        <v>85.843000000000004</v>
      </c>
      <c r="R904" s="11">
        <v>65.346000000000004</v>
      </c>
      <c r="S904" s="11">
        <v>65.236999999999995</v>
      </c>
      <c r="T904" s="11">
        <v>90.801000000000002</v>
      </c>
      <c r="U904" s="11">
        <v>90.731999999999999</v>
      </c>
      <c r="V904" s="11">
        <v>65.888000000000005</v>
      </c>
      <c r="W904" s="11">
        <v>66.433999999999997</v>
      </c>
      <c r="X904" s="11">
        <v>34.112000000000002</v>
      </c>
      <c r="Y904" s="11">
        <v>33.566000000000003</v>
      </c>
      <c r="Z904" s="11">
        <v>17.016999999999999</v>
      </c>
      <c r="AA904" s="11">
        <v>15.757</v>
      </c>
      <c r="AB904" s="11">
        <v>33.566000000000003</v>
      </c>
      <c r="AC904" s="11">
        <v>34.112000000000002</v>
      </c>
      <c r="AD904" s="11">
        <v>19.396000000000001</v>
      </c>
      <c r="AE904" s="11">
        <v>14</v>
      </c>
      <c r="AF904" s="11">
        <v>14</v>
      </c>
      <c r="AG904" s="11">
        <v>13</v>
      </c>
      <c r="AH904" s="11">
        <v>10</v>
      </c>
    </row>
    <row r="905" spans="1:34" s="33" customFormat="1" x14ac:dyDescent="0.2">
      <c r="A905" s="11">
        <v>1092</v>
      </c>
      <c r="B905" s="11"/>
      <c r="C905" s="11"/>
      <c r="D905" s="11"/>
      <c r="E905" s="11"/>
      <c r="F905" s="11" t="s">
        <v>51</v>
      </c>
      <c r="G905" s="11" t="s">
        <v>51</v>
      </c>
      <c r="H905" s="56" t="str">
        <f>VLOOKUP(Table6[[#This Row],[ICD Code]],ICD_summary!$I$3:$M$38,5,0)</f>
        <v>Misc/Other</v>
      </c>
      <c r="I905" s="12">
        <v>74.400000000000006</v>
      </c>
      <c r="J9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5" s="11" t="s">
        <v>52</v>
      </c>
      <c r="L905" s="11"/>
      <c r="M905" s="11"/>
      <c r="N905" s="11" t="s">
        <v>51</v>
      </c>
      <c r="O905" s="11" t="s">
        <v>51</v>
      </c>
      <c r="P905" s="11" t="s">
        <v>51</v>
      </c>
      <c r="Q905" s="11" t="s">
        <v>51</v>
      </c>
      <c r="R905" s="11" t="s">
        <v>51</v>
      </c>
      <c r="S905" s="11" t="s">
        <v>51</v>
      </c>
      <c r="T905" s="11" t="s">
        <v>51</v>
      </c>
      <c r="U905" s="11" t="s">
        <v>51</v>
      </c>
      <c r="V905" s="11" t="s">
        <v>51</v>
      </c>
      <c r="W905" s="11" t="s">
        <v>51</v>
      </c>
      <c r="X905" s="11" t="s">
        <v>51</v>
      </c>
      <c r="Y905" s="11" t="s">
        <v>51</v>
      </c>
      <c r="Z905" s="11" t="s">
        <v>51</v>
      </c>
      <c r="AA905" s="11" t="s">
        <v>51</v>
      </c>
      <c r="AB905" s="11" t="s">
        <v>51</v>
      </c>
      <c r="AC905" s="11" t="s">
        <v>51</v>
      </c>
      <c r="AD905" s="11" t="s">
        <v>51</v>
      </c>
      <c r="AE905" s="11" t="s">
        <v>51</v>
      </c>
      <c r="AF905" s="11" t="s">
        <v>51</v>
      </c>
      <c r="AG905" s="11" t="s">
        <v>51</v>
      </c>
      <c r="AH905" s="11" t="s">
        <v>51</v>
      </c>
    </row>
    <row r="906" spans="1:34" s="33" customFormat="1" x14ac:dyDescent="0.2">
      <c r="A906" s="11">
        <v>1093</v>
      </c>
      <c r="B906" s="11"/>
      <c r="C906" s="11"/>
      <c r="D906" s="11"/>
      <c r="E906" s="11"/>
      <c r="F906" s="11" t="s">
        <v>51</v>
      </c>
      <c r="G906" s="11" t="s">
        <v>51</v>
      </c>
      <c r="H906" s="56" t="str">
        <f>VLOOKUP(Table6[[#This Row],[ICD Code]],ICD_summary!$I$3:$M$38,5,0)</f>
        <v>Misc/Other</v>
      </c>
      <c r="I906" s="12">
        <v>58.9</v>
      </c>
      <c r="J9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06" s="11" t="s">
        <v>52</v>
      </c>
      <c r="L906" s="11"/>
      <c r="M906" s="11"/>
      <c r="N906" s="11">
        <v>53.762</v>
      </c>
      <c r="O906" s="11">
        <v>55.305999999999997</v>
      </c>
      <c r="P906" s="11">
        <v>110.51</v>
      </c>
      <c r="Q906" s="11">
        <v>107.93600000000001</v>
      </c>
      <c r="R906" s="11">
        <v>73.747</v>
      </c>
      <c r="S906" s="11">
        <v>72.364999999999995</v>
      </c>
      <c r="T906" s="11">
        <v>79.938999999999993</v>
      </c>
      <c r="U906" s="11">
        <v>79.834000000000003</v>
      </c>
      <c r="V906" s="11">
        <v>65.942999999999998</v>
      </c>
      <c r="W906" s="11">
        <v>65.33</v>
      </c>
      <c r="X906" s="11">
        <v>34.057000000000002</v>
      </c>
      <c r="Y906" s="11">
        <v>34.67</v>
      </c>
      <c r="Z906" s="11">
        <v>15.177</v>
      </c>
      <c r="AA906" s="11">
        <v>16.341000000000001</v>
      </c>
      <c r="AB906" s="11">
        <v>34.67</v>
      </c>
      <c r="AC906" s="11">
        <v>34.057000000000002</v>
      </c>
      <c r="AD906" s="11">
        <v>11.36</v>
      </c>
      <c r="AE906" s="11">
        <v>11</v>
      </c>
      <c r="AF906" s="11">
        <v>11</v>
      </c>
      <c r="AG906" s="11">
        <v>9</v>
      </c>
      <c r="AH906" s="11">
        <v>8</v>
      </c>
    </row>
    <row r="907" spans="1:34" s="33" customFormat="1" x14ac:dyDescent="0.2">
      <c r="A907" s="11">
        <v>1094</v>
      </c>
      <c r="B907" s="11"/>
      <c r="C907" s="11"/>
      <c r="D907" s="11"/>
      <c r="E907" s="11"/>
      <c r="F907" s="11" t="s">
        <v>51</v>
      </c>
      <c r="G907" s="11" t="s">
        <v>51</v>
      </c>
      <c r="H907" s="56" t="str">
        <f>VLOOKUP(Table6[[#This Row],[ICD Code]],ICD_summary!$I$3:$M$38,5,0)</f>
        <v>Misc/Other</v>
      </c>
      <c r="I907" s="12">
        <v>71.099999999999994</v>
      </c>
      <c r="J9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7" s="11" t="s">
        <v>55</v>
      </c>
      <c r="L907" s="11"/>
      <c r="M907" s="11"/>
      <c r="N907" s="11" t="s">
        <v>51</v>
      </c>
      <c r="O907" s="11" t="s">
        <v>51</v>
      </c>
      <c r="P907" s="11" t="s">
        <v>51</v>
      </c>
      <c r="Q907" s="11" t="s">
        <v>51</v>
      </c>
      <c r="R907" s="11" t="s">
        <v>51</v>
      </c>
      <c r="S907" s="11" t="s">
        <v>51</v>
      </c>
      <c r="T907" s="11" t="s">
        <v>51</v>
      </c>
      <c r="U907" s="11" t="s">
        <v>51</v>
      </c>
      <c r="V907" s="11" t="s">
        <v>51</v>
      </c>
      <c r="W907" s="11" t="s">
        <v>51</v>
      </c>
      <c r="X907" s="11" t="s">
        <v>51</v>
      </c>
      <c r="Y907" s="11" t="s">
        <v>51</v>
      </c>
      <c r="Z907" s="11" t="s">
        <v>51</v>
      </c>
      <c r="AA907" s="11" t="s">
        <v>51</v>
      </c>
      <c r="AB907" s="11" t="s">
        <v>51</v>
      </c>
      <c r="AC907" s="11" t="s">
        <v>51</v>
      </c>
      <c r="AD907" s="11" t="s">
        <v>51</v>
      </c>
      <c r="AE907" s="11" t="s">
        <v>51</v>
      </c>
      <c r="AF907" s="11" t="s">
        <v>51</v>
      </c>
      <c r="AG907" s="11" t="s">
        <v>51</v>
      </c>
      <c r="AH907" s="11" t="s">
        <v>51</v>
      </c>
    </row>
    <row r="908" spans="1:34" s="33" customFormat="1" x14ac:dyDescent="0.2">
      <c r="A908" s="11">
        <v>1095</v>
      </c>
      <c r="B908" s="11"/>
      <c r="C908" s="11"/>
      <c r="D908" s="11"/>
      <c r="E908" s="11"/>
      <c r="F908" s="11" t="s">
        <v>51</v>
      </c>
      <c r="G908" s="11" t="s">
        <v>51</v>
      </c>
      <c r="H908" s="56" t="str">
        <f>VLOOKUP(Table6[[#This Row],[ICD Code]],ICD_summary!$I$3:$M$38,5,0)</f>
        <v>Misc/Other</v>
      </c>
      <c r="I908" s="12">
        <v>71.3</v>
      </c>
      <c r="J9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8" s="11" t="s">
        <v>51</v>
      </c>
      <c r="L908" s="11"/>
      <c r="M908" s="11"/>
      <c r="N908" s="11">
        <v>34.555</v>
      </c>
      <c r="O908" s="11">
        <v>36.450000000000003</v>
      </c>
      <c r="P908" s="11">
        <v>71.938999999999993</v>
      </c>
      <c r="Q908" s="11">
        <v>71.004999999999995</v>
      </c>
      <c r="R908" s="11">
        <v>54.110999999999997</v>
      </c>
      <c r="S908" s="11">
        <v>54.267000000000003</v>
      </c>
      <c r="T908" s="11">
        <v>91.144000000000005</v>
      </c>
      <c r="U908" s="11">
        <v>91.718000000000004</v>
      </c>
      <c r="V908" s="11">
        <v>65.954999999999998</v>
      </c>
      <c r="W908" s="11">
        <v>69.129000000000005</v>
      </c>
      <c r="X908" s="11">
        <v>34.045000000000002</v>
      </c>
      <c r="Y908" s="11">
        <v>30.870999999999999</v>
      </c>
      <c r="Z908" s="11">
        <v>17.559000000000001</v>
      </c>
      <c r="AA908" s="11">
        <v>17.661000000000001</v>
      </c>
      <c r="AB908" s="11">
        <v>30.870999999999999</v>
      </c>
      <c r="AC908" s="11">
        <v>34.045000000000002</v>
      </c>
      <c r="AD908" s="11">
        <v>18.940000000000001</v>
      </c>
      <c r="AE908" s="11">
        <v>15</v>
      </c>
      <c r="AF908" s="11">
        <v>15</v>
      </c>
      <c r="AG908" s="11">
        <v>10</v>
      </c>
      <c r="AH908" s="11">
        <v>15</v>
      </c>
    </row>
    <row r="909" spans="1:34" s="33" customFormat="1" x14ac:dyDescent="0.2">
      <c r="A909" s="11">
        <v>1096</v>
      </c>
      <c r="B909" s="11"/>
      <c r="C909" s="11"/>
      <c r="D909" s="11"/>
      <c r="E909" s="11"/>
      <c r="F909" s="11" t="s">
        <v>51</v>
      </c>
      <c r="G909" s="11" t="s">
        <v>51</v>
      </c>
      <c r="H909" s="56" t="str">
        <f>VLOOKUP(Table6[[#This Row],[ICD Code]],ICD_summary!$I$3:$M$38,5,0)</f>
        <v>Misc/Other</v>
      </c>
      <c r="I909" s="12">
        <v>70.7</v>
      </c>
      <c r="J9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9" s="11" t="s">
        <v>55</v>
      </c>
      <c r="L909" s="11"/>
      <c r="M909" s="11"/>
      <c r="N909" s="11" t="s">
        <v>51</v>
      </c>
      <c r="O909" s="11" t="s">
        <v>51</v>
      </c>
      <c r="P909" s="11" t="s">
        <v>51</v>
      </c>
      <c r="Q909" s="11" t="s">
        <v>51</v>
      </c>
      <c r="R909" s="11" t="s">
        <v>51</v>
      </c>
      <c r="S909" s="11" t="s">
        <v>51</v>
      </c>
      <c r="T909" s="11" t="s">
        <v>51</v>
      </c>
      <c r="U909" s="11" t="s">
        <v>51</v>
      </c>
      <c r="V909" s="11" t="s">
        <v>51</v>
      </c>
      <c r="W909" s="11" t="s">
        <v>51</v>
      </c>
      <c r="X909" s="11" t="s">
        <v>51</v>
      </c>
      <c r="Y909" s="11" t="s">
        <v>51</v>
      </c>
      <c r="Z909" s="11" t="s">
        <v>51</v>
      </c>
      <c r="AA909" s="11" t="s">
        <v>51</v>
      </c>
      <c r="AB909" s="11" t="s">
        <v>51</v>
      </c>
      <c r="AC909" s="11" t="s">
        <v>51</v>
      </c>
      <c r="AD909" s="11" t="s">
        <v>51</v>
      </c>
      <c r="AE909" s="11" t="s">
        <v>51</v>
      </c>
      <c r="AF909" s="11" t="s">
        <v>51</v>
      </c>
      <c r="AG909" s="11" t="s">
        <v>51</v>
      </c>
      <c r="AH909" s="11" t="s">
        <v>51</v>
      </c>
    </row>
    <row r="910" spans="1:34" s="33" customFormat="1" x14ac:dyDescent="0.2">
      <c r="A910" s="11">
        <v>1097</v>
      </c>
      <c r="B910" s="11"/>
      <c r="C910" s="11"/>
      <c r="D910" s="11"/>
      <c r="E910" s="11"/>
      <c r="F910" s="11" t="s">
        <v>51</v>
      </c>
      <c r="G910" s="11" t="s">
        <v>51</v>
      </c>
      <c r="H910" s="56" t="str">
        <f>VLOOKUP(Table6[[#This Row],[ICD Code]],ICD_summary!$I$3:$M$38,5,0)</f>
        <v>Misc/Other</v>
      </c>
      <c r="I910" s="12">
        <v>55.6</v>
      </c>
      <c r="J9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10" s="11" t="s">
        <v>52</v>
      </c>
      <c r="L910" s="11"/>
      <c r="M910" s="11"/>
      <c r="N910" s="11" t="s">
        <v>51</v>
      </c>
      <c r="O910" s="11" t="s">
        <v>51</v>
      </c>
      <c r="P910" s="11" t="s">
        <v>51</v>
      </c>
      <c r="Q910" s="11" t="s">
        <v>51</v>
      </c>
      <c r="R910" s="11" t="s">
        <v>51</v>
      </c>
      <c r="S910" s="11" t="s">
        <v>51</v>
      </c>
      <c r="T910" s="11" t="s">
        <v>51</v>
      </c>
      <c r="U910" s="11" t="s">
        <v>51</v>
      </c>
      <c r="V910" s="11" t="s">
        <v>51</v>
      </c>
      <c r="W910" s="11" t="s">
        <v>51</v>
      </c>
      <c r="X910" s="11" t="s">
        <v>51</v>
      </c>
      <c r="Y910" s="11" t="s">
        <v>51</v>
      </c>
      <c r="Z910" s="11" t="s">
        <v>51</v>
      </c>
      <c r="AA910" s="11" t="s">
        <v>51</v>
      </c>
      <c r="AB910" s="11" t="s">
        <v>51</v>
      </c>
      <c r="AC910" s="11" t="s">
        <v>51</v>
      </c>
      <c r="AD910" s="11" t="s">
        <v>51</v>
      </c>
      <c r="AE910" s="11" t="s">
        <v>51</v>
      </c>
      <c r="AF910" s="11" t="s">
        <v>51</v>
      </c>
      <c r="AG910" s="11" t="s">
        <v>51</v>
      </c>
      <c r="AH910" s="11" t="s">
        <v>51</v>
      </c>
    </row>
    <row r="911" spans="1:34" s="33" customFormat="1" x14ac:dyDescent="0.2">
      <c r="A911" s="11">
        <v>1098</v>
      </c>
      <c r="B911" s="11"/>
      <c r="C911" s="11"/>
      <c r="D911" s="11"/>
      <c r="E911" s="11"/>
      <c r="F911" s="11" t="s">
        <v>51</v>
      </c>
      <c r="G911" s="11" t="s">
        <v>51</v>
      </c>
      <c r="H911" s="56" t="str">
        <f>VLOOKUP(Table6[[#This Row],[ICD Code]],ICD_summary!$I$3:$M$38,5,0)</f>
        <v>Misc/Other</v>
      </c>
      <c r="I911" s="12">
        <v>72.099999999999994</v>
      </c>
      <c r="J9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1" s="11" t="s">
        <v>55</v>
      </c>
      <c r="L911" s="11"/>
      <c r="M911" s="11"/>
      <c r="N911" s="11" t="s">
        <v>51</v>
      </c>
      <c r="O911" s="11" t="s">
        <v>51</v>
      </c>
      <c r="P911" s="11" t="s">
        <v>51</v>
      </c>
      <c r="Q911" s="11" t="s">
        <v>51</v>
      </c>
      <c r="R911" s="11" t="s">
        <v>51</v>
      </c>
      <c r="S911" s="11" t="s">
        <v>51</v>
      </c>
      <c r="T911" s="11" t="s">
        <v>51</v>
      </c>
      <c r="U911" s="11" t="s">
        <v>51</v>
      </c>
      <c r="V911" s="11" t="s">
        <v>51</v>
      </c>
      <c r="W911" s="11" t="s">
        <v>51</v>
      </c>
      <c r="X911" s="11" t="s">
        <v>51</v>
      </c>
      <c r="Y911" s="11" t="s">
        <v>51</v>
      </c>
      <c r="Z911" s="11" t="s">
        <v>51</v>
      </c>
      <c r="AA911" s="11" t="s">
        <v>51</v>
      </c>
      <c r="AB911" s="11" t="s">
        <v>51</v>
      </c>
      <c r="AC911" s="11" t="s">
        <v>51</v>
      </c>
      <c r="AD911" s="11" t="s">
        <v>51</v>
      </c>
      <c r="AE911" s="11" t="s">
        <v>51</v>
      </c>
      <c r="AF911" s="11" t="s">
        <v>51</v>
      </c>
      <c r="AG911" s="11" t="s">
        <v>51</v>
      </c>
      <c r="AH911" s="11" t="s">
        <v>51</v>
      </c>
    </row>
    <row r="912" spans="1:34" s="33" customFormat="1" x14ac:dyDescent="0.2">
      <c r="A912" s="11">
        <v>1099</v>
      </c>
      <c r="B912" s="11"/>
      <c r="C912" s="11"/>
      <c r="D912" s="11"/>
      <c r="E912" s="11"/>
      <c r="F912" s="11" t="s">
        <v>51</v>
      </c>
      <c r="G912" s="11" t="s">
        <v>51</v>
      </c>
      <c r="H912" s="56" t="str">
        <f>VLOOKUP(Table6[[#This Row],[ICD Code]],ICD_summary!$I$3:$M$38,5,0)</f>
        <v>Misc/Other</v>
      </c>
      <c r="I912" s="12">
        <v>68.3</v>
      </c>
      <c r="J9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2" s="11" t="s">
        <v>52</v>
      </c>
      <c r="L912" s="11"/>
      <c r="M912" s="11"/>
      <c r="N912" s="11">
        <v>31.972999999999999</v>
      </c>
      <c r="O912" s="11">
        <v>31.908000000000001</v>
      </c>
      <c r="P912" s="11">
        <v>63.875</v>
      </c>
      <c r="Q912" s="11">
        <v>63.924999999999997</v>
      </c>
      <c r="R912" s="11">
        <v>53.621000000000002</v>
      </c>
      <c r="S912" s="11">
        <v>53.243000000000002</v>
      </c>
      <c r="T912" s="11">
        <v>100.251</v>
      </c>
      <c r="U912" s="11">
        <v>100.245</v>
      </c>
      <c r="V912" s="11">
        <v>65.841999999999999</v>
      </c>
      <c r="W912" s="11">
        <v>66.367999999999995</v>
      </c>
      <c r="X912" s="11">
        <v>34.158000000000001</v>
      </c>
      <c r="Y912" s="11">
        <v>33.631999999999998</v>
      </c>
      <c r="Z912" s="11">
        <v>17.378</v>
      </c>
      <c r="AA912" s="11">
        <v>14.92</v>
      </c>
      <c r="AB912" s="11">
        <v>33.631999999999998</v>
      </c>
      <c r="AC912" s="11">
        <v>34.158000000000001</v>
      </c>
      <c r="AD912" s="11">
        <v>14.11</v>
      </c>
      <c r="AE912" s="11">
        <v>18</v>
      </c>
      <c r="AF912" s="11">
        <v>17</v>
      </c>
      <c r="AG912" s="11">
        <v>15</v>
      </c>
      <c r="AH912" s="11">
        <v>15</v>
      </c>
    </row>
    <row r="913" spans="1:34" s="33" customFormat="1" x14ac:dyDescent="0.2">
      <c r="A913" s="11">
        <v>1100</v>
      </c>
      <c r="B913" s="11"/>
      <c r="C913" s="11"/>
      <c r="D913" s="11"/>
      <c r="E913" s="11"/>
      <c r="F913" s="11" t="s">
        <v>51</v>
      </c>
      <c r="G913" s="11" t="s">
        <v>51</v>
      </c>
      <c r="H913" s="56" t="str">
        <f>VLOOKUP(Table6[[#This Row],[ICD Code]],ICD_summary!$I$3:$M$38,5,0)</f>
        <v>Misc/Other</v>
      </c>
      <c r="I913" s="12">
        <v>63.9</v>
      </c>
      <c r="J9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3" s="11" t="s">
        <v>52</v>
      </c>
      <c r="L913" s="11"/>
      <c r="M913" s="11"/>
      <c r="N913" s="11">
        <v>50.433</v>
      </c>
      <c r="O913" s="11">
        <v>53.176000000000002</v>
      </c>
      <c r="P913" s="11">
        <v>103.42400000000001</v>
      </c>
      <c r="Q913" s="11">
        <v>104.13200000000001</v>
      </c>
      <c r="R913" s="11">
        <v>88.554000000000002</v>
      </c>
      <c r="S913" s="11">
        <v>88.474999999999994</v>
      </c>
      <c r="T913" s="11">
        <v>101.708</v>
      </c>
      <c r="U913" s="11">
        <v>101.504</v>
      </c>
      <c r="V913" s="11">
        <v>63.131999999999998</v>
      </c>
      <c r="W913" s="11">
        <v>62.579000000000001</v>
      </c>
      <c r="X913" s="11">
        <v>36.868000000000002</v>
      </c>
      <c r="Y913" s="11">
        <v>37.420999999999999</v>
      </c>
      <c r="Z913" s="11">
        <v>12.499000000000001</v>
      </c>
      <c r="AA913" s="11">
        <v>12.961</v>
      </c>
      <c r="AB913" s="11">
        <v>37.420999999999999</v>
      </c>
      <c r="AC913" s="11">
        <v>36.868000000000002</v>
      </c>
      <c r="AD913" s="11">
        <v>12.372</v>
      </c>
      <c r="AE913" s="11">
        <v>11</v>
      </c>
      <c r="AF913" s="11">
        <v>14</v>
      </c>
      <c r="AG913" s="11">
        <v>10</v>
      </c>
      <c r="AH913" s="11">
        <v>10</v>
      </c>
    </row>
    <row r="914" spans="1:34" s="33" customFormat="1" x14ac:dyDescent="0.2">
      <c r="A914" s="11">
        <v>1101</v>
      </c>
      <c r="B914" s="11"/>
      <c r="C914" s="11"/>
      <c r="D914" s="11"/>
      <c r="E914" s="11"/>
      <c r="F914" s="11" t="s">
        <v>51</v>
      </c>
      <c r="G914" s="11" t="s">
        <v>51</v>
      </c>
      <c r="H914" s="56" t="str">
        <f>VLOOKUP(Table6[[#This Row],[ICD Code]],ICD_summary!$I$3:$M$38,5,0)</f>
        <v>Misc/Other</v>
      </c>
      <c r="I914" s="12">
        <v>70</v>
      </c>
      <c r="J9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4" s="11" t="s">
        <v>52</v>
      </c>
      <c r="L914" s="11"/>
      <c r="M914" s="11"/>
      <c r="N914" s="11">
        <v>34.093000000000004</v>
      </c>
      <c r="O914" s="11">
        <v>38.820999999999998</v>
      </c>
      <c r="P914" s="11">
        <v>72.822000000000003</v>
      </c>
      <c r="Q914" s="11">
        <v>73.153000000000006</v>
      </c>
      <c r="R914" s="11">
        <v>65.28</v>
      </c>
      <c r="S914" s="11">
        <v>65.888999999999996</v>
      </c>
      <c r="T914" s="11">
        <v>108.277</v>
      </c>
      <c r="U914" s="11">
        <v>107.84399999999999</v>
      </c>
      <c r="V914" s="11">
        <v>69.59</v>
      </c>
      <c r="W914" s="11">
        <v>65.453000000000003</v>
      </c>
      <c r="X914" s="11">
        <v>30.41</v>
      </c>
      <c r="Y914" s="11">
        <v>34.546999999999997</v>
      </c>
      <c r="Z914" s="11">
        <v>17.126000000000001</v>
      </c>
      <c r="AA914" s="11">
        <v>18.222000000000001</v>
      </c>
      <c r="AB914" s="11">
        <v>34.546999999999997</v>
      </c>
      <c r="AC914" s="11">
        <v>30.41</v>
      </c>
      <c r="AD914" s="11">
        <v>13.214</v>
      </c>
      <c r="AE914" s="11">
        <v>15</v>
      </c>
      <c r="AF914" s="11">
        <v>15</v>
      </c>
      <c r="AG914" s="11">
        <v>13</v>
      </c>
      <c r="AH914" s="11">
        <v>12</v>
      </c>
    </row>
    <row r="915" spans="1:34" s="33" customFormat="1" x14ac:dyDescent="0.2">
      <c r="A915" s="11">
        <v>1102</v>
      </c>
      <c r="B915" s="11"/>
      <c r="C915" s="11"/>
      <c r="D915" s="11"/>
      <c r="E915" s="11"/>
      <c r="F915" s="11" t="s">
        <v>51</v>
      </c>
      <c r="G915" s="11" t="s">
        <v>51</v>
      </c>
      <c r="H915" s="56" t="str">
        <f>VLOOKUP(Table6[[#This Row],[ICD Code]],ICD_summary!$I$3:$M$38,5,0)</f>
        <v>Misc/Other</v>
      </c>
      <c r="I915" s="12">
        <v>67.099999999999994</v>
      </c>
      <c r="J9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5" s="11" t="s">
        <v>52</v>
      </c>
      <c r="L915" s="11"/>
      <c r="M915" s="11"/>
      <c r="N915" s="11">
        <v>44.399000000000001</v>
      </c>
      <c r="O915" s="11">
        <v>46.951000000000001</v>
      </c>
      <c r="P915" s="11">
        <v>91.147999999999996</v>
      </c>
      <c r="Q915" s="11">
        <v>91.603999999999999</v>
      </c>
      <c r="R915" s="11">
        <v>64.251999999999995</v>
      </c>
      <c r="S915" s="11">
        <v>64.498999999999995</v>
      </c>
      <c r="T915" s="11">
        <v>83.786000000000001</v>
      </c>
      <c r="U915" s="11">
        <v>84.067999999999998</v>
      </c>
      <c r="V915" s="11">
        <v>67.424999999999997</v>
      </c>
      <c r="W915" s="11">
        <v>66.963999999999999</v>
      </c>
      <c r="X915" s="11">
        <v>32.575000000000003</v>
      </c>
      <c r="Y915" s="11">
        <v>33.036000000000001</v>
      </c>
      <c r="Z915" s="11">
        <v>16.866</v>
      </c>
      <c r="AA915" s="11">
        <v>18.155999999999999</v>
      </c>
      <c r="AB915" s="11">
        <v>33.036000000000001</v>
      </c>
      <c r="AC915" s="11">
        <v>32.575000000000003</v>
      </c>
      <c r="AD915" s="11">
        <v>11.295999999999999</v>
      </c>
      <c r="AE915" s="11">
        <v>12</v>
      </c>
      <c r="AF915" s="11">
        <v>15</v>
      </c>
      <c r="AG915" s="11">
        <v>12</v>
      </c>
      <c r="AH915" s="11">
        <v>10</v>
      </c>
    </row>
    <row r="916" spans="1:34" s="33" customFormat="1" x14ac:dyDescent="0.2">
      <c r="A916" s="11">
        <v>1103</v>
      </c>
      <c r="B916" s="11"/>
      <c r="C916" s="11"/>
      <c r="D916" s="11"/>
      <c r="E916" s="11"/>
      <c r="F916" s="11" t="s">
        <v>51</v>
      </c>
      <c r="G916" s="11" t="s">
        <v>51</v>
      </c>
      <c r="H916" s="56" t="str">
        <f>VLOOKUP(Table6[[#This Row],[ICD Code]],ICD_summary!$I$3:$M$38,5,0)</f>
        <v>Misc/Other</v>
      </c>
      <c r="I916" s="12">
        <v>61.8</v>
      </c>
      <c r="J9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6" s="11" t="s">
        <v>55</v>
      </c>
      <c r="L916" s="11"/>
      <c r="M916" s="11"/>
      <c r="N916" s="11" t="s">
        <v>51</v>
      </c>
      <c r="O916" s="11" t="s">
        <v>51</v>
      </c>
      <c r="P916" s="11" t="s">
        <v>51</v>
      </c>
      <c r="Q916" s="11" t="s">
        <v>51</v>
      </c>
      <c r="R916" s="11" t="s">
        <v>51</v>
      </c>
      <c r="S916" s="11" t="s">
        <v>51</v>
      </c>
      <c r="T916" s="11" t="s">
        <v>51</v>
      </c>
      <c r="U916" s="11" t="s">
        <v>51</v>
      </c>
      <c r="V916" s="11" t="s">
        <v>51</v>
      </c>
      <c r="W916" s="11" t="s">
        <v>51</v>
      </c>
      <c r="X916" s="11" t="s">
        <v>51</v>
      </c>
      <c r="Y916" s="11" t="s">
        <v>51</v>
      </c>
      <c r="Z916" s="11" t="s">
        <v>51</v>
      </c>
      <c r="AA916" s="11" t="s">
        <v>51</v>
      </c>
      <c r="AB916" s="11" t="s">
        <v>51</v>
      </c>
      <c r="AC916" s="11" t="s">
        <v>51</v>
      </c>
      <c r="AD916" s="11" t="s">
        <v>51</v>
      </c>
      <c r="AE916" s="11" t="s">
        <v>51</v>
      </c>
      <c r="AF916" s="11" t="s">
        <v>51</v>
      </c>
      <c r="AG916" s="11" t="s">
        <v>51</v>
      </c>
      <c r="AH916" s="11" t="s">
        <v>51</v>
      </c>
    </row>
    <row r="917" spans="1:34" s="33" customFormat="1" x14ac:dyDescent="0.2">
      <c r="A917" s="11">
        <v>1104</v>
      </c>
      <c r="B917" s="11"/>
      <c r="C917" s="11"/>
      <c r="D917" s="11"/>
      <c r="E917" s="11"/>
      <c r="F917" s="11" t="s">
        <v>51</v>
      </c>
      <c r="G917" s="11" t="s">
        <v>51</v>
      </c>
      <c r="H917" s="56" t="str">
        <f>VLOOKUP(Table6[[#This Row],[ICD Code]],ICD_summary!$I$3:$M$38,5,0)</f>
        <v>Misc/Other</v>
      </c>
      <c r="I917" s="12">
        <v>74.8</v>
      </c>
      <c r="J9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7" s="11" t="s">
        <v>52</v>
      </c>
      <c r="L917" s="11"/>
      <c r="M917" s="11"/>
      <c r="N917" s="11">
        <v>54.191000000000003</v>
      </c>
      <c r="O917" s="11">
        <v>48.755000000000003</v>
      </c>
      <c r="P917" s="11">
        <v>102.386</v>
      </c>
      <c r="Q917" s="11">
        <v>103.38500000000001</v>
      </c>
      <c r="R917" s="11">
        <v>95.724999999999994</v>
      </c>
      <c r="S917" s="11">
        <v>95.953999999999994</v>
      </c>
      <c r="T917" s="11">
        <v>112.902</v>
      </c>
      <c r="U917" s="11">
        <v>112.18899999999999</v>
      </c>
      <c r="V917" s="11">
        <v>65.444999999999993</v>
      </c>
      <c r="W917" s="11">
        <v>64.798000000000002</v>
      </c>
      <c r="X917" s="11">
        <v>34.555</v>
      </c>
      <c r="Y917" s="11">
        <v>35.201999999999998</v>
      </c>
      <c r="Z917" s="11">
        <v>16.384</v>
      </c>
      <c r="AA917" s="11">
        <v>14.576000000000001</v>
      </c>
      <c r="AB917" s="11">
        <v>35.201999999999998</v>
      </c>
      <c r="AC917" s="11">
        <v>34.555</v>
      </c>
      <c r="AD917" s="11">
        <v>11.194000000000001</v>
      </c>
      <c r="AE917" s="11">
        <v>13</v>
      </c>
      <c r="AF917" s="11">
        <v>14</v>
      </c>
      <c r="AG917" s="11">
        <v>12</v>
      </c>
      <c r="AH917" s="11">
        <v>10</v>
      </c>
    </row>
    <row r="918" spans="1:34" s="33" customFormat="1" x14ac:dyDescent="0.2">
      <c r="A918" s="11">
        <v>1105</v>
      </c>
      <c r="B918" s="11"/>
      <c r="C918" s="11"/>
      <c r="D918" s="11"/>
      <c r="E918" s="11"/>
      <c r="F918" s="11" t="s">
        <v>51</v>
      </c>
      <c r="G918" s="11" t="s">
        <v>51</v>
      </c>
      <c r="H918" s="56" t="str">
        <f>VLOOKUP(Table6[[#This Row],[ICD Code]],ICD_summary!$I$3:$M$38,5,0)</f>
        <v>Misc/Other</v>
      </c>
      <c r="I918" s="12">
        <v>65.400000000000006</v>
      </c>
      <c r="J9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8" s="11" t="s">
        <v>55</v>
      </c>
      <c r="L918" s="11"/>
      <c r="M918" s="11"/>
      <c r="N918" s="11">
        <v>37.168999999999997</v>
      </c>
      <c r="O918" s="11">
        <v>33.466000000000001</v>
      </c>
      <c r="P918" s="11">
        <v>70.263000000000005</v>
      </c>
      <c r="Q918" s="11">
        <v>70.777000000000001</v>
      </c>
      <c r="R918" s="11">
        <v>56.539000000000001</v>
      </c>
      <c r="S918" s="11">
        <v>57.241</v>
      </c>
      <c r="T918" s="11">
        <v>96.501000000000005</v>
      </c>
      <c r="U918" s="11">
        <v>96.674000000000007</v>
      </c>
      <c r="V918" s="11">
        <v>68.694000000000003</v>
      </c>
      <c r="W918" s="11">
        <v>67.453999999999994</v>
      </c>
      <c r="X918" s="11">
        <v>31.306000000000001</v>
      </c>
      <c r="Y918" s="11">
        <v>32.545999999999999</v>
      </c>
      <c r="Z918" s="11">
        <v>17.300999999999998</v>
      </c>
      <c r="AA918" s="11">
        <v>18.274999999999999</v>
      </c>
      <c r="AB918" s="11">
        <v>32.545999999999999</v>
      </c>
      <c r="AC918" s="11">
        <v>31.306000000000001</v>
      </c>
      <c r="AD918" s="11">
        <v>13.587999999999999</v>
      </c>
      <c r="AE918" s="11">
        <v>14</v>
      </c>
      <c r="AF918" s="11">
        <v>15</v>
      </c>
      <c r="AG918" s="11">
        <v>12</v>
      </c>
      <c r="AH918" s="11">
        <v>12</v>
      </c>
    </row>
    <row r="919" spans="1:34" s="33" customFormat="1" x14ac:dyDescent="0.2">
      <c r="A919" s="11">
        <v>1106</v>
      </c>
      <c r="B919" s="11"/>
      <c r="C919" s="11"/>
      <c r="D919" s="11"/>
      <c r="E919" s="11"/>
      <c r="F919" s="11" t="s">
        <v>51</v>
      </c>
      <c r="G919" s="11" t="s">
        <v>51</v>
      </c>
      <c r="H919" s="56" t="str">
        <f>VLOOKUP(Table6[[#This Row],[ICD Code]],ICD_summary!$I$3:$M$38,5,0)</f>
        <v>Misc/Other</v>
      </c>
      <c r="I919" s="12">
        <v>56</v>
      </c>
      <c r="J9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19" s="11" t="s">
        <v>52</v>
      </c>
      <c r="L919" s="11"/>
      <c r="M919" s="11"/>
      <c r="N919" s="11">
        <v>48.484999999999999</v>
      </c>
      <c r="O919" s="11">
        <v>54.332999999999998</v>
      </c>
      <c r="P919" s="11">
        <v>103.01600000000001</v>
      </c>
      <c r="Q919" s="11">
        <v>102.795</v>
      </c>
      <c r="R919" s="11">
        <v>80.715000000000003</v>
      </c>
      <c r="S919" s="11">
        <v>80.765000000000001</v>
      </c>
      <c r="T919" s="11">
        <v>94.167000000000002</v>
      </c>
      <c r="U919" s="11">
        <v>93.856999999999999</v>
      </c>
      <c r="V919" s="11">
        <v>65.114000000000004</v>
      </c>
      <c r="W919" s="11">
        <v>65.072000000000003</v>
      </c>
      <c r="X919" s="11">
        <v>34.886000000000003</v>
      </c>
      <c r="Y919" s="11">
        <v>34.927999999999997</v>
      </c>
      <c r="Z919" s="11">
        <v>15.673</v>
      </c>
      <c r="AA919" s="11">
        <v>14.706</v>
      </c>
      <c r="AB919" s="11">
        <v>34.927999999999997</v>
      </c>
      <c r="AC919" s="11">
        <v>34.886000000000003</v>
      </c>
      <c r="AD919" s="11">
        <v>13.468</v>
      </c>
      <c r="AE919" s="11">
        <v>13</v>
      </c>
      <c r="AF919" s="11">
        <v>13</v>
      </c>
      <c r="AG919" s="11">
        <v>11</v>
      </c>
      <c r="AH919" s="11">
        <v>10</v>
      </c>
    </row>
    <row r="920" spans="1:34" s="33" customFormat="1" x14ac:dyDescent="0.2">
      <c r="A920" s="11">
        <v>1107</v>
      </c>
      <c r="B920" s="11"/>
      <c r="C920" s="11"/>
      <c r="D920" s="11"/>
      <c r="E920" s="11"/>
      <c r="F920" s="11" t="s">
        <v>51</v>
      </c>
      <c r="G920" s="11" t="s">
        <v>51</v>
      </c>
      <c r="H920" s="56" t="str">
        <f>VLOOKUP(Table6[[#This Row],[ICD Code]],ICD_summary!$I$3:$M$38,5,0)</f>
        <v>Misc/Other</v>
      </c>
      <c r="I920" s="12">
        <v>77.3</v>
      </c>
      <c r="J9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0" s="11" t="s">
        <v>55</v>
      </c>
      <c r="L920" s="11"/>
      <c r="M920" s="11"/>
      <c r="N920" s="11">
        <v>48.167000000000002</v>
      </c>
      <c r="O920" s="11">
        <v>47.927</v>
      </c>
      <c r="P920" s="11">
        <v>96.094999999999999</v>
      </c>
      <c r="Q920" s="11">
        <v>96.287000000000006</v>
      </c>
      <c r="R920" s="11">
        <v>89.748000000000005</v>
      </c>
      <c r="S920" s="11">
        <v>89.510999999999996</v>
      </c>
      <c r="T920" s="11">
        <v>111.807</v>
      </c>
      <c r="U920" s="11">
        <v>112.13</v>
      </c>
      <c r="V920" s="11">
        <v>63.832999999999998</v>
      </c>
      <c r="W920" s="11">
        <v>65.206000000000003</v>
      </c>
      <c r="X920" s="11">
        <v>36.167000000000002</v>
      </c>
      <c r="Y920" s="11">
        <v>34.793999999999997</v>
      </c>
      <c r="Z920" s="11">
        <v>15.194000000000001</v>
      </c>
      <c r="AA920" s="11">
        <v>14.242000000000001</v>
      </c>
      <c r="AB920" s="11">
        <v>34.793999999999997</v>
      </c>
      <c r="AC920" s="11">
        <v>36.167000000000002</v>
      </c>
      <c r="AD920" s="11">
        <v>9.2579999999999991</v>
      </c>
      <c r="AE920" s="11">
        <v>14</v>
      </c>
      <c r="AF920" s="11">
        <v>13</v>
      </c>
      <c r="AG920" s="11">
        <v>10</v>
      </c>
      <c r="AH920" s="11">
        <v>12</v>
      </c>
    </row>
    <row r="921" spans="1:34" s="33" customFormat="1" x14ac:dyDescent="0.2">
      <c r="A921" s="11">
        <v>1108</v>
      </c>
      <c r="B921" s="11"/>
      <c r="C921" s="11"/>
      <c r="D921" s="11"/>
      <c r="E921" s="11"/>
      <c r="F921" s="11" t="s">
        <v>51</v>
      </c>
      <c r="G921" s="11" t="s">
        <v>51</v>
      </c>
      <c r="H921" s="56" t="str">
        <f>VLOOKUP(Table6[[#This Row],[ICD Code]],ICD_summary!$I$3:$M$38,5,0)</f>
        <v>Misc/Other</v>
      </c>
      <c r="I921" s="12">
        <v>63.9</v>
      </c>
      <c r="J9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1" s="11" t="s">
        <v>55</v>
      </c>
      <c r="L921" s="11"/>
      <c r="M921" s="11"/>
      <c r="N921" s="11">
        <v>52.151000000000003</v>
      </c>
      <c r="O921" s="11">
        <v>51.59</v>
      </c>
      <c r="P921" s="11">
        <v>103.729</v>
      </c>
      <c r="Q921" s="11">
        <v>103.99299999999999</v>
      </c>
      <c r="R921" s="11">
        <v>106.136</v>
      </c>
      <c r="S921" s="11">
        <v>106.17400000000001</v>
      </c>
      <c r="T921" s="11">
        <v>122.33</v>
      </c>
      <c r="U921" s="11">
        <v>122.38800000000001</v>
      </c>
      <c r="V921" s="11">
        <v>61.23</v>
      </c>
      <c r="W921" s="11">
        <v>60.485999999999997</v>
      </c>
      <c r="X921" s="11">
        <v>38.770000000000003</v>
      </c>
      <c r="Y921" s="11">
        <v>39.514000000000003</v>
      </c>
      <c r="Z921" s="11">
        <v>11.13</v>
      </c>
      <c r="AA921" s="11">
        <v>11.452999999999999</v>
      </c>
      <c r="AB921" s="11">
        <v>39.514000000000003</v>
      </c>
      <c r="AC921" s="11">
        <v>38.770000000000003</v>
      </c>
      <c r="AD921" s="11">
        <v>7.2279999999999998</v>
      </c>
      <c r="AE921" s="11">
        <v>11</v>
      </c>
      <c r="AF921" s="11">
        <v>13</v>
      </c>
      <c r="AG921" s="11">
        <v>9</v>
      </c>
      <c r="AH921" s="11">
        <v>10</v>
      </c>
    </row>
    <row r="922" spans="1:34" s="33" customFormat="1" x14ac:dyDescent="0.2">
      <c r="A922" s="11">
        <v>1109</v>
      </c>
      <c r="B922" s="11"/>
      <c r="C922" s="11"/>
      <c r="D922" s="11"/>
      <c r="E922" s="11"/>
      <c r="F922" s="11" t="s">
        <v>51</v>
      </c>
      <c r="G922" s="11" t="s">
        <v>51</v>
      </c>
      <c r="H922" s="56" t="str">
        <f>VLOOKUP(Table6[[#This Row],[ICD Code]],ICD_summary!$I$3:$M$38,5,0)</f>
        <v>Misc/Other</v>
      </c>
      <c r="I922" s="12">
        <v>61.3</v>
      </c>
      <c r="J9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2" s="11" t="s">
        <v>52</v>
      </c>
      <c r="L922" s="11"/>
      <c r="M922" s="11"/>
      <c r="N922" s="11">
        <v>26.154</v>
      </c>
      <c r="O922" s="11">
        <v>23.11</v>
      </c>
      <c r="P922" s="11">
        <v>49.685000000000002</v>
      </c>
      <c r="Q922" s="11">
        <v>49.613999999999997</v>
      </c>
      <c r="R922" s="11">
        <v>53.79</v>
      </c>
      <c r="S922" s="11">
        <v>54.402999999999999</v>
      </c>
      <c r="T922" s="11">
        <v>130.804</v>
      </c>
      <c r="U922" s="11">
        <v>131.143</v>
      </c>
      <c r="V922" s="11">
        <v>67.298000000000002</v>
      </c>
      <c r="W922" s="11">
        <v>66.644000000000005</v>
      </c>
      <c r="X922" s="11">
        <v>32.701999999999998</v>
      </c>
      <c r="Y922" s="11">
        <v>33.356000000000002</v>
      </c>
      <c r="Z922" s="11">
        <v>15.222</v>
      </c>
      <c r="AA922" s="11">
        <v>19.134</v>
      </c>
      <c r="AB922" s="11">
        <v>33.356000000000002</v>
      </c>
      <c r="AC922" s="11">
        <v>32.701999999999998</v>
      </c>
      <c r="AD922" s="11">
        <v>20.204000000000001</v>
      </c>
      <c r="AE922" s="11">
        <v>20</v>
      </c>
      <c r="AF922" s="11">
        <v>16</v>
      </c>
      <c r="AG922" s="11">
        <v>15</v>
      </c>
      <c r="AH922" s="11">
        <v>16</v>
      </c>
    </row>
    <row r="923" spans="1:34" s="33" customFormat="1" x14ac:dyDescent="0.2">
      <c r="A923" s="11">
        <v>1110</v>
      </c>
      <c r="B923" s="11"/>
      <c r="C923" s="11"/>
      <c r="D923" s="11"/>
      <c r="E923" s="11"/>
      <c r="F923" s="11" t="s">
        <v>51</v>
      </c>
      <c r="G923" s="11" t="s">
        <v>51</v>
      </c>
      <c r="H923" s="56" t="str">
        <f>VLOOKUP(Table6[[#This Row],[ICD Code]],ICD_summary!$I$3:$M$38,5,0)</f>
        <v>Misc/Other</v>
      </c>
      <c r="I923" s="12">
        <v>54</v>
      </c>
      <c r="J9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3" s="11" t="s">
        <v>55</v>
      </c>
      <c r="L923" s="11"/>
      <c r="M923" s="11"/>
      <c r="N923" s="11">
        <v>41.776000000000003</v>
      </c>
      <c r="O923" s="11">
        <v>41.631999999999998</v>
      </c>
      <c r="P923" s="11">
        <v>83.576999999999998</v>
      </c>
      <c r="Q923" s="11">
        <v>83.156999999999996</v>
      </c>
      <c r="R923" s="11">
        <v>70.941999999999993</v>
      </c>
      <c r="S923" s="11">
        <v>70.614999999999995</v>
      </c>
      <c r="T923" s="11">
        <v>101.333</v>
      </c>
      <c r="U923" s="11">
        <v>101.003</v>
      </c>
      <c r="V923" s="11">
        <v>67.94</v>
      </c>
      <c r="W923" s="11">
        <v>66.015000000000001</v>
      </c>
      <c r="X923" s="11">
        <v>32.06</v>
      </c>
      <c r="Y923" s="11">
        <v>33.984999999999999</v>
      </c>
      <c r="Z923" s="11">
        <v>15.957000000000001</v>
      </c>
      <c r="AA923" s="11">
        <v>17.933</v>
      </c>
      <c r="AB923" s="11">
        <v>33.984999999999999</v>
      </c>
      <c r="AC923" s="11">
        <v>32.06</v>
      </c>
      <c r="AD923" s="11">
        <v>14.28</v>
      </c>
      <c r="AE923" s="11">
        <v>12</v>
      </c>
      <c r="AF923" s="11">
        <v>13</v>
      </c>
      <c r="AG923" s="11">
        <v>10</v>
      </c>
      <c r="AH923" s="11">
        <v>10</v>
      </c>
    </row>
    <row r="924" spans="1:34" s="33" customFormat="1" x14ac:dyDescent="0.2">
      <c r="A924" s="11">
        <v>1111</v>
      </c>
      <c r="B924" s="11"/>
      <c r="C924" s="11"/>
      <c r="D924" s="11"/>
      <c r="E924" s="11"/>
      <c r="F924" s="11" t="s">
        <v>51</v>
      </c>
      <c r="G924" s="11" t="s">
        <v>51</v>
      </c>
      <c r="H924" s="56" t="str">
        <f>VLOOKUP(Table6[[#This Row],[ICD Code]],ICD_summary!$I$3:$M$38,5,0)</f>
        <v>Misc/Other</v>
      </c>
      <c r="I924" s="12">
        <v>70.2</v>
      </c>
      <c r="J9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4" s="11" t="s">
        <v>52</v>
      </c>
      <c r="L924" s="11"/>
      <c r="M924" s="11"/>
      <c r="N924" s="11" t="s">
        <v>51</v>
      </c>
      <c r="O924" s="11" t="s">
        <v>51</v>
      </c>
      <c r="P924" s="11" t="s">
        <v>51</v>
      </c>
      <c r="Q924" s="11" t="s">
        <v>51</v>
      </c>
      <c r="R924" s="11" t="s">
        <v>51</v>
      </c>
      <c r="S924" s="11" t="s">
        <v>51</v>
      </c>
      <c r="T924" s="11" t="s">
        <v>51</v>
      </c>
      <c r="U924" s="11" t="s">
        <v>51</v>
      </c>
      <c r="V924" s="11" t="s">
        <v>51</v>
      </c>
      <c r="W924" s="11" t="s">
        <v>51</v>
      </c>
      <c r="X924" s="11" t="s">
        <v>51</v>
      </c>
      <c r="Y924" s="11" t="s">
        <v>51</v>
      </c>
      <c r="Z924" s="11" t="s">
        <v>51</v>
      </c>
      <c r="AA924" s="11" t="s">
        <v>51</v>
      </c>
      <c r="AB924" s="11" t="s">
        <v>51</v>
      </c>
      <c r="AC924" s="11" t="s">
        <v>51</v>
      </c>
      <c r="AD924" s="11" t="s">
        <v>51</v>
      </c>
      <c r="AE924" s="11" t="s">
        <v>51</v>
      </c>
      <c r="AF924" s="11" t="s">
        <v>51</v>
      </c>
      <c r="AG924" s="11" t="s">
        <v>51</v>
      </c>
      <c r="AH924" s="11" t="s">
        <v>51</v>
      </c>
    </row>
    <row r="925" spans="1:34" s="33" customFormat="1" x14ac:dyDescent="0.2">
      <c r="A925" s="11">
        <v>1112</v>
      </c>
      <c r="B925" s="11"/>
      <c r="C925" s="11"/>
      <c r="D925" s="11"/>
      <c r="E925" s="11"/>
      <c r="F925" s="11" t="s">
        <v>51</v>
      </c>
      <c r="G925" s="11" t="s">
        <v>51</v>
      </c>
      <c r="H925" s="56" t="str">
        <f>VLOOKUP(Table6[[#This Row],[ICD Code]],ICD_summary!$I$3:$M$38,5,0)</f>
        <v>Misc/Other</v>
      </c>
      <c r="I925" s="12">
        <v>74.7</v>
      </c>
      <c r="J9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5" s="11" t="s">
        <v>51</v>
      </c>
      <c r="L925" s="11"/>
      <c r="M925" s="11"/>
      <c r="N925" s="11">
        <v>9.9160000000000004</v>
      </c>
      <c r="O925" s="11">
        <v>11.509</v>
      </c>
      <c r="P925" s="11">
        <v>21.800999999999998</v>
      </c>
      <c r="Q925" s="11">
        <v>21.109000000000002</v>
      </c>
      <c r="R925" s="11">
        <v>17.925999999999998</v>
      </c>
      <c r="S925" s="11">
        <v>17.125</v>
      </c>
      <c r="T925" s="11">
        <v>104.322</v>
      </c>
      <c r="U925" s="11">
        <v>103.776</v>
      </c>
      <c r="V925" s="11">
        <v>80.927000000000007</v>
      </c>
      <c r="W925" s="11">
        <v>78.385000000000005</v>
      </c>
      <c r="X925" s="11">
        <v>19.073</v>
      </c>
      <c r="Y925" s="11">
        <v>21.614999999999998</v>
      </c>
      <c r="Z925" s="11">
        <v>31.803999999999998</v>
      </c>
      <c r="AA925" s="11">
        <v>28.088000000000001</v>
      </c>
      <c r="AB925" s="11">
        <v>21.614999999999998</v>
      </c>
      <c r="AC925" s="11">
        <v>19.073</v>
      </c>
      <c r="AD925" s="11">
        <v>13.464</v>
      </c>
      <c r="AE925" s="11">
        <v>20</v>
      </c>
      <c r="AF925" s="11">
        <v>20</v>
      </c>
      <c r="AG925" s="11">
        <v>16</v>
      </c>
      <c r="AH925" s="11">
        <v>19</v>
      </c>
    </row>
    <row r="926" spans="1:34" s="33" customFormat="1" x14ac:dyDescent="0.2">
      <c r="A926" s="11">
        <v>1113</v>
      </c>
      <c r="B926" s="11"/>
      <c r="C926" s="11"/>
      <c r="D926" s="11"/>
      <c r="E926" s="11"/>
      <c r="F926" s="11" t="s">
        <v>51</v>
      </c>
      <c r="G926" s="11" t="s">
        <v>51</v>
      </c>
      <c r="H926" s="56" t="str">
        <f>VLOOKUP(Table6[[#This Row],[ICD Code]],ICD_summary!$I$3:$M$38,5,0)</f>
        <v>Misc/Other</v>
      </c>
      <c r="I926" s="12">
        <v>67.3</v>
      </c>
      <c r="J9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6" s="11" t="s">
        <v>52</v>
      </c>
      <c r="L926" s="11"/>
      <c r="M926" s="11"/>
      <c r="N926" s="11">
        <v>46.494</v>
      </c>
      <c r="O926" s="11">
        <v>47.901000000000003</v>
      </c>
      <c r="P926" s="11">
        <v>93.986999999999995</v>
      </c>
      <c r="Q926" s="11">
        <v>94.165000000000006</v>
      </c>
      <c r="R926" s="11">
        <v>65.933999999999997</v>
      </c>
      <c r="S926" s="11">
        <v>66.088999999999999</v>
      </c>
      <c r="T926" s="11">
        <v>83.337999999999994</v>
      </c>
      <c r="U926" s="11">
        <v>83.587999999999994</v>
      </c>
      <c r="V926" s="11">
        <v>65.340999999999994</v>
      </c>
      <c r="W926" s="11">
        <v>67.177999999999997</v>
      </c>
      <c r="X926" s="11">
        <v>34.658999999999999</v>
      </c>
      <c r="Y926" s="11">
        <v>32.822000000000003</v>
      </c>
      <c r="Z926" s="11">
        <v>16.18</v>
      </c>
      <c r="AA926" s="11">
        <v>16.873999999999999</v>
      </c>
      <c r="AB926" s="11">
        <v>32.822000000000003</v>
      </c>
      <c r="AC926" s="11">
        <v>34.658999999999999</v>
      </c>
      <c r="AD926" s="11">
        <v>10.577999999999999</v>
      </c>
      <c r="AE926" s="11">
        <v>12</v>
      </c>
      <c r="AF926" s="11">
        <v>13</v>
      </c>
      <c r="AG926" s="11">
        <v>10</v>
      </c>
      <c r="AH926" s="11">
        <v>10</v>
      </c>
    </row>
    <row r="927" spans="1:34" s="33" customFormat="1" x14ac:dyDescent="0.2">
      <c r="A927" s="11">
        <v>1114</v>
      </c>
      <c r="B927" s="11"/>
      <c r="C927" s="11"/>
      <c r="D927" s="11"/>
      <c r="E927" s="11"/>
      <c r="F927" s="11" t="s">
        <v>51</v>
      </c>
      <c r="G927" s="11" t="s">
        <v>51</v>
      </c>
      <c r="H927" s="56" t="str">
        <f>VLOOKUP(Table6[[#This Row],[ICD Code]],ICD_summary!$I$3:$M$38,5,0)</f>
        <v>Misc/Other</v>
      </c>
      <c r="I927" s="12">
        <v>57.2</v>
      </c>
      <c r="J9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7" s="11" t="s">
        <v>55</v>
      </c>
      <c r="L927" s="11"/>
      <c r="M927" s="11"/>
      <c r="N927" s="11">
        <v>28.84</v>
      </c>
      <c r="O927" s="11">
        <v>30.98</v>
      </c>
      <c r="P927" s="11">
        <v>59.796999999999997</v>
      </c>
      <c r="Q927" s="11">
        <v>59.835999999999999</v>
      </c>
      <c r="R927" s="11">
        <v>41.963999999999999</v>
      </c>
      <c r="S927" s="11">
        <v>42.878999999999998</v>
      </c>
      <c r="T927" s="11">
        <v>84.367999999999995</v>
      </c>
      <c r="U927" s="11">
        <v>85.403000000000006</v>
      </c>
      <c r="V927" s="11">
        <v>73.730999999999995</v>
      </c>
      <c r="W927" s="11">
        <v>75.311000000000007</v>
      </c>
      <c r="X927" s="11">
        <v>26.268999999999998</v>
      </c>
      <c r="Y927" s="11">
        <v>24.689</v>
      </c>
      <c r="Z927" s="11">
        <v>26.553000000000001</v>
      </c>
      <c r="AA927" s="11">
        <v>23.155999999999999</v>
      </c>
      <c r="AB927" s="11">
        <v>24.689</v>
      </c>
      <c r="AC927" s="11">
        <v>26.268999999999998</v>
      </c>
      <c r="AD927" s="11">
        <v>17.936</v>
      </c>
      <c r="AE927" s="11">
        <v>15</v>
      </c>
      <c r="AF927" s="11">
        <v>16</v>
      </c>
      <c r="AG927" s="11">
        <v>14</v>
      </c>
      <c r="AH927" s="11">
        <v>12</v>
      </c>
    </row>
    <row r="928" spans="1:34" s="33" customFormat="1" x14ac:dyDescent="0.2">
      <c r="A928" s="11">
        <v>1115</v>
      </c>
      <c r="B928" s="11"/>
      <c r="C928" s="11"/>
      <c r="D928" s="11"/>
      <c r="E928" s="11"/>
      <c r="F928" s="11" t="s">
        <v>51</v>
      </c>
      <c r="G928" s="11" t="s">
        <v>51</v>
      </c>
      <c r="H928" s="56" t="str">
        <f>VLOOKUP(Table6[[#This Row],[ICD Code]],ICD_summary!$I$3:$M$38,5,0)</f>
        <v>Misc/Other</v>
      </c>
      <c r="I928" s="12">
        <v>71.5</v>
      </c>
      <c r="J9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8" s="11" t="s">
        <v>52</v>
      </c>
      <c r="L928" s="11"/>
      <c r="M928" s="11"/>
      <c r="N928" s="11">
        <v>59.137999999999998</v>
      </c>
      <c r="O928" s="11">
        <v>60.131</v>
      </c>
      <c r="P928" s="11">
        <v>118.63200000000001</v>
      </c>
      <c r="Q928" s="11">
        <v>119.96599999999999</v>
      </c>
      <c r="R928" s="11">
        <v>95.53</v>
      </c>
      <c r="S928" s="11">
        <v>97.099000000000004</v>
      </c>
      <c r="T928" s="11">
        <v>96.072000000000003</v>
      </c>
      <c r="U928" s="11">
        <v>96.635999999999996</v>
      </c>
      <c r="V928" s="11">
        <v>64.486000000000004</v>
      </c>
      <c r="W928" s="11">
        <v>63.104999999999997</v>
      </c>
      <c r="X928" s="11">
        <v>35.514000000000003</v>
      </c>
      <c r="Y928" s="11">
        <v>36.895000000000003</v>
      </c>
      <c r="Z928" s="11">
        <v>14.907</v>
      </c>
      <c r="AA928" s="11">
        <v>12.884</v>
      </c>
      <c r="AB928" s="11">
        <v>36.895000000000003</v>
      </c>
      <c r="AC928" s="11">
        <v>35.514000000000003</v>
      </c>
      <c r="AD928" s="11">
        <v>8.51</v>
      </c>
      <c r="AE928" s="11">
        <v>11</v>
      </c>
      <c r="AF928" s="11">
        <v>11</v>
      </c>
      <c r="AG928" s="11">
        <v>8</v>
      </c>
      <c r="AH928" s="11">
        <v>9</v>
      </c>
    </row>
    <row r="929" spans="1:34" s="33" customFormat="1" x14ac:dyDescent="0.2">
      <c r="A929" s="11">
        <v>1116</v>
      </c>
      <c r="B929" s="11"/>
      <c r="C929" s="11"/>
      <c r="D929" s="11"/>
      <c r="E929" s="11"/>
      <c r="F929" s="11" t="s">
        <v>51</v>
      </c>
      <c r="G929" s="11" t="s">
        <v>51</v>
      </c>
      <c r="H929" s="56" t="str">
        <f>VLOOKUP(Table6[[#This Row],[ICD Code]],ICD_summary!$I$3:$M$38,5,0)</f>
        <v>Misc/Other</v>
      </c>
      <c r="I929" s="12">
        <v>61.3</v>
      </c>
      <c r="J9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9" s="11" t="s">
        <v>51</v>
      </c>
      <c r="L929" s="11"/>
      <c r="M929" s="11"/>
      <c r="N929" s="11" t="s">
        <v>51</v>
      </c>
      <c r="O929" s="11" t="s">
        <v>51</v>
      </c>
      <c r="P929" s="11" t="s">
        <v>51</v>
      </c>
      <c r="Q929" s="11" t="s">
        <v>51</v>
      </c>
      <c r="R929" s="11" t="s">
        <v>51</v>
      </c>
      <c r="S929" s="11" t="s">
        <v>51</v>
      </c>
      <c r="T929" s="11" t="s">
        <v>51</v>
      </c>
      <c r="U929" s="11" t="s">
        <v>51</v>
      </c>
      <c r="V929" s="11" t="s">
        <v>51</v>
      </c>
      <c r="W929" s="11" t="s">
        <v>51</v>
      </c>
      <c r="X929" s="11" t="s">
        <v>51</v>
      </c>
      <c r="Y929" s="11" t="s">
        <v>51</v>
      </c>
      <c r="Z929" s="11" t="s">
        <v>51</v>
      </c>
      <c r="AA929" s="11" t="s">
        <v>51</v>
      </c>
      <c r="AB929" s="11" t="s">
        <v>51</v>
      </c>
      <c r="AC929" s="11" t="s">
        <v>51</v>
      </c>
      <c r="AD929" s="11" t="s">
        <v>51</v>
      </c>
      <c r="AE929" s="11" t="s">
        <v>51</v>
      </c>
      <c r="AF929" s="11" t="s">
        <v>51</v>
      </c>
      <c r="AG929" s="11" t="s">
        <v>51</v>
      </c>
      <c r="AH929" s="11" t="s">
        <v>51</v>
      </c>
    </row>
    <row r="930" spans="1:34" s="33" customFormat="1" x14ac:dyDescent="0.2">
      <c r="A930" s="11">
        <v>1117</v>
      </c>
      <c r="B930" s="11"/>
      <c r="C930" s="11"/>
      <c r="D930" s="11"/>
      <c r="E930" s="11"/>
      <c r="F930" s="11" t="s">
        <v>51</v>
      </c>
      <c r="G930" s="11" t="s">
        <v>51</v>
      </c>
      <c r="H930" s="56" t="str">
        <f>VLOOKUP(Table6[[#This Row],[ICD Code]],ICD_summary!$I$3:$M$38,5,0)</f>
        <v>Misc/Other</v>
      </c>
      <c r="I930" s="12">
        <v>64.8</v>
      </c>
      <c r="J9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0" s="11" t="s">
        <v>55</v>
      </c>
      <c r="L930" s="11"/>
      <c r="M930" s="11"/>
      <c r="N930" s="11">
        <v>30.064</v>
      </c>
      <c r="O930" s="11">
        <v>22.297000000000001</v>
      </c>
      <c r="P930" s="11">
        <v>52.116999999999997</v>
      </c>
      <c r="Q930" s="11">
        <v>51.968000000000004</v>
      </c>
      <c r="R930" s="11">
        <v>51.332000000000001</v>
      </c>
      <c r="S930" s="11">
        <v>51.345999999999997</v>
      </c>
      <c r="T930" s="11">
        <v>117.991</v>
      </c>
      <c r="U930" s="11">
        <v>118.203</v>
      </c>
      <c r="V930" s="11">
        <v>65.367999999999995</v>
      </c>
      <c r="W930" s="11">
        <v>66.545000000000002</v>
      </c>
      <c r="X930" s="11">
        <v>34.631</v>
      </c>
      <c r="Y930" s="11">
        <v>33.454999999999998</v>
      </c>
      <c r="Z930" s="11">
        <v>18.048999999999999</v>
      </c>
      <c r="AA930" s="11">
        <v>14.138</v>
      </c>
      <c r="AB930" s="11">
        <v>33.454999999999998</v>
      </c>
      <c r="AC930" s="11">
        <v>34.631</v>
      </c>
      <c r="AD930" s="11">
        <v>10.826000000000001</v>
      </c>
      <c r="AE930" s="11">
        <v>17</v>
      </c>
      <c r="AF930" s="11">
        <v>16</v>
      </c>
      <c r="AG930" s="11">
        <v>14</v>
      </c>
      <c r="AH930" s="11">
        <v>14</v>
      </c>
    </row>
    <row r="931" spans="1:34" s="33" customFormat="1" x14ac:dyDescent="0.2">
      <c r="A931" s="11">
        <v>1118</v>
      </c>
      <c r="B931" s="11"/>
      <c r="C931" s="11"/>
      <c r="D931" s="11"/>
      <c r="E931" s="11"/>
      <c r="F931" s="11" t="s">
        <v>51</v>
      </c>
      <c r="G931" s="11" t="s">
        <v>51</v>
      </c>
      <c r="H931" s="56" t="str">
        <f>VLOOKUP(Table6[[#This Row],[ICD Code]],ICD_summary!$I$3:$M$38,5,0)</f>
        <v>Misc/Other</v>
      </c>
      <c r="I931" s="12">
        <v>73.900000000000006</v>
      </c>
      <c r="J9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31" s="11" t="s">
        <v>52</v>
      </c>
      <c r="L931" s="11"/>
      <c r="M931" s="11"/>
      <c r="N931" s="11">
        <v>47.180999999999997</v>
      </c>
      <c r="O931" s="11">
        <v>52.177</v>
      </c>
      <c r="P931" s="11">
        <v>99.841999999999999</v>
      </c>
      <c r="Q931" s="11">
        <v>98.783000000000001</v>
      </c>
      <c r="R931" s="11">
        <v>83.456000000000003</v>
      </c>
      <c r="S931" s="11">
        <v>82.632000000000005</v>
      </c>
      <c r="T931" s="11">
        <v>100.34399999999999</v>
      </c>
      <c r="U931" s="11">
        <v>100.372</v>
      </c>
      <c r="V931" s="11">
        <v>66.248000000000005</v>
      </c>
      <c r="W931" s="11">
        <v>66.727999999999994</v>
      </c>
      <c r="X931" s="11">
        <v>33.752000000000002</v>
      </c>
      <c r="Y931" s="11">
        <v>33.271999999999998</v>
      </c>
      <c r="Z931" s="11">
        <v>18.03</v>
      </c>
      <c r="AA931" s="11">
        <v>15.412000000000001</v>
      </c>
      <c r="AB931" s="11">
        <v>33.271999999999998</v>
      </c>
      <c r="AC931" s="11">
        <v>33.752000000000002</v>
      </c>
      <c r="AD931" s="11">
        <v>14.39</v>
      </c>
      <c r="AE931" s="11">
        <v>12</v>
      </c>
      <c r="AF931" s="11">
        <v>10</v>
      </c>
      <c r="AG931" s="11">
        <v>9</v>
      </c>
      <c r="AH931" s="11">
        <v>8</v>
      </c>
    </row>
    <row r="932" spans="1:34" s="33" customFormat="1" x14ac:dyDescent="0.2">
      <c r="A932" s="11">
        <v>1119</v>
      </c>
      <c r="B932" s="11"/>
      <c r="C932" s="11"/>
      <c r="D932" s="11"/>
      <c r="E932" s="11"/>
      <c r="F932" s="11" t="s">
        <v>51</v>
      </c>
      <c r="G932" s="11" t="s">
        <v>51</v>
      </c>
      <c r="H932" s="56" t="str">
        <f>VLOOKUP(Table6[[#This Row],[ICD Code]],ICD_summary!$I$3:$M$38,5,0)</f>
        <v>Misc/Other</v>
      </c>
      <c r="I932" s="12">
        <v>69.900000000000006</v>
      </c>
      <c r="J9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2" s="11" t="s">
        <v>52</v>
      </c>
      <c r="L932" s="11"/>
      <c r="M932" s="11"/>
      <c r="N932" s="11">
        <v>42.685000000000002</v>
      </c>
      <c r="O932" s="11">
        <v>41.747</v>
      </c>
      <c r="P932" s="11">
        <v>85.248000000000005</v>
      </c>
      <c r="Q932" s="11">
        <v>84.251999999999995</v>
      </c>
      <c r="R932" s="11">
        <v>54.881999999999998</v>
      </c>
      <c r="S932" s="11">
        <v>54.311999999999998</v>
      </c>
      <c r="T932" s="11">
        <v>77.305000000000007</v>
      </c>
      <c r="U932" s="11">
        <v>77.608000000000004</v>
      </c>
      <c r="V932" s="11">
        <v>69.248999999999995</v>
      </c>
      <c r="W932" s="11">
        <v>69.165000000000006</v>
      </c>
      <c r="X932" s="11">
        <v>30.751000000000001</v>
      </c>
      <c r="Y932" s="11">
        <v>30.835000000000001</v>
      </c>
      <c r="Z932" s="11">
        <v>17.318999999999999</v>
      </c>
      <c r="AA932" s="11">
        <v>21.594999999999999</v>
      </c>
      <c r="AB932" s="11">
        <v>30.835000000000001</v>
      </c>
      <c r="AC932" s="11">
        <v>30.751000000000001</v>
      </c>
      <c r="AD932" s="11">
        <v>14.818</v>
      </c>
      <c r="AE932" s="11">
        <v>13</v>
      </c>
      <c r="AF932" s="11">
        <v>14</v>
      </c>
      <c r="AG932" s="11">
        <v>10</v>
      </c>
      <c r="AH932" s="11">
        <v>12</v>
      </c>
    </row>
    <row r="933" spans="1:34" s="33" customFormat="1" x14ac:dyDescent="0.2">
      <c r="A933" s="11">
        <v>1120</v>
      </c>
      <c r="B933" s="11"/>
      <c r="C933" s="11"/>
      <c r="D933" s="11"/>
      <c r="E933" s="11"/>
      <c r="F933" s="11" t="s">
        <v>51</v>
      </c>
      <c r="G933" s="11" t="s">
        <v>51</v>
      </c>
      <c r="H933" s="56" t="str">
        <f>VLOOKUP(Table6[[#This Row],[ICD Code]],ICD_summary!$I$3:$M$38,5,0)</f>
        <v>Misc/Other</v>
      </c>
      <c r="I933" s="12">
        <v>65.3</v>
      </c>
      <c r="J9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3" s="11" t="s">
        <v>52</v>
      </c>
      <c r="L933" s="11"/>
      <c r="M933" s="11"/>
      <c r="N933" s="11" t="s">
        <v>51</v>
      </c>
      <c r="O933" s="11" t="s">
        <v>51</v>
      </c>
      <c r="P933" s="11" t="s">
        <v>51</v>
      </c>
      <c r="Q933" s="11" t="s">
        <v>51</v>
      </c>
      <c r="R933" s="11" t="s">
        <v>51</v>
      </c>
      <c r="S933" s="11" t="s">
        <v>51</v>
      </c>
      <c r="T933" s="11" t="s">
        <v>51</v>
      </c>
      <c r="U933" s="11" t="s">
        <v>51</v>
      </c>
      <c r="V933" s="11" t="s">
        <v>51</v>
      </c>
      <c r="W933" s="11" t="s">
        <v>51</v>
      </c>
      <c r="X933" s="11" t="s">
        <v>51</v>
      </c>
      <c r="Y933" s="11" t="s">
        <v>51</v>
      </c>
      <c r="Z933" s="11" t="s">
        <v>51</v>
      </c>
      <c r="AA933" s="11" t="s">
        <v>51</v>
      </c>
      <c r="AB933" s="11" t="s">
        <v>51</v>
      </c>
      <c r="AC933" s="11" t="s">
        <v>51</v>
      </c>
      <c r="AD933" s="11" t="s">
        <v>51</v>
      </c>
      <c r="AE933" s="11" t="s">
        <v>51</v>
      </c>
      <c r="AF933" s="11" t="s">
        <v>51</v>
      </c>
      <c r="AG933" s="11" t="s">
        <v>51</v>
      </c>
      <c r="AH933" s="11" t="s">
        <v>51</v>
      </c>
    </row>
    <row r="934" spans="1:34" s="33" customFormat="1" x14ac:dyDescent="0.2">
      <c r="A934" s="11">
        <v>1121</v>
      </c>
      <c r="B934" s="11"/>
      <c r="C934" s="11"/>
      <c r="D934" s="11"/>
      <c r="E934" s="11"/>
      <c r="F934" s="11" t="s">
        <v>51</v>
      </c>
      <c r="G934" s="11" t="s">
        <v>51</v>
      </c>
      <c r="H934" s="56" t="str">
        <f>VLOOKUP(Table6[[#This Row],[ICD Code]],ICD_summary!$I$3:$M$38,5,0)</f>
        <v>Misc/Other</v>
      </c>
      <c r="I934" s="12">
        <v>68.2</v>
      </c>
      <c r="J9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4" s="11" t="s">
        <v>52</v>
      </c>
      <c r="L934" s="11"/>
      <c r="M934" s="11"/>
      <c r="N934" s="11">
        <v>57.655000000000001</v>
      </c>
      <c r="O934" s="11">
        <v>58.731000000000002</v>
      </c>
      <c r="P934" s="11">
        <v>115.962</v>
      </c>
      <c r="Q934" s="11">
        <v>116.67100000000001</v>
      </c>
      <c r="R934" s="11">
        <v>97.087000000000003</v>
      </c>
      <c r="S934" s="11">
        <v>98.686000000000007</v>
      </c>
      <c r="T934" s="11">
        <v>100.08</v>
      </c>
      <c r="U934" s="11">
        <v>101.416</v>
      </c>
      <c r="V934" s="11">
        <v>62.652000000000001</v>
      </c>
      <c r="W934" s="11">
        <v>65.703999999999994</v>
      </c>
      <c r="X934" s="11">
        <v>37.347999999999999</v>
      </c>
      <c r="Y934" s="11">
        <v>34.295999999999999</v>
      </c>
      <c r="Z934" s="11">
        <v>12.573</v>
      </c>
      <c r="AA934" s="11">
        <v>14.866</v>
      </c>
      <c r="AB934" s="11">
        <v>34.295999999999999</v>
      </c>
      <c r="AC934" s="11">
        <v>37.347999999999999</v>
      </c>
      <c r="AD934" s="11">
        <v>17.54</v>
      </c>
      <c r="AE934" s="11">
        <v>10</v>
      </c>
      <c r="AF934" s="11">
        <v>12</v>
      </c>
      <c r="AG934" s="11">
        <v>9</v>
      </c>
      <c r="AH934" s="11">
        <v>8</v>
      </c>
    </row>
    <row r="935" spans="1:34" s="33" customFormat="1" x14ac:dyDescent="0.2">
      <c r="A935" s="11">
        <v>1122</v>
      </c>
      <c r="B935" s="11"/>
      <c r="C935" s="11"/>
      <c r="D935" s="11"/>
      <c r="E935" s="11"/>
      <c r="F935" s="11" t="s">
        <v>51</v>
      </c>
      <c r="G935" s="11" t="s">
        <v>51</v>
      </c>
      <c r="H935" s="56" t="str">
        <f>VLOOKUP(Table6[[#This Row],[ICD Code]],ICD_summary!$I$3:$M$38,5,0)</f>
        <v>Misc/Other</v>
      </c>
      <c r="I935" s="12">
        <v>25.7</v>
      </c>
      <c r="J9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935" s="11" t="s">
        <v>55</v>
      </c>
      <c r="L935" s="11"/>
      <c r="M935" s="11"/>
      <c r="N935" s="11">
        <v>45.886000000000003</v>
      </c>
      <c r="O935" s="11">
        <v>47.201999999999998</v>
      </c>
      <c r="P935" s="11">
        <v>93.239000000000004</v>
      </c>
      <c r="Q935" s="11">
        <v>92.587999999999994</v>
      </c>
      <c r="R935" s="11">
        <v>80.27</v>
      </c>
      <c r="S935" s="11">
        <v>79.519000000000005</v>
      </c>
      <c r="T935" s="11">
        <v>103.14100000000001</v>
      </c>
      <c r="U935" s="11">
        <v>102.85599999999999</v>
      </c>
      <c r="V935" s="11">
        <v>63.598999999999997</v>
      </c>
      <c r="W935" s="11">
        <v>64.757000000000005</v>
      </c>
      <c r="X935" s="11">
        <v>36.401000000000003</v>
      </c>
      <c r="Y935" s="11">
        <v>35.243000000000002</v>
      </c>
      <c r="Z935" s="11">
        <v>15.492000000000001</v>
      </c>
      <c r="AA935" s="11">
        <v>13.423999999999999</v>
      </c>
      <c r="AB935" s="11">
        <v>35.243000000000002</v>
      </c>
      <c r="AC935" s="11">
        <v>36.401000000000003</v>
      </c>
      <c r="AD935" s="11">
        <v>12.808</v>
      </c>
      <c r="AE935" s="11">
        <v>12</v>
      </c>
      <c r="AF935" s="11">
        <v>10</v>
      </c>
      <c r="AG935" s="11">
        <v>5</v>
      </c>
      <c r="AH935" s="11">
        <v>5</v>
      </c>
    </row>
    <row r="936" spans="1:34" s="33" customFormat="1" x14ac:dyDescent="0.2">
      <c r="A936" s="11">
        <v>1123</v>
      </c>
      <c r="B936" s="11"/>
      <c r="C936" s="11"/>
      <c r="D936" s="11"/>
      <c r="E936" s="11"/>
      <c r="F936" s="11" t="s">
        <v>51</v>
      </c>
      <c r="G936" s="11" t="s">
        <v>51</v>
      </c>
      <c r="H936" s="56" t="str">
        <f>VLOOKUP(Table6[[#This Row],[ICD Code]],ICD_summary!$I$3:$M$38,5,0)</f>
        <v>Misc/Other</v>
      </c>
      <c r="I936" s="12">
        <v>25.9</v>
      </c>
      <c r="J9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936" s="11" t="s">
        <v>55</v>
      </c>
      <c r="L936" s="11"/>
      <c r="M936" s="11"/>
      <c r="N936" s="11">
        <v>52.454000000000001</v>
      </c>
      <c r="O936" s="11">
        <v>51.514000000000003</v>
      </c>
      <c r="P936" s="11">
        <v>104.50700000000001</v>
      </c>
      <c r="Q936" s="11">
        <v>103.783</v>
      </c>
      <c r="R936" s="11">
        <v>75.677999999999997</v>
      </c>
      <c r="S936" s="11">
        <v>75.114999999999995</v>
      </c>
      <c r="T936" s="11">
        <v>86.576999999999998</v>
      </c>
      <c r="U936" s="11">
        <v>86.474000000000004</v>
      </c>
      <c r="V936" s="11">
        <v>66.251000000000005</v>
      </c>
      <c r="W936" s="11">
        <v>66.489999999999995</v>
      </c>
      <c r="X936" s="11">
        <v>33.749000000000002</v>
      </c>
      <c r="Y936" s="11">
        <v>33.51</v>
      </c>
      <c r="Z936" s="11">
        <v>16.539000000000001</v>
      </c>
      <c r="AA936" s="11">
        <v>16.259</v>
      </c>
      <c r="AB936" s="11">
        <v>33.51</v>
      </c>
      <c r="AC936" s="11">
        <v>33.749000000000002</v>
      </c>
      <c r="AD936" s="11">
        <v>10.507999999999999</v>
      </c>
      <c r="AE936" s="11">
        <v>14</v>
      </c>
      <c r="AF936" s="11">
        <v>13</v>
      </c>
      <c r="AG936" s="11">
        <v>11</v>
      </c>
      <c r="AH936" s="11">
        <v>11</v>
      </c>
    </row>
    <row r="937" spans="1:34" s="33" customFormat="1" x14ac:dyDescent="0.2">
      <c r="A937" s="11">
        <v>1124</v>
      </c>
      <c r="B937" s="11"/>
      <c r="C937" s="11"/>
      <c r="D937" s="11"/>
      <c r="E937" s="11"/>
      <c r="F937" s="11" t="s">
        <v>51</v>
      </c>
      <c r="G937" s="11" t="s">
        <v>51</v>
      </c>
      <c r="H937" s="56" t="str">
        <f>VLOOKUP(Table6[[#This Row],[ICD Code]],ICD_summary!$I$3:$M$38,5,0)</f>
        <v>Misc/Other</v>
      </c>
      <c r="I937" s="12">
        <v>999</v>
      </c>
      <c r="J9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37" s="11" t="s">
        <v>55</v>
      </c>
      <c r="L937" s="11"/>
      <c r="M937" s="11"/>
      <c r="N937" s="11" t="s">
        <v>51</v>
      </c>
      <c r="O937" s="11" t="s">
        <v>51</v>
      </c>
      <c r="P937" s="11" t="s">
        <v>51</v>
      </c>
      <c r="Q937" s="11" t="s">
        <v>51</v>
      </c>
      <c r="R937" s="11" t="s">
        <v>51</v>
      </c>
      <c r="S937" s="11" t="s">
        <v>51</v>
      </c>
      <c r="T937" s="11" t="s">
        <v>51</v>
      </c>
      <c r="U937" s="11" t="s">
        <v>51</v>
      </c>
      <c r="V937" s="11" t="s">
        <v>51</v>
      </c>
      <c r="W937" s="11" t="s">
        <v>51</v>
      </c>
      <c r="X937" s="11" t="s">
        <v>51</v>
      </c>
      <c r="Y937" s="11" t="s">
        <v>51</v>
      </c>
      <c r="Z937" s="11" t="s">
        <v>51</v>
      </c>
      <c r="AA937" s="11" t="s">
        <v>51</v>
      </c>
      <c r="AB937" s="11" t="s">
        <v>51</v>
      </c>
      <c r="AC937" s="11" t="s">
        <v>51</v>
      </c>
      <c r="AD937" s="11" t="s">
        <v>51</v>
      </c>
      <c r="AE937" s="11" t="s">
        <v>51</v>
      </c>
      <c r="AF937" s="11" t="s">
        <v>51</v>
      </c>
      <c r="AG937" s="11" t="s">
        <v>51</v>
      </c>
      <c r="AH937" s="11" t="s">
        <v>51</v>
      </c>
    </row>
    <row r="938" spans="1:34" s="33" customFormat="1" x14ac:dyDescent="0.2">
      <c r="A938" s="11">
        <v>1125</v>
      </c>
      <c r="B938" s="11"/>
      <c r="C938" s="11"/>
      <c r="D938" s="11"/>
      <c r="E938" s="11"/>
      <c r="F938" s="11" t="s">
        <v>51</v>
      </c>
      <c r="G938" s="11" t="s">
        <v>51</v>
      </c>
      <c r="H938" s="56" t="str">
        <f>VLOOKUP(Table6[[#This Row],[ICD Code]],ICD_summary!$I$3:$M$38,5,0)</f>
        <v>Misc/Other</v>
      </c>
      <c r="I938" s="12">
        <v>55</v>
      </c>
      <c r="J9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38" s="11" t="s">
        <v>55</v>
      </c>
      <c r="L938" s="11"/>
      <c r="M938" s="11"/>
      <c r="N938" s="11">
        <v>44.877000000000002</v>
      </c>
      <c r="O938" s="11">
        <v>42.018999999999998</v>
      </c>
      <c r="P938" s="11">
        <v>86.165999999999997</v>
      </c>
      <c r="Q938" s="11">
        <v>88.622</v>
      </c>
      <c r="R938" s="11">
        <v>79.135999999999996</v>
      </c>
      <c r="S938" s="11">
        <v>80.95</v>
      </c>
      <c r="T938" s="11">
        <v>110.22</v>
      </c>
      <c r="U938" s="11">
        <v>111.379</v>
      </c>
      <c r="V938" s="11">
        <v>65.893000000000001</v>
      </c>
      <c r="W938" s="11">
        <v>62.616</v>
      </c>
      <c r="X938" s="11">
        <v>34.106999999999999</v>
      </c>
      <c r="Y938" s="11">
        <v>37.384</v>
      </c>
      <c r="Z938" s="11">
        <v>15.196</v>
      </c>
      <c r="AA938" s="11">
        <v>13.632999999999999</v>
      </c>
      <c r="AB938" s="11">
        <v>37.384</v>
      </c>
      <c r="AC938" s="11">
        <v>34.106999999999999</v>
      </c>
      <c r="AD938" s="11">
        <v>11.832000000000001</v>
      </c>
      <c r="AE938" s="11">
        <v>15</v>
      </c>
      <c r="AF938" s="11">
        <v>14</v>
      </c>
      <c r="AG938" s="11">
        <v>11</v>
      </c>
      <c r="AH938" s="11">
        <v>13</v>
      </c>
    </row>
    <row r="939" spans="1:34" s="33" customFormat="1" x14ac:dyDescent="0.2">
      <c r="A939" s="11">
        <v>1126</v>
      </c>
      <c r="B939" s="11"/>
      <c r="C939" s="11"/>
      <c r="D939" s="11"/>
      <c r="E939" s="11"/>
      <c r="F939" s="11" t="s">
        <v>51</v>
      </c>
      <c r="G939" s="11" t="s">
        <v>51</v>
      </c>
      <c r="H939" s="56" t="str">
        <f>VLOOKUP(Table6[[#This Row],[ICD Code]],ICD_summary!$I$3:$M$38,5,0)</f>
        <v>Misc/Other</v>
      </c>
      <c r="I939" s="12">
        <v>70.2</v>
      </c>
      <c r="J9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39" s="11" t="s">
        <v>52</v>
      </c>
      <c r="L939" s="11"/>
      <c r="M939" s="11"/>
      <c r="N939" s="11">
        <v>56.353000000000002</v>
      </c>
      <c r="O939" s="11">
        <v>58.097000000000001</v>
      </c>
      <c r="P939" s="11">
        <v>114.858</v>
      </c>
      <c r="Q939" s="11">
        <v>114.45099999999999</v>
      </c>
      <c r="R939" s="11">
        <v>103.36</v>
      </c>
      <c r="S939" s="11">
        <v>103.252</v>
      </c>
      <c r="T939" s="11">
        <v>107.66200000000001</v>
      </c>
      <c r="U939" s="11">
        <v>107.577</v>
      </c>
      <c r="V939" s="11">
        <v>64.265000000000001</v>
      </c>
      <c r="W939" s="11">
        <v>62.164000000000001</v>
      </c>
      <c r="X939" s="11">
        <v>35.734000000000002</v>
      </c>
      <c r="Y939" s="11">
        <v>37.835999999999999</v>
      </c>
      <c r="Z939" s="11">
        <v>13.968</v>
      </c>
      <c r="AA939" s="11">
        <v>12.86</v>
      </c>
      <c r="AB939" s="11">
        <v>37.835999999999999</v>
      </c>
      <c r="AC939" s="11">
        <v>35.734000000000002</v>
      </c>
      <c r="AD939" s="11">
        <v>13.272</v>
      </c>
      <c r="AE939" s="11">
        <v>10</v>
      </c>
      <c r="AF939" s="11">
        <v>14</v>
      </c>
      <c r="AG939" s="11">
        <v>10</v>
      </c>
      <c r="AH939" s="11">
        <v>9</v>
      </c>
    </row>
    <row r="940" spans="1:34" s="33" customFormat="1" x14ac:dyDescent="0.2">
      <c r="A940" s="11">
        <v>1127</v>
      </c>
      <c r="B940" s="11"/>
      <c r="C940" s="11"/>
      <c r="D940" s="11"/>
      <c r="E940" s="11"/>
      <c r="F940" s="11" t="s">
        <v>51</v>
      </c>
      <c r="G940" s="11" t="s">
        <v>51</v>
      </c>
      <c r="H940" s="56" t="str">
        <f>VLOOKUP(Table6[[#This Row],[ICD Code]],ICD_summary!$I$3:$M$38,5,0)</f>
        <v>Misc/Other</v>
      </c>
      <c r="I940" s="12">
        <v>38</v>
      </c>
      <c r="J9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940" s="11" t="s">
        <v>55</v>
      </c>
      <c r="L940" s="11"/>
      <c r="M940" s="11"/>
      <c r="N940" s="11" t="s">
        <v>51</v>
      </c>
      <c r="O940" s="11" t="s">
        <v>51</v>
      </c>
      <c r="P940" s="11" t="s">
        <v>51</v>
      </c>
      <c r="Q940" s="11" t="s">
        <v>51</v>
      </c>
      <c r="R940" s="11" t="s">
        <v>51</v>
      </c>
      <c r="S940" s="11" t="s">
        <v>51</v>
      </c>
      <c r="T940" s="11" t="s">
        <v>51</v>
      </c>
      <c r="U940" s="11" t="s">
        <v>51</v>
      </c>
      <c r="V940" s="11" t="s">
        <v>51</v>
      </c>
      <c r="W940" s="11" t="s">
        <v>51</v>
      </c>
      <c r="X940" s="11" t="s">
        <v>51</v>
      </c>
      <c r="Y940" s="11" t="s">
        <v>51</v>
      </c>
      <c r="Z940" s="11" t="s">
        <v>51</v>
      </c>
      <c r="AA940" s="11" t="s">
        <v>51</v>
      </c>
      <c r="AB940" s="11" t="s">
        <v>51</v>
      </c>
      <c r="AC940" s="11" t="s">
        <v>51</v>
      </c>
      <c r="AD940" s="11" t="s">
        <v>51</v>
      </c>
      <c r="AE940" s="11" t="s">
        <v>51</v>
      </c>
      <c r="AF940" s="11" t="s">
        <v>51</v>
      </c>
      <c r="AG940" s="11" t="s">
        <v>51</v>
      </c>
      <c r="AH940" s="11" t="s">
        <v>51</v>
      </c>
    </row>
    <row r="941" spans="1:34" s="33" customFormat="1" x14ac:dyDescent="0.2">
      <c r="A941" s="11">
        <v>1128</v>
      </c>
      <c r="B941" s="11"/>
      <c r="C941" s="11"/>
      <c r="D941" s="11"/>
      <c r="E941" s="11"/>
      <c r="F941" s="11" t="s">
        <v>51</v>
      </c>
      <c r="G941" s="11" t="s">
        <v>51</v>
      </c>
      <c r="H941" s="56" t="str">
        <f>VLOOKUP(Table6[[#This Row],[ICD Code]],ICD_summary!$I$3:$M$38,5,0)</f>
        <v>Misc/Other</v>
      </c>
      <c r="I941" s="12">
        <v>999</v>
      </c>
      <c r="J9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41" s="11" t="s">
        <v>52</v>
      </c>
      <c r="L941" s="11"/>
      <c r="M941" s="11"/>
      <c r="N941" s="11" t="s">
        <v>51</v>
      </c>
      <c r="O941" s="11" t="s">
        <v>51</v>
      </c>
      <c r="P941" s="11" t="s">
        <v>51</v>
      </c>
      <c r="Q941" s="11" t="s">
        <v>51</v>
      </c>
      <c r="R941" s="11" t="s">
        <v>51</v>
      </c>
      <c r="S941" s="11" t="s">
        <v>51</v>
      </c>
      <c r="T941" s="11" t="s">
        <v>51</v>
      </c>
      <c r="U941" s="11" t="s">
        <v>51</v>
      </c>
      <c r="V941" s="11" t="s">
        <v>51</v>
      </c>
      <c r="W941" s="11" t="s">
        <v>51</v>
      </c>
      <c r="X941" s="11" t="s">
        <v>51</v>
      </c>
      <c r="Y941" s="11" t="s">
        <v>51</v>
      </c>
      <c r="Z941" s="11" t="s">
        <v>51</v>
      </c>
      <c r="AA941" s="11" t="s">
        <v>51</v>
      </c>
      <c r="AB941" s="11" t="s">
        <v>51</v>
      </c>
      <c r="AC941" s="11" t="s">
        <v>51</v>
      </c>
      <c r="AD941" s="11" t="s">
        <v>51</v>
      </c>
      <c r="AE941" s="11" t="s">
        <v>51</v>
      </c>
      <c r="AF941" s="11" t="s">
        <v>51</v>
      </c>
      <c r="AG941" s="11" t="s">
        <v>51</v>
      </c>
      <c r="AH941" s="11" t="s">
        <v>51</v>
      </c>
    </row>
    <row r="942" spans="1:34" s="33" customFormat="1" x14ac:dyDescent="0.2">
      <c r="A942" s="11">
        <v>1129</v>
      </c>
      <c r="B942" s="11"/>
      <c r="C942" s="11"/>
      <c r="D942" s="11"/>
      <c r="E942" s="11"/>
      <c r="F942" s="11" t="s">
        <v>51</v>
      </c>
      <c r="G942" s="11" t="s">
        <v>51</v>
      </c>
      <c r="H942" s="56" t="str">
        <f>VLOOKUP(Table6[[#This Row],[ICD Code]],ICD_summary!$I$3:$M$38,5,0)</f>
        <v>Misc/Other</v>
      </c>
      <c r="I942" s="12">
        <v>36.4</v>
      </c>
      <c r="J9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942" s="11" t="s">
        <v>55</v>
      </c>
      <c r="L942" s="11"/>
      <c r="M942" s="11"/>
      <c r="N942" s="11" t="s">
        <v>51</v>
      </c>
      <c r="O942" s="11" t="s">
        <v>51</v>
      </c>
      <c r="P942" s="11" t="s">
        <v>51</v>
      </c>
      <c r="Q942" s="11" t="s">
        <v>51</v>
      </c>
      <c r="R942" s="11" t="s">
        <v>51</v>
      </c>
      <c r="S942" s="11" t="s">
        <v>51</v>
      </c>
      <c r="T942" s="11" t="s">
        <v>51</v>
      </c>
      <c r="U942" s="11" t="s">
        <v>51</v>
      </c>
      <c r="V942" s="11" t="s">
        <v>51</v>
      </c>
      <c r="W942" s="11" t="s">
        <v>51</v>
      </c>
      <c r="X942" s="11" t="s">
        <v>51</v>
      </c>
      <c r="Y942" s="11" t="s">
        <v>51</v>
      </c>
      <c r="Z942" s="11" t="s">
        <v>51</v>
      </c>
      <c r="AA942" s="11" t="s">
        <v>51</v>
      </c>
      <c r="AB942" s="11" t="s">
        <v>51</v>
      </c>
      <c r="AC942" s="11" t="s">
        <v>51</v>
      </c>
      <c r="AD942" s="11" t="s">
        <v>51</v>
      </c>
      <c r="AE942" s="11" t="s">
        <v>51</v>
      </c>
      <c r="AF942" s="11" t="s">
        <v>51</v>
      </c>
      <c r="AG942" s="11" t="s">
        <v>51</v>
      </c>
      <c r="AH942" s="11" t="s">
        <v>51</v>
      </c>
    </row>
    <row r="943" spans="1:34" s="33" customFormat="1" x14ac:dyDescent="0.2">
      <c r="A943" s="11">
        <v>1130</v>
      </c>
      <c r="B943" s="11"/>
      <c r="C943" s="11"/>
      <c r="D943" s="11"/>
      <c r="E943" s="11"/>
      <c r="F943" s="11" t="s">
        <v>51</v>
      </c>
      <c r="G943" s="11" t="s">
        <v>51</v>
      </c>
      <c r="H943" s="56" t="str">
        <f>VLOOKUP(Table6[[#This Row],[ICD Code]],ICD_summary!$I$3:$M$38,5,0)</f>
        <v>Misc/Other</v>
      </c>
      <c r="I943" s="12">
        <v>70.900000000000006</v>
      </c>
      <c r="J9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3" s="11" t="s">
        <v>52</v>
      </c>
      <c r="L943" s="11"/>
      <c r="M943" s="11"/>
      <c r="N943" s="11" t="s">
        <v>51</v>
      </c>
      <c r="O943" s="11" t="s">
        <v>51</v>
      </c>
      <c r="P943" s="11" t="s">
        <v>51</v>
      </c>
      <c r="Q943" s="11" t="s">
        <v>51</v>
      </c>
      <c r="R943" s="11" t="s">
        <v>51</v>
      </c>
      <c r="S943" s="11" t="s">
        <v>51</v>
      </c>
      <c r="T943" s="11" t="s">
        <v>51</v>
      </c>
      <c r="U943" s="11" t="s">
        <v>51</v>
      </c>
      <c r="V943" s="11" t="s">
        <v>51</v>
      </c>
      <c r="W943" s="11" t="s">
        <v>51</v>
      </c>
      <c r="X943" s="11" t="s">
        <v>51</v>
      </c>
      <c r="Y943" s="11" t="s">
        <v>51</v>
      </c>
      <c r="Z943" s="11" t="s">
        <v>51</v>
      </c>
      <c r="AA943" s="11" t="s">
        <v>51</v>
      </c>
      <c r="AB943" s="11" t="s">
        <v>51</v>
      </c>
      <c r="AC943" s="11" t="s">
        <v>51</v>
      </c>
      <c r="AD943" s="11" t="s">
        <v>51</v>
      </c>
      <c r="AE943" s="11" t="s">
        <v>51</v>
      </c>
      <c r="AF943" s="11" t="s">
        <v>51</v>
      </c>
      <c r="AG943" s="11" t="s">
        <v>51</v>
      </c>
      <c r="AH943" s="11" t="s">
        <v>51</v>
      </c>
    </row>
    <row r="944" spans="1:34" s="33" customFormat="1" x14ac:dyDescent="0.2">
      <c r="A944" s="11">
        <v>1131</v>
      </c>
      <c r="B944" s="11"/>
      <c r="C944" s="11"/>
      <c r="D944" s="11"/>
      <c r="E944" s="11"/>
      <c r="F944" s="11" t="s">
        <v>51</v>
      </c>
      <c r="G944" s="11" t="s">
        <v>51</v>
      </c>
      <c r="H944" s="56" t="str">
        <f>VLOOKUP(Table6[[#This Row],[ICD Code]],ICD_summary!$I$3:$M$38,5,0)</f>
        <v>Misc/Other</v>
      </c>
      <c r="I944" s="12">
        <v>63.1</v>
      </c>
      <c r="J9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4" s="11" t="s">
        <v>55</v>
      </c>
      <c r="L944" s="11"/>
      <c r="M944" s="11"/>
      <c r="N944" s="11" t="s">
        <v>51</v>
      </c>
      <c r="O944" s="11" t="s">
        <v>51</v>
      </c>
      <c r="P944" s="11" t="s">
        <v>51</v>
      </c>
      <c r="Q944" s="11" t="s">
        <v>51</v>
      </c>
      <c r="R944" s="11" t="s">
        <v>51</v>
      </c>
      <c r="S944" s="11" t="s">
        <v>51</v>
      </c>
      <c r="T944" s="11" t="s">
        <v>51</v>
      </c>
      <c r="U944" s="11" t="s">
        <v>51</v>
      </c>
      <c r="V944" s="11" t="s">
        <v>51</v>
      </c>
      <c r="W944" s="11" t="s">
        <v>51</v>
      </c>
      <c r="X944" s="11" t="s">
        <v>51</v>
      </c>
      <c r="Y944" s="11" t="s">
        <v>51</v>
      </c>
      <c r="Z944" s="11" t="s">
        <v>51</v>
      </c>
      <c r="AA944" s="11" t="s">
        <v>51</v>
      </c>
      <c r="AB944" s="11" t="s">
        <v>51</v>
      </c>
      <c r="AC944" s="11" t="s">
        <v>51</v>
      </c>
      <c r="AD944" s="11" t="s">
        <v>51</v>
      </c>
      <c r="AE944" s="11" t="s">
        <v>51</v>
      </c>
      <c r="AF944" s="11" t="s">
        <v>51</v>
      </c>
      <c r="AG944" s="11" t="s">
        <v>51</v>
      </c>
      <c r="AH944" s="11" t="s">
        <v>51</v>
      </c>
    </row>
    <row r="945" spans="1:34" s="33" customFormat="1" x14ac:dyDescent="0.2">
      <c r="A945" s="11">
        <v>1132</v>
      </c>
      <c r="B945" s="11"/>
      <c r="C945" s="11"/>
      <c r="D945" s="11"/>
      <c r="E945" s="11"/>
      <c r="F945" s="11" t="s">
        <v>51</v>
      </c>
      <c r="G945" s="11" t="s">
        <v>51</v>
      </c>
      <c r="H945" s="56" t="str">
        <f>VLOOKUP(Table6[[#This Row],[ICD Code]],ICD_summary!$I$3:$M$38,5,0)</f>
        <v>Misc/Other</v>
      </c>
      <c r="I945" s="12">
        <v>81.099999999999994</v>
      </c>
      <c r="J9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945" s="11" t="s">
        <v>55</v>
      </c>
      <c r="L945" s="11"/>
      <c r="M945" s="11"/>
      <c r="N945" s="11" t="s">
        <v>51</v>
      </c>
      <c r="O945" s="11" t="s">
        <v>51</v>
      </c>
      <c r="P945" s="11" t="s">
        <v>51</v>
      </c>
      <c r="Q945" s="11" t="s">
        <v>51</v>
      </c>
      <c r="R945" s="11" t="s">
        <v>51</v>
      </c>
      <c r="S945" s="11" t="s">
        <v>51</v>
      </c>
      <c r="T945" s="11" t="s">
        <v>51</v>
      </c>
      <c r="U945" s="11" t="s">
        <v>51</v>
      </c>
      <c r="V945" s="11" t="s">
        <v>51</v>
      </c>
      <c r="W945" s="11" t="s">
        <v>51</v>
      </c>
      <c r="X945" s="11" t="s">
        <v>51</v>
      </c>
      <c r="Y945" s="11" t="s">
        <v>51</v>
      </c>
      <c r="Z945" s="11" t="s">
        <v>51</v>
      </c>
      <c r="AA945" s="11" t="s">
        <v>51</v>
      </c>
      <c r="AB945" s="11" t="s">
        <v>51</v>
      </c>
      <c r="AC945" s="11" t="s">
        <v>51</v>
      </c>
      <c r="AD945" s="11" t="s">
        <v>51</v>
      </c>
      <c r="AE945" s="11" t="s">
        <v>51</v>
      </c>
      <c r="AF945" s="11" t="s">
        <v>51</v>
      </c>
      <c r="AG945" s="11" t="s">
        <v>51</v>
      </c>
      <c r="AH945" s="11" t="s">
        <v>51</v>
      </c>
    </row>
    <row r="946" spans="1:34" s="33" customFormat="1" x14ac:dyDescent="0.2">
      <c r="A946" s="11">
        <v>1133</v>
      </c>
      <c r="B946" s="11"/>
      <c r="C946" s="11"/>
      <c r="D946" s="11"/>
      <c r="E946" s="11"/>
      <c r="F946" s="11" t="s">
        <v>51</v>
      </c>
      <c r="G946" s="11" t="s">
        <v>51</v>
      </c>
      <c r="H946" s="56" t="str">
        <f>VLOOKUP(Table6[[#This Row],[ICD Code]],ICD_summary!$I$3:$M$38,5,0)</f>
        <v>Misc/Other</v>
      </c>
      <c r="I946" s="12">
        <v>62.9</v>
      </c>
      <c r="J9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6" s="11" t="s">
        <v>52</v>
      </c>
      <c r="L946" s="11"/>
      <c r="M946" s="11"/>
      <c r="N946" s="11" t="s">
        <v>51</v>
      </c>
      <c r="O946" s="11" t="s">
        <v>51</v>
      </c>
      <c r="P946" s="11" t="s">
        <v>51</v>
      </c>
      <c r="Q946" s="11" t="s">
        <v>51</v>
      </c>
      <c r="R946" s="11" t="s">
        <v>51</v>
      </c>
      <c r="S946" s="11" t="s">
        <v>51</v>
      </c>
      <c r="T946" s="11" t="s">
        <v>51</v>
      </c>
      <c r="U946" s="11" t="s">
        <v>51</v>
      </c>
      <c r="V946" s="11" t="s">
        <v>51</v>
      </c>
      <c r="W946" s="11" t="s">
        <v>51</v>
      </c>
      <c r="X946" s="11" t="s">
        <v>51</v>
      </c>
      <c r="Y946" s="11" t="s">
        <v>51</v>
      </c>
      <c r="Z946" s="11" t="s">
        <v>51</v>
      </c>
      <c r="AA946" s="11" t="s">
        <v>51</v>
      </c>
      <c r="AB946" s="11" t="s">
        <v>51</v>
      </c>
      <c r="AC946" s="11" t="s">
        <v>51</v>
      </c>
      <c r="AD946" s="11" t="s">
        <v>51</v>
      </c>
      <c r="AE946" s="11" t="s">
        <v>51</v>
      </c>
      <c r="AF946" s="11" t="s">
        <v>51</v>
      </c>
      <c r="AG946" s="11" t="s">
        <v>51</v>
      </c>
      <c r="AH946" s="11" t="s">
        <v>51</v>
      </c>
    </row>
    <row r="947" spans="1:34" s="33" customFormat="1" x14ac:dyDescent="0.2">
      <c r="A947" s="11">
        <v>1134</v>
      </c>
      <c r="B947" s="11"/>
      <c r="C947" s="11"/>
      <c r="D947" s="11"/>
      <c r="E947" s="11"/>
      <c r="F947" s="11" t="s">
        <v>51</v>
      </c>
      <c r="G947" s="11" t="s">
        <v>51</v>
      </c>
      <c r="H947" s="56" t="str">
        <f>VLOOKUP(Table6[[#This Row],[ICD Code]],ICD_summary!$I$3:$M$38,5,0)</f>
        <v>Misc/Other</v>
      </c>
      <c r="I947" s="12">
        <v>60.7</v>
      </c>
      <c r="J9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7" s="11" t="s">
        <v>52</v>
      </c>
      <c r="L947" s="11"/>
      <c r="M947" s="11"/>
      <c r="N947" s="11" t="s">
        <v>51</v>
      </c>
      <c r="O947" s="11" t="s">
        <v>51</v>
      </c>
      <c r="P947" s="11" t="s">
        <v>51</v>
      </c>
      <c r="Q947" s="11" t="s">
        <v>51</v>
      </c>
      <c r="R947" s="11" t="s">
        <v>51</v>
      </c>
      <c r="S947" s="11" t="s">
        <v>51</v>
      </c>
      <c r="T947" s="11" t="s">
        <v>51</v>
      </c>
      <c r="U947" s="11" t="s">
        <v>51</v>
      </c>
      <c r="V947" s="11" t="s">
        <v>51</v>
      </c>
      <c r="W947" s="11" t="s">
        <v>51</v>
      </c>
      <c r="X947" s="11" t="s">
        <v>51</v>
      </c>
      <c r="Y947" s="11" t="s">
        <v>51</v>
      </c>
      <c r="Z947" s="11" t="s">
        <v>51</v>
      </c>
      <c r="AA947" s="11" t="s">
        <v>51</v>
      </c>
      <c r="AB947" s="11" t="s">
        <v>51</v>
      </c>
      <c r="AC947" s="11" t="s">
        <v>51</v>
      </c>
      <c r="AD947" s="11" t="s">
        <v>51</v>
      </c>
      <c r="AE947" s="11" t="s">
        <v>51</v>
      </c>
      <c r="AF947" s="11" t="s">
        <v>51</v>
      </c>
      <c r="AG947" s="11" t="s">
        <v>51</v>
      </c>
      <c r="AH947" s="11" t="s">
        <v>51</v>
      </c>
    </row>
    <row r="948" spans="1:34" s="33" customFormat="1" x14ac:dyDescent="0.2">
      <c r="A948" s="11">
        <v>1135</v>
      </c>
      <c r="B948" s="11"/>
      <c r="C948" s="11"/>
      <c r="D948" s="11"/>
      <c r="E948" s="11"/>
      <c r="F948" s="11" t="s">
        <v>51</v>
      </c>
      <c r="G948" s="11" t="s">
        <v>51</v>
      </c>
      <c r="H948" s="56" t="str">
        <f>VLOOKUP(Table6[[#This Row],[ICD Code]],ICD_summary!$I$3:$M$38,5,0)</f>
        <v>Misc/Other</v>
      </c>
      <c r="I948" s="12">
        <v>79.5</v>
      </c>
      <c r="J9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8" s="11" t="s">
        <v>52</v>
      </c>
      <c r="L948" s="11"/>
      <c r="M948" s="11"/>
      <c r="N948" s="11" t="s">
        <v>51</v>
      </c>
      <c r="O948" s="11" t="s">
        <v>51</v>
      </c>
      <c r="P948" s="11" t="s">
        <v>51</v>
      </c>
      <c r="Q948" s="11" t="s">
        <v>51</v>
      </c>
      <c r="R948" s="11" t="s">
        <v>51</v>
      </c>
      <c r="S948" s="11" t="s">
        <v>51</v>
      </c>
      <c r="T948" s="11" t="s">
        <v>51</v>
      </c>
      <c r="U948" s="11" t="s">
        <v>51</v>
      </c>
      <c r="V948" s="11" t="s">
        <v>51</v>
      </c>
      <c r="W948" s="11" t="s">
        <v>51</v>
      </c>
      <c r="X948" s="11" t="s">
        <v>51</v>
      </c>
      <c r="Y948" s="11" t="s">
        <v>51</v>
      </c>
      <c r="Z948" s="11" t="s">
        <v>51</v>
      </c>
      <c r="AA948" s="11" t="s">
        <v>51</v>
      </c>
      <c r="AB948" s="11" t="s">
        <v>51</v>
      </c>
      <c r="AC948" s="11" t="s">
        <v>51</v>
      </c>
      <c r="AD948" s="11" t="s">
        <v>51</v>
      </c>
      <c r="AE948" s="11" t="s">
        <v>51</v>
      </c>
      <c r="AF948" s="11" t="s">
        <v>51</v>
      </c>
      <c r="AG948" s="11" t="s">
        <v>51</v>
      </c>
      <c r="AH948" s="11" t="s">
        <v>51</v>
      </c>
    </row>
    <row r="949" spans="1:34" s="33" customFormat="1" x14ac:dyDescent="0.2">
      <c r="A949" s="11">
        <v>1136</v>
      </c>
      <c r="B949" s="11"/>
      <c r="C949" s="11"/>
      <c r="D949" s="11"/>
      <c r="E949" s="11"/>
      <c r="F949" s="11" t="s">
        <v>51</v>
      </c>
      <c r="G949" s="11" t="s">
        <v>51</v>
      </c>
      <c r="H949" s="56" t="str">
        <f>VLOOKUP(Table6[[#This Row],[ICD Code]],ICD_summary!$I$3:$M$38,5,0)</f>
        <v>Misc/Other</v>
      </c>
      <c r="I949" s="12">
        <v>70.2</v>
      </c>
      <c r="J9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9" s="11" t="s">
        <v>52</v>
      </c>
      <c r="L949" s="11"/>
      <c r="M949" s="11"/>
      <c r="N949" s="11" t="s">
        <v>51</v>
      </c>
      <c r="O949" s="11" t="s">
        <v>51</v>
      </c>
      <c r="P949" s="11" t="s">
        <v>51</v>
      </c>
      <c r="Q949" s="11" t="s">
        <v>51</v>
      </c>
      <c r="R949" s="11" t="s">
        <v>51</v>
      </c>
      <c r="S949" s="11" t="s">
        <v>51</v>
      </c>
      <c r="T949" s="11" t="s">
        <v>51</v>
      </c>
      <c r="U949" s="11" t="s">
        <v>51</v>
      </c>
      <c r="V949" s="11" t="s">
        <v>51</v>
      </c>
      <c r="W949" s="11" t="s">
        <v>51</v>
      </c>
      <c r="X949" s="11" t="s">
        <v>51</v>
      </c>
      <c r="Y949" s="11" t="s">
        <v>51</v>
      </c>
      <c r="Z949" s="11" t="s">
        <v>51</v>
      </c>
      <c r="AA949" s="11" t="s">
        <v>51</v>
      </c>
      <c r="AB949" s="11" t="s">
        <v>51</v>
      </c>
      <c r="AC949" s="11" t="s">
        <v>51</v>
      </c>
      <c r="AD949" s="11" t="s">
        <v>51</v>
      </c>
      <c r="AE949" s="11" t="s">
        <v>51</v>
      </c>
      <c r="AF949" s="11" t="s">
        <v>51</v>
      </c>
      <c r="AG949" s="11" t="s">
        <v>51</v>
      </c>
      <c r="AH949" s="11" t="s">
        <v>51</v>
      </c>
    </row>
    <row r="950" spans="1:34" s="33" customFormat="1" x14ac:dyDescent="0.2">
      <c r="A950" s="11">
        <v>1137</v>
      </c>
      <c r="B950" s="11"/>
      <c r="C950" s="11"/>
      <c r="D950" s="11"/>
      <c r="E950" s="11"/>
      <c r="F950" s="11" t="s">
        <v>51</v>
      </c>
      <c r="G950" s="11" t="s">
        <v>51</v>
      </c>
      <c r="H950" s="56" t="str">
        <f>VLOOKUP(Table6[[#This Row],[ICD Code]],ICD_summary!$I$3:$M$38,5,0)</f>
        <v>Misc/Other</v>
      </c>
      <c r="I950" s="12">
        <v>75.5</v>
      </c>
      <c r="J9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50" s="11" t="s">
        <v>55</v>
      </c>
      <c r="L950" s="11"/>
      <c r="M950" s="11"/>
      <c r="N950" s="11" t="s">
        <v>51</v>
      </c>
      <c r="O950" s="11" t="s">
        <v>51</v>
      </c>
      <c r="P950" s="11" t="s">
        <v>51</v>
      </c>
      <c r="Q950" s="11" t="s">
        <v>51</v>
      </c>
      <c r="R950" s="11" t="s">
        <v>51</v>
      </c>
      <c r="S950" s="11" t="s">
        <v>51</v>
      </c>
      <c r="T950" s="11" t="s">
        <v>51</v>
      </c>
      <c r="U950" s="11" t="s">
        <v>51</v>
      </c>
      <c r="V950" s="11" t="s">
        <v>51</v>
      </c>
      <c r="W950" s="11" t="s">
        <v>51</v>
      </c>
      <c r="X950" s="11" t="s">
        <v>51</v>
      </c>
      <c r="Y950" s="11" t="s">
        <v>51</v>
      </c>
      <c r="Z950" s="11" t="s">
        <v>51</v>
      </c>
      <c r="AA950" s="11" t="s">
        <v>51</v>
      </c>
      <c r="AB950" s="11" t="s">
        <v>51</v>
      </c>
      <c r="AC950" s="11" t="s">
        <v>51</v>
      </c>
      <c r="AD950" s="11" t="s">
        <v>51</v>
      </c>
      <c r="AE950" s="11" t="s">
        <v>51</v>
      </c>
      <c r="AF950" s="11" t="s">
        <v>51</v>
      </c>
      <c r="AG950" s="11" t="s">
        <v>51</v>
      </c>
      <c r="AH950" s="11" t="s">
        <v>51</v>
      </c>
    </row>
    <row r="951" spans="1:34" s="33" customFormat="1" x14ac:dyDescent="0.2">
      <c r="A951" s="11">
        <v>1138</v>
      </c>
      <c r="B951" s="11"/>
      <c r="C951" s="11"/>
      <c r="D951" s="11"/>
      <c r="E951" s="11"/>
      <c r="F951" s="11" t="s">
        <v>51</v>
      </c>
      <c r="G951" s="11" t="s">
        <v>51</v>
      </c>
      <c r="H951" s="56" t="str">
        <f>VLOOKUP(Table6[[#This Row],[ICD Code]],ICD_summary!$I$3:$M$38,5,0)</f>
        <v>Misc/Other</v>
      </c>
      <c r="I951" s="12">
        <v>58.4</v>
      </c>
      <c r="J9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51" s="11" t="s">
        <v>55</v>
      </c>
      <c r="L951" s="11"/>
      <c r="M951" s="11"/>
      <c r="N951" s="11" t="s">
        <v>51</v>
      </c>
      <c r="O951" s="11" t="s">
        <v>51</v>
      </c>
      <c r="P951" s="11" t="s">
        <v>51</v>
      </c>
      <c r="Q951" s="11" t="s">
        <v>51</v>
      </c>
      <c r="R951" s="11" t="s">
        <v>51</v>
      </c>
      <c r="S951" s="11" t="s">
        <v>51</v>
      </c>
      <c r="T951" s="11" t="s">
        <v>51</v>
      </c>
      <c r="U951" s="11" t="s">
        <v>51</v>
      </c>
      <c r="V951" s="11" t="s">
        <v>51</v>
      </c>
      <c r="W951" s="11" t="s">
        <v>51</v>
      </c>
      <c r="X951" s="11" t="s">
        <v>51</v>
      </c>
      <c r="Y951" s="11" t="s">
        <v>51</v>
      </c>
      <c r="Z951" s="11" t="s">
        <v>51</v>
      </c>
      <c r="AA951" s="11" t="s">
        <v>51</v>
      </c>
      <c r="AB951" s="11" t="s">
        <v>51</v>
      </c>
      <c r="AC951" s="11" t="s">
        <v>51</v>
      </c>
      <c r="AD951" s="11" t="s">
        <v>51</v>
      </c>
      <c r="AE951" s="11" t="s">
        <v>51</v>
      </c>
      <c r="AF951" s="11" t="s">
        <v>51</v>
      </c>
      <c r="AG951" s="11" t="s">
        <v>51</v>
      </c>
      <c r="AH951" s="11" t="s">
        <v>51</v>
      </c>
    </row>
    <row r="952" spans="1:34" s="33" customFormat="1" x14ac:dyDescent="0.2">
      <c r="A952" s="11">
        <v>1139</v>
      </c>
      <c r="B952" s="11"/>
      <c r="C952" s="11"/>
      <c r="D952" s="11"/>
      <c r="E952" s="11"/>
      <c r="F952" s="11" t="s">
        <v>51</v>
      </c>
      <c r="G952" s="11" t="s">
        <v>51</v>
      </c>
      <c r="H952" s="56" t="str">
        <f>VLOOKUP(Table6[[#This Row],[ICD Code]],ICD_summary!$I$3:$M$38,5,0)</f>
        <v>Misc/Other</v>
      </c>
      <c r="I952" s="12">
        <v>66.3</v>
      </c>
      <c r="J9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52" s="11" t="s">
        <v>52</v>
      </c>
      <c r="L952" s="11"/>
      <c r="M952" s="11"/>
      <c r="N952" s="11" t="s">
        <v>51</v>
      </c>
      <c r="O952" s="11" t="s">
        <v>51</v>
      </c>
      <c r="P952" s="11" t="s">
        <v>51</v>
      </c>
      <c r="Q952" s="11" t="s">
        <v>51</v>
      </c>
      <c r="R952" s="11" t="s">
        <v>51</v>
      </c>
      <c r="S952" s="11" t="s">
        <v>51</v>
      </c>
      <c r="T952" s="11" t="s">
        <v>51</v>
      </c>
      <c r="U952" s="11" t="s">
        <v>51</v>
      </c>
      <c r="V952" s="11" t="s">
        <v>51</v>
      </c>
      <c r="W952" s="11" t="s">
        <v>51</v>
      </c>
      <c r="X952" s="11" t="s">
        <v>51</v>
      </c>
      <c r="Y952" s="11" t="s">
        <v>51</v>
      </c>
      <c r="Z952" s="11" t="s">
        <v>51</v>
      </c>
      <c r="AA952" s="11" t="s">
        <v>51</v>
      </c>
      <c r="AB952" s="11" t="s">
        <v>51</v>
      </c>
      <c r="AC952" s="11" t="s">
        <v>51</v>
      </c>
      <c r="AD952" s="11" t="s">
        <v>51</v>
      </c>
      <c r="AE952" s="11" t="s">
        <v>51</v>
      </c>
      <c r="AF952" s="11" t="s">
        <v>51</v>
      </c>
      <c r="AG952" s="11" t="s">
        <v>51</v>
      </c>
      <c r="AH952" s="11" t="s">
        <v>51</v>
      </c>
    </row>
    <row r="953" spans="1:34" s="33" customFormat="1" x14ac:dyDescent="0.2">
      <c r="A953" s="11">
        <v>1140</v>
      </c>
      <c r="B953" s="11"/>
      <c r="C953" s="11"/>
      <c r="D953" s="11"/>
      <c r="E953" s="11"/>
      <c r="F953" s="11" t="s">
        <v>51</v>
      </c>
      <c r="G953" s="11" t="s">
        <v>51</v>
      </c>
      <c r="H953" s="56" t="str">
        <f>VLOOKUP(Table6[[#This Row],[ICD Code]],ICD_summary!$I$3:$M$38,5,0)</f>
        <v>Misc/Other</v>
      </c>
      <c r="I953" s="12">
        <v>63.3</v>
      </c>
      <c r="J9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53" s="11" t="s">
        <v>55</v>
      </c>
      <c r="L953" s="11"/>
      <c r="M953" s="11"/>
      <c r="N953" s="11" t="s">
        <v>51</v>
      </c>
      <c r="O953" s="11" t="s">
        <v>51</v>
      </c>
      <c r="P953" s="11" t="s">
        <v>51</v>
      </c>
      <c r="Q953" s="11" t="s">
        <v>51</v>
      </c>
      <c r="R953" s="11" t="s">
        <v>51</v>
      </c>
      <c r="S953" s="11" t="s">
        <v>51</v>
      </c>
      <c r="T953" s="11" t="s">
        <v>51</v>
      </c>
      <c r="U953" s="11" t="s">
        <v>51</v>
      </c>
      <c r="V953" s="11" t="s">
        <v>51</v>
      </c>
      <c r="W953" s="11" t="s">
        <v>51</v>
      </c>
      <c r="X953" s="11" t="s">
        <v>51</v>
      </c>
      <c r="Y953" s="11" t="s">
        <v>51</v>
      </c>
      <c r="Z953" s="11" t="s">
        <v>51</v>
      </c>
      <c r="AA953" s="11" t="s">
        <v>51</v>
      </c>
      <c r="AB953" s="11" t="s">
        <v>51</v>
      </c>
      <c r="AC953" s="11" t="s">
        <v>51</v>
      </c>
      <c r="AD953" s="11" t="s">
        <v>51</v>
      </c>
      <c r="AE953" s="11" t="s">
        <v>51</v>
      </c>
      <c r="AF953" s="11" t="s">
        <v>51</v>
      </c>
      <c r="AG953" s="11" t="s">
        <v>51</v>
      </c>
      <c r="AH953" s="11" t="s">
        <v>51</v>
      </c>
    </row>
    <row r="954" spans="1:34" s="33" customFormat="1" x14ac:dyDescent="0.2">
      <c r="A954" s="11">
        <v>1141</v>
      </c>
      <c r="B954" s="11"/>
      <c r="C954" s="11"/>
      <c r="D954" s="11"/>
      <c r="E954" s="11"/>
      <c r="F954" s="11" t="s">
        <v>51</v>
      </c>
      <c r="G954" s="11" t="s">
        <v>51</v>
      </c>
      <c r="H954" s="56" t="str">
        <f>VLOOKUP(Table6[[#This Row],[ICD Code]],ICD_summary!$I$3:$M$38,5,0)</f>
        <v>Misc/Other</v>
      </c>
      <c r="I954" s="12">
        <v>75.099999999999994</v>
      </c>
      <c r="J9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54" s="11" t="s">
        <v>52</v>
      </c>
      <c r="L954" s="11"/>
      <c r="M954" s="11"/>
      <c r="N954" s="11" t="s">
        <v>51</v>
      </c>
      <c r="O954" s="11" t="s">
        <v>51</v>
      </c>
      <c r="P954" s="11" t="s">
        <v>51</v>
      </c>
      <c r="Q954" s="11" t="s">
        <v>51</v>
      </c>
      <c r="R954" s="11" t="s">
        <v>51</v>
      </c>
      <c r="S954" s="11" t="s">
        <v>51</v>
      </c>
      <c r="T954" s="11" t="s">
        <v>51</v>
      </c>
      <c r="U954" s="11" t="s">
        <v>51</v>
      </c>
      <c r="V954" s="11" t="s">
        <v>51</v>
      </c>
      <c r="W954" s="11" t="s">
        <v>51</v>
      </c>
      <c r="X954" s="11" t="s">
        <v>51</v>
      </c>
      <c r="Y954" s="11" t="s">
        <v>51</v>
      </c>
      <c r="Z954" s="11" t="s">
        <v>51</v>
      </c>
      <c r="AA954" s="11" t="s">
        <v>51</v>
      </c>
      <c r="AB954" s="11" t="s">
        <v>51</v>
      </c>
      <c r="AC954" s="11" t="s">
        <v>51</v>
      </c>
      <c r="AD954" s="11" t="s">
        <v>51</v>
      </c>
      <c r="AE954" s="11" t="s">
        <v>51</v>
      </c>
      <c r="AF954" s="11" t="s">
        <v>51</v>
      </c>
      <c r="AG954" s="11" t="s">
        <v>51</v>
      </c>
      <c r="AH954" s="11" t="s">
        <v>51</v>
      </c>
    </row>
  </sheetData>
  <phoneticPr fontId="7" type="noConversion"/>
  <pageMargins left="0.7" right="0.7" top="0.75" bottom="0.75" header="0.3" footer="0.3"/>
  <pageSetup orientation="portrait" horizontalDpi="200" verticalDpi="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37093-DEA0-8348-AC92-21A67C245619}">
  <sheetPr>
    <tabColor theme="7"/>
  </sheetPr>
  <dimension ref="A1:AR38"/>
  <sheetViews>
    <sheetView tabSelected="1" topLeftCell="E13" zoomScale="125" workbookViewId="0">
      <selection activeCell="M21" sqref="M21"/>
    </sheetView>
  </sheetViews>
  <sheetFormatPr baseColWidth="10" defaultRowHeight="15" x14ac:dyDescent="0.2"/>
  <cols>
    <col min="1" max="3" width="0" hidden="1" customWidth="1"/>
    <col min="4" max="4" width="28.1640625" hidden="1" customWidth="1"/>
    <col min="5" max="5" width="21.5" customWidth="1"/>
    <col min="6" max="6" width="26.83203125" bestFit="1" customWidth="1"/>
    <col min="7" max="7" width="10.6640625" customWidth="1"/>
    <col min="8" max="8" width="1" customWidth="1"/>
    <col min="9" max="9" width="9" customWidth="1"/>
    <col min="10" max="10" width="7.5" customWidth="1"/>
    <col min="11" max="11" width="7.33203125" customWidth="1"/>
    <col min="12" max="12" width="1" customWidth="1"/>
    <col min="13" max="13" width="8.83203125" customWidth="1"/>
    <col min="14" max="15" width="7.33203125" customWidth="1"/>
    <col min="16" max="16" width="0.83203125" customWidth="1"/>
    <col min="17" max="17" width="7" bestFit="1" customWidth="1"/>
    <col min="18" max="18" width="7.33203125" customWidth="1"/>
    <col min="19" max="19" width="7" customWidth="1"/>
    <col min="20" max="20" width="0.83203125" customWidth="1"/>
    <col min="21" max="21" width="15.33203125" customWidth="1"/>
    <col min="22" max="22" width="8.83203125" customWidth="1"/>
    <col min="23" max="23" width="7" customWidth="1"/>
    <col min="24" max="24" width="10.83203125" customWidth="1"/>
    <col min="25" max="25" width="22.33203125" bestFit="1" customWidth="1"/>
    <col min="26" max="26" width="5.1640625" bestFit="1" customWidth="1"/>
    <col min="27" max="27" width="4.1640625" bestFit="1" customWidth="1"/>
    <col min="28" max="28" width="7" bestFit="1" customWidth="1"/>
    <col min="29" max="29" width="11.83203125" bestFit="1" customWidth="1"/>
    <col min="30" max="30" width="10.83203125" customWidth="1"/>
    <col min="31" max="31" width="7.1640625" bestFit="1" customWidth="1"/>
    <col min="32" max="32" width="11.83203125" bestFit="1" customWidth="1"/>
    <col min="33" max="33" width="10.83203125" bestFit="1" customWidth="1"/>
    <col min="34" max="34" width="6.6640625" bestFit="1" customWidth="1"/>
    <col min="35" max="35" width="11.5" bestFit="1" customWidth="1"/>
    <col min="36" max="36" width="10.5" bestFit="1" customWidth="1"/>
    <col min="37" max="37" width="7.33203125" bestFit="1" customWidth="1"/>
    <col min="38" max="38" width="12.1640625" bestFit="1" customWidth="1"/>
    <col min="39" max="39" width="11.1640625" bestFit="1" customWidth="1"/>
    <col min="40" max="40" width="6.6640625" bestFit="1" customWidth="1"/>
    <col min="41" max="41" width="11.5" bestFit="1" customWidth="1"/>
    <col min="42" max="42" width="10.5" bestFit="1" customWidth="1"/>
    <col min="43" max="43" width="7.33203125" bestFit="1" customWidth="1"/>
    <col min="44" max="44" width="12.1640625" bestFit="1" customWidth="1"/>
    <col min="45" max="45" width="11.1640625" bestFit="1" customWidth="1"/>
  </cols>
  <sheetData>
    <row r="1" spans="4:23" hidden="1" x14ac:dyDescent="0.2">
      <c r="E1" t="s">
        <v>137</v>
      </c>
      <c r="F1" t="s">
        <v>138</v>
      </c>
      <c r="G1" t="s">
        <v>139</v>
      </c>
      <c r="I1" t="s">
        <v>140</v>
      </c>
      <c r="J1" t="s">
        <v>143</v>
      </c>
      <c r="K1" t="s">
        <v>144</v>
      </c>
      <c r="U1">
        <v>10</v>
      </c>
    </row>
    <row r="2" spans="4:23" hidden="1" x14ac:dyDescent="0.2">
      <c r="E2" s="28"/>
      <c r="F2" s="30"/>
      <c r="G2" s="30"/>
      <c r="I2" s="30"/>
      <c r="U2">
        <v>100</v>
      </c>
    </row>
    <row r="3" spans="4:23" hidden="1" x14ac:dyDescent="0.2">
      <c r="E3" t="s">
        <v>141</v>
      </c>
      <c r="F3" t="s">
        <v>142</v>
      </c>
      <c r="G3" t="s">
        <v>142</v>
      </c>
      <c r="I3" t="s">
        <v>142</v>
      </c>
      <c r="U3">
        <v>1000</v>
      </c>
    </row>
    <row r="4" spans="4:23" hidden="1" x14ac:dyDescent="0.2"/>
    <row r="5" spans="4:23" hidden="1" x14ac:dyDescent="0.2"/>
    <row r="6" spans="4:23" hidden="1" x14ac:dyDescent="0.2"/>
    <row r="7" spans="4:23" hidden="1" x14ac:dyDescent="0.2"/>
    <row r="8" spans="4:23" hidden="1" x14ac:dyDescent="0.2"/>
    <row r="9" spans="4:23" hidden="1" x14ac:dyDescent="0.2"/>
    <row r="10" spans="4:23" hidden="1" x14ac:dyDescent="0.2">
      <c r="D10" t="s">
        <v>136</v>
      </c>
    </row>
    <row r="11" spans="4:23" hidden="1" x14ac:dyDescent="0.2"/>
    <row r="12" spans="4:23" hidden="1" x14ac:dyDescent="0.2"/>
    <row r="13" spans="4:23" x14ac:dyDescent="0.2">
      <c r="F13" s="39" t="s">
        <v>160</v>
      </c>
      <c r="G13" s="39"/>
    </row>
    <row r="14" spans="4:23" x14ac:dyDescent="0.2">
      <c r="F14" s="41" t="s">
        <v>46</v>
      </c>
      <c r="G14" s="44">
        <v>70</v>
      </c>
    </row>
    <row r="15" spans="4:23" x14ac:dyDescent="0.2">
      <c r="E15" t="s">
        <v>207</v>
      </c>
      <c r="F15" s="41" t="s">
        <v>47</v>
      </c>
      <c r="G15" s="42" t="s">
        <v>55</v>
      </c>
      <c r="H15" s="43"/>
      <c r="I15" s="39" t="str">
        <f>"Population Total: "&amp;COUNT('Collapsed - Orthotrack outcomes'!A:A)</f>
        <v>Population Total: 953</v>
      </c>
      <c r="J15" s="39"/>
      <c r="K15" s="39"/>
      <c r="L15" s="43"/>
      <c r="M15" s="39" t="s">
        <v>148</v>
      </c>
      <c r="N15" s="39" t="str">
        <f>"Total: "&amp;COUNTIFS(Table6[[#All],[Age Bucket]],'Comparison Tool'!$M$16)</f>
        <v>Total: 251</v>
      </c>
      <c r="O15" s="39"/>
      <c r="P15" s="43"/>
      <c r="Q15" s="39" t="s">
        <v>47</v>
      </c>
      <c r="R15" s="39" t="str">
        <f>"Total: "&amp;COUNTIFS(Table6[[#All],[Sex]],'Comparison Tool'!$Q$16)</f>
        <v>Total: 297</v>
      </c>
      <c r="S15" s="39"/>
      <c r="T15" s="43"/>
      <c r="U15" s="39" t="s">
        <v>189</v>
      </c>
      <c r="V15" s="39" t="str">
        <f>"Total: "&amp;COUNTIFS(Table6[[#All],[Diagnosis Category]],'Comparison Tool'!$U$16)</f>
        <v>Total: 15</v>
      </c>
      <c r="W15" s="39"/>
    </row>
    <row r="16" spans="4:23" x14ac:dyDescent="0.2">
      <c r="E16" t="s">
        <v>208</v>
      </c>
      <c r="F16" t="str">
        <f>"Diagnosis: "&amp;VLOOKUP(G16,ICD_summary!$I$3:$M$38,5,0)</f>
        <v>Diagnosis: Dystonia, cervical</v>
      </c>
      <c r="G16" s="42" t="s">
        <v>80</v>
      </c>
      <c r="H16" s="43"/>
      <c r="I16" s="39"/>
      <c r="J16" s="39"/>
      <c r="K16" s="39"/>
      <c r="L16" s="43"/>
      <c r="M16" s="39" t="str">
        <f>IF(AND($G$14&gt;=0,$G$14&lt;10),"0-10",IF(AND($G$14&gt;=10,$G$14&lt;20),"10-20",IF(AND($G$14&gt;=20,$G$14&lt;30),"20-30",IF(AND($G$14&gt;=30,$G$14&lt;40),"30-40",IF(AND($G$14&gt;=40,$G$14&lt;50),"40-50",IF(AND($G$14&gt;=50,$G$14&lt;60),"50-60",IF(AND($G$14&gt;=60,$G$14&lt;70),"60-70",IF(AND($G$14&gt;=70,$G$14&lt;80),"70-80",IF(AND($G$14&gt;=80,$G$14&lt;90),"80-90",IF(AND($G$14&gt;=90,$G$14&lt;100),"90-100","No Age Given"))))))))))</f>
        <v>70-80</v>
      </c>
      <c r="N16" s="39"/>
      <c r="O16" s="39"/>
      <c r="P16" s="43"/>
      <c r="Q16" s="39" t="str">
        <f>G15</f>
        <v>F</v>
      </c>
      <c r="R16" s="39"/>
      <c r="S16" s="39"/>
      <c r="T16" s="43"/>
      <c r="U16" s="39" t="str">
        <f>VLOOKUP(G16,ICD_summary!$I$3:$M$38,5,0)</f>
        <v>Dystonia, cervical</v>
      </c>
      <c r="V16" s="39"/>
      <c r="W16" s="39"/>
    </row>
    <row r="17" spans="1:44" x14ac:dyDescent="0.2">
      <c r="A17" s="36"/>
      <c r="F17" s="39" t="s">
        <v>159</v>
      </c>
      <c r="G17" s="39" t="s">
        <v>188</v>
      </c>
      <c r="H17" s="28"/>
      <c r="I17" s="39" t="s">
        <v>150</v>
      </c>
      <c r="J17" s="39" t="s">
        <v>124</v>
      </c>
      <c r="K17" s="39" t="s">
        <v>138</v>
      </c>
      <c r="L17" s="28"/>
      <c r="M17" s="39" t="s">
        <v>150</v>
      </c>
      <c r="N17" s="39" t="s">
        <v>124</v>
      </c>
      <c r="O17" s="39" t="s">
        <v>138</v>
      </c>
      <c r="P17" s="28"/>
      <c r="Q17" s="39" t="s">
        <v>150</v>
      </c>
      <c r="R17" s="39" t="s">
        <v>124</v>
      </c>
      <c r="S17" s="39" t="s">
        <v>138</v>
      </c>
      <c r="T17" s="28"/>
      <c r="U17" s="39" t="s">
        <v>150</v>
      </c>
      <c r="V17" s="39" t="s">
        <v>124</v>
      </c>
      <c r="W17" s="39" t="s">
        <v>138</v>
      </c>
      <c r="Z17" s="39" t="s">
        <v>190</v>
      </c>
      <c r="AA17" s="39" t="s">
        <v>191</v>
      </c>
      <c r="AB17" s="39" t="s">
        <v>192</v>
      </c>
      <c r="AC17" s="39" t="s">
        <v>199</v>
      </c>
      <c r="AD17" s="39" t="s">
        <v>200</v>
      </c>
      <c r="AE17" s="39" t="s">
        <v>193</v>
      </c>
      <c r="AF17" s="39" t="s">
        <v>201</v>
      </c>
      <c r="AG17" s="39" t="s">
        <v>202</v>
      </c>
      <c r="AH17" s="39" t="s">
        <v>194</v>
      </c>
      <c r="AI17" s="39" t="s">
        <v>203</v>
      </c>
      <c r="AJ17" s="39" t="s">
        <v>204</v>
      </c>
      <c r="AK17" s="39" t="s">
        <v>195</v>
      </c>
      <c r="AL17" s="39" t="s">
        <v>205</v>
      </c>
      <c r="AM17" s="39" t="s">
        <v>206</v>
      </c>
      <c r="AO17" s="39" t="s">
        <v>209</v>
      </c>
      <c r="AP17" s="39" t="s">
        <v>210</v>
      </c>
      <c r="AQ17" s="39" t="s">
        <v>211</v>
      </c>
    </row>
    <row r="18" spans="1:44" x14ac:dyDescent="0.2">
      <c r="D18" s="38"/>
      <c r="F18" s="40" t="s">
        <v>50</v>
      </c>
      <c r="G18" s="42">
        <v>40</v>
      </c>
      <c r="H18" s="43"/>
      <c r="I18" s="62">
        <f>DAVERAGE(Table6[#All],'Comparison Tool'!$F18,$A$1:$A$2)</f>
        <v>48.278320261437919</v>
      </c>
      <c r="J18" s="62">
        <f>DSTDEV(Table6[#All],'Comparison Tool'!$F18,$A$1:$A$2)</f>
        <v>13.998595791608011</v>
      </c>
      <c r="K18" s="65">
        <f ca="1">_xlfn.PERCENTRANK.EXC(INDIRECT("Table6" &amp; "[" &amp; F18 &amp; "]"),'Comparison Tool'!G18)</f>
        <v>0.25600000000000001</v>
      </c>
      <c r="L18" s="63"/>
      <c r="M18" s="62">
        <f>DAVERAGE(Table6[#All],'Comparison Tool'!$F18,$M$15:$M$16)</f>
        <v>47.408661691542292</v>
      </c>
      <c r="N18" s="62">
        <f>DSTDEV(Table6[#All],'Comparison Tool'!$F18,$M$15:$M$16)</f>
        <v>14.023915645602516</v>
      </c>
      <c r="O18" s="65" cm="1">
        <f t="array" aca="1" ref="O18" ca="1">_xlfn.PERCENTRANK.EXC(IF(Table6[Age Bucket]=$M$16,INDIRECT("Table6" &amp; "[" &amp; F18 &amp; "]")),'Comparison Tool'!G18)</f>
        <v>0.25800000000000001</v>
      </c>
      <c r="P18" s="63"/>
      <c r="Q18" s="62">
        <f>DAVERAGE(Table6[#All],'Comparison Tool'!$F18,$Q$15:$Q$16)</f>
        <v>44.934747899159639</v>
      </c>
      <c r="R18" s="62">
        <f>DSTDEV(Table6[#All],'Comparison Tool'!$F18,$Q$15:$Q$16)</f>
        <v>13.186354819975501</v>
      </c>
      <c r="S18" s="65" cm="1">
        <f t="array" aca="1" ref="S18" ca="1">_xlfn.PERCENTRANK.EXC(IF(Table6[Sex]=$Q$16,INDIRECT("Table6" &amp; "[" &amp; F18 &amp; "]")),'Comparison Tool'!G18)</f>
        <v>0.316</v>
      </c>
      <c r="T18" s="63"/>
      <c r="U18" s="62">
        <f>DAVERAGE(Table6[#All],'Comparison Tool'!$F18,$U$15:$U$16)</f>
        <v>50.364133333333335</v>
      </c>
      <c r="V18" s="62">
        <f>DSTDEV(Table6[#All],'Comparison Tool'!$F18,$U$15:$U$16)</f>
        <v>13.621035034443022</v>
      </c>
      <c r="W18" s="65" cm="1">
        <f t="array" aca="1" ref="W18" ca="1">_xlfn.PERCENTRANK.EXC(IF(Table6[Diagnosis Category]=$U$16,INDIRECT("Table6" &amp; "[" &amp; F18 &amp; "]")),'Comparison Tool'!G18)</f>
        <v>0.25</v>
      </c>
      <c r="Y18" t="s">
        <v>28</v>
      </c>
      <c r="Z18" s="57">
        <f>G24</f>
        <v>108</v>
      </c>
      <c r="AA18" s="57">
        <f>G25</f>
        <v>107</v>
      </c>
      <c r="AB18" s="58">
        <f>AVERAGE(I24:I25)</f>
        <v>107.46668039215679</v>
      </c>
      <c r="AC18" s="37">
        <f>$Z18/AB18</f>
        <v>1.0049626508039242</v>
      </c>
      <c r="AD18" s="37">
        <f>$AA18/AB18</f>
        <v>0.99565744107425835</v>
      </c>
      <c r="AE18" s="58">
        <f>AVERAGE(M24:M25)</f>
        <v>106.00481840796022</v>
      </c>
      <c r="AF18" s="37">
        <f>$Z18/AE18</f>
        <v>1.0188216122814466</v>
      </c>
      <c r="AG18" s="37">
        <f>$AA18/AE18</f>
        <v>1.0093880788343963</v>
      </c>
      <c r="AH18" s="58">
        <f>AVERAGE(Q24:Q25)</f>
        <v>103.63374789915977</v>
      </c>
      <c r="AI18" s="37">
        <f>$Z18/AH18</f>
        <v>1.0421315661099972</v>
      </c>
      <c r="AJ18" s="37">
        <f>$AA18/AH18</f>
        <v>1.0324821997571267</v>
      </c>
      <c r="AK18" s="58">
        <f>AVERAGE(U24:U25)</f>
        <v>104.52596666666668</v>
      </c>
      <c r="AL18" s="37">
        <f>$Z18/AK18</f>
        <v>1.0332360794558544</v>
      </c>
      <c r="AM18" s="37">
        <f>$AA18/AK18</f>
        <v>1.0236690787201521</v>
      </c>
      <c r="AO18">
        <f>ABS(Z18-AA18)/AVERAGE(Z18,AA18)</f>
        <v>9.3023255813953487E-3</v>
      </c>
      <c r="AP18">
        <f>ABS(Z18-AA18)</f>
        <v>1</v>
      </c>
      <c r="AQ18" s="57">
        <f>AVERAGE(Z18:AA18)</f>
        <v>107.5</v>
      </c>
      <c r="AR18">
        <f>AP18/AQ18</f>
        <v>9.3023255813953487E-3</v>
      </c>
    </row>
    <row r="19" spans="1:44" x14ac:dyDescent="0.2">
      <c r="D19" s="38"/>
      <c r="F19" s="41" t="s">
        <v>20</v>
      </c>
      <c r="G19" s="42">
        <v>60</v>
      </c>
      <c r="H19" s="43"/>
      <c r="I19" s="64">
        <f>DAVERAGE(Table6[#All],'Comparison Tool'!F19,$A$1:$A$2)</f>
        <v>48.366</v>
      </c>
      <c r="J19" s="64">
        <f>DSTDEV(Table6[#All],'Comparison Tool'!$F19,$A$1:$A$2)</f>
        <v>14.100471760423318</v>
      </c>
      <c r="K19" s="61">
        <f ca="1">_xlfn.PERCENTRANK.EXC(INDIRECT("Table6" &amp; "[" &amp; F19 &amp; "]"),'Comparison Tool'!G19)</f>
        <v>0.78500000000000003</v>
      </c>
      <c r="L19" s="63"/>
      <c r="M19" s="64">
        <f>DAVERAGE(Table6[#All],'Comparison Tool'!$F19,$M$15:$M$16)</f>
        <v>47.305373134328356</v>
      </c>
      <c r="N19" s="64">
        <f>DSTDEV(Table6[#All],'Comparison Tool'!$F19,$M$15:$M$16)</f>
        <v>14.298484010029703</v>
      </c>
      <c r="O19" s="61" cm="1">
        <f t="array" aca="1" ref="O19" ca="1">_xlfn.PERCENTRANK.EXC(IF(Table6[Age Bucket]=$M$16,INDIRECT("Table6" &amp; "[" &amp; F19 &amp; "]")),'Comparison Tool'!G19)</f>
        <v>0.79100000000000004</v>
      </c>
      <c r="P19" s="63"/>
      <c r="Q19" s="64">
        <f>DAVERAGE(Table6[#All],'Comparison Tool'!$F19,$Q$15:$Q$16)</f>
        <v>44.264584033613431</v>
      </c>
      <c r="R19" s="64">
        <f>DSTDEV(Table6[#All],'Comparison Tool'!$F19,$Q$15:$Q$16)</f>
        <v>13.562892517226505</v>
      </c>
      <c r="S19" s="61" cm="1">
        <f t="array" aca="1" ref="S19" ca="1">_xlfn.PERCENTRANK.EXC(IF(Table6[Sex]=$Q$16,INDIRECT("Table6" &amp; "[" &amp; F19 &amp; "]")),'Comparison Tool'!G19)</f>
        <v>0.89800000000000002</v>
      </c>
      <c r="T19" s="63"/>
      <c r="U19" s="64">
        <f>DAVERAGE(Table6[#All],'Comparison Tool'!$F19,$U$15:$U$16)</f>
        <v>48.530533333333338</v>
      </c>
      <c r="V19" s="64">
        <f>DSTDEV(Table6[#All],'Comparison Tool'!$F19,$U$15:$U$16)</f>
        <v>16.58377545704003</v>
      </c>
      <c r="W19" s="61" cm="1">
        <f t="array" aca="1" ref="W19" ca="1">_xlfn.PERCENTRANK.EXC(IF(Table6[Diagnosis Category]=$U$16,INDIRECT("Table6" &amp; "[" &amp; F19 &amp; "]")),'Comparison Tool'!G19)</f>
        <v>0.77</v>
      </c>
      <c r="Y19" t="s">
        <v>38</v>
      </c>
      <c r="Z19" s="57">
        <f>G26</f>
        <v>60</v>
      </c>
      <c r="AA19" s="57">
        <f>G27</f>
        <v>64.5</v>
      </c>
      <c r="AB19" s="58">
        <f>AVERAGE(I26:I27)</f>
        <v>64.408071241830044</v>
      </c>
      <c r="AC19" s="37">
        <f>$Z19/AB19</f>
        <v>0.93156026633247158</v>
      </c>
      <c r="AD19" s="37">
        <f>$AA19/AB19</f>
        <v>1.001427286307407</v>
      </c>
      <c r="AE19" s="58">
        <f>AVERAGE(M26:M27)</f>
        <v>64.926176616915413</v>
      </c>
      <c r="AF19" s="37">
        <f>$Z19/AE19</f>
        <v>0.92412649452652385</v>
      </c>
      <c r="AG19" s="37">
        <f>$AA19/AE19</f>
        <v>0.9934359816160131</v>
      </c>
      <c r="AH19" s="58">
        <f>AVERAGE(Q26:Q27)</f>
        <v>65.583983193277305</v>
      </c>
      <c r="AI19" s="37">
        <f>$Z19/AH19</f>
        <v>0.91485751670768156</v>
      </c>
      <c r="AJ19" s="37">
        <f>$AA19/AH19</f>
        <v>0.9834718304607577</v>
      </c>
      <c r="AK19" s="58">
        <f>AVERAGE(U26:U27)</f>
        <v>64.989499999999992</v>
      </c>
      <c r="AL19" s="37">
        <f>$Z19/AK19</f>
        <v>0.9232260595942422</v>
      </c>
      <c r="AM19" s="37">
        <f>$AA19/AK19</f>
        <v>0.99246801406381047</v>
      </c>
      <c r="AO19">
        <f t="shared" ref="AO19:AO28" si="0">ABS(Z19-AA19)/AVERAGE(Z19,AA19)</f>
        <v>7.2289156626506021E-2</v>
      </c>
      <c r="AP19">
        <f t="shared" ref="AP19:AP28" si="1">ABS(Z19-AA19)</f>
        <v>4.5</v>
      </c>
      <c r="AQ19" s="57">
        <f t="shared" ref="AQ19:AQ28" si="2">AVERAGE(Z19:AA19)</f>
        <v>62.25</v>
      </c>
      <c r="AR19">
        <f t="shared" ref="AR19:AR28" si="3">AP19/AQ19</f>
        <v>7.2289156626506021E-2</v>
      </c>
    </row>
    <row r="20" spans="1:44" x14ac:dyDescent="0.2">
      <c r="D20" s="38"/>
      <c r="F20" s="40" t="s">
        <v>23</v>
      </c>
      <c r="G20" s="42">
        <v>85</v>
      </c>
      <c r="H20" s="43"/>
      <c r="I20" s="62">
        <f>DAVERAGE(Table6[#All],'Comparison Tool'!F20,$A$1:$A$2)</f>
        <v>96.814467973856253</v>
      </c>
      <c r="J20" s="62">
        <f>DSTDEV(Table6[#All],'Comparison Tool'!$F20,$A$1:$A$2)</f>
        <v>27.620865032944504</v>
      </c>
      <c r="K20" s="65">
        <f ca="1">_xlfn.PERCENTRANK.EXC(INDIRECT("Table6" &amp; "[" &amp; F20 &amp; "]"),'Comparison Tool'!G20)</f>
        <v>0.312</v>
      </c>
      <c r="L20" s="63"/>
      <c r="M20" s="62">
        <f>DAVERAGE(Table6[#All],'Comparison Tool'!$F20,$M$15:$M$16)</f>
        <v>94.807402985074617</v>
      </c>
      <c r="N20" s="62">
        <f>DSTDEV(Table6[#All],'Comparison Tool'!$F20,$M$15:$M$16)</f>
        <v>27.939490048706947</v>
      </c>
      <c r="O20" s="65" cm="1">
        <f t="array" aca="1" ref="O20" ca="1">_xlfn.PERCENTRANK.EXC(IF(Table6[Age Bucket]=$M$16,INDIRECT("Table6" &amp; "[" &amp; F20 &amp; "]")),'Comparison Tool'!G20)</f>
        <v>0.35799999999999998</v>
      </c>
      <c r="P20" s="63"/>
      <c r="Q20" s="62">
        <f>DAVERAGE(Table6[#All],'Comparison Tool'!$F20,$Q$15:$Q$16)</f>
        <v>89.386021008403361</v>
      </c>
      <c r="R20" s="62">
        <f>DSTDEV(Table6[#All],'Comparison Tool'!$F20,$Q$15:$Q$16)</f>
        <v>26.314672150890328</v>
      </c>
      <c r="S20" s="65" cm="1">
        <f t="array" aca="1" ref="S20" ca="1">_xlfn.PERCENTRANK.EXC(IF(Table6[Sex]=$Q$16,INDIRECT("Table6" &amp; "[" &amp; F20 &amp; "]")),'Comparison Tool'!G20)</f>
        <v>0.40300000000000002</v>
      </c>
      <c r="T20" s="63"/>
      <c r="U20" s="62">
        <f>DAVERAGE(Table6[#All],'Comparison Tool'!$F20,$U$15:$U$16)</f>
        <v>99.056000000000012</v>
      </c>
      <c r="V20" s="62">
        <f>DSTDEV(Table6[#All],'Comparison Tool'!$F20,$U$15:$U$16)</f>
        <v>30.327720054667584</v>
      </c>
      <c r="W20" s="65" cm="1">
        <f t="array" aca="1" ref="W20" ca="1">_xlfn.PERCENTRANK.EXC(IF(Table6[Diagnosis Category]=$U$16,INDIRECT("Table6" &amp; "[" &amp; F20 &amp; "]")),'Comparison Tool'!G20)</f>
        <v>0.29699999999999999</v>
      </c>
      <c r="Y20" t="s">
        <v>37</v>
      </c>
      <c r="Z20" s="57">
        <f>G28</f>
        <v>32</v>
      </c>
      <c r="AA20" s="57">
        <f>G29</f>
        <v>43</v>
      </c>
      <c r="AB20" s="58">
        <f>AVERAGE(I28:I29)</f>
        <v>35.52656078431373</v>
      </c>
      <c r="AC20" s="37">
        <f>$Z20/AB20</f>
        <v>0.90073452913936902</v>
      </c>
      <c r="AD20" s="37">
        <f>$AA20/AB20</f>
        <v>1.2103620235310271</v>
      </c>
      <c r="AE20" s="58">
        <f>AVERAGE(M28:M29)</f>
        <v>35.073808457711444</v>
      </c>
      <c r="AF20" s="37">
        <f>$Z20/AE20</f>
        <v>0.91236171397190757</v>
      </c>
      <c r="AG20" s="37">
        <f>$AA20/AE20</f>
        <v>1.2259860531497508</v>
      </c>
      <c r="AH20" s="58">
        <f>AVERAGE(Q28:Q29)</f>
        <v>34.416006302521012</v>
      </c>
      <c r="AI20" s="37">
        <f>$Z20/AH20</f>
        <v>0.92979992270793965</v>
      </c>
      <c r="AJ20" s="37">
        <f>$AA20/AH20</f>
        <v>1.2494186461387939</v>
      </c>
      <c r="AK20" s="58">
        <f>AVERAGE(U28:U29)</f>
        <v>35.010499999999993</v>
      </c>
      <c r="AL20" s="37">
        <f>$Z20/AK20</f>
        <v>0.91401151083246468</v>
      </c>
      <c r="AM20" s="37">
        <f>$AA20/AK20</f>
        <v>1.2282029676811246</v>
      </c>
      <c r="AO20">
        <f t="shared" si="0"/>
        <v>0.29333333333333333</v>
      </c>
      <c r="AP20">
        <f t="shared" si="1"/>
        <v>11</v>
      </c>
      <c r="AQ20" s="57">
        <f t="shared" si="2"/>
        <v>37.5</v>
      </c>
      <c r="AR20">
        <f t="shared" si="3"/>
        <v>0.29333333333333333</v>
      </c>
    </row>
    <row r="21" spans="1:44" x14ac:dyDescent="0.2">
      <c r="D21" s="38"/>
      <c r="F21" s="41" t="s">
        <v>22</v>
      </c>
      <c r="G21" s="42">
        <v>58</v>
      </c>
      <c r="H21" s="43"/>
      <c r="I21" s="64">
        <f>DAVERAGE(Table6[#All],'Comparison Tool'!F21,$A$1:$A$2)</f>
        <v>96.706308496731964</v>
      </c>
      <c r="J21" s="64">
        <f>DSTDEV(Table6[#All],'Comparison Tool'!$F21,$A$1:$A$2)</f>
        <v>27.81411702694313</v>
      </c>
      <c r="K21" s="61">
        <f ca="1">_xlfn.PERCENTRANK.EXC(INDIRECT("Table6" &amp; "[" &amp; F21 &amp; "]"),'Comparison Tool'!G21)</f>
        <v>9.4E-2</v>
      </c>
      <c r="L21" s="63"/>
      <c r="M21" s="64">
        <f>DAVERAGE(Table6[#All],'Comparison Tool'!$F21,$M$15:$M$16)</f>
        <v>94.804985074626842</v>
      </c>
      <c r="N21" s="64">
        <f>DSTDEV(Table6[#All],'Comparison Tool'!$F21,$M$15:$M$16)</f>
        <v>28.043526428122153</v>
      </c>
      <c r="O21" s="61" cm="1">
        <f t="array" aca="1" ref="O21" ca="1">_xlfn.PERCENTRANK.EXC(IF(Table6[Age Bucket]=$M$16,INDIRECT("Table6" &amp; "[" &amp; F21 &amp; "]")),'Comparison Tool'!G21)</f>
        <v>0.11799999999999999</v>
      </c>
      <c r="P21" s="63"/>
      <c r="Q21" s="64">
        <f>DAVERAGE(Table6[#All],'Comparison Tool'!$F21,$Q$15:$Q$16)</f>
        <v>89.322857142857131</v>
      </c>
      <c r="R21" s="64">
        <f>DSTDEV(Table6[#All],'Comparison Tool'!$F21,$Q$15:$Q$16)</f>
        <v>26.381834714586887</v>
      </c>
      <c r="S21" s="61" cm="1">
        <f t="array" aca="1" ref="S21" ca="1">_xlfn.PERCENTRANK.EXC(IF(Table6[Sex]=$Q$16,INDIRECT("Table6" &amp; "[" &amp; F21 &amp; "]")),'Comparison Tool'!G21)</f>
        <v>0.13800000000000001</v>
      </c>
      <c r="T21" s="63"/>
      <c r="U21" s="64">
        <f>DAVERAGE(Table6[#All],'Comparison Tool'!$F21,$U$15:$U$16)</f>
        <v>99.290466666666646</v>
      </c>
      <c r="V21" s="64">
        <f>DSTDEV(Table6[#All],'Comparison Tool'!$F21,$U$15:$U$16)</f>
        <v>29.953689970320845</v>
      </c>
      <c r="W21" s="61" cm="1">
        <f t="array" aca="1" ref="W21" ca="1">_xlfn.PERCENTRANK.EXC(IF(Table6[Diagnosis Category]=$U$16,INDIRECT("Table6" &amp; "[" &amp; F21 &amp; "]")),'Comparison Tool'!G21)</f>
        <v>0.152</v>
      </c>
      <c r="Y21" t="s">
        <v>30</v>
      </c>
      <c r="Z21" s="57">
        <f>G30</f>
        <v>15</v>
      </c>
      <c r="AA21" s="57">
        <f>G31</f>
        <v>18</v>
      </c>
      <c r="AB21" s="58">
        <f>AVERAGE(I30:I31)</f>
        <v>13.751954248366019</v>
      </c>
      <c r="AC21" s="37">
        <f>$Z21/AB21</f>
        <v>1.0907540651382164</v>
      </c>
      <c r="AD21" s="37">
        <f>$AA21/AB21</f>
        <v>1.3089048781658597</v>
      </c>
      <c r="AE21" s="58">
        <f>AVERAGE(M30:M31)</f>
        <v>15.020514925373138</v>
      </c>
      <c r="AF21" s="37">
        <f>$Z21/AE21</f>
        <v>0.99863420625224475</v>
      </c>
      <c r="AG21" s="37">
        <f>$AA21/AE21</f>
        <v>1.1983610475026938</v>
      </c>
      <c r="AH21" s="58">
        <f>AVERAGE(Q30:Q31)</f>
        <v>15.721098739495794</v>
      </c>
      <c r="AI21" s="37">
        <f>$Z21/AH21</f>
        <v>0.95413178484248096</v>
      </c>
      <c r="AJ21" s="37">
        <f>$AA21/AH21</f>
        <v>1.1449581418109771</v>
      </c>
      <c r="AK21" s="58">
        <f>AVERAGE(U30:U31)</f>
        <v>15.021333333333333</v>
      </c>
      <c r="AL21" s="37">
        <f>$Z21/AK21</f>
        <v>0.998579797621161</v>
      </c>
      <c r="AM21" s="37">
        <f>$AA21/AK21</f>
        <v>1.1982957571453932</v>
      </c>
      <c r="AO21">
        <f t="shared" si="0"/>
        <v>0.18181818181818182</v>
      </c>
      <c r="AP21">
        <f t="shared" si="1"/>
        <v>3</v>
      </c>
      <c r="AQ21" s="57">
        <f t="shared" si="2"/>
        <v>16.5</v>
      </c>
      <c r="AR21">
        <f t="shared" si="3"/>
        <v>0.18181818181818182</v>
      </c>
    </row>
    <row r="22" spans="1:44" x14ac:dyDescent="0.2">
      <c r="D22" s="38"/>
      <c r="F22" s="40" t="s">
        <v>11</v>
      </c>
      <c r="G22" s="42">
        <v>100</v>
      </c>
      <c r="H22" s="43"/>
      <c r="I22" s="62">
        <f>DAVERAGE(Table6[#All],'Comparison Tool'!F22,$A$1:$A$2)</f>
        <v>86.440483660130681</v>
      </c>
      <c r="J22" s="62">
        <f>DSTDEV(Table6[#All],'Comparison Tool'!$F22,$A$1:$A$2)</f>
        <v>29.394208052796991</v>
      </c>
      <c r="K22" s="65">
        <f ca="1">_xlfn.PERCENTRANK.EXC(INDIRECT("Table6" &amp; "[" &amp; F22 &amp; "]"),'Comparison Tool'!G22)</f>
        <v>0.65</v>
      </c>
      <c r="L22" s="63"/>
      <c r="M22" s="62">
        <f>DAVERAGE(Table6[#All],'Comparison Tool'!$F22,$M$15:$M$16)</f>
        <v>84.541189054726303</v>
      </c>
      <c r="N22" s="62">
        <f>DSTDEV(Table6[#All],'Comparison Tool'!$F22,$M$15:$M$16)</f>
        <v>29.001743426630174</v>
      </c>
      <c r="O22" s="65" cm="1">
        <f t="array" aca="1" ref="O22" ca="1">_xlfn.PERCENTRANK.EXC(IF(Table6[Age Bucket]=$M$16,INDIRECT("Table6" &amp; "[" &amp; F22 &amp; "]")),'Comparison Tool'!G22)</f>
        <v>0.68</v>
      </c>
      <c r="P22" s="63"/>
      <c r="Q22" s="62">
        <f>DAVERAGE(Table6[#All],'Comparison Tool'!$F22,$Q$15:$Q$16)</f>
        <v>79.15435714285708</v>
      </c>
      <c r="R22" s="62">
        <f>DSTDEV(Table6[#All],'Comparison Tool'!$F22,$Q$15:$Q$16)</f>
        <v>29.992396326743251</v>
      </c>
      <c r="S22" s="65" cm="1">
        <f t="array" aca="1" ref="S22" ca="1">_xlfn.PERCENTRANK.EXC(IF(Table6[Sex]=$Q$16,INDIRECT("Table6" &amp; "[" &amp; F22 &amp; "]")),'Comparison Tool'!G22)</f>
        <v>0.74099999999999999</v>
      </c>
      <c r="T22" s="63"/>
      <c r="U22" s="62">
        <f>DAVERAGE(Table6[#All],'Comparison Tool'!$F22,$U$15:$U$16)</f>
        <v>89.214199999999977</v>
      </c>
      <c r="V22" s="62">
        <f>DSTDEV(Table6[#All],'Comparison Tool'!$F22,$U$15:$U$16)</f>
        <v>36.297626845291205</v>
      </c>
      <c r="W22" s="65" cm="1">
        <f t="array" aca="1" ref="W22" ca="1">_xlfn.PERCENTRANK.EXC(IF(Table6[Diagnosis Category]=$U$16,INDIRECT("Table6" &amp; "[" &amp; F22 &amp; "]")),'Comparison Tool'!G22)</f>
        <v>0.66600000000000004</v>
      </c>
      <c r="Y22" t="s">
        <v>33</v>
      </c>
      <c r="Z22" s="57">
        <f>G32</f>
        <v>29</v>
      </c>
      <c r="AA22" s="57">
        <f>G33</f>
        <v>40.600169999999999</v>
      </c>
      <c r="AB22" s="58">
        <f>AVERAGE(I32:I33)</f>
        <v>35.534252287581694</v>
      </c>
      <c r="AC22" s="37">
        <f>$Z22/AB22</f>
        <v>0.81611397829059573</v>
      </c>
      <c r="AD22" s="37">
        <f>$AA22/AB22</f>
        <v>1.1425643537232586</v>
      </c>
      <c r="AE22" s="58">
        <f>AVERAGE(M32:M33)</f>
        <v>35.073808457711444</v>
      </c>
      <c r="AF22" s="37">
        <f>$Z22/AE22</f>
        <v>0.8268278032870412</v>
      </c>
      <c r="AG22" s="37">
        <f>$AA22/AE22</f>
        <v>1.1575637715234632</v>
      </c>
      <c r="AH22" s="58">
        <f>AVERAGE(Q32:Q33)</f>
        <v>34.416006302521012</v>
      </c>
      <c r="AI22" s="37">
        <f>$Z22/AH22</f>
        <v>0.84263117995407033</v>
      </c>
      <c r="AJ22" s="37">
        <f>$AA22/AH22</f>
        <v>1.1796885914977877</v>
      </c>
      <c r="AK22" s="58">
        <f>AVERAGE(U32:U33)</f>
        <v>35.010499999999993</v>
      </c>
      <c r="AL22" s="37">
        <f>$Z22/AK22</f>
        <v>0.82832293169192117</v>
      </c>
      <c r="AM22" s="37">
        <f>$AA22/AK22</f>
        <v>1.159656960054841</v>
      </c>
      <c r="AO22">
        <f t="shared" si="0"/>
        <v>0.33333740420461616</v>
      </c>
      <c r="AP22">
        <f t="shared" si="1"/>
        <v>11.600169999999999</v>
      </c>
      <c r="AQ22" s="57">
        <f t="shared" si="2"/>
        <v>34.800084999999996</v>
      </c>
      <c r="AR22">
        <f t="shared" si="3"/>
        <v>0.33333740420461616</v>
      </c>
    </row>
    <row r="23" spans="1:44" x14ac:dyDescent="0.2">
      <c r="D23" s="38"/>
      <c r="F23" s="41" t="s">
        <v>10</v>
      </c>
      <c r="G23" s="42">
        <v>100</v>
      </c>
      <c r="H23" s="43"/>
      <c r="I23" s="64">
        <f>DAVERAGE(Table6[#All],'Comparison Tool'!F23,$A$1:$A$2)</f>
        <v>86.437929411764827</v>
      </c>
      <c r="J23" s="64">
        <f>DSTDEV(Table6[#All],'Comparison Tool'!$F23,$A$1:$A$2)</f>
        <v>29.570755161159994</v>
      </c>
      <c r="K23" s="61">
        <f ca="1">_xlfn.PERCENTRANK.EXC(INDIRECT("Table6" &amp; "[" &amp; F23 &amp; "]"),'Comparison Tool'!G23)</f>
        <v>0.64900000000000002</v>
      </c>
      <c r="L23" s="63"/>
      <c r="M23" s="64">
        <f>DAVERAGE(Table6[#All],'Comparison Tool'!$F23,$M$15:$M$16)</f>
        <v>84.57040796019902</v>
      </c>
      <c r="N23" s="64">
        <f>DSTDEV(Table6[#All],'Comparison Tool'!$F23,$M$15:$M$16)</f>
        <v>29.01816065316234</v>
      </c>
      <c r="O23" s="61" cm="1">
        <f t="array" aca="1" ref="O23" ca="1">_xlfn.PERCENTRANK.EXC(IF(Table6[Age Bucket]=$M$16,INDIRECT("Table6" &amp; "[" &amp; F23 &amp; "]")),'Comparison Tool'!G23)</f>
        <v>0.68</v>
      </c>
      <c r="P23" s="63"/>
      <c r="Q23" s="64">
        <f>DAVERAGE(Table6[#All],'Comparison Tool'!$F23,$Q$15:$Q$16)</f>
        <v>79.139663865546225</v>
      </c>
      <c r="R23" s="64">
        <f>DSTDEV(Table6[#All],'Comparison Tool'!$F23,$Q$15:$Q$16)</f>
        <v>29.965468103658043</v>
      </c>
      <c r="S23" s="61" cm="1">
        <f t="array" aca="1" ref="S23" ca="1">_xlfn.PERCENTRANK.EXC(IF(Table6[Sex]=$Q$16,INDIRECT("Table6" &amp; "[" &amp; F23 &amp; "]")),'Comparison Tool'!G23)</f>
        <v>0.73899999999999999</v>
      </c>
      <c r="T23" s="63"/>
      <c r="U23" s="64">
        <f>DAVERAGE(Table6[#All],'Comparison Tool'!$F23,$U$15:$U$16)</f>
        <v>89.244799999999998</v>
      </c>
      <c r="V23" s="64">
        <f>DSTDEV(Table6[#All],'Comparison Tool'!$F23,$U$15:$U$16)</f>
        <v>36.056083073456549</v>
      </c>
      <c r="W23" s="61" cm="1">
        <f t="array" aca="1" ref="W23" ca="1">_xlfn.PERCENTRANK.EXC(IF(Table6[Diagnosis Category]=$U$16,INDIRECT("Table6" &amp; "[" &amp; F23 &amp; "]")),'Comparison Tool'!G23)</f>
        <v>0.66200000000000003</v>
      </c>
      <c r="Y23" t="s">
        <v>35</v>
      </c>
      <c r="Z23" s="57">
        <f>G34</f>
        <v>16</v>
      </c>
      <c r="AA23" s="57">
        <f>G34</f>
        <v>16</v>
      </c>
      <c r="AB23" s="58">
        <f>AVERAGE(I34)</f>
        <v>12.564392156862757</v>
      </c>
      <c r="AC23" s="37">
        <f>$Z23/AB23</f>
        <v>1.2734400359559528</v>
      </c>
      <c r="AD23" s="37">
        <f>$AA23/AB23</f>
        <v>1.2734400359559528</v>
      </c>
      <c r="AE23" s="58">
        <f>AVERAGE(M34)</f>
        <v>12.037517412935317</v>
      </c>
      <c r="AF23" s="37">
        <f>$Z23/AE23</f>
        <v>1.3291777242047156</v>
      </c>
      <c r="AG23" s="37">
        <f>$AA23/AE23</f>
        <v>1.3291777242047156</v>
      </c>
      <c r="AH23" s="58">
        <f>AVERAGE(Q34)</f>
        <v>12.145966386554614</v>
      </c>
      <c r="AI23" s="37">
        <f>$Z23/AH23</f>
        <v>1.31730975459571</v>
      </c>
      <c r="AJ23" s="37">
        <f>$AA23/AH23</f>
        <v>1.31730975459571</v>
      </c>
      <c r="AK23" s="58">
        <f>AVERAGE(U34)</f>
        <v>12.112733333333333</v>
      </c>
      <c r="AL23" s="37">
        <f>$Z23/AK23</f>
        <v>1.3209239863284368</v>
      </c>
      <c r="AM23" s="37">
        <f>$AA23/AK23</f>
        <v>1.3209239863284368</v>
      </c>
      <c r="AO23">
        <f>ABS(Z23-AA23)/AVERAGE(Z23,AA23)</f>
        <v>0</v>
      </c>
      <c r="AP23">
        <f t="shared" si="1"/>
        <v>0</v>
      </c>
      <c r="AQ23" s="57">
        <f t="shared" si="2"/>
        <v>16</v>
      </c>
      <c r="AR23">
        <f t="shared" si="3"/>
        <v>0</v>
      </c>
    </row>
    <row r="24" spans="1:44" x14ac:dyDescent="0.2">
      <c r="D24" s="38"/>
      <c r="F24" s="40" t="s">
        <v>9</v>
      </c>
      <c r="G24" s="42">
        <v>108</v>
      </c>
      <c r="H24" s="43"/>
      <c r="I24" s="62">
        <f>DAVERAGE(Table6[#All],'Comparison Tool'!F24,$A$1:$A$2)</f>
        <v>107.99978954248361</v>
      </c>
      <c r="J24" s="62">
        <f>DSTDEV(Table6[#All],'Comparison Tool'!$F24,$A$1:$A$2)</f>
        <v>62.142824024961179</v>
      </c>
      <c r="K24" s="65">
        <f ca="1">_xlfn.PERCENTRANK.EXC(INDIRECT("Table6" &amp; "[" &amp; F24 &amp; "]"),'Comparison Tool'!G24)</f>
        <v>0.53100000000000003</v>
      </c>
      <c r="L24" s="63"/>
      <c r="M24" s="62">
        <f>DAVERAGE(Table6[#All],'Comparison Tool'!$F24,$M$15:$M$16)</f>
        <v>106.047736318408</v>
      </c>
      <c r="N24" s="62">
        <f>DSTDEV(Table6[#All],'Comparison Tool'!$F24,$M$15:$M$16)</f>
        <v>15.440475659613522</v>
      </c>
      <c r="O24" s="65" cm="1">
        <f t="array" aca="1" ref="O24" ca="1">_xlfn.PERCENTRANK.EXC(IF(Table6[Age Bucket]=$M$16,INDIRECT("Table6" &amp; "[" &amp; F24 &amp; "]")),'Comparison Tool'!G24)</f>
        <v>0.54500000000000004</v>
      </c>
      <c r="P24" s="63"/>
      <c r="Q24" s="62">
        <f>DAVERAGE(Table6[#All],'Comparison Tool'!$F24,$Q$15:$Q$16)</f>
        <v>103.68440336134464</v>
      </c>
      <c r="R24" s="62">
        <f>DSTDEV(Table6[#All],'Comparison Tool'!$F24,$Q$15:$Q$16)</f>
        <v>17.05722037684556</v>
      </c>
      <c r="S24" s="65" cm="1">
        <f t="array" aca="1" ref="S24" ca="1">_xlfn.PERCENTRANK.EXC(IF(Table6[Sex]=$Q$16,INDIRECT("Table6" &amp; "[" &amp; F24 &amp; "]")),'Comparison Tool'!G24)</f>
        <v>0.59099999999999997</v>
      </c>
      <c r="T24" s="63"/>
      <c r="U24" s="62">
        <f>DAVERAGE(Table6[#All],'Comparison Tool'!$F24,$U$15:$U$16)</f>
        <v>104.64473333333333</v>
      </c>
      <c r="V24" s="62">
        <f>DSTDEV(Table6[#All],'Comparison Tool'!$F24,$U$15:$U$16)</f>
        <v>16.35628327701906</v>
      </c>
      <c r="W24" s="65" cm="1">
        <f t="array" aca="1" ref="W24" ca="1">_xlfn.PERCENTRANK.EXC(IF(Table6[Diagnosis Category]=$U$16,INDIRECT("Table6" &amp; "[" &amp; F24 &amp; "]")),'Comparison Tool'!G24)</f>
        <v>0.63800000000000001</v>
      </c>
      <c r="Y24" t="s">
        <v>31</v>
      </c>
      <c r="Z24" s="59">
        <f>G35</f>
        <v>15</v>
      </c>
      <c r="AA24" s="59">
        <f>G36</f>
        <v>15</v>
      </c>
      <c r="AB24" s="60">
        <f>AVERAGE(I35:I36)</f>
        <v>13.620261437908496</v>
      </c>
      <c r="AC24" s="37">
        <f>$Z24/AB24</f>
        <v>1.1013004462786122</v>
      </c>
      <c r="AD24" s="37">
        <f>$AA24/AB24</f>
        <v>1.1013004462786122</v>
      </c>
      <c r="AE24" s="60">
        <f>AVERAGE(M35:M36)</f>
        <v>13.798507462686567</v>
      </c>
      <c r="AF24" s="37">
        <f>$Z24/AE24</f>
        <v>1.0870740941049215</v>
      </c>
      <c r="AG24" s="37">
        <f>$AA24/AE24</f>
        <v>1.0870740941049215</v>
      </c>
      <c r="AH24" s="60">
        <f>AVERAGE(Q35:Q36)</f>
        <v>14.237394957983193</v>
      </c>
      <c r="AI24" s="37">
        <f>$Z24/AH24</f>
        <v>1.0535635236830456</v>
      </c>
      <c r="AJ24" s="37">
        <f>$AA24/AH24</f>
        <v>1.0535635236830456</v>
      </c>
      <c r="AK24" s="60">
        <f>AVERAGE(U35:U36)</f>
        <v>16.066666666666666</v>
      </c>
      <c r="AL24" s="37">
        <f>$Z24/AK24</f>
        <v>0.93360995850622408</v>
      </c>
      <c r="AM24" s="37">
        <f>$AA24/AK24</f>
        <v>0.93360995850622408</v>
      </c>
      <c r="AO24">
        <f>ABS(Z24-AA24)/AVERAGE(Z24,AA24)</f>
        <v>0</v>
      </c>
      <c r="AP24">
        <f t="shared" si="1"/>
        <v>0</v>
      </c>
      <c r="AQ24" s="57">
        <f t="shared" si="2"/>
        <v>15</v>
      </c>
      <c r="AR24">
        <f t="shared" si="3"/>
        <v>0</v>
      </c>
    </row>
    <row r="25" spans="1:44" x14ac:dyDescent="0.2">
      <c r="D25" s="38"/>
      <c r="F25" s="41" t="s">
        <v>8</v>
      </c>
      <c r="G25" s="42">
        <v>107</v>
      </c>
      <c r="H25" s="43"/>
      <c r="I25" s="64">
        <f>DAVERAGE(Table6[#All],'Comparison Tool'!F25,$A$1:$A$2)</f>
        <v>106.93357124182997</v>
      </c>
      <c r="J25" s="64">
        <f>DSTDEV(Table6[#All],'Comparison Tool'!$F25,$A$1:$A$2)</f>
        <v>39.42497422239299</v>
      </c>
      <c r="K25" s="61">
        <f ca="1">_xlfn.PERCENTRANK.EXC(INDIRECT("Table6" &amp; "[" &amp; F25 &amp; "]"),'Comparison Tool'!G25)</f>
        <v>0.501</v>
      </c>
      <c r="L25" s="63"/>
      <c r="M25" s="64">
        <f>DAVERAGE(Table6[#All],'Comparison Tool'!$F25,$M$15:$M$16)</f>
        <v>105.96190049751245</v>
      </c>
      <c r="N25" s="64">
        <f>DSTDEV(Table6[#All],'Comparison Tool'!$F25,$M$15:$M$16)</f>
        <v>15.495884068359587</v>
      </c>
      <c r="O25" s="61" cm="1">
        <f t="array" aca="1" ref="O25" ca="1">_xlfn.PERCENTRANK.EXC(IF(Table6[Age Bucket]=$M$16,INDIRECT("Table6" &amp; "[" &amp; F25 &amp; "]")),'Comparison Tool'!G25)</f>
        <v>0.51200000000000001</v>
      </c>
      <c r="P25" s="63"/>
      <c r="Q25" s="64">
        <f>DAVERAGE(Table6[#All],'Comparison Tool'!$F25,$Q$15:$Q$16)</f>
        <v>103.58309243697489</v>
      </c>
      <c r="R25" s="64">
        <f>DSTDEV(Table6[#All],'Comparison Tool'!$F25,$Q$15:$Q$16)</f>
        <v>17.191482855407408</v>
      </c>
      <c r="S25" s="61" cm="1">
        <f t="array" aca="1" ref="S25" ca="1">_xlfn.PERCENTRANK.EXC(IF(Table6[Sex]=$Q$16,INDIRECT("Table6" &amp; "[" &amp; F25 &amp; "]")),'Comparison Tool'!G25)</f>
        <v>0.55300000000000005</v>
      </c>
      <c r="T25" s="63"/>
      <c r="U25" s="64">
        <f>DAVERAGE(Table6[#All],'Comparison Tool'!$F25,$U$15:$U$16)</f>
        <v>104.40720000000002</v>
      </c>
      <c r="V25" s="64">
        <f>DSTDEV(Table6[#All],'Comparison Tool'!$F25,$U$15:$U$16)</f>
        <v>16.469336543146724</v>
      </c>
      <c r="W25" s="61" cm="1">
        <f t="array" aca="1" ref="W25" ca="1">_xlfn.PERCENTRANK.EXC(IF(Table6[Diagnosis Category]=$U$16,INDIRECT("Table6" &amp; "[" &amp; F25 &amp; "]")),'Comparison Tool'!G25)</f>
        <v>0.58599999999999997</v>
      </c>
      <c r="Y25" t="s">
        <v>32</v>
      </c>
      <c r="Z25" s="59">
        <f>G37</f>
        <v>17</v>
      </c>
      <c r="AA25" s="59">
        <f>G38</f>
        <v>13</v>
      </c>
      <c r="AB25" s="60">
        <f>AVERAGE(I37:I38)</f>
        <v>12.8640522875817</v>
      </c>
      <c r="AC25" s="37">
        <f>$Z25/AB25</f>
        <v>1.3215120414592012</v>
      </c>
      <c r="AD25" s="37">
        <f>$AA25/AB25</f>
        <v>1.010568031704095</v>
      </c>
      <c r="AE25" s="60">
        <f>AVERAGE(M37:M38)</f>
        <v>13.047263681592041</v>
      </c>
      <c r="AF25" s="37">
        <f>$Z25/AE25</f>
        <v>1.3029551954242136</v>
      </c>
      <c r="AG25" s="37">
        <f>$AA25/AE25</f>
        <v>0.99637750238322209</v>
      </c>
      <c r="AH25" s="60">
        <f>AVERAGE(Q37:Q38)</f>
        <v>13.415966386554622</v>
      </c>
      <c r="AI25" s="37">
        <f>$Z25/AH25</f>
        <v>1.2671468838083306</v>
      </c>
      <c r="AJ25" s="37">
        <f>$AA25/AH25</f>
        <v>0.96899467585342935</v>
      </c>
      <c r="AK25" s="60">
        <f>AVERAGE(U37:U38)</f>
        <v>14.933333333333334</v>
      </c>
      <c r="AL25" s="37">
        <f>$Z25/AK25</f>
        <v>1.1383928571428572</v>
      </c>
      <c r="AM25" s="37">
        <f>$AA25/AK25</f>
        <v>0.8705357142857143</v>
      </c>
      <c r="AO25">
        <f>ABS(Z25-AA25)/AVERAGE(Z25,AA25)</f>
        <v>0.26666666666666666</v>
      </c>
      <c r="AP25">
        <f t="shared" si="1"/>
        <v>4</v>
      </c>
      <c r="AQ25" s="57">
        <f t="shared" si="2"/>
        <v>15</v>
      </c>
      <c r="AR25">
        <f t="shared" si="3"/>
        <v>0.26666666666666666</v>
      </c>
    </row>
    <row r="26" spans="1:44" x14ac:dyDescent="0.2">
      <c r="D26" s="38"/>
      <c r="F26" s="40" t="s">
        <v>27</v>
      </c>
      <c r="G26" s="42">
        <v>60</v>
      </c>
      <c r="H26" s="43"/>
      <c r="I26" s="62">
        <f>DAVERAGE(Table6[#All],'Comparison Tool'!F26,$A$1:$A$2)</f>
        <v>64.966819607843149</v>
      </c>
      <c r="J26" s="62">
        <f>DSTDEV(Table6[#All],'Comparison Tool'!$F26,$A$1:$A$2)</f>
        <v>6.435478107745336</v>
      </c>
      <c r="K26" s="65">
        <f ca="1">_xlfn.PERCENTRANK.EXC(INDIRECT("Table6" &amp; "[" &amp; F26 &amp; "]"),'Comparison Tool'!G26)</f>
        <v>4.2000000000000003E-2</v>
      </c>
      <c r="L26" s="63"/>
      <c r="M26" s="62">
        <f>DAVERAGE(Table6[#All],'Comparison Tool'!$F26,$M$15:$M$16)</f>
        <v>64.991527363184076</v>
      </c>
      <c r="N26" s="62">
        <f>DSTDEV(Table6[#All],'Comparison Tool'!$F26,$M$15:$M$16)</f>
        <v>3.6547075752373832</v>
      </c>
      <c r="O26" s="65" cm="1">
        <f t="array" aca="1" ref="O26" ca="1">_xlfn.PERCENTRANK.EXC(IF(Table6[Age Bucket]=$M$16,INDIRECT("Table6" &amp; "[" &amp; F26 &amp; "]")),'Comparison Tool'!G26)</f>
        <v>2.1000000000000001E-2</v>
      </c>
      <c r="P26" s="63"/>
      <c r="Q26" s="62">
        <f>DAVERAGE(Table6[#All],'Comparison Tool'!$F26,$Q$15:$Q$16)</f>
        <v>65.576163865546249</v>
      </c>
      <c r="R26" s="62">
        <f>DSTDEV(Table6[#All],'Comparison Tool'!$F26,$Q$15:$Q$16)</f>
        <v>4.5342433961540296</v>
      </c>
      <c r="S26" s="65" cm="1">
        <f t="array" aca="1" ref="S26" ca="1">_xlfn.PERCENTRANK.EXC(IF(Table6[Sex]=$Q$16,INDIRECT("Table6" &amp; "[" &amp; F26 &amp; "]")),'Comparison Tool'!G26)</f>
        <v>2.5000000000000001E-2</v>
      </c>
      <c r="T26" s="63"/>
      <c r="U26" s="62">
        <f>DAVERAGE(Table6[#All],'Comparison Tool'!$F26,$U$15:$U$16)</f>
        <v>65.411466666666669</v>
      </c>
      <c r="V26" s="62">
        <f>DSTDEV(Table6[#All],'Comparison Tool'!$F26,$U$15:$U$16)</f>
        <v>4.8526150956640555</v>
      </c>
      <c r="W26" s="65" cm="1">
        <f t="array" aca="1" ref="W26" ca="1">_xlfn.PERCENTRANK.EXC(IF(Table6[Diagnosis Category]=$U$16,INDIRECT("Table6" &amp; "[" &amp; F26 &amp; "]")),'Comparison Tool'!G26)</f>
        <v>9.8000000000000004E-2</v>
      </c>
      <c r="Y26" t="s">
        <v>196</v>
      </c>
      <c r="Z26" s="59">
        <f>G18</f>
        <v>40</v>
      </c>
      <c r="AA26" s="59">
        <f>G19</f>
        <v>60</v>
      </c>
      <c r="AB26" s="60">
        <f>AVERAGE(I18:I19)</f>
        <v>48.322160130718956</v>
      </c>
      <c r="AC26" s="37">
        <f>$Z26/AB26</f>
        <v>0.82777756399535496</v>
      </c>
      <c r="AD26" s="37">
        <f>$AA26/AB26</f>
        <v>1.2416663459930324</v>
      </c>
      <c r="AE26" s="60">
        <f>AVERAGE(M18:M19)</f>
        <v>47.357017412935321</v>
      </c>
      <c r="AF26" s="37">
        <f>$Z26/AE26</f>
        <v>0.84464778791314277</v>
      </c>
      <c r="AG26" s="37">
        <f>$AA26/AE26</f>
        <v>1.2669716818697141</v>
      </c>
      <c r="AH26" s="60">
        <f>AVERAGE(Q18:Q19)</f>
        <v>44.599665966386539</v>
      </c>
      <c r="AI26" s="37">
        <f>$Z26/AH26</f>
        <v>0.89686770367622992</v>
      </c>
      <c r="AJ26" s="37">
        <f>$AA26/AH26</f>
        <v>1.3453015555143448</v>
      </c>
      <c r="AK26" s="60">
        <f>AVERAGE(U18:U19)</f>
        <v>49.447333333333333</v>
      </c>
      <c r="AL26" s="37">
        <f>$Z26/AK26</f>
        <v>0.80894150004718823</v>
      </c>
      <c r="AM26" s="37">
        <f>$AA26/AK26</f>
        <v>1.2134122500707825</v>
      </c>
      <c r="AO26">
        <f t="shared" si="0"/>
        <v>0.4</v>
      </c>
      <c r="AP26">
        <f t="shared" si="1"/>
        <v>20</v>
      </c>
      <c r="AQ26" s="57">
        <f t="shared" si="2"/>
        <v>50</v>
      </c>
      <c r="AR26">
        <f t="shared" si="3"/>
        <v>0.4</v>
      </c>
    </row>
    <row r="27" spans="1:44" x14ac:dyDescent="0.2">
      <c r="D27" s="38"/>
      <c r="F27" s="41" t="s">
        <v>26</v>
      </c>
      <c r="G27" s="42">
        <v>64.5</v>
      </c>
      <c r="H27" s="43"/>
      <c r="I27" s="64">
        <f>DAVERAGE(Table6[#All],'Comparison Tool'!F27,$A$1:$A$2)</f>
        <v>63.849322875816938</v>
      </c>
      <c r="J27" s="64">
        <f>DSTDEV(Table6[#All],'Comparison Tool'!$F27,$A$1:$A$2)</f>
        <v>21.221087831578526</v>
      </c>
      <c r="K27" s="61">
        <f ca="1">_xlfn.PERCENTRANK.EXC(INDIRECT("Table6" &amp; "[" &amp; F27 &amp; "]"),'Comparison Tool'!G27)</f>
        <v>0.61199999999999999</v>
      </c>
      <c r="L27" s="63"/>
      <c r="M27" s="64">
        <f>DAVERAGE(Table6[#All],'Comparison Tool'!$F27,$M$15:$M$16)</f>
        <v>64.86082587064675</v>
      </c>
      <c r="N27" s="64">
        <f>DSTDEV(Table6[#All],'Comparison Tool'!$F27,$M$15:$M$16)</f>
        <v>3.9948032172470485</v>
      </c>
      <c r="O27" s="61" cm="1">
        <f t="array" aca="1" ref="O27" ca="1">_xlfn.PERCENTRANK.EXC(IF(Table6[Age Bucket]=$M$16,INDIRECT("Table6" &amp; "[" &amp; F27 &amp; "]")),'Comparison Tool'!G27)</f>
        <v>0.57499999999999996</v>
      </c>
      <c r="P27" s="63"/>
      <c r="Q27" s="64">
        <f>DAVERAGE(Table6[#All],'Comparison Tool'!$F27,$Q$15:$Q$16)</f>
        <v>65.591802521008375</v>
      </c>
      <c r="R27" s="64">
        <f>DSTDEV(Table6[#All],'Comparison Tool'!$F27,$Q$15:$Q$16)</f>
        <v>4.9915825728010041</v>
      </c>
      <c r="S27" s="61" cm="1">
        <f t="array" aca="1" ref="S27" ca="1">_xlfn.PERCENTRANK.EXC(IF(Table6[Sex]=$Q$16,INDIRECT("Table6" &amp; "[" &amp; F27 &amp; "]")),'Comparison Tool'!G27)</f>
        <v>0.53300000000000003</v>
      </c>
      <c r="T27" s="63"/>
      <c r="U27" s="64">
        <f>DAVERAGE(Table6[#All],'Comparison Tool'!$F27,$U$15:$U$16)</f>
        <v>64.56753333333333</v>
      </c>
      <c r="V27" s="64">
        <f>DSTDEV(Table6[#All],'Comparison Tool'!$F27,$U$15:$U$16)</f>
        <v>4.3844789210947068</v>
      </c>
      <c r="W27" s="61" cm="1">
        <f t="array" aca="1" ref="W27" ca="1">_xlfn.PERCENTRANK.EXC(IF(Table6[Diagnosis Category]=$U$16,INDIRECT("Table6" &amp; "[" &amp; F27 &amp; "]")),'Comparison Tool'!G27)</f>
        <v>0.61499999999999999</v>
      </c>
      <c r="Y27" t="s">
        <v>197</v>
      </c>
      <c r="Z27" s="59">
        <f>G20</f>
        <v>85</v>
      </c>
      <c r="AA27" s="59">
        <f>G21</f>
        <v>58</v>
      </c>
      <c r="AB27" s="60">
        <f>AVERAGE(I20:I21)</f>
        <v>96.760388235294101</v>
      </c>
      <c r="AC27" s="37">
        <f>$Z27/AB27</f>
        <v>0.87845864976589239</v>
      </c>
      <c r="AD27" s="37">
        <f>$AA27/AB27</f>
        <v>0.59941884336966778</v>
      </c>
      <c r="AE27" s="60">
        <f>AVERAGE(M20:M21)</f>
        <v>94.80619402985073</v>
      </c>
      <c r="AF27" s="37">
        <f>$Z27/AE27</f>
        <v>0.89656589287021538</v>
      </c>
      <c r="AG27" s="37">
        <f>$AA27/AE27</f>
        <v>0.61177437395849987</v>
      </c>
      <c r="AH27" s="60">
        <f>AVERAGE(Q20:Q21)</f>
        <v>89.354439075630239</v>
      </c>
      <c r="AI27" s="37">
        <f>$Z27/AH27</f>
        <v>0.95126779239311643</v>
      </c>
      <c r="AJ27" s="37">
        <f>$AA27/AH27</f>
        <v>0.64910037598589121</v>
      </c>
      <c r="AK27" s="60">
        <f>AVERAGE(U20:U21)</f>
        <v>99.173233333333329</v>
      </c>
      <c r="AL27" s="37">
        <f>$Z27/AK27</f>
        <v>0.8570861021976024</v>
      </c>
      <c r="AM27" s="37">
        <f>$AA27/AK27</f>
        <v>0.58483522267601107</v>
      </c>
      <c r="AO27">
        <f>ABS(Z27-AA27)/AVERAGE(Z27,AA27)</f>
        <v>0.3776223776223776</v>
      </c>
      <c r="AP27">
        <f t="shared" si="1"/>
        <v>27</v>
      </c>
      <c r="AQ27" s="57">
        <f t="shared" si="2"/>
        <v>71.5</v>
      </c>
      <c r="AR27">
        <f t="shared" si="3"/>
        <v>0.3776223776223776</v>
      </c>
    </row>
    <row r="28" spans="1:44" x14ac:dyDescent="0.2">
      <c r="D28" s="38"/>
      <c r="F28" s="40" t="s">
        <v>25</v>
      </c>
      <c r="G28" s="42">
        <v>32</v>
      </c>
      <c r="H28" s="43"/>
      <c r="I28" s="62">
        <f>DAVERAGE(Table6[#All],'Comparison Tool'!F28,$A$1:$A$2)</f>
        <v>35.033171241830068</v>
      </c>
      <c r="J28" s="62">
        <f>DSTDEV(Table6[#All],'Comparison Tool'!$F28,$A$1:$A$2)</f>
        <v>6.4354237362946014</v>
      </c>
      <c r="K28" s="65">
        <f ca="1">_xlfn.PERCENTRANK.EXC(INDIRECT("Table6" &amp; "[" &amp; F28 &amp; "]"),'Comparison Tool'!G28)</f>
        <v>0.15</v>
      </c>
      <c r="L28" s="63"/>
      <c r="M28" s="62">
        <f>DAVERAGE(Table6[#All],'Comparison Tool'!$F28,$M$15:$M$16)</f>
        <v>35.008457711442766</v>
      </c>
      <c r="N28" s="62">
        <f>DSTDEV(Table6[#All],'Comparison Tool'!$F28,$M$15:$M$16)</f>
        <v>3.654714429261817</v>
      </c>
      <c r="O28" s="65" cm="1">
        <f t="array" aca="1" ref="O28" ca="1">_xlfn.PERCENTRANK.EXC(IF(Table6[Age Bucket]=$M$16,INDIRECT("Table6" &amp; "[" &amp; F28 &amp; "]")),'Comparison Tool'!G28)</f>
        <v>0.13600000000000001</v>
      </c>
      <c r="P28" s="63"/>
      <c r="Q28" s="62">
        <f>DAVERAGE(Table6[#All],'Comparison Tool'!$F28,$Q$15:$Q$16)</f>
        <v>34.423827731092423</v>
      </c>
      <c r="R28" s="62">
        <f>DSTDEV(Table6[#All],'Comparison Tool'!$F28,$Q$15:$Q$16)</f>
        <v>4.5342492593290062</v>
      </c>
      <c r="S28" s="65" cm="1">
        <f t="array" aca="1" ref="S28" ca="1">_xlfn.PERCENTRANK.EXC(IF(Table6[Sex]=$Q$16,INDIRECT("Table6" &amp; "[" &amp; F28 &amp; "]")),'Comparison Tool'!G28)</f>
        <v>0.214</v>
      </c>
      <c r="T28" s="63"/>
      <c r="U28" s="62">
        <f>DAVERAGE(Table6[#All],'Comparison Tool'!$F28,$U$15:$U$16)</f>
        <v>34.588533333333331</v>
      </c>
      <c r="V28" s="62">
        <f>DSTDEV(Table6[#All],'Comparison Tool'!$F28,$U$15:$U$16)</f>
        <v>4.852615095664091</v>
      </c>
      <c r="W28" s="65" cm="1">
        <f t="array" aca="1" ref="W28" ca="1">_xlfn.PERCENTRANK.EXC(IF(Table6[Diagnosis Category]=$U$16,INDIRECT("Table6" &amp; "[" &amp; F28 &amp; "]")),'Comparison Tool'!G28)</f>
        <v>0.22900000000000001</v>
      </c>
      <c r="Y28" t="s">
        <v>198</v>
      </c>
      <c r="Z28" s="59">
        <f>G22</f>
        <v>100</v>
      </c>
      <c r="AA28" s="59">
        <f>G23</f>
        <v>100</v>
      </c>
      <c r="AB28" s="60">
        <f>AVERAGE(I22:I23)</f>
        <v>86.439206535947761</v>
      </c>
      <c r="AC28" s="37">
        <f>$Z28/AB28</f>
        <v>1.1568824380452019</v>
      </c>
      <c r="AD28" s="37">
        <f>$AA28/AB28</f>
        <v>1.1568824380452019</v>
      </c>
      <c r="AE28" s="60">
        <f>AVERAGE(M22:M23)</f>
        <v>84.555798507462669</v>
      </c>
      <c r="AF28" s="37">
        <f>$Z28/AE28</f>
        <v>1.1826510040133353</v>
      </c>
      <c r="AG28" s="37">
        <f>$AA28/AE28</f>
        <v>1.1826510040133353</v>
      </c>
      <c r="AH28" s="60">
        <f>AVERAGE(Q22:Q23)</f>
        <v>79.14701050420166</v>
      </c>
      <c r="AI28" s="37">
        <f>$Z28/AH28</f>
        <v>1.2634716000384034</v>
      </c>
      <c r="AJ28" s="37">
        <f>$AA28/AH28</f>
        <v>1.2634716000384034</v>
      </c>
      <c r="AK28" s="60">
        <f>AVERAGE(U22:U23)</f>
        <v>89.229499999999987</v>
      </c>
      <c r="AL28" s="37">
        <f>$Z28/AK28</f>
        <v>1.1207055962433949</v>
      </c>
      <c r="AM28" s="37">
        <f>$AA28/AK28</f>
        <v>1.1207055962433949</v>
      </c>
      <c r="AO28">
        <f t="shared" si="0"/>
        <v>0</v>
      </c>
      <c r="AP28">
        <f t="shared" si="1"/>
        <v>0</v>
      </c>
      <c r="AQ28" s="57">
        <f t="shared" si="2"/>
        <v>100</v>
      </c>
      <c r="AR28">
        <f t="shared" si="3"/>
        <v>0</v>
      </c>
    </row>
    <row r="29" spans="1:44" x14ac:dyDescent="0.2">
      <c r="D29" s="38"/>
      <c r="F29" s="41" t="s">
        <v>24</v>
      </c>
      <c r="G29" s="42">
        <v>43</v>
      </c>
      <c r="H29" s="43"/>
      <c r="I29" s="64">
        <f>DAVERAGE(Table6[#All],'Comparison Tool'!F29,$A$1:$A$2)</f>
        <v>36.019950326797385</v>
      </c>
      <c r="J29" s="64">
        <f>DSTDEV(Table6[#All],'Comparison Tool'!$F29,$A$1:$A$2)</f>
        <v>21.135160974708661</v>
      </c>
      <c r="K29" s="61">
        <f ca="1">_xlfn.PERCENTRANK.EXC(INDIRECT("Table6" &amp; "[" &amp; F29 &amp; "]"),'Comparison Tool'!G29)</f>
        <v>0.99199999999999999</v>
      </c>
      <c r="L29" s="63"/>
      <c r="M29" s="64">
        <f>DAVERAGE(Table6[#All],'Comparison Tool'!$F29,$M$15:$M$16)</f>
        <v>35.139159203980121</v>
      </c>
      <c r="N29" s="64">
        <f>DSTDEV(Table6[#All],'Comparison Tool'!$F29,$M$15:$M$16)</f>
        <v>3.9948007740719613</v>
      </c>
      <c r="O29" s="61" cm="1">
        <f t="array" aca="1" ref="O29" ca="1">_xlfn.PERCENTRANK.EXC(IF(Table6[Age Bucket]=$M$16,INDIRECT("Table6" &amp; "[" &amp; F29 &amp; "]")),'Comparison Tool'!G29)</f>
        <v>0.99099999999999999</v>
      </c>
      <c r="P29" s="63"/>
      <c r="Q29" s="64">
        <f>DAVERAGE(Table6[#All],'Comparison Tool'!$F29,$Q$15:$Q$16)</f>
        <v>34.408184873949594</v>
      </c>
      <c r="R29" s="64">
        <f>DSTDEV(Table6[#All],'Comparison Tool'!$F29,$Q$15:$Q$16)</f>
        <v>4.9915824519843861</v>
      </c>
      <c r="S29" s="61" cm="1">
        <f t="array" aca="1" ref="S29" ca="1">_xlfn.PERCENTRANK.EXC(IF(Table6[Sex]=$Q$16,INDIRECT("Table6" &amp; "[" &amp; F29 &amp; "]")),'Comparison Tool'!G29)</f>
        <v>0.99299999999999999</v>
      </c>
      <c r="T29" s="63"/>
      <c r="U29" s="64">
        <f>DAVERAGE(Table6[#All],'Comparison Tool'!$F29,$U$15:$U$16)</f>
        <v>35.432466666666663</v>
      </c>
      <c r="V29" s="64">
        <f>DSTDEV(Table6[#All],'Comparison Tool'!$F29,$U$15:$U$16)</f>
        <v>4.3844789210947219</v>
      </c>
      <c r="W29" s="61" t="e" cm="1">
        <f t="array" aca="1" ref="W29" ca="1">_xlfn.PERCENTRANK.EXC(IF(Table6[Diagnosis Category]=$U$16,INDIRECT("Table6" &amp; "[" &amp; F29 &amp; "]")),'Comparison Tool'!G29)</f>
        <v>#N/A</v>
      </c>
    </row>
    <row r="30" spans="1:44" x14ac:dyDescent="0.2">
      <c r="D30" s="38"/>
      <c r="F30" s="40" t="s">
        <v>13</v>
      </c>
      <c r="G30" s="42">
        <v>15</v>
      </c>
      <c r="H30" s="43"/>
      <c r="I30" s="62">
        <f>DAVERAGE(Table6[#All],'Comparison Tool'!F30,$A$1:$A$2)</f>
        <v>13.710094117647069</v>
      </c>
      <c r="J30" s="62">
        <f>DSTDEV(Table6[#All],'Comparison Tool'!$F30,$A$1:$A$2)</f>
        <v>29.912000695434855</v>
      </c>
      <c r="K30" s="65">
        <f ca="1">_xlfn.PERCENTRANK.EXC(INDIRECT("Table6" &amp; "[" &amp; F30 &amp; "]"),'Comparison Tool'!G30)</f>
        <v>0.65700000000000003</v>
      </c>
      <c r="L30" s="63"/>
      <c r="M30" s="62">
        <f>DAVERAGE(Table6[#All],'Comparison Tool'!$F30,$M$15:$M$16)</f>
        <v>15.037303482587063</v>
      </c>
      <c r="N30" s="62">
        <f>DSTDEV(Table6[#All],'Comparison Tool'!$F30,$M$15:$M$16)</f>
        <v>3.8696412201181944</v>
      </c>
      <c r="O30" s="65" cm="1">
        <f t="array" aca="1" ref="O30" ca="1">_xlfn.PERCENTRANK.EXC(IF(Table6[Age Bucket]=$M$16,INDIRECT("Table6" &amp; "[" &amp; F30 &amp; "]")),'Comparison Tool'!G30)</f>
        <v>0.628</v>
      </c>
      <c r="P30" s="63"/>
      <c r="Q30" s="62">
        <f>DAVERAGE(Table6[#All],'Comparison Tool'!$F30,$Q$15:$Q$16)</f>
        <v>15.598710084033611</v>
      </c>
      <c r="R30" s="62">
        <f>DSTDEV(Table6[#All],'Comparison Tool'!$F30,$Q$15:$Q$16)</f>
        <v>4.4909286697116473</v>
      </c>
      <c r="S30" s="65" cm="1">
        <f t="array" aca="1" ref="S30" ca="1">_xlfn.PERCENTRANK.EXC(IF(Table6[Sex]=$Q$16,INDIRECT("Table6" &amp; "[" &amp; F30 &amp; "]")),'Comparison Tool'!G30)</f>
        <v>0.56399999999999995</v>
      </c>
      <c r="T30" s="63"/>
      <c r="U30" s="62">
        <f>DAVERAGE(Table6[#All],'Comparison Tool'!$F30,$U$15:$U$16)</f>
        <v>14.607466666666669</v>
      </c>
      <c r="V30" s="62">
        <f>DSTDEV(Table6[#All],'Comparison Tool'!$F30,$U$15:$U$16)</f>
        <v>4.3241181903145893</v>
      </c>
      <c r="W30" s="65" cm="1">
        <f t="array" aca="1" ref="W30" ca="1">_xlfn.PERCENTRANK.EXC(IF(Table6[Diagnosis Category]=$U$16,INDIRECT("Table6" &amp; "[" &amp; F30 &amp; "]")),'Comparison Tool'!G30)</f>
        <v>0.71399999999999997</v>
      </c>
    </row>
    <row r="31" spans="1:44" x14ac:dyDescent="0.2">
      <c r="D31" s="38"/>
      <c r="F31" s="41" t="s">
        <v>12</v>
      </c>
      <c r="G31" s="42">
        <v>18</v>
      </c>
      <c r="H31" s="43"/>
      <c r="I31" s="64">
        <f>DAVERAGE(Table6[#All],'Comparison Tool'!F31,$A$1:$A$2)</f>
        <v>13.793814379084969</v>
      </c>
      <c r="J31" s="64">
        <f>DSTDEV(Table6[#All],'Comparison Tool'!$F31,$A$1:$A$2)</f>
        <v>30.987115789086154</v>
      </c>
      <c r="K31" s="61">
        <f ca="1">_xlfn.PERCENTRANK.EXC(INDIRECT("Table6" &amp; "[" &amp; F31 &amp; "]"),'Comparison Tool'!G31)</f>
        <v>0.84899999999999998</v>
      </c>
      <c r="L31" s="63"/>
      <c r="M31" s="64">
        <f>DAVERAGE(Table6[#All],'Comparison Tool'!$F31,$M$15:$M$16)</f>
        <v>15.003726368159212</v>
      </c>
      <c r="N31" s="64">
        <f>DSTDEV(Table6[#All],'Comparison Tool'!$F31,$M$15:$M$16)</f>
        <v>3.8944348216077351</v>
      </c>
      <c r="O31" s="61" cm="1">
        <f t="array" aca="1" ref="O31" ca="1">_xlfn.PERCENTRANK.EXC(IF(Table6[Age Bucket]=$M$16,INDIRECT("Table6" &amp; "[" &amp; F31 &amp; "]")),'Comparison Tool'!G31)</f>
        <v>0.83399999999999996</v>
      </c>
      <c r="P31" s="63"/>
      <c r="Q31" s="64">
        <f>DAVERAGE(Table6[#All],'Comparison Tool'!$F31,$Q$15:$Q$16)</f>
        <v>15.843487394957977</v>
      </c>
      <c r="R31" s="64">
        <f>DSTDEV(Table6[#All],'Comparison Tool'!$F31,$Q$15:$Q$16)</f>
        <v>5.3172576334372543</v>
      </c>
      <c r="S31" s="61" cm="1">
        <f t="array" aca="1" ref="S31" ca="1">_xlfn.PERCENTRANK.EXC(IF(Table6[Sex]=$Q$16,INDIRECT("Table6" &amp; "[" &amp; F31 &amp; "]")),'Comparison Tool'!G31)</f>
        <v>0.77500000000000002</v>
      </c>
      <c r="T31" s="63"/>
      <c r="U31" s="64">
        <f>DAVERAGE(Table6[#All],'Comparison Tool'!$F31,$U$15:$U$16)</f>
        <v>15.435199999999996</v>
      </c>
      <c r="V31" s="64">
        <f>DSTDEV(Table6[#All],'Comparison Tool'!$F31,$U$15:$U$16)</f>
        <v>5.1494993959191389</v>
      </c>
      <c r="W31" s="61" cm="1">
        <f t="array" aca="1" ref="W31" ca="1">_xlfn.PERCENTRANK.EXC(IF(Table6[Diagnosis Category]=$U$16,INDIRECT("Table6" &amp; "[" &amp; F31 &amp; "]")),'Comparison Tool'!G31)</f>
        <v>0.71499999999999997</v>
      </c>
    </row>
    <row r="32" spans="1:44" x14ac:dyDescent="0.2">
      <c r="D32" s="38"/>
      <c r="F32" s="40" t="s">
        <v>19</v>
      </c>
      <c r="G32" s="42">
        <v>29</v>
      </c>
      <c r="H32" s="43"/>
      <c r="I32" s="62">
        <f>DAVERAGE(Table6[#All],'Comparison Tool'!F32,$A$1:$A$2)</f>
        <v>36.071035294117642</v>
      </c>
      <c r="J32" s="62">
        <f>DSTDEV(Table6[#All],'Comparison Tool'!$F32,$A$1:$A$2)</f>
        <v>21.095176155249405</v>
      </c>
      <c r="K32" s="65">
        <f ca="1">_xlfn.PERCENTRANK.EXC(INDIRECT("Table6" &amp; "[" &amp; F32 &amp; "]"),'Comparison Tool'!G32)</f>
        <v>7.0999999999999994E-2</v>
      </c>
      <c r="L32" s="63"/>
      <c r="M32" s="62">
        <f>DAVERAGE(Table6[#All],'Comparison Tool'!$F32,$M$15:$M$16)</f>
        <v>35.139159203980121</v>
      </c>
      <c r="N32" s="62">
        <f>DSTDEV(Table6[#All],'Comparison Tool'!$F32,$M$15:$M$16)</f>
        <v>3.9948007740719613</v>
      </c>
      <c r="O32" s="65" cm="1">
        <f t="array" aca="1" ref="O32" ca="1">_xlfn.PERCENTRANK.EXC(IF(Table6[Age Bucket]=$M$16,INDIRECT("Table6" &amp; "[" &amp; F32 &amp; "]")),'Comparison Tool'!G32)</f>
        <v>7.0000000000000007E-2</v>
      </c>
      <c r="P32" s="63"/>
      <c r="Q32" s="62">
        <f>DAVERAGE(Table6[#All],'Comparison Tool'!$F32,$Q$15:$Q$16)</f>
        <v>34.408184873949594</v>
      </c>
      <c r="R32" s="62">
        <f>DSTDEV(Table6[#All],'Comparison Tool'!$F32,$Q$15:$Q$16)</f>
        <v>4.9915824519843861</v>
      </c>
      <c r="S32" s="65" cm="1">
        <f t="array" aca="1" ref="S32" ca="1">_xlfn.PERCENTRANK.EXC(IF(Table6[Sex]=$Q$16,INDIRECT("Table6" &amp; "[" &amp; F32 &amp; "]")),'Comparison Tool'!G32)</f>
        <v>0.10299999999999999</v>
      </c>
      <c r="T32" s="63"/>
      <c r="U32" s="62">
        <f>DAVERAGE(Table6[#All],'Comparison Tool'!$F32,$U$15:$U$16)</f>
        <v>35.432466666666663</v>
      </c>
      <c r="V32" s="62">
        <f>DSTDEV(Table6[#All],'Comparison Tool'!$F32,$U$15:$U$16)</f>
        <v>4.3844789210947219</v>
      </c>
      <c r="W32" s="65" cm="1">
        <f t="array" aca="1" ref="W32" ca="1">_xlfn.PERCENTRANK.EXC(IF(Table6[Diagnosis Category]=$U$16,INDIRECT("Table6" &amp; "[" &amp; F32 &amp; "]")),'Comparison Tool'!G32)</f>
        <v>0.111</v>
      </c>
    </row>
    <row r="33" spans="4:23" x14ac:dyDescent="0.2">
      <c r="D33" s="38"/>
      <c r="F33" s="41" t="s">
        <v>18</v>
      </c>
      <c r="G33" s="42">
        <v>40.600169999999999</v>
      </c>
      <c r="H33" s="43"/>
      <c r="I33" s="64">
        <f>DAVERAGE(Table6[#All],'Comparison Tool'!F33,$A$1:$A$2)</f>
        <v>34.997469281045753</v>
      </c>
      <c r="J33" s="64">
        <f>DSTDEV(Table6[#All],'Comparison Tool'!$F33,$A$1:$A$2)</f>
        <v>6.5530003929425913</v>
      </c>
      <c r="K33" s="61">
        <f ca="1">_xlfn.PERCENTRANK.EXC(INDIRECT("Table6" &amp; "[" &amp; F33 &amp; "]"),'Comparison Tool'!G33)</f>
        <v>0.98099999999999998</v>
      </c>
      <c r="L33" s="63"/>
      <c r="M33" s="64">
        <f>DAVERAGE(Table6[#All],'Comparison Tool'!$F33,$M$15:$M$16)</f>
        <v>35.008457711442766</v>
      </c>
      <c r="N33" s="64">
        <f>DSTDEV(Table6[#All],'Comparison Tool'!$F33,$M$15:$M$16)</f>
        <v>3.654714429261817</v>
      </c>
      <c r="O33" s="61" cm="1">
        <f t="array" aca="1" ref="O33" ca="1">_xlfn.PERCENTRANK.EXC(IF(Table6[Age Bucket]=$M$16,INDIRECT("Table6" &amp; "[" &amp; F33 &amp; "]")),'Comparison Tool'!G33)</f>
        <v>0.99399999999999999</v>
      </c>
      <c r="P33" s="63"/>
      <c r="Q33" s="64">
        <f>DAVERAGE(Table6[#All],'Comparison Tool'!$F33,$Q$15:$Q$16)</f>
        <v>34.423827731092423</v>
      </c>
      <c r="R33" s="64">
        <f>DSTDEV(Table6[#All],'Comparison Tool'!$F33,$Q$15:$Q$16)</f>
        <v>4.5342492593290062</v>
      </c>
      <c r="S33" s="61" cm="1">
        <f t="array" aca="1" ref="S33" ca="1">_xlfn.PERCENTRANK.EXC(IF(Table6[Sex]=$Q$16,INDIRECT("Table6" &amp; "[" &amp; F33 &amp; "]")),'Comparison Tool'!G33)</f>
        <v>0.995</v>
      </c>
      <c r="T33" s="63"/>
      <c r="U33" s="64">
        <f>DAVERAGE(Table6[#All],'Comparison Tool'!$F33,$U$15:$U$16)</f>
        <v>34.588533333333331</v>
      </c>
      <c r="V33" s="64">
        <f>DSTDEV(Table6[#All],'Comparison Tool'!$F33,$U$15:$U$16)</f>
        <v>4.852615095664091</v>
      </c>
      <c r="W33" s="61" cm="1">
        <f t="array" aca="1" ref="W33" ca="1">_xlfn.PERCENTRANK.EXC(IF(Table6[Diagnosis Category]=$U$16,INDIRECT("Table6" &amp; "[" &amp; F33 &amp; "]")),'Comparison Tool'!G33)</f>
        <v>0.92800000000000005</v>
      </c>
    </row>
    <row r="34" spans="4:23" x14ac:dyDescent="0.2">
      <c r="D34" s="38"/>
      <c r="F34" s="40" t="s">
        <v>21</v>
      </c>
      <c r="G34" s="42">
        <v>16</v>
      </c>
      <c r="H34" s="43"/>
      <c r="I34" s="62">
        <f>DAVERAGE(Table6[#All],'Comparison Tool'!F34,$A$1:$A$2)</f>
        <v>12.564392156862757</v>
      </c>
      <c r="J34" s="62">
        <f>DSTDEV(Table6[#All],'Comparison Tool'!$F34,$A$1:$A$2)</f>
        <v>4.0434984237760787</v>
      </c>
      <c r="K34" s="65">
        <f ca="1">_xlfn.PERCENTRANK.EXC(INDIRECT("Table6" &amp; "[" &amp; F34 &amp; "]"),'Comparison Tool'!G34)</f>
        <v>0.83199999999999996</v>
      </c>
      <c r="L34" s="63"/>
      <c r="M34" s="62">
        <f>DAVERAGE(Table6[#All],'Comparison Tool'!$F34,$M$15:$M$16)</f>
        <v>12.037517412935317</v>
      </c>
      <c r="N34" s="62">
        <f>DSTDEV(Table6[#All],'Comparison Tool'!$F34,$M$15:$M$16)</f>
        <v>3.4336750619336946</v>
      </c>
      <c r="O34" s="65" cm="1">
        <f t="array" aca="1" ref="O34" ca="1">_xlfn.PERCENTRANK.EXC(IF(Table6[Age Bucket]=$M$16,INDIRECT("Table6" &amp; "[" &amp; F34 &amp; "]")),'Comparison Tool'!G34)</f>
        <v>0.85</v>
      </c>
      <c r="P34" s="63"/>
      <c r="Q34" s="62">
        <f>DAVERAGE(Table6[#All],'Comparison Tool'!$F34,$Q$15:$Q$16)</f>
        <v>12.145966386554614</v>
      </c>
      <c r="R34" s="62">
        <f>DSTDEV(Table6[#All],'Comparison Tool'!$F34,$Q$15:$Q$16)</f>
        <v>4.2549446538473612</v>
      </c>
      <c r="S34" s="65" cm="1">
        <f t="array" aca="1" ref="S34" ca="1">_xlfn.PERCENTRANK.EXC(IF(Table6[Sex]=$Q$16,INDIRECT("Table6" &amp; "[" &amp; F34 &amp; "]")),'Comparison Tool'!G34)</f>
        <v>0.86599999999999999</v>
      </c>
      <c r="T34" s="63"/>
      <c r="U34" s="62">
        <f>DAVERAGE(Table6[#All],'Comparison Tool'!$F34,$U$15:$U$16)</f>
        <v>12.112733333333333</v>
      </c>
      <c r="V34" s="62">
        <f>DSTDEV(Table6[#All],'Comparison Tool'!$F34,$U$15:$U$16)</f>
        <v>3.4254533061159873</v>
      </c>
      <c r="W34" s="65" cm="1">
        <f t="array" aca="1" ref="W34" ca="1">_xlfn.PERCENTRANK.EXC(IF(Table6[Diagnosis Category]=$U$16,INDIRECT("Table6" &amp; "[" &amp; F34 &amp; "]")),'Comparison Tool'!G34)</f>
        <v>0.84499999999999997</v>
      </c>
    </row>
    <row r="35" spans="4:23" x14ac:dyDescent="0.2">
      <c r="D35" s="38"/>
      <c r="F35" s="41" t="s">
        <v>15</v>
      </c>
      <c r="G35" s="42">
        <v>15</v>
      </c>
      <c r="H35" s="43"/>
      <c r="I35" s="64">
        <f>DAVERAGE(Table6[#All],'Comparison Tool'!F35,$A$1:$A$2)</f>
        <v>13.639215686274509</v>
      </c>
      <c r="J35" s="64">
        <f>DSTDEV(Table6[#All],'Comparison Tool'!$F35,$A$1:$A$2)</f>
        <v>4.4648750633909984</v>
      </c>
      <c r="K35" s="61">
        <f ca="1">_xlfn.PERCENTRANK.EXC(INDIRECT("Table6" &amp; "[" &amp; F35 &amp; "]"),'Comparison Tool'!G35)</f>
        <v>0.629</v>
      </c>
      <c r="L35" s="63"/>
      <c r="M35" s="64">
        <f>DAVERAGE(Table6[#All],'Comparison Tool'!$F35,$M$15:$M$16)</f>
        <v>13.796019900497512</v>
      </c>
      <c r="N35" s="64">
        <f>DSTDEV(Table6[#All],'Comparison Tool'!$F35,$M$15:$M$16)</f>
        <v>4.2075151906561192</v>
      </c>
      <c r="O35" s="61" cm="1">
        <f t="array" aca="1" ref="O35" ca="1">_xlfn.PERCENTRANK.EXC(IF(Table6[Age Bucket]=$M$16,INDIRECT("Table6" &amp; "[" &amp; F35 &amp; "]")),'Comparison Tool'!G35)</f>
        <v>0.61299999999999999</v>
      </c>
      <c r="P35" s="63"/>
      <c r="Q35" s="64">
        <f>DAVERAGE(Table6[#All],'Comparison Tool'!$F35,$Q$15:$Q$16)</f>
        <v>14.260504201680673</v>
      </c>
      <c r="R35" s="64">
        <f>DSTDEV(Table6[#All],'Comparison Tool'!$F35,$Q$15:$Q$16)</f>
        <v>4.164268713942846</v>
      </c>
      <c r="S35" s="61" cm="1">
        <f t="array" aca="1" ref="S35" ca="1">_xlfn.PERCENTRANK.EXC(IF(Table6[Sex]=$Q$16,INDIRECT("Table6" &amp; "[" &amp; F35 &amp; "]")),'Comparison Tool'!G35)</f>
        <v>0.56000000000000005</v>
      </c>
      <c r="T35" s="63"/>
      <c r="U35" s="64">
        <f>DAVERAGE(Table6[#All],'Comparison Tool'!$F35,$U$15:$U$16)</f>
        <v>15.733333333333333</v>
      </c>
      <c r="V35" s="64">
        <f>DSTDEV(Table6[#All],'Comparison Tool'!$F35,$U$15:$U$16)</f>
        <v>4.6975170746540851</v>
      </c>
      <c r="W35" s="61" cm="1">
        <f t="array" aca="1" ref="W35" ca="1">_xlfn.PERCENTRANK.EXC(IF(Table6[Diagnosis Category]=$U$16,INDIRECT("Table6" &amp; "[" &amp; F35 &amp; "]")),'Comparison Tool'!G35)</f>
        <v>0.375</v>
      </c>
    </row>
    <row r="36" spans="4:23" x14ac:dyDescent="0.2">
      <c r="D36" s="38"/>
      <c r="F36" s="40" t="s">
        <v>14</v>
      </c>
      <c r="G36" s="42">
        <v>15</v>
      </c>
      <c r="H36" s="43"/>
      <c r="I36" s="62">
        <f>DAVERAGE(Table6[#All],'Comparison Tool'!F36,$A$1:$A$2)</f>
        <v>13.601307189542483</v>
      </c>
      <c r="J36" s="62">
        <f>DSTDEV(Table6[#All],'Comparison Tool'!$F36,$A$1:$A$2)</f>
        <v>4.4550398974612815</v>
      </c>
      <c r="K36" s="65">
        <f ca="1">_xlfn.PERCENTRANK.EXC(INDIRECT("Table6" &amp; "[" &amp; F36 &amp; "]"),'Comparison Tool'!G36)</f>
        <v>0.63500000000000001</v>
      </c>
      <c r="L36" s="63"/>
      <c r="M36" s="62">
        <f>DAVERAGE(Table6[#All],'Comparison Tool'!$F36,$M$15:$M$16)</f>
        <v>13.800995024875622</v>
      </c>
      <c r="N36" s="62">
        <f>DSTDEV(Table6[#All],'Comparison Tool'!$F36,$M$15:$M$16)</f>
        <v>4.1279775925960536</v>
      </c>
      <c r="O36" s="65" cm="1">
        <f t="array" aca="1" ref="O36" ca="1">_xlfn.PERCENTRANK.EXC(IF(Table6[Age Bucket]=$M$16,INDIRECT("Table6" &amp; "[" &amp; F36 &amp; "]")),'Comparison Tool'!G36)</f>
        <v>0.61799999999999999</v>
      </c>
      <c r="P36" s="63"/>
      <c r="Q36" s="62">
        <f>DAVERAGE(Table6[#All],'Comparison Tool'!$F36,$Q$15:$Q$16)</f>
        <v>14.214285714285714</v>
      </c>
      <c r="R36" s="62">
        <f>DSTDEV(Table6[#All],'Comparison Tool'!$F36,$Q$15:$Q$16)</f>
        <v>4.2842422627722829</v>
      </c>
      <c r="S36" s="65" cm="1">
        <f t="array" aca="1" ref="S36" ca="1">_xlfn.PERCENTRANK.EXC(IF(Table6[Sex]=$Q$16,INDIRECT("Table6" &amp; "[" &amp; F36 &amp; "]")),'Comparison Tool'!G36)</f>
        <v>0.55600000000000005</v>
      </c>
      <c r="T36" s="63"/>
      <c r="U36" s="62">
        <f>DAVERAGE(Table6[#All],'Comparison Tool'!$F36,$U$15:$U$16)</f>
        <v>16.399999999999999</v>
      </c>
      <c r="V36" s="62">
        <f>DSTDEV(Table6[#All],'Comparison Tool'!$F36,$U$15:$U$16)</f>
        <v>5.395765535518172</v>
      </c>
      <c r="W36" s="65" cm="1">
        <f t="array" aca="1" ref="W36" ca="1">_xlfn.PERCENTRANK.EXC(IF(Table6[Diagnosis Category]=$U$16,INDIRECT("Table6" &amp; "[" &amp; F36 &amp; "]")),'Comparison Tool'!G36)</f>
        <v>0.45300000000000001</v>
      </c>
    </row>
    <row r="37" spans="4:23" x14ac:dyDescent="0.2">
      <c r="D37" s="38"/>
      <c r="F37" s="41" t="s">
        <v>17</v>
      </c>
      <c r="G37" s="42">
        <v>17</v>
      </c>
      <c r="H37" s="43"/>
      <c r="I37" s="64">
        <f>DAVERAGE(Table6[#All],'Comparison Tool'!F37,$A$1:$A$2)</f>
        <v>12.865359477124183</v>
      </c>
      <c r="J37" s="64">
        <f>DSTDEV(Table6[#All],'Comparison Tool'!$F37,$A$1:$A$2)</f>
        <v>4.3668689626364365</v>
      </c>
      <c r="K37" s="61">
        <f ca="1">_xlfn.PERCENTRANK.EXC(INDIRECT("Table6" &amp; "[" &amp; F37 &amp; "]"),'Comparison Tool'!G37)</f>
        <v>0.82299999999999995</v>
      </c>
      <c r="L37" s="63"/>
      <c r="M37" s="64">
        <f>DAVERAGE(Table6[#All],'Comparison Tool'!$F37,$M$15:$M$16)</f>
        <v>13.044776119402986</v>
      </c>
      <c r="N37" s="64">
        <f>DSTDEV(Table6[#All],'Comparison Tool'!$F37,$M$15:$M$16)</f>
        <v>4.0918192866531689</v>
      </c>
      <c r="O37" s="61" cm="1">
        <f t="array" aca="1" ref="O37" ca="1">_xlfn.PERCENTRANK.EXC(IF(Table6[Age Bucket]=$M$16,INDIRECT("Table6" &amp; "[" &amp; F37 &amp; "]")),'Comparison Tool'!G37)</f>
        <v>0.79200000000000004</v>
      </c>
      <c r="P37" s="63"/>
      <c r="Q37" s="64">
        <f>DAVERAGE(Table6[#All],'Comparison Tool'!$F37,$Q$15:$Q$16)</f>
        <v>13.420168067226891</v>
      </c>
      <c r="R37" s="64">
        <f>DSTDEV(Table6[#All],'Comparison Tool'!$F37,$Q$15:$Q$16)</f>
        <v>4.085573669378773</v>
      </c>
      <c r="S37" s="61" cm="1">
        <f t="array" aca="1" ref="S37" ca="1">_xlfn.PERCENTRANK.EXC(IF(Table6[Sex]=$Q$16,INDIRECT("Table6" &amp; "[" &amp; F37 &amp; "]")),'Comparison Tool'!G37)</f>
        <v>0.77400000000000002</v>
      </c>
      <c r="T37" s="63"/>
      <c r="U37" s="64">
        <f>DAVERAGE(Table6[#All],'Comparison Tool'!$F37,$U$15:$U$16)</f>
        <v>14.933333333333334</v>
      </c>
      <c r="V37" s="64">
        <f>DSTDEV(Table6[#All],'Comparison Tool'!$F37,$U$15:$U$16)</f>
        <v>4.5429170406353716</v>
      </c>
      <c r="W37" s="61" cm="1">
        <f t="array" aca="1" ref="W37" ca="1">_xlfn.PERCENTRANK.EXC(IF(Table6[Diagnosis Category]=$U$16,INDIRECT("Table6" &amp; "[" &amp; F37 &amp; "]")),'Comparison Tool'!G37)</f>
        <v>0.625</v>
      </c>
    </row>
    <row r="38" spans="4:23" x14ac:dyDescent="0.2">
      <c r="D38" s="38"/>
      <c r="F38" s="40" t="s">
        <v>16</v>
      </c>
      <c r="G38" s="42">
        <v>13</v>
      </c>
      <c r="H38" s="43"/>
      <c r="I38" s="62">
        <f>DAVERAGE(Table6[#All],'Comparison Tool'!F38,$A$1:$A$2)</f>
        <v>12.862745098039216</v>
      </c>
      <c r="J38" s="62">
        <f>DSTDEV(Table6[#All],'Comparison Tool'!$F38,$A$1:$A$2)</f>
        <v>4.3649886554751607</v>
      </c>
      <c r="K38" s="65">
        <f ca="1">_xlfn.PERCENTRANK.EXC(INDIRECT("Table6" &amp; "[" &amp; F38 &amp; "]"),'Comparison Tool'!G38)</f>
        <v>0.55000000000000004</v>
      </c>
      <c r="L38" s="63"/>
      <c r="M38" s="62">
        <f>DAVERAGE(Table6[#All],'Comparison Tool'!$F38,$M$15:$M$16)</f>
        <v>13.049751243781095</v>
      </c>
      <c r="N38" s="62">
        <f>DSTDEV(Table6[#All],'Comparison Tool'!$F38,$M$15:$M$16)</f>
        <v>4.0935940734043168</v>
      </c>
      <c r="O38" s="65" cm="1">
        <f t="array" aca="1" ref="O38" ca="1">_xlfn.PERCENTRANK.EXC(IF(Table6[Age Bucket]=$M$16,INDIRECT("Table6" &amp; "[" &amp; F38 &amp; "]")),'Comparison Tool'!G38)</f>
        <v>0.52900000000000003</v>
      </c>
      <c r="P38" s="63"/>
      <c r="Q38" s="62">
        <f>DAVERAGE(Table6[#All],'Comparison Tool'!$F38,$Q$15:$Q$16)</f>
        <v>13.411764705882353</v>
      </c>
      <c r="R38" s="62">
        <f>DSTDEV(Table6[#All],'Comparison Tool'!$F38,$Q$15:$Q$16)</f>
        <v>4.0729876130798406</v>
      </c>
      <c r="S38" s="65" cm="1">
        <f t="array" aca="1" ref="S38" ca="1">_xlfn.PERCENTRANK.EXC(IF(Table6[Sex]=$Q$16,INDIRECT("Table6" &amp; "[" &amp; F38 &amp; "]")),'Comparison Tool'!G38)</f>
        <v>0.47199999999999998</v>
      </c>
      <c r="T38" s="63"/>
      <c r="U38" s="62">
        <f>DAVERAGE(Table6[#All],'Comparison Tool'!$F38,$U$15:$U$16)</f>
        <v>14.933333333333334</v>
      </c>
      <c r="V38" s="62">
        <f>DSTDEV(Table6[#All],'Comparison Tool'!$F38,$U$15:$U$16)</f>
        <v>4.5429170406353716</v>
      </c>
      <c r="W38" s="65" cm="1">
        <f t="array" aca="1" ref="W38" ca="1">_xlfn.PERCENTRANK.EXC(IF(Table6[Diagnosis Category]=$U$16,INDIRECT("Table6" &amp; "[" &amp; F38 &amp; "]")),'Comparison Tool'!G38)</f>
        <v>0.375</v>
      </c>
    </row>
  </sheetData>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551A79CA-6A6F-3D44-832B-F5E2D288447F}">
          <x14:formula1>
            <xm:f>ICD_summary!$I$3:$I$38</xm:f>
          </x14:formula1>
          <xm:sqref>G16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75032-A4DC-154A-A184-1281CED1B4BD}">
  <dimension ref="A1:Q2204"/>
  <sheetViews>
    <sheetView topLeftCell="E1" workbookViewId="0">
      <selection activeCell="M6" sqref="M6:M32"/>
    </sheetView>
  </sheetViews>
  <sheetFormatPr baseColWidth="10" defaultRowHeight="16" x14ac:dyDescent="0.2"/>
  <cols>
    <col min="1" max="10" width="10.83203125" style="21"/>
    <col min="11" max="11" width="79.33203125" style="21" customWidth="1"/>
    <col min="12" max="14" width="25.1640625" style="21" customWidth="1"/>
    <col min="15" max="15" width="16" style="21" bestFit="1" customWidth="1"/>
    <col min="16" max="16" width="30.83203125" style="21" bestFit="1" customWidth="1"/>
    <col min="17" max="17" width="25.33203125" style="21" bestFit="1" customWidth="1"/>
    <col min="18" max="16384" width="10.83203125" style="21"/>
  </cols>
  <sheetData>
    <row r="1" spans="1:17" x14ac:dyDescent="0.2">
      <c r="A1" s="21" t="s">
        <v>44</v>
      </c>
      <c r="B1" s="21" t="s">
        <v>45</v>
      </c>
    </row>
    <row r="2" spans="1:17" x14ac:dyDescent="0.2">
      <c r="I2" s="31" t="s">
        <v>44</v>
      </c>
      <c r="J2" s="31" t="s">
        <v>133</v>
      </c>
      <c r="K2" s="31" t="s">
        <v>134</v>
      </c>
      <c r="L2" s="31" t="s">
        <v>145</v>
      </c>
      <c r="M2" s="31"/>
      <c r="N2" s="31"/>
      <c r="O2" s="31" t="s">
        <v>146</v>
      </c>
      <c r="P2" s="31" t="s">
        <v>147</v>
      </c>
      <c r="Q2" s="45" t="s">
        <v>171</v>
      </c>
    </row>
    <row r="3" spans="1:17" x14ac:dyDescent="0.2">
      <c r="I3" s="32" t="s">
        <v>62</v>
      </c>
      <c r="J3" s="32">
        <f t="shared" ref="J3:J38" si="0">COUNTIF($A:$A,I3)</f>
        <v>255</v>
      </c>
      <c r="K3" s="48" t="str">
        <f t="shared" ref="K3:K37" si="1">VLOOKUP(I3,$A:$B,2,0)</f>
        <v>Parkinson's disease</v>
      </c>
      <c r="L3" s="49" t="s">
        <v>161</v>
      </c>
      <c r="M3" s="50" t="str">
        <f>VLOOKUP(L3,$O$3:$P$15,2,0)</f>
        <v>PD</v>
      </c>
      <c r="N3" s="50"/>
      <c r="O3" s="47" t="s">
        <v>161</v>
      </c>
      <c r="P3" s="47" t="s">
        <v>172</v>
      </c>
      <c r="Q3" s="46" t="s">
        <v>161</v>
      </c>
    </row>
    <row r="4" spans="1:17" x14ac:dyDescent="0.2">
      <c r="I4" s="32" t="s">
        <v>68</v>
      </c>
      <c r="J4" s="32">
        <f t="shared" si="0"/>
        <v>105</v>
      </c>
      <c r="K4" s="48" t="str">
        <f t="shared" si="1"/>
        <v>Essential tremor</v>
      </c>
      <c r="L4" s="49" t="s">
        <v>164</v>
      </c>
      <c r="M4" s="50" t="str">
        <f>VLOOKUP(L4,$O$3:$P$15,2,0)</f>
        <v>Tremor, essential tremor</v>
      </c>
      <c r="N4" s="50"/>
      <c r="O4" s="47" t="s">
        <v>173</v>
      </c>
      <c r="P4" s="47" t="s">
        <v>174</v>
      </c>
      <c r="Q4" s="46" t="s">
        <v>162</v>
      </c>
    </row>
    <row r="5" spans="1:17" x14ac:dyDescent="0.2">
      <c r="I5" s="32" t="s">
        <v>72</v>
      </c>
      <c r="J5" s="32">
        <f t="shared" si="0"/>
        <v>74</v>
      </c>
      <c r="K5" s="48" t="str">
        <f t="shared" si="1"/>
        <v>Tremor, unspecified</v>
      </c>
      <c r="L5" s="49" t="s">
        <v>163</v>
      </c>
      <c r="M5" s="50" t="str">
        <f t="shared" ref="M5:M29" si="2">VLOOKUP(L5,$O$3:$P$15,2,0)</f>
        <v>Tremor, other</v>
      </c>
      <c r="N5" s="50"/>
      <c r="O5" s="47" t="s">
        <v>164</v>
      </c>
      <c r="P5" s="47" t="s">
        <v>175</v>
      </c>
      <c r="Q5" s="46" t="s">
        <v>163</v>
      </c>
    </row>
    <row r="6" spans="1:17" x14ac:dyDescent="0.2">
      <c r="I6" s="32">
        <v>332</v>
      </c>
      <c r="J6" s="32">
        <f t="shared" si="0"/>
        <v>36</v>
      </c>
      <c r="K6" s="48" t="str">
        <f t="shared" si="1"/>
        <v>Paralysis agitans</v>
      </c>
      <c r="L6" s="49" t="s">
        <v>161</v>
      </c>
      <c r="M6" s="50" t="str">
        <f t="shared" si="2"/>
        <v>PD</v>
      </c>
      <c r="N6" s="50"/>
      <c r="O6" s="47" t="s">
        <v>176</v>
      </c>
      <c r="P6" s="47" t="s">
        <v>177</v>
      </c>
      <c r="Q6" s="46" t="s">
        <v>161</v>
      </c>
    </row>
    <row r="7" spans="1:17" x14ac:dyDescent="0.2">
      <c r="I7" s="32">
        <v>333.1</v>
      </c>
      <c r="J7" s="32">
        <f t="shared" si="0"/>
        <v>30</v>
      </c>
      <c r="K7" s="48" t="str">
        <f t="shared" si="1"/>
        <v>Essential and other specified forms of tremor</v>
      </c>
      <c r="L7" s="49" t="s">
        <v>164</v>
      </c>
      <c r="M7" s="50" t="str">
        <f t="shared" si="2"/>
        <v>Tremor, essential tremor</v>
      </c>
      <c r="N7" s="50"/>
      <c r="O7" s="47" t="s">
        <v>163</v>
      </c>
      <c r="P7" s="47" t="s">
        <v>178</v>
      </c>
      <c r="Q7" s="46" t="s">
        <v>164</v>
      </c>
    </row>
    <row r="8" spans="1:17" x14ac:dyDescent="0.2">
      <c r="A8" s="21">
        <v>332</v>
      </c>
      <c r="B8" s="21" t="s">
        <v>53</v>
      </c>
      <c r="I8" s="32" t="s">
        <v>80</v>
      </c>
      <c r="J8" s="32">
        <f t="shared" si="0"/>
        <v>15</v>
      </c>
      <c r="K8" s="48" t="str">
        <f t="shared" si="1"/>
        <v>Spasmodic torticollis</v>
      </c>
      <c r="L8" s="49" t="s">
        <v>165</v>
      </c>
      <c r="M8" s="50" t="str">
        <f t="shared" si="2"/>
        <v>Dystonia, cervical</v>
      </c>
      <c r="N8" s="50"/>
      <c r="O8" s="47" t="s">
        <v>55</v>
      </c>
      <c r="P8" s="47" t="s">
        <v>179</v>
      </c>
      <c r="Q8" s="46" t="s">
        <v>165</v>
      </c>
    </row>
    <row r="9" spans="1:17" x14ac:dyDescent="0.2">
      <c r="I9" s="32" t="s">
        <v>76</v>
      </c>
      <c r="J9" s="32">
        <f t="shared" si="0"/>
        <v>11</v>
      </c>
      <c r="K9" s="48" t="str">
        <f t="shared" si="1"/>
        <v>Genetic torsion dystonia</v>
      </c>
      <c r="L9" s="49" t="s">
        <v>166</v>
      </c>
      <c r="M9" s="50" t="str">
        <f t="shared" si="2"/>
        <v>Dystonia, other</v>
      </c>
      <c r="N9" s="50"/>
      <c r="O9" s="47" t="s">
        <v>165</v>
      </c>
      <c r="P9" s="47" t="s">
        <v>180</v>
      </c>
      <c r="Q9" s="46" t="s">
        <v>166</v>
      </c>
    </row>
    <row r="10" spans="1:17" x14ac:dyDescent="0.2">
      <c r="I10" s="32" t="s">
        <v>102</v>
      </c>
      <c r="J10" s="32">
        <f t="shared" si="0"/>
        <v>10</v>
      </c>
      <c r="K10" s="48" t="str">
        <f t="shared" si="1"/>
        <v>Unspecified abnormalities of gait and mobility</v>
      </c>
      <c r="L10" s="49" t="s">
        <v>167</v>
      </c>
      <c r="M10" s="50" t="str">
        <f t="shared" si="2"/>
        <v>Gait, other abnormalities</v>
      </c>
      <c r="N10" s="50"/>
      <c r="O10" s="47" t="s">
        <v>166</v>
      </c>
      <c r="P10" s="47" t="s">
        <v>181</v>
      </c>
      <c r="Q10" s="46" t="s">
        <v>167</v>
      </c>
    </row>
    <row r="11" spans="1:17" x14ac:dyDescent="0.2">
      <c r="A11" s="21">
        <v>333.1</v>
      </c>
      <c r="B11" s="21" t="s">
        <v>54</v>
      </c>
      <c r="I11" s="32" t="s">
        <v>74</v>
      </c>
      <c r="J11" s="32">
        <f t="shared" si="0"/>
        <v>9</v>
      </c>
      <c r="K11" s="48" t="str">
        <f t="shared" si="1"/>
        <v>Other specified forms of tremor</v>
      </c>
      <c r="L11" s="49" t="s">
        <v>163</v>
      </c>
      <c r="M11" s="50" t="str">
        <f t="shared" si="2"/>
        <v>Tremor, other</v>
      </c>
      <c r="N11" s="50"/>
      <c r="O11" s="47" t="s">
        <v>167</v>
      </c>
      <c r="P11" s="47" t="s">
        <v>182</v>
      </c>
      <c r="Q11" s="47" t="s">
        <v>163</v>
      </c>
    </row>
    <row r="12" spans="1:17" x14ac:dyDescent="0.2">
      <c r="I12" s="32" t="s">
        <v>64</v>
      </c>
      <c r="J12" s="32">
        <f t="shared" si="0"/>
        <v>6</v>
      </c>
      <c r="K12" s="48" t="str">
        <f t="shared" si="1"/>
        <v>Other abnormalities of gait and mobility</v>
      </c>
      <c r="L12" s="49" t="s">
        <v>167</v>
      </c>
      <c r="M12" s="50" t="str">
        <f t="shared" si="2"/>
        <v>Gait, other abnormalities</v>
      </c>
      <c r="N12" s="50"/>
      <c r="O12" s="47" t="s">
        <v>169</v>
      </c>
      <c r="P12" s="47" t="s">
        <v>183</v>
      </c>
      <c r="Q12" s="47" t="s">
        <v>167</v>
      </c>
    </row>
    <row r="13" spans="1:17" x14ac:dyDescent="0.2">
      <c r="I13" s="32" t="s">
        <v>92</v>
      </c>
      <c r="J13" s="32">
        <f t="shared" si="0"/>
        <v>6</v>
      </c>
      <c r="K13" s="48" t="str">
        <f t="shared" si="1"/>
        <v>Myoclonus</v>
      </c>
      <c r="L13" s="49" t="s">
        <v>52</v>
      </c>
      <c r="M13" s="50" t="str">
        <f t="shared" si="2"/>
        <v>Misc/Other</v>
      </c>
      <c r="N13" s="50"/>
      <c r="O13" s="47" t="s">
        <v>170</v>
      </c>
      <c r="P13" s="47" t="s">
        <v>184</v>
      </c>
      <c r="Q13" s="47" t="s">
        <v>52</v>
      </c>
    </row>
    <row r="14" spans="1:17" x14ac:dyDescent="0.2">
      <c r="A14" s="21">
        <v>333.1</v>
      </c>
      <c r="B14" s="21" t="s">
        <v>54</v>
      </c>
      <c r="I14" s="32">
        <v>333.89</v>
      </c>
      <c r="J14" s="32">
        <f t="shared" si="0"/>
        <v>5</v>
      </c>
      <c r="K14" s="48" t="str">
        <f t="shared" si="1"/>
        <v>Other fragments of torsion dystonia</v>
      </c>
      <c r="L14" s="49" t="s">
        <v>166</v>
      </c>
      <c r="M14" s="50" t="str">
        <f t="shared" si="2"/>
        <v>Dystonia, other</v>
      </c>
      <c r="N14" s="50"/>
      <c r="O14" s="47" t="s">
        <v>185</v>
      </c>
      <c r="P14" s="47" t="s">
        <v>186</v>
      </c>
      <c r="Q14" s="47" t="s">
        <v>166</v>
      </c>
    </row>
    <row r="15" spans="1:17" x14ac:dyDescent="0.2">
      <c r="I15" s="32" t="s">
        <v>66</v>
      </c>
      <c r="J15" s="32">
        <f t="shared" si="0"/>
        <v>5</v>
      </c>
      <c r="K15" s="48" t="str">
        <f t="shared" si="1"/>
        <v>Dystonia, unspecified</v>
      </c>
      <c r="L15" s="49" t="s">
        <v>166</v>
      </c>
      <c r="M15" s="50" t="str">
        <f t="shared" si="2"/>
        <v>Dystonia, other</v>
      </c>
      <c r="N15" s="50"/>
      <c r="O15" s="47" t="s">
        <v>52</v>
      </c>
      <c r="P15" s="47" t="s">
        <v>187</v>
      </c>
      <c r="Q15" s="47" t="s">
        <v>166</v>
      </c>
    </row>
    <row r="16" spans="1:17" x14ac:dyDescent="0.2">
      <c r="I16" s="32">
        <v>333</v>
      </c>
      <c r="J16" s="32">
        <f t="shared" si="0"/>
        <v>4</v>
      </c>
      <c r="K16" s="48" t="str">
        <f t="shared" si="1"/>
        <v>Other degenerative diseases of the basal ganglia</v>
      </c>
      <c r="L16" s="49" t="s">
        <v>52</v>
      </c>
      <c r="M16" s="50" t="str">
        <f t="shared" si="2"/>
        <v>Misc/Other</v>
      </c>
      <c r="N16" s="50"/>
      <c r="Q16" s="47" t="s">
        <v>168</v>
      </c>
    </row>
    <row r="17" spans="1:17" x14ac:dyDescent="0.2">
      <c r="A17" s="21">
        <v>332</v>
      </c>
      <c r="B17" s="21" t="s">
        <v>53</v>
      </c>
      <c r="I17" s="32">
        <v>781.2</v>
      </c>
      <c r="J17" s="32">
        <f t="shared" si="0"/>
        <v>4</v>
      </c>
      <c r="K17" s="48" t="str">
        <f t="shared" si="1"/>
        <v>Abnormality of gait</v>
      </c>
      <c r="L17" s="49" t="s">
        <v>167</v>
      </c>
      <c r="M17" s="50" t="str">
        <f t="shared" si="2"/>
        <v>Gait, other abnormalities</v>
      </c>
      <c r="N17" s="50"/>
      <c r="Q17" s="47" t="s">
        <v>167</v>
      </c>
    </row>
    <row r="18" spans="1:17" x14ac:dyDescent="0.2">
      <c r="I18" s="32">
        <v>781</v>
      </c>
      <c r="J18" s="32">
        <f t="shared" si="0"/>
        <v>2</v>
      </c>
      <c r="K18" s="48" t="str">
        <f t="shared" si="1"/>
        <v>Abnormal involuntary movements</v>
      </c>
      <c r="L18" s="49" t="s">
        <v>52</v>
      </c>
      <c r="M18" s="50" t="str">
        <f t="shared" si="2"/>
        <v>Misc/Other</v>
      </c>
      <c r="N18" s="50"/>
      <c r="Q18" s="47" t="s">
        <v>52</v>
      </c>
    </row>
    <row r="19" spans="1:17" x14ac:dyDescent="0.2">
      <c r="I19" s="32" t="s">
        <v>86</v>
      </c>
      <c r="J19" s="32">
        <f t="shared" si="0"/>
        <v>2</v>
      </c>
      <c r="K19" s="48" t="str">
        <f t="shared" si="1"/>
        <v>Unspecified abnormal involuntary movements</v>
      </c>
      <c r="L19" s="49" t="s">
        <v>52</v>
      </c>
      <c r="M19" s="50" t="str">
        <f t="shared" si="2"/>
        <v>Misc/Other</v>
      </c>
      <c r="N19" s="50"/>
      <c r="Q19" s="47" t="s">
        <v>52</v>
      </c>
    </row>
    <row r="20" spans="1:17" x14ac:dyDescent="0.2">
      <c r="A20" s="21">
        <v>333.89</v>
      </c>
      <c r="B20" s="21" t="s">
        <v>56</v>
      </c>
      <c r="I20" s="32" t="s">
        <v>94</v>
      </c>
      <c r="J20" s="32">
        <f t="shared" si="0"/>
        <v>2</v>
      </c>
      <c r="K20" s="48" t="str">
        <f t="shared" si="1"/>
        <v>Unsteadiness on feet</v>
      </c>
      <c r="L20" s="49" t="s">
        <v>52</v>
      </c>
      <c r="M20" s="50" t="str">
        <f t="shared" si="2"/>
        <v>Misc/Other</v>
      </c>
      <c r="N20" s="50"/>
      <c r="Q20" s="47" t="s">
        <v>52</v>
      </c>
    </row>
    <row r="21" spans="1:17" x14ac:dyDescent="0.2">
      <c r="I21" s="32" t="s">
        <v>106</v>
      </c>
      <c r="J21" s="32">
        <f t="shared" si="0"/>
        <v>2</v>
      </c>
      <c r="K21" s="48" t="str">
        <f t="shared" si="1"/>
        <v>Ataxia, unspecified</v>
      </c>
      <c r="L21" s="49" t="s">
        <v>169</v>
      </c>
      <c r="M21" s="50" t="str">
        <f t="shared" si="2"/>
        <v>Ataxia</v>
      </c>
      <c r="N21" s="50"/>
      <c r="Q21" s="47" t="s">
        <v>169</v>
      </c>
    </row>
    <row r="22" spans="1:17" x14ac:dyDescent="0.2">
      <c r="I22" s="32">
        <v>333.79</v>
      </c>
      <c r="J22" s="32">
        <f t="shared" si="0"/>
        <v>1</v>
      </c>
      <c r="K22" s="48" t="str">
        <f t="shared" si="1"/>
        <v>Other acquired torsion dystonia</v>
      </c>
      <c r="L22" s="49" t="s">
        <v>166</v>
      </c>
      <c r="M22" s="50" t="str">
        <f t="shared" si="2"/>
        <v>Dystonia, other</v>
      </c>
      <c r="N22" s="50"/>
      <c r="Q22" s="47" t="s">
        <v>166</v>
      </c>
    </row>
    <row r="23" spans="1:17" x14ac:dyDescent="0.2">
      <c r="A23" s="21">
        <v>332</v>
      </c>
      <c r="B23" s="21" t="s">
        <v>53</v>
      </c>
      <c r="I23" s="32">
        <v>333.71</v>
      </c>
      <c r="J23" s="32">
        <f t="shared" si="0"/>
        <v>1</v>
      </c>
      <c r="K23" s="48" t="str">
        <f t="shared" si="1"/>
        <v>Athetoid cerebral palsy</v>
      </c>
      <c r="L23" s="49" t="s">
        <v>52</v>
      </c>
      <c r="M23" s="50" t="str">
        <f t="shared" si="2"/>
        <v>Misc/Other</v>
      </c>
      <c r="N23" s="50"/>
      <c r="Q23" s="47" t="s">
        <v>52</v>
      </c>
    </row>
    <row r="24" spans="1:17" x14ac:dyDescent="0.2">
      <c r="I24" s="32" t="s">
        <v>70</v>
      </c>
      <c r="J24" s="32">
        <f t="shared" si="0"/>
        <v>1</v>
      </c>
      <c r="K24" s="48" t="str">
        <f t="shared" si="1"/>
        <v>Other specified degenerative diseases of basal ganglia</v>
      </c>
      <c r="L24" s="49" t="s">
        <v>52</v>
      </c>
      <c r="M24" s="50" t="str">
        <f t="shared" si="2"/>
        <v>Misc/Other</v>
      </c>
      <c r="N24" s="50"/>
      <c r="Q24" s="47" t="s">
        <v>168</v>
      </c>
    </row>
    <row r="25" spans="1:17" x14ac:dyDescent="0.2">
      <c r="I25" s="32">
        <v>781.3</v>
      </c>
      <c r="J25" s="32">
        <f t="shared" si="0"/>
        <v>1</v>
      </c>
      <c r="K25" s="48" t="str">
        <f t="shared" si="1"/>
        <v>Lack of coordination</v>
      </c>
      <c r="L25" s="49" t="s">
        <v>52</v>
      </c>
      <c r="M25" s="50" t="str">
        <f t="shared" si="2"/>
        <v>Misc/Other</v>
      </c>
      <c r="N25" s="50"/>
      <c r="Q25" s="47" t="s">
        <v>52</v>
      </c>
    </row>
    <row r="26" spans="1:17" x14ac:dyDescent="0.2">
      <c r="I26" s="32">
        <v>334.3</v>
      </c>
      <c r="J26" s="32">
        <f t="shared" si="0"/>
        <v>1</v>
      </c>
      <c r="K26" s="48" t="str">
        <f t="shared" si="1"/>
        <v>Other cerebellar ataxia</v>
      </c>
      <c r="L26" s="49" t="s">
        <v>169</v>
      </c>
      <c r="M26" s="50" t="str">
        <f t="shared" si="2"/>
        <v>Ataxia</v>
      </c>
      <c r="N26" s="50"/>
      <c r="Q26" s="47" t="s">
        <v>169</v>
      </c>
    </row>
    <row r="27" spans="1:17" x14ac:dyDescent="0.2">
      <c r="I27" s="32" t="s">
        <v>82</v>
      </c>
      <c r="J27" s="32">
        <f t="shared" si="0"/>
        <v>1</v>
      </c>
      <c r="K27" s="48" t="str">
        <f t="shared" si="1"/>
        <v>Polyneuropathy, unspecified</v>
      </c>
      <c r="L27" s="49" t="s">
        <v>52</v>
      </c>
      <c r="M27" s="50" t="str">
        <f>VLOOKUP(L27,$O$3:$P$15,2,0)</f>
        <v>Misc/Other</v>
      </c>
      <c r="N27" s="50"/>
      <c r="Q27" s="47" t="s">
        <v>52</v>
      </c>
    </row>
    <row r="28" spans="1:17" x14ac:dyDescent="0.2">
      <c r="A28" s="21">
        <v>333.89</v>
      </c>
      <c r="B28" s="21" t="s">
        <v>56</v>
      </c>
      <c r="I28" s="32" t="s">
        <v>84</v>
      </c>
      <c r="J28" s="32">
        <f t="shared" si="0"/>
        <v>1</v>
      </c>
      <c r="K28" s="48" t="str">
        <f t="shared" si="1"/>
        <v>Drug induced subacute dyskinesia</v>
      </c>
      <c r="L28" s="49" t="s">
        <v>170</v>
      </c>
      <c r="M28" s="50" t="str">
        <f t="shared" si="2"/>
        <v>Dyskinesia/Blepharospasm</v>
      </c>
      <c r="N28" s="50"/>
      <c r="Q28" s="47" t="s">
        <v>170</v>
      </c>
    </row>
    <row r="29" spans="1:17" x14ac:dyDescent="0.2">
      <c r="I29" s="32" t="s">
        <v>88</v>
      </c>
      <c r="J29" s="32">
        <f t="shared" si="0"/>
        <v>1</v>
      </c>
      <c r="K29" s="48" t="str">
        <f t="shared" si="1"/>
        <v>Blepharospasm</v>
      </c>
      <c r="L29" s="49" t="s">
        <v>170</v>
      </c>
      <c r="M29" s="50" t="str">
        <f t="shared" si="2"/>
        <v>Dyskinesia/Blepharospasm</v>
      </c>
      <c r="N29" s="50"/>
      <c r="Q29" s="47" t="s">
        <v>170</v>
      </c>
    </row>
    <row r="30" spans="1:17" x14ac:dyDescent="0.2">
      <c r="I30" s="32" t="s">
        <v>90</v>
      </c>
      <c r="J30" s="32">
        <f t="shared" si="0"/>
        <v>1</v>
      </c>
      <c r="K30" s="48" t="str">
        <f t="shared" si="1"/>
        <v>Drug induced acute dystonia</v>
      </c>
      <c r="L30" s="32"/>
      <c r="M30" s="52" t="s">
        <v>187</v>
      </c>
      <c r="N30" s="51"/>
      <c r="Q30" s="47"/>
    </row>
    <row r="31" spans="1:17" x14ac:dyDescent="0.2">
      <c r="A31" s="21">
        <v>333.1</v>
      </c>
      <c r="B31" s="21" t="s">
        <v>54</v>
      </c>
      <c r="I31" s="32" t="s">
        <v>96</v>
      </c>
      <c r="J31" s="32">
        <f t="shared" si="0"/>
        <v>1</v>
      </c>
      <c r="K31" s="48" t="str">
        <f t="shared" si="1"/>
        <v>Ataxic gait</v>
      </c>
      <c r="L31" s="32"/>
      <c r="M31" s="53" t="s">
        <v>187</v>
      </c>
      <c r="N31" s="51"/>
      <c r="Q31" s="47"/>
    </row>
    <row r="32" spans="1:17" x14ac:dyDescent="0.2">
      <c r="I32" s="32" t="s">
        <v>98</v>
      </c>
      <c r="J32" s="32">
        <f t="shared" si="0"/>
        <v>1</v>
      </c>
      <c r="K32" s="48" t="str">
        <f t="shared" si="1"/>
        <v>Other generalized epilepsy and epileptic syndromes, not intractable, without status epilepticus</v>
      </c>
      <c r="L32" s="32"/>
      <c r="M32" s="53" t="s">
        <v>187</v>
      </c>
      <c r="N32" s="51"/>
      <c r="Q32" s="47"/>
    </row>
    <row r="33" spans="1:17" x14ac:dyDescent="0.2">
      <c r="I33" s="32" t="s">
        <v>100</v>
      </c>
      <c r="J33" s="32">
        <f t="shared" si="0"/>
        <v>1</v>
      </c>
      <c r="K33" s="48" t="str">
        <f t="shared" si="1"/>
        <v>Other abnormal involuntary movements</v>
      </c>
      <c r="L33" s="32"/>
      <c r="M33" s="53" t="s">
        <v>187</v>
      </c>
      <c r="N33" s="51"/>
      <c r="Q33" s="47"/>
    </row>
    <row r="34" spans="1:17" x14ac:dyDescent="0.2">
      <c r="A34" s="21">
        <v>332</v>
      </c>
      <c r="B34" s="21" t="s">
        <v>53</v>
      </c>
      <c r="I34" s="32" t="s">
        <v>104</v>
      </c>
      <c r="J34" s="32">
        <f t="shared" si="0"/>
        <v>1</v>
      </c>
      <c r="K34" s="48" t="str">
        <f t="shared" si="1"/>
        <v>Other dystonia</v>
      </c>
      <c r="L34" s="32"/>
      <c r="M34" s="53" t="s">
        <v>187</v>
      </c>
      <c r="N34" s="51"/>
      <c r="Q34" s="47"/>
    </row>
    <row r="35" spans="1:17" x14ac:dyDescent="0.2">
      <c r="I35" s="32" t="s">
        <v>108</v>
      </c>
      <c r="J35" s="32">
        <f t="shared" si="0"/>
        <v>1</v>
      </c>
      <c r="K35" s="48" t="str">
        <f t="shared" si="1"/>
        <v>Idiopathic progressive neuropathy</v>
      </c>
      <c r="L35" s="32"/>
      <c r="M35" s="53" t="s">
        <v>187</v>
      </c>
      <c r="N35" s="51"/>
      <c r="Q35" s="47"/>
    </row>
    <row r="36" spans="1:17" x14ac:dyDescent="0.2">
      <c r="I36" s="32" t="s">
        <v>110</v>
      </c>
      <c r="J36" s="32">
        <f t="shared" si="0"/>
        <v>1</v>
      </c>
      <c r="K36" s="48" t="str">
        <f t="shared" si="1"/>
        <v>Apraxia</v>
      </c>
      <c r="L36" s="32"/>
      <c r="M36" s="53" t="s">
        <v>187</v>
      </c>
      <c r="N36" s="51"/>
      <c r="Q36" s="47"/>
    </row>
    <row r="37" spans="1:17" x14ac:dyDescent="0.2">
      <c r="A37" s="21">
        <v>332</v>
      </c>
      <c r="B37" s="21" t="s">
        <v>53</v>
      </c>
      <c r="I37" s="32" t="s">
        <v>112</v>
      </c>
      <c r="J37" s="32">
        <f t="shared" si="0"/>
        <v>1</v>
      </c>
      <c r="K37" s="48" t="str">
        <f t="shared" si="1"/>
        <v>Other hereditary ataxias</v>
      </c>
      <c r="L37" s="32"/>
      <c r="M37" s="53" t="s">
        <v>187</v>
      </c>
      <c r="N37" s="51"/>
      <c r="Q37" s="47"/>
    </row>
    <row r="38" spans="1:17" x14ac:dyDescent="0.2">
      <c r="I38" s="54" t="s">
        <v>51</v>
      </c>
      <c r="J38" s="55">
        <f t="shared" si="0"/>
        <v>0</v>
      </c>
      <c r="K38" s="54" t="s">
        <v>135</v>
      </c>
      <c r="L38" s="55"/>
      <c r="M38" s="53" t="s">
        <v>187</v>
      </c>
    </row>
    <row r="40" spans="1:17" x14ac:dyDescent="0.2">
      <c r="A40" s="21">
        <v>333</v>
      </c>
      <c r="B40" s="21" t="s">
        <v>57</v>
      </c>
    </row>
    <row r="43" spans="1:17" x14ac:dyDescent="0.2">
      <c r="A43" s="21">
        <v>333.1</v>
      </c>
      <c r="B43" s="21" t="s">
        <v>54</v>
      </c>
    </row>
    <row r="46" spans="1:17" x14ac:dyDescent="0.2">
      <c r="A46" s="21">
        <v>781.2</v>
      </c>
      <c r="B46" s="21" t="s">
        <v>58</v>
      </c>
    </row>
    <row r="49" spans="1:2" x14ac:dyDescent="0.2">
      <c r="A49" s="21">
        <v>781</v>
      </c>
      <c r="B49" s="21" t="s">
        <v>59</v>
      </c>
    </row>
    <row r="52" spans="1:2" x14ac:dyDescent="0.2">
      <c r="A52" s="21">
        <v>332</v>
      </c>
      <c r="B52" s="21" t="s">
        <v>53</v>
      </c>
    </row>
    <row r="55" spans="1:2" x14ac:dyDescent="0.2">
      <c r="A55" s="21">
        <v>333.1</v>
      </c>
      <c r="B55" s="21" t="s">
        <v>54</v>
      </c>
    </row>
    <row r="58" spans="1:2" x14ac:dyDescent="0.2">
      <c r="A58" s="21">
        <v>332</v>
      </c>
      <c r="B58" s="21" t="s">
        <v>53</v>
      </c>
    </row>
    <row r="60" spans="1:2" x14ac:dyDescent="0.2">
      <c r="A60" s="21">
        <v>333.1</v>
      </c>
      <c r="B60" s="21" t="s">
        <v>54</v>
      </c>
    </row>
    <row r="63" spans="1:2" x14ac:dyDescent="0.2">
      <c r="A63" s="21">
        <v>332</v>
      </c>
      <c r="B63" s="21" t="s">
        <v>53</v>
      </c>
    </row>
    <row r="66" spans="1:2" x14ac:dyDescent="0.2">
      <c r="A66" s="21">
        <v>333.79</v>
      </c>
      <c r="B66" s="21" t="s">
        <v>60</v>
      </c>
    </row>
    <row r="69" spans="1:2" x14ac:dyDescent="0.2">
      <c r="A69" s="21">
        <v>333.1</v>
      </c>
      <c r="B69" s="21" t="s">
        <v>54</v>
      </c>
    </row>
    <row r="72" spans="1:2" x14ac:dyDescent="0.2">
      <c r="A72" s="21">
        <v>333.1</v>
      </c>
      <c r="B72" s="21" t="s">
        <v>54</v>
      </c>
    </row>
    <row r="75" spans="1:2" x14ac:dyDescent="0.2">
      <c r="A75" s="21">
        <v>333.89</v>
      </c>
      <c r="B75" s="21" t="s">
        <v>56</v>
      </c>
    </row>
    <row r="78" spans="1:2" x14ac:dyDescent="0.2">
      <c r="A78" s="21">
        <v>332</v>
      </c>
      <c r="B78" s="21" t="s">
        <v>53</v>
      </c>
    </row>
    <row r="81" spans="1:2" x14ac:dyDescent="0.2">
      <c r="A81" s="21">
        <v>332</v>
      </c>
      <c r="B81" s="21" t="s">
        <v>53</v>
      </c>
    </row>
    <row r="84" spans="1:2" x14ac:dyDescent="0.2">
      <c r="A84" s="21">
        <v>332</v>
      </c>
      <c r="B84" s="21" t="s">
        <v>53</v>
      </c>
    </row>
    <row r="87" spans="1:2" x14ac:dyDescent="0.2">
      <c r="A87" s="21">
        <v>332</v>
      </c>
      <c r="B87" s="21" t="s">
        <v>53</v>
      </c>
    </row>
    <row r="90" spans="1:2" x14ac:dyDescent="0.2">
      <c r="A90" s="21">
        <v>332</v>
      </c>
      <c r="B90" s="21" t="s">
        <v>53</v>
      </c>
    </row>
    <row r="93" spans="1:2" x14ac:dyDescent="0.2">
      <c r="A93" s="21">
        <v>332</v>
      </c>
      <c r="B93" s="21" t="s">
        <v>53</v>
      </c>
    </row>
    <row r="95" spans="1:2" x14ac:dyDescent="0.2">
      <c r="A95" s="21">
        <v>332</v>
      </c>
      <c r="B95" s="21" t="s">
        <v>53</v>
      </c>
    </row>
    <row r="98" spans="1:2" x14ac:dyDescent="0.2">
      <c r="A98" s="21">
        <v>333.89</v>
      </c>
      <c r="B98" s="21" t="s">
        <v>56</v>
      </c>
    </row>
    <row r="101" spans="1:2" x14ac:dyDescent="0.2">
      <c r="A101" s="21">
        <v>333.71</v>
      </c>
      <c r="B101" s="21" t="s">
        <v>61</v>
      </c>
    </row>
    <row r="104" spans="1:2" x14ac:dyDescent="0.2">
      <c r="A104" s="21" t="s">
        <v>62</v>
      </c>
      <c r="B104" s="21" t="s">
        <v>63</v>
      </c>
    </row>
    <row r="107" spans="1:2" x14ac:dyDescent="0.2">
      <c r="A107" s="21" t="s">
        <v>64</v>
      </c>
      <c r="B107" s="21" t="s">
        <v>65</v>
      </c>
    </row>
    <row r="112" spans="1:2" x14ac:dyDescent="0.2">
      <c r="A112" s="21" t="s">
        <v>66</v>
      </c>
      <c r="B112" s="21" t="s">
        <v>67</v>
      </c>
    </row>
    <row r="115" spans="1:2" x14ac:dyDescent="0.2">
      <c r="A115" s="21" t="s">
        <v>62</v>
      </c>
      <c r="B115" s="21" t="s">
        <v>63</v>
      </c>
    </row>
    <row r="118" spans="1:2" x14ac:dyDescent="0.2">
      <c r="A118" s="21" t="s">
        <v>68</v>
      </c>
      <c r="B118" s="21" t="s">
        <v>69</v>
      </c>
    </row>
    <row r="121" spans="1:2" x14ac:dyDescent="0.2">
      <c r="A121" s="21" t="s">
        <v>68</v>
      </c>
      <c r="B121" s="21" t="s">
        <v>69</v>
      </c>
    </row>
    <row r="124" spans="1:2" x14ac:dyDescent="0.2">
      <c r="A124" s="21" t="s">
        <v>62</v>
      </c>
      <c r="B124" s="21" t="s">
        <v>63</v>
      </c>
    </row>
    <row r="127" spans="1:2" x14ac:dyDescent="0.2">
      <c r="A127" s="21" t="s">
        <v>68</v>
      </c>
      <c r="B127" s="21" t="s">
        <v>69</v>
      </c>
    </row>
    <row r="130" spans="1:2" x14ac:dyDescent="0.2">
      <c r="A130" s="21" t="s">
        <v>70</v>
      </c>
      <c r="B130" s="21" t="s">
        <v>71</v>
      </c>
    </row>
    <row r="133" spans="1:2" x14ac:dyDescent="0.2">
      <c r="A133" s="21" t="s">
        <v>62</v>
      </c>
      <c r="B133" s="21" t="s">
        <v>63</v>
      </c>
    </row>
    <row r="136" spans="1:2" x14ac:dyDescent="0.2">
      <c r="A136" s="21" t="s">
        <v>62</v>
      </c>
      <c r="B136" s="21" t="s">
        <v>63</v>
      </c>
    </row>
    <row r="139" spans="1:2" x14ac:dyDescent="0.2">
      <c r="A139" s="21" t="s">
        <v>62</v>
      </c>
      <c r="B139" s="21" t="s">
        <v>63</v>
      </c>
    </row>
    <row r="142" spans="1:2" x14ac:dyDescent="0.2">
      <c r="A142" s="21" t="s">
        <v>62</v>
      </c>
      <c r="B142" s="21" t="s">
        <v>63</v>
      </c>
    </row>
    <row r="145" spans="1:2" x14ac:dyDescent="0.2">
      <c r="A145" s="21" t="s">
        <v>62</v>
      </c>
      <c r="B145" s="21" t="s">
        <v>63</v>
      </c>
    </row>
    <row r="148" spans="1:2" x14ac:dyDescent="0.2">
      <c r="A148" s="21" t="s">
        <v>62</v>
      </c>
      <c r="B148" s="21" t="s">
        <v>63</v>
      </c>
    </row>
    <row r="151" spans="1:2" x14ac:dyDescent="0.2">
      <c r="A151" s="21" t="s">
        <v>72</v>
      </c>
      <c r="B151" s="21" t="s">
        <v>73</v>
      </c>
    </row>
    <row r="154" spans="1:2" x14ac:dyDescent="0.2">
      <c r="A154" s="21" t="s">
        <v>62</v>
      </c>
      <c r="B154" s="21" t="s">
        <v>63</v>
      </c>
    </row>
    <row r="157" spans="1:2" x14ac:dyDescent="0.2">
      <c r="A157" s="21" t="s">
        <v>68</v>
      </c>
      <c r="B157" s="21" t="s">
        <v>69</v>
      </c>
    </row>
    <row r="160" spans="1:2" x14ac:dyDescent="0.2">
      <c r="A160" s="21" t="s">
        <v>72</v>
      </c>
      <c r="B160" s="21" t="s">
        <v>73</v>
      </c>
    </row>
    <row r="165" spans="1:2" x14ac:dyDescent="0.2">
      <c r="A165" s="21" t="s">
        <v>62</v>
      </c>
      <c r="B165" s="21" t="s">
        <v>63</v>
      </c>
    </row>
    <row r="168" spans="1:2" x14ac:dyDescent="0.2">
      <c r="A168" s="21" t="s">
        <v>72</v>
      </c>
      <c r="B168" s="21" t="s">
        <v>73</v>
      </c>
    </row>
    <row r="171" spans="1:2" x14ac:dyDescent="0.2">
      <c r="A171" s="21" t="s">
        <v>74</v>
      </c>
      <c r="B171" s="21" t="s">
        <v>75</v>
      </c>
    </row>
    <row r="174" spans="1:2" x14ac:dyDescent="0.2">
      <c r="A174" s="21" t="s">
        <v>62</v>
      </c>
      <c r="B174" s="21" t="s">
        <v>63</v>
      </c>
    </row>
    <row r="177" spans="1:2" x14ac:dyDescent="0.2">
      <c r="A177" s="21" t="s">
        <v>72</v>
      </c>
      <c r="B177" s="21" t="s">
        <v>73</v>
      </c>
    </row>
    <row r="180" spans="1:2" x14ac:dyDescent="0.2">
      <c r="A180" s="21" t="s">
        <v>76</v>
      </c>
      <c r="B180" s="21" t="s">
        <v>77</v>
      </c>
    </row>
    <row r="183" spans="1:2" x14ac:dyDescent="0.2">
      <c r="A183" s="21">
        <v>332</v>
      </c>
      <c r="B183" s="21" t="s">
        <v>53</v>
      </c>
    </row>
    <row r="186" spans="1:2" x14ac:dyDescent="0.2">
      <c r="A186" s="21">
        <v>333.1</v>
      </c>
      <c r="B186" s="21" t="s">
        <v>54</v>
      </c>
    </row>
    <row r="189" spans="1:2" x14ac:dyDescent="0.2">
      <c r="A189" s="21">
        <v>332</v>
      </c>
      <c r="B189" s="21" t="s">
        <v>53</v>
      </c>
    </row>
    <row r="192" spans="1:2" x14ac:dyDescent="0.2">
      <c r="A192" s="21">
        <v>332</v>
      </c>
      <c r="B192" s="21" t="s">
        <v>53</v>
      </c>
    </row>
    <row r="195" spans="1:2" x14ac:dyDescent="0.2">
      <c r="A195" s="21">
        <v>332</v>
      </c>
      <c r="B195" s="21" t="s">
        <v>53</v>
      </c>
    </row>
    <row r="198" spans="1:2" x14ac:dyDescent="0.2">
      <c r="A198" s="21">
        <v>332</v>
      </c>
      <c r="B198" s="21" t="s">
        <v>53</v>
      </c>
    </row>
    <row r="201" spans="1:2" x14ac:dyDescent="0.2">
      <c r="A201" s="21">
        <v>332</v>
      </c>
      <c r="B201" s="21" t="s">
        <v>53</v>
      </c>
    </row>
    <row r="207" spans="1:2" x14ac:dyDescent="0.2">
      <c r="A207" s="21">
        <v>332</v>
      </c>
      <c r="B207" s="21" t="s">
        <v>53</v>
      </c>
    </row>
    <row r="210" spans="1:2" x14ac:dyDescent="0.2">
      <c r="A210" s="21">
        <v>781</v>
      </c>
      <c r="B210" s="21" t="s">
        <v>59</v>
      </c>
    </row>
    <row r="213" spans="1:2" x14ac:dyDescent="0.2">
      <c r="A213" s="21">
        <v>333.1</v>
      </c>
      <c r="B213" s="21" t="s">
        <v>54</v>
      </c>
    </row>
    <row r="218" spans="1:2" x14ac:dyDescent="0.2">
      <c r="A218" s="21">
        <v>333.1</v>
      </c>
      <c r="B218" s="21" t="s">
        <v>54</v>
      </c>
    </row>
    <row r="221" spans="1:2" x14ac:dyDescent="0.2">
      <c r="A221" s="21">
        <v>333.1</v>
      </c>
      <c r="B221" s="21" t="s">
        <v>54</v>
      </c>
    </row>
    <row r="224" spans="1:2" x14ac:dyDescent="0.2">
      <c r="A224" s="21">
        <v>333</v>
      </c>
      <c r="B224" s="21" t="s">
        <v>57</v>
      </c>
    </row>
    <row r="227" spans="1:2" x14ac:dyDescent="0.2">
      <c r="A227" s="21">
        <v>333.1</v>
      </c>
      <c r="B227" s="21" t="s">
        <v>54</v>
      </c>
    </row>
    <row r="230" spans="1:2" x14ac:dyDescent="0.2">
      <c r="A230" s="21">
        <v>332</v>
      </c>
      <c r="B230" s="21" t="s">
        <v>53</v>
      </c>
    </row>
    <row r="233" spans="1:2" x14ac:dyDescent="0.2">
      <c r="A233" s="21">
        <v>332</v>
      </c>
      <c r="B233" s="21" t="s">
        <v>53</v>
      </c>
    </row>
    <row r="240" spans="1:2" x14ac:dyDescent="0.2">
      <c r="A240" s="21">
        <v>333.1</v>
      </c>
      <c r="B240" s="21" t="s">
        <v>54</v>
      </c>
    </row>
    <row r="243" spans="1:2" x14ac:dyDescent="0.2">
      <c r="A243" s="21">
        <v>333.1</v>
      </c>
      <c r="B243" s="21" t="s">
        <v>54</v>
      </c>
    </row>
    <row r="246" spans="1:2" x14ac:dyDescent="0.2">
      <c r="A246" s="21">
        <v>333.1</v>
      </c>
      <c r="B246" s="21" t="s">
        <v>54</v>
      </c>
    </row>
    <row r="248" spans="1:2" x14ac:dyDescent="0.2">
      <c r="A248" s="21">
        <v>332</v>
      </c>
      <c r="B248" s="21" t="s">
        <v>53</v>
      </c>
    </row>
    <row r="250" spans="1:2" x14ac:dyDescent="0.2">
      <c r="A250" s="21">
        <v>332</v>
      </c>
      <c r="B250" s="21" t="s">
        <v>53</v>
      </c>
    </row>
    <row r="254" spans="1:2" x14ac:dyDescent="0.2">
      <c r="A254" s="21">
        <v>332</v>
      </c>
      <c r="B254" s="21" t="s">
        <v>53</v>
      </c>
    </row>
    <row r="257" spans="1:2" x14ac:dyDescent="0.2">
      <c r="A257" s="21">
        <v>332</v>
      </c>
      <c r="B257" s="21" t="s">
        <v>53</v>
      </c>
    </row>
    <row r="259" spans="1:2" x14ac:dyDescent="0.2">
      <c r="A259" s="21">
        <v>333</v>
      </c>
      <c r="B259" s="21" t="s">
        <v>57</v>
      </c>
    </row>
    <row r="261" spans="1:2" x14ac:dyDescent="0.2">
      <c r="A261" s="21">
        <v>332</v>
      </c>
      <c r="B261" s="21" t="s">
        <v>53</v>
      </c>
    </row>
    <row r="263" spans="1:2" x14ac:dyDescent="0.2">
      <c r="A263" s="21">
        <v>333.1</v>
      </c>
      <c r="B263" s="21" t="s">
        <v>54</v>
      </c>
    </row>
    <row r="265" spans="1:2" x14ac:dyDescent="0.2">
      <c r="A265" s="21">
        <v>332</v>
      </c>
      <c r="B265" s="21" t="s">
        <v>53</v>
      </c>
    </row>
    <row r="267" spans="1:2" x14ac:dyDescent="0.2">
      <c r="A267" s="21">
        <v>332</v>
      </c>
      <c r="B267" s="21" t="s">
        <v>53</v>
      </c>
    </row>
    <row r="271" spans="1:2" x14ac:dyDescent="0.2">
      <c r="A271" s="21">
        <v>333.1</v>
      </c>
      <c r="B271" s="21" t="s">
        <v>54</v>
      </c>
    </row>
    <row r="273" spans="1:2" x14ac:dyDescent="0.2">
      <c r="A273" s="21">
        <v>333.1</v>
      </c>
      <c r="B273" s="21" t="s">
        <v>54</v>
      </c>
    </row>
    <row r="275" spans="1:2" x14ac:dyDescent="0.2">
      <c r="A275" s="21">
        <v>333.1</v>
      </c>
      <c r="B275" s="21" t="s">
        <v>54</v>
      </c>
    </row>
    <row r="278" spans="1:2" x14ac:dyDescent="0.2">
      <c r="A278" s="21">
        <v>333.1</v>
      </c>
      <c r="B278" s="21" t="s">
        <v>54</v>
      </c>
    </row>
    <row r="281" spans="1:2" x14ac:dyDescent="0.2">
      <c r="A281" s="21">
        <v>781.2</v>
      </c>
      <c r="B281" s="21" t="s">
        <v>58</v>
      </c>
    </row>
    <row r="284" spans="1:2" x14ac:dyDescent="0.2">
      <c r="A284" s="21">
        <v>333.1</v>
      </c>
      <c r="B284" s="21" t="s">
        <v>54</v>
      </c>
    </row>
    <row r="287" spans="1:2" x14ac:dyDescent="0.2">
      <c r="A287" s="21">
        <v>333.89</v>
      </c>
      <c r="B287" s="21" t="s">
        <v>56</v>
      </c>
    </row>
    <row r="290" spans="1:2" x14ac:dyDescent="0.2">
      <c r="A290" s="21">
        <v>333.1</v>
      </c>
      <c r="B290" s="21" t="s">
        <v>54</v>
      </c>
    </row>
    <row r="292" spans="1:2" x14ac:dyDescent="0.2">
      <c r="A292" s="21">
        <v>333.1</v>
      </c>
      <c r="B292" s="21" t="s">
        <v>54</v>
      </c>
    </row>
    <row r="295" spans="1:2" x14ac:dyDescent="0.2">
      <c r="A295" s="21">
        <v>333.1</v>
      </c>
      <c r="B295" s="21" t="s">
        <v>54</v>
      </c>
    </row>
    <row r="297" spans="1:2" x14ac:dyDescent="0.2">
      <c r="A297" s="21">
        <v>333.1</v>
      </c>
      <c r="B297" s="21" t="s">
        <v>54</v>
      </c>
    </row>
    <row r="300" spans="1:2" x14ac:dyDescent="0.2">
      <c r="A300" s="21">
        <v>781.3</v>
      </c>
      <c r="B300" s="21" t="s">
        <v>78</v>
      </c>
    </row>
    <row r="303" spans="1:2" x14ac:dyDescent="0.2">
      <c r="A303" s="21">
        <v>333</v>
      </c>
      <c r="B303" s="21" t="s">
        <v>57</v>
      </c>
    </row>
    <row r="306" spans="1:2" x14ac:dyDescent="0.2">
      <c r="A306" s="21">
        <v>781.2</v>
      </c>
      <c r="B306" s="21" t="s">
        <v>58</v>
      </c>
    </row>
    <row r="308" spans="1:2" x14ac:dyDescent="0.2">
      <c r="A308" s="21">
        <v>333.1</v>
      </c>
      <c r="B308" s="21" t="s">
        <v>54</v>
      </c>
    </row>
    <row r="310" spans="1:2" x14ac:dyDescent="0.2">
      <c r="A310" s="21">
        <v>332</v>
      </c>
      <c r="B310" s="21" t="s">
        <v>53</v>
      </c>
    </row>
    <row r="313" spans="1:2" x14ac:dyDescent="0.2">
      <c r="A313" s="21">
        <v>334.3</v>
      </c>
      <c r="B313" s="21" t="s">
        <v>79</v>
      </c>
    </row>
    <row r="318" spans="1:2" x14ac:dyDescent="0.2">
      <c r="A318" s="21">
        <v>333.1</v>
      </c>
      <c r="B318" s="21" t="s">
        <v>54</v>
      </c>
    </row>
    <row r="321" spans="1:2" x14ac:dyDescent="0.2">
      <c r="A321" s="21">
        <v>333.1</v>
      </c>
      <c r="B321" s="21" t="s">
        <v>54</v>
      </c>
    </row>
    <row r="323" spans="1:2" x14ac:dyDescent="0.2">
      <c r="A323" s="21">
        <v>332</v>
      </c>
      <c r="B323" s="21" t="s">
        <v>53</v>
      </c>
    </row>
    <row r="325" spans="1:2" x14ac:dyDescent="0.2">
      <c r="A325" s="21">
        <v>332</v>
      </c>
      <c r="B325" s="21" t="s">
        <v>53</v>
      </c>
    </row>
    <row r="328" spans="1:2" x14ac:dyDescent="0.2">
      <c r="A328" s="21">
        <v>781.2</v>
      </c>
      <c r="B328" s="21" t="s">
        <v>58</v>
      </c>
    </row>
    <row r="333" spans="1:2" x14ac:dyDescent="0.2">
      <c r="A333" s="21">
        <v>332</v>
      </c>
      <c r="B333" s="21" t="s">
        <v>53</v>
      </c>
    </row>
    <row r="336" spans="1:2" x14ac:dyDescent="0.2">
      <c r="A336" s="21">
        <v>332</v>
      </c>
      <c r="B336" s="21" t="s">
        <v>53</v>
      </c>
    </row>
    <row r="338" spans="1:2" x14ac:dyDescent="0.2">
      <c r="A338" s="21">
        <v>333.1</v>
      </c>
      <c r="B338" s="21" t="s">
        <v>54</v>
      </c>
    </row>
    <row r="341" spans="1:2" x14ac:dyDescent="0.2">
      <c r="A341" s="21" t="s">
        <v>62</v>
      </c>
      <c r="B341" s="21" t="s">
        <v>63</v>
      </c>
    </row>
    <row r="343" spans="1:2" x14ac:dyDescent="0.2">
      <c r="A343" s="21" t="s">
        <v>80</v>
      </c>
      <c r="B343" s="21" t="s">
        <v>81</v>
      </c>
    </row>
    <row r="349" spans="1:2" x14ac:dyDescent="0.2">
      <c r="A349" s="21" t="s">
        <v>68</v>
      </c>
      <c r="B349" s="21" t="s">
        <v>69</v>
      </c>
    </row>
    <row r="352" spans="1:2" x14ac:dyDescent="0.2">
      <c r="A352" s="21" t="s">
        <v>62</v>
      </c>
      <c r="B352" s="21" t="s">
        <v>63</v>
      </c>
    </row>
    <row r="355" spans="1:2" x14ac:dyDescent="0.2">
      <c r="A355" s="21" t="s">
        <v>68</v>
      </c>
      <c r="B355" s="21" t="s">
        <v>69</v>
      </c>
    </row>
    <row r="358" spans="1:2" x14ac:dyDescent="0.2">
      <c r="A358" s="21" t="s">
        <v>72</v>
      </c>
      <c r="B358" s="21" t="s">
        <v>73</v>
      </c>
    </row>
    <row r="363" spans="1:2" x14ac:dyDescent="0.2">
      <c r="A363" s="21" t="s">
        <v>62</v>
      </c>
      <c r="B363" s="21" t="s">
        <v>63</v>
      </c>
    </row>
    <row r="365" spans="1:2" x14ac:dyDescent="0.2">
      <c r="A365" s="21" t="s">
        <v>62</v>
      </c>
      <c r="B365" s="21" t="s">
        <v>63</v>
      </c>
    </row>
    <row r="373" spans="1:2" x14ac:dyDescent="0.2">
      <c r="A373" s="21" t="s">
        <v>68</v>
      </c>
      <c r="B373" s="21" t="s">
        <v>69</v>
      </c>
    </row>
    <row r="378" spans="1:2" x14ac:dyDescent="0.2">
      <c r="A378" s="21" t="s">
        <v>62</v>
      </c>
      <c r="B378" s="21" t="s">
        <v>63</v>
      </c>
    </row>
    <row r="381" spans="1:2" x14ac:dyDescent="0.2">
      <c r="A381" s="21" t="s">
        <v>62</v>
      </c>
      <c r="B381" s="21" t="s">
        <v>63</v>
      </c>
    </row>
    <row r="384" spans="1:2" x14ac:dyDescent="0.2">
      <c r="A384" s="21" t="s">
        <v>66</v>
      </c>
      <c r="B384" s="21" t="s">
        <v>67</v>
      </c>
    </row>
    <row r="386" spans="1:2" x14ac:dyDescent="0.2">
      <c r="A386" s="21" t="s">
        <v>62</v>
      </c>
      <c r="B386" s="21" t="s">
        <v>63</v>
      </c>
    </row>
    <row r="391" spans="1:2" x14ac:dyDescent="0.2">
      <c r="A391" s="21" t="s">
        <v>72</v>
      </c>
      <c r="B391" s="21" t="s">
        <v>73</v>
      </c>
    </row>
    <row r="399" spans="1:2" x14ac:dyDescent="0.2">
      <c r="A399" s="21" t="s">
        <v>62</v>
      </c>
      <c r="B399" s="21" t="s">
        <v>63</v>
      </c>
    </row>
    <row r="402" spans="1:2" x14ac:dyDescent="0.2">
      <c r="A402" s="21" t="s">
        <v>72</v>
      </c>
      <c r="B402" s="21" t="s">
        <v>73</v>
      </c>
    </row>
    <row r="413" spans="1:2" x14ac:dyDescent="0.2">
      <c r="A413" s="21" t="s">
        <v>72</v>
      </c>
      <c r="B413" s="21" t="s">
        <v>73</v>
      </c>
    </row>
    <row r="416" spans="1:2" x14ac:dyDescent="0.2">
      <c r="A416" s="21" t="s">
        <v>62</v>
      </c>
      <c r="B416" s="21" t="s">
        <v>63</v>
      </c>
    </row>
    <row r="419" spans="1:2" x14ac:dyDescent="0.2">
      <c r="A419" s="21" t="s">
        <v>72</v>
      </c>
      <c r="B419" s="21" t="s">
        <v>73</v>
      </c>
    </row>
    <row r="421" spans="1:2" x14ac:dyDescent="0.2">
      <c r="A421" s="21" t="s">
        <v>68</v>
      </c>
      <c r="B421" s="21" t="s">
        <v>69</v>
      </c>
    </row>
    <row r="424" spans="1:2" x14ac:dyDescent="0.2">
      <c r="A424" s="21" t="s">
        <v>62</v>
      </c>
      <c r="B424" s="21" t="s">
        <v>63</v>
      </c>
    </row>
    <row r="427" spans="1:2" x14ac:dyDescent="0.2">
      <c r="A427" s="21" t="s">
        <v>72</v>
      </c>
      <c r="B427" s="21" t="s">
        <v>73</v>
      </c>
    </row>
    <row r="430" spans="1:2" x14ac:dyDescent="0.2">
      <c r="A430" s="21" t="s">
        <v>62</v>
      </c>
      <c r="B430" s="21" t="s">
        <v>63</v>
      </c>
    </row>
    <row r="433" spans="1:2" x14ac:dyDescent="0.2">
      <c r="A433" s="21" t="s">
        <v>62</v>
      </c>
      <c r="B433" s="21" t="s">
        <v>63</v>
      </c>
    </row>
    <row r="436" spans="1:2" x14ac:dyDescent="0.2">
      <c r="A436" s="21" t="s">
        <v>62</v>
      </c>
      <c r="B436" s="21" t="s">
        <v>63</v>
      </c>
    </row>
    <row r="443" spans="1:2" x14ac:dyDescent="0.2">
      <c r="A443" s="21" t="s">
        <v>62</v>
      </c>
      <c r="B443" s="21" t="s">
        <v>63</v>
      </c>
    </row>
    <row r="446" spans="1:2" x14ac:dyDescent="0.2">
      <c r="A446" s="21" t="s">
        <v>62</v>
      </c>
      <c r="B446" s="21" t="s">
        <v>63</v>
      </c>
    </row>
    <row r="449" spans="1:2" x14ac:dyDescent="0.2">
      <c r="A449" s="21" t="s">
        <v>62</v>
      </c>
      <c r="B449" s="21" t="s">
        <v>63</v>
      </c>
    </row>
    <row r="455" spans="1:2" x14ac:dyDescent="0.2">
      <c r="A455" s="21" t="s">
        <v>62</v>
      </c>
      <c r="B455" s="21" t="s">
        <v>63</v>
      </c>
    </row>
    <row r="458" spans="1:2" x14ac:dyDescent="0.2">
      <c r="A458" s="21" t="s">
        <v>62</v>
      </c>
      <c r="B458" s="21" t="s">
        <v>63</v>
      </c>
    </row>
    <row r="461" spans="1:2" x14ac:dyDescent="0.2">
      <c r="A461" s="21" t="s">
        <v>62</v>
      </c>
      <c r="B461" s="21" t="s">
        <v>63</v>
      </c>
    </row>
    <row r="464" spans="1:2" x14ac:dyDescent="0.2">
      <c r="A464" s="21" t="s">
        <v>76</v>
      </c>
      <c r="B464" s="21" t="s">
        <v>77</v>
      </c>
    </row>
    <row r="467" spans="1:2" x14ac:dyDescent="0.2">
      <c r="A467" s="21" t="s">
        <v>72</v>
      </c>
      <c r="B467" s="21" t="s">
        <v>73</v>
      </c>
    </row>
    <row r="473" spans="1:2" x14ac:dyDescent="0.2">
      <c r="A473" s="21" t="s">
        <v>62</v>
      </c>
      <c r="B473" s="21" t="s">
        <v>63</v>
      </c>
    </row>
    <row r="476" spans="1:2" x14ac:dyDescent="0.2">
      <c r="A476" s="21" t="s">
        <v>68</v>
      </c>
      <c r="B476" s="21" t="s">
        <v>69</v>
      </c>
    </row>
    <row r="479" spans="1:2" x14ac:dyDescent="0.2">
      <c r="A479" s="21" t="s">
        <v>62</v>
      </c>
      <c r="B479" s="21" t="s">
        <v>63</v>
      </c>
    </row>
    <row r="482" spans="1:2" x14ac:dyDescent="0.2">
      <c r="A482" s="21" t="s">
        <v>62</v>
      </c>
      <c r="B482" s="21" t="s">
        <v>63</v>
      </c>
    </row>
    <row r="485" spans="1:2" x14ac:dyDescent="0.2">
      <c r="A485" s="21" t="s">
        <v>76</v>
      </c>
      <c r="B485" s="21" t="s">
        <v>77</v>
      </c>
    </row>
    <row r="487" spans="1:2" x14ac:dyDescent="0.2">
      <c r="A487" s="21" t="s">
        <v>72</v>
      </c>
      <c r="B487" s="21" t="s">
        <v>73</v>
      </c>
    </row>
    <row r="490" spans="1:2" x14ac:dyDescent="0.2">
      <c r="A490" s="21" t="s">
        <v>62</v>
      </c>
      <c r="B490" s="21" t="s">
        <v>63</v>
      </c>
    </row>
    <row r="496" spans="1:2" x14ac:dyDescent="0.2">
      <c r="A496" s="21" t="s">
        <v>72</v>
      </c>
      <c r="B496" s="21" t="s">
        <v>73</v>
      </c>
    </row>
    <row r="499" spans="1:2" x14ac:dyDescent="0.2">
      <c r="A499" s="21" t="s">
        <v>68</v>
      </c>
      <c r="B499" s="21" t="s">
        <v>69</v>
      </c>
    </row>
    <row r="502" spans="1:2" x14ac:dyDescent="0.2">
      <c r="A502" s="21" t="s">
        <v>72</v>
      </c>
      <c r="B502" s="21" t="s">
        <v>73</v>
      </c>
    </row>
    <row r="505" spans="1:2" x14ac:dyDescent="0.2">
      <c r="A505" s="21" t="s">
        <v>62</v>
      </c>
      <c r="B505" s="21" t="s">
        <v>63</v>
      </c>
    </row>
    <row r="508" spans="1:2" x14ac:dyDescent="0.2">
      <c r="A508" s="21" t="s">
        <v>68</v>
      </c>
      <c r="B508" s="21" t="s">
        <v>69</v>
      </c>
    </row>
    <row r="510" spans="1:2" x14ac:dyDescent="0.2">
      <c r="A510" s="21" t="s">
        <v>62</v>
      </c>
      <c r="B510" s="21" t="s">
        <v>63</v>
      </c>
    </row>
    <row r="513" spans="1:2" x14ac:dyDescent="0.2">
      <c r="A513" s="21" t="s">
        <v>80</v>
      </c>
      <c r="B513" s="21" t="s">
        <v>81</v>
      </c>
    </row>
    <row r="516" spans="1:2" x14ac:dyDescent="0.2">
      <c r="A516" s="21" t="s">
        <v>68</v>
      </c>
      <c r="B516" s="21" t="s">
        <v>69</v>
      </c>
    </row>
    <row r="519" spans="1:2" x14ac:dyDescent="0.2">
      <c r="A519" s="21" t="s">
        <v>62</v>
      </c>
      <c r="B519" s="21" t="s">
        <v>63</v>
      </c>
    </row>
    <row r="522" spans="1:2" x14ac:dyDescent="0.2">
      <c r="A522" s="21" t="s">
        <v>62</v>
      </c>
      <c r="B522" s="21" t="s">
        <v>63</v>
      </c>
    </row>
    <row r="534" spans="1:2" x14ac:dyDescent="0.2">
      <c r="A534" s="21" t="s">
        <v>62</v>
      </c>
      <c r="B534" s="21" t="s">
        <v>63</v>
      </c>
    </row>
    <row r="542" spans="1:2" x14ac:dyDescent="0.2">
      <c r="A542" s="21" t="s">
        <v>68</v>
      </c>
      <c r="B542" s="21" t="s">
        <v>69</v>
      </c>
    </row>
    <row r="545" spans="1:2" x14ac:dyDescent="0.2">
      <c r="A545" s="21" t="s">
        <v>68</v>
      </c>
      <c r="B545" s="21" t="s">
        <v>69</v>
      </c>
    </row>
    <row r="548" spans="1:2" x14ac:dyDescent="0.2">
      <c r="A548" s="21" t="s">
        <v>68</v>
      </c>
      <c r="B548" s="21" t="s">
        <v>69</v>
      </c>
    </row>
    <row r="558" spans="1:2" x14ac:dyDescent="0.2">
      <c r="A558" s="21" t="s">
        <v>62</v>
      </c>
      <c r="B558" s="21" t="s">
        <v>63</v>
      </c>
    </row>
    <row r="561" spans="1:2" x14ac:dyDescent="0.2">
      <c r="A561" s="21" t="s">
        <v>62</v>
      </c>
      <c r="B561" s="21" t="s">
        <v>63</v>
      </c>
    </row>
    <row r="566" spans="1:2" x14ac:dyDescent="0.2">
      <c r="A566" s="21" t="s">
        <v>68</v>
      </c>
      <c r="B566" s="21" t="s">
        <v>69</v>
      </c>
    </row>
    <row r="569" spans="1:2" x14ac:dyDescent="0.2">
      <c r="A569" s="21" t="s">
        <v>62</v>
      </c>
      <c r="B569" s="21" t="s">
        <v>63</v>
      </c>
    </row>
    <row r="572" spans="1:2" x14ac:dyDescent="0.2">
      <c r="A572" s="21" t="s">
        <v>62</v>
      </c>
      <c r="B572" s="21" t="s">
        <v>63</v>
      </c>
    </row>
    <row r="575" spans="1:2" x14ac:dyDescent="0.2">
      <c r="A575" s="21" t="s">
        <v>62</v>
      </c>
      <c r="B575" s="21" t="s">
        <v>63</v>
      </c>
    </row>
    <row r="586" spans="1:2" x14ac:dyDescent="0.2">
      <c r="A586" s="21" t="s">
        <v>62</v>
      </c>
      <c r="B586" s="21" t="s">
        <v>63</v>
      </c>
    </row>
    <row r="594" spans="1:2" x14ac:dyDescent="0.2">
      <c r="A594" s="21" t="s">
        <v>72</v>
      </c>
      <c r="B594" s="21" t="s">
        <v>73</v>
      </c>
    </row>
    <row r="599" spans="1:2" x14ac:dyDescent="0.2">
      <c r="A599" s="21" t="s">
        <v>62</v>
      </c>
      <c r="B599" s="21" t="s">
        <v>63</v>
      </c>
    </row>
    <row r="610" spans="1:2" x14ac:dyDescent="0.2">
      <c r="A610" s="21" t="s">
        <v>62</v>
      </c>
      <c r="B610" s="21" t="s">
        <v>63</v>
      </c>
    </row>
    <row r="613" spans="1:2" x14ac:dyDescent="0.2">
      <c r="A613" s="21" t="s">
        <v>62</v>
      </c>
      <c r="B613" s="21" t="s">
        <v>63</v>
      </c>
    </row>
    <row r="615" spans="1:2" x14ac:dyDescent="0.2">
      <c r="A615" s="21" t="s">
        <v>72</v>
      </c>
      <c r="B615" s="21" t="s">
        <v>73</v>
      </c>
    </row>
    <row r="623" spans="1:2" x14ac:dyDescent="0.2">
      <c r="A623" s="21" t="s">
        <v>62</v>
      </c>
      <c r="B623" s="21" t="s">
        <v>63</v>
      </c>
    </row>
    <row r="630" spans="1:2" x14ac:dyDescent="0.2">
      <c r="A630" s="21" t="s">
        <v>62</v>
      </c>
      <c r="B630" s="21" t="s">
        <v>63</v>
      </c>
    </row>
    <row r="633" spans="1:2" x14ac:dyDescent="0.2">
      <c r="A633" s="21" t="s">
        <v>68</v>
      </c>
      <c r="B633" s="21" t="s">
        <v>69</v>
      </c>
    </row>
    <row r="639" spans="1:2" x14ac:dyDescent="0.2">
      <c r="A639" s="21" t="s">
        <v>68</v>
      </c>
      <c r="B639" s="21" t="s">
        <v>69</v>
      </c>
    </row>
    <row r="646" spans="1:2" x14ac:dyDescent="0.2">
      <c r="A646" s="21" t="s">
        <v>62</v>
      </c>
      <c r="B646" s="21" t="s">
        <v>63</v>
      </c>
    </row>
    <row r="651" spans="1:2" x14ac:dyDescent="0.2">
      <c r="A651" s="21" t="s">
        <v>62</v>
      </c>
      <c r="B651" s="21" t="s">
        <v>63</v>
      </c>
    </row>
    <row r="656" spans="1:2" x14ac:dyDescent="0.2">
      <c r="A656" s="21" t="s">
        <v>82</v>
      </c>
      <c r="B656" s="21" t="s">
        <v>83</v>
      </c>
    </row>
    <row r="666" spans="1:2" x14ac:dyDescent="0.2">
      <c r="A666" s="21" t="s">
        <v>80</v>
      </c>
      <c r="B666" s="21" t="s">
        <v>81</v>
      </c>
    </row>
    <row r="675" spans="1:2" x14ac:dyDescent="0.2">
      <c r="A675" s="21" t="s">
        <v>68</v>
      </c>
      <c r="B675" s="21" t="s">
        <v>69</v>
      </c>
    </row>
    <row r="678" spans="1:2" x14ac:dyDescent="0.2">
      <c r="A678" s="21" t="s">
        <v>68</v>
      </c>
      <c r="B678" s="21" t="s">
        <v>69</v>
      </c>
    </row>
    <row r="681" spans="1:2" x14ac:dyDescent="0.2">
      <c r="A681" s="21" t="s">
        <v>80</v>
      </c>
      <c r="B681" s="21" t="s">
        <v>81</v>
      </c>
    </row>
    <row r="684" spans="1:2" x14ac:dyDescent="0.2">
      <c r="A684" s="21" t="s">
        <v>84</v>
      </c>
      <c r="B684" s="21" t="s">
        <v>85</v>
      </c>
    </row>
    <row r="687" spans="1:2" x14ac:dyDescent="0.2">
      <c r="A687" s="21" t="s">
        <v>62</v>
      </c>
      <c r="B687" s="21" t="s">
        <v>63</v>
      </c>
    </row>
    <row r="759" spans="1:2" x14ac:dyDescent="0.2">
      <c r="A759" s="21" t="s">
        <v>62</v>
      </c>
      <c r="B759" s="21" t="s">
        <v>63</v>
      </c>
    </row>
    <row r="762" spans="1:2" x14ac:dyDescent="0.2">
      <c r="A762" s="21" t="s">
        <v>72</v>
      </c>
      <c r="B762" s="21" t="s">
        <v>73</v>
      </c>
    </row>
    <row r="765" spans="1:2" x14ac:dyDescent="0.2">
      <c r="A765" s="21" t="s">
        <v>62</v>
      </c>
      <c r="B765" s="21" t="s">
        <v>63</v>
      </c>
    </row>
    <row r="768" spans="1:2" x14ac:dyDescent="0.2">
      <c r="A768" s="21" t="s">
        <v>62</v>
      </c>
      <c r="B768" s="21" t="s">
        <v>63</v>
      </c>
    </row>
    <row r="771" spans="1:2" x14ac:dyDescent="0.2">
      <c r="A771" s="21" t="s">
        <v>62</v>
      </c>
      <c r="B771" s="21" t="s">
        <v>63</v>
      </c>
    </row>
    <row r="774" spans="1:2" x14ac:dyDescent="0.2">
      <c r="A774" s="21" t="s">
        <v>62</v>
      </c>
      <c r="B774" s="21" t="s">
        <v>63</v>
      </c>
    </row>
    <row r="776" spans="1:2" x14ac:dyDescent="0.2">
      <c r="A776" s="21" t="s">
        <v>62</v>
      </c>
      <c r="B776" s="21" t="s">
        <v>63</v>
      </c>
    </row>
    <row r="779" spans="1:2" x14ac:dyDescent="0.2">
      <c r="A779" s="21" t="s">
        <v>62</v>
      </c>
      <c r="B779" s="21" t="s">
        <v>63</v>
      </c>
    </row>
    <row r="785" spans="1:2" x14ac:dyDescent="0.2">
      <c r="A785" s="21" t="s">
        <v>74</v>
      </c>
      <c r="B785" s="21" t="s">
        <v>75</v>
      </c>
    </row>
    <row r="788" spans="1:2" x14ac:dyDescent="0.2">
      <c r="A788" s="21" t="s">
        <v>72</v>
      </c>
      <c r="B788" s="21" t="s">
        <v>73</v>
      </c>
    </row>
    <row r="791" spans="1:2" x14ac:dyDescent="0.2">
      <c r="A791" s="21" t="s">
        <v>62</v>
      </c>
      <c r="B791" s="21" t="s">
        <v>63</v>
      </c>
    </row>
    <row r="794" spans="1:2" x14ac:dyDescent="0.2">
      <c r="A794" s="21" t="s">
        <v>62</v>
      </c>
      <c r="B794" s="21" t="s">
        <v>63</v>
      </c>
    </row>
    <row r="797" spans="1:2" x14ac:dyDescent="0.2">
      <c r="A797" s="21" t="s">
        <v>62</v>
      </c>
      <c r="B797" s="21" t="s">
        <v>63</v>
      </c>
    </row>
    <row r="800" spans="1:2" x14ac:dyDescent="0.2">
      <c r="A800" s="21" t="s">
        <v>68</v>
      </c>
      <c r="B800" s="21" t="s">
        <v>69</v>
      </c>
    </row>
    <row r="803" spans="1:2" x14ac:dyDescent="0.2">
      <c r="A803" s="21" t="s">
        <v>68</v>
      </c>
      <c r="B803" s="21" t="s">
        <v>69</v>
      </c>
    </row>
    <row r="806" spans="1:2" x14ac:dyDescent="0.2">
      <c r="A806" s="21" t="s">
        <v>62</v>
      </c>
      <c r="B806" s="21" t="s">
        <v>63</v>
      </c>
    </row>
    <row r="808" spans="1:2" x14ac:dyDescent="0.2">
      <c r="A808" s="21" t="s">
        <v>62</v>
      </c>
      <c r="B808" s="21" t="s">
        <v>63</v>
      </c>
    </row>
    <row r="810" spans="1:2" x14ac:dyDescent="0.2">
      <c r="A810" s="21" t="s">
        <v>72</v>
      </c>
      <c r="B810" s="21" t="s">
        <v>73</v>
      </c>
    </row>
    <row r="813" spans="1:2" x14ac:dyDescent="0.2">
      <c r="A813" s="21" t="s">
        <v>62</v>
      </c>
      <c r="B813" s="21" t="s">
        <v>63</v>
      </c>
    </row>
    <row r="815" spans="1:2" x14ac:dyDescent="0.2">
      <c r="A815" s="21" t="s">
        <v>72</v>
      </c>
      <c r="B815" s="21" t="s">
        <v>73</v>
      </c>
    </row>
    <row r="818" spans="1:2" x14ac:dyDescent="0.2">
      <c r="A818" s="21" t="s">
        <v>62</v>
      </c>
      <c r="B818" s="21" t="s">
        <v>63</v>
      </c>
    </row>
    <row r="821" spans="1:2" x14ac:dyDescent="0.2">
      <c r="A821" s="21" t="s">
        <v>62</v>
      </c>
      <c r="B821" s="21" t="s">
        <v>63</v>
      </c>
    </row>
    <row r="830" spans="1:2" x14ac:dyDescent="0.2">
      <c r="A830" s="21" t="s">
        <v>62</v>
      </c>
      <c r="B830" s="21" t="s">
        <v>63</v>
      </c>
    </row>
    <row r="836" spans="1:2" x14ac:dyDescent="0.2">
      <c r="A836" s="21" t="s">
        <v>62</v>
      </c>
      <c r="B836" s="21" t="s">
        <v>63</v>
      </c>
    </row>
    <row r="839" spans="1:2" x14ac:dyDescent="0.2">
      <c r="A839" s="21" t="s">
        <v>62</v>
      </c>
      <c r="B839" s="21" t="s">
        <v>63</v>
      </c>
    </row>
    <row r="842" spans="1:2" x14ac:dyDescent="0.2">
      <c r="A842" s="21" t="s">
        <v>72</v>
      </c>
      <c r="B842" s="21" t="s">
        <v>73</v>
      </c>
    </row>
    <row r="844" spans="1:2" x14ac:dyDescent="0.2">
      <c r="A844" s="21" t="s">
        <v>68</v>
      </c>
      <c r="B844" s="21" t="s">
        <v>69</v>
      </c>
    </row>
    <row r="850" spans="1:2" x14ac:dyDescent="0.2">
      <c r="A850" s="21" t="s">
        <v>68</v>
      </c>
      <c r="B850" s="21" t="s">
        <v>69</v>
      </c>
    </row>
    <row r="856" spans="1:2" x14ac:dyDescent="0.2">
      <c r="A856" s="21" t="s">
        <v>62</v>
      </c>
      <c r="B856" s="21" t="s">
        <v>63</v>
      </c>
    </row>
    <row r="859" spans="1:2" x14ac:dyDescent="0.2">
      <c r="A859" s="21" t="s">
        <v>72</v>
      </c>
      <c r="B859" s="21" t="s">
        <v>73</v>
      </c>
    </row>
    <row r="868" spans="1:2" x14ac:dyDescent="0.2">
      <c r="A868" s="21" t="s">
        <v>68</v>
      </c>
      <c r="B868" s="21" t="s">
        <v>69</v>
      </c>
    </row>
    <row r="871" spans="1:2" x14ac:dyDescent="0.2">
      <c r="A871" s="21" t="s">
        <v>72</v>
      </c>
      <c r="B871" s="21" t="s">
        <v>73</v>
      </c>
    </row>
    <row r="876" spans="1:2" x14ac:dyDescent="0.2">
      <c r="A876" s="21" t="s">
        <v>62</v>
      </c>
      <c r="B876" s="21" t="s">
        <v>63</v>
      </c>
    </row>
    <row r="879" spans="1:2" x14ac:dyDescent="0.2">
      <c r="A879" s="21" t="s">
        <v>62</v>
      </c>
      <c r="B879" s="21" t="s">
        <v>63</v>
      </c>
    </row>
    <row r="889" spans="1:2" x14ac:dyDescent="0.2">
      <c r="A889" s="21" t="s">
        <v>72</v>
      </c>
      <c r="B889" s="21" t="s">
        <v>73</v>
      </c>
    </row>
    <row r="892" spans="1:2" x14ac:dyDescent="0.2">
      <c r="A892" s="21" t="s">
        <v>62</v>
      </c>
      <c r="B892" s="21" t="s">
        <v>63</v>
      </c>
    </row>
    <row r="904" spans="1:2" x14ac:dyDescent="0.2">
      <c r="A904" s="21" t="s">
        <v>86</v>
      </c>
      <c r="B904" s="21" t="s">
        <v>87</v>
      </c>
    </row>
    <row r="910" spans="1:2" x14ac:dyDescent="0.2">
      <c r="A910" s="21" t="s">
        <v>68</v>
      </c>
      <c r="B910" s="21" t="s">
        <v>69</v>
      </c>
    </row>
    <row r="913" spans="1:2" x14ac:dyDescent="0.2">
      <c r="A913" s="21" t="s">
        <v>68</v>
      </c>
      <c r="B913" s="21" t="s">
        <v>69</v>
      </c>
    </row>
    <row r="925" spans="1:2" x14ac:dyDescent="0.2">
      <c r="A925" s="21" t="s">
        <v>62</v>
      </c>
      <c r="B925" s="21" t="s">
        <v>63</v>
      </c>
    </row>
    <row r="928" spans="1:2" x14ac:dyDescent="0.2">
      <c r="A928" s="21" t="s">
        <v>62</v>
      </c>
      <c r="B928" s="21" t="s">
        <v>63</v>
      </c>
    </row>
    <row r="931" spans="1:2" x14ac:dyDescent="0.2">
      <c r="A931" s="21" t="s">
        <v>72</v>
      </c>
      <c r="B931" s="21" t="s">
        <v>73</v>
      </c>
    </row>
    <row r="934" spans="1:2" x14ac:dyDescent="0.2">
      <c r="A934" s="21" t="s">
        <v>88</v>
      </c>
      <c r="B934" s="21" t="s">
        <v>89</v>
      </c>
    </row>
    <row r="937" spans="1:2" x14ac:dyDescent="0.2">
      <c r="A937" s="21" t="s">
        <v>72</v>
      </c>
      <c r="B937" s="21" t="s">
        <v>73</v>
      </c>
    </row>
    <row r="940" spans="1:2" x14ac:dyDescent="0.2">
      <c r="A940" s="21" t="s">
        <v>68</v>
      </c>
      <c r="B940" s="21" t="s">
        <v>69</v>
      </c>
    </row>
    <row r="943" spans="1:2" x14ac:dyDescent="0.2">
      <c r="A943" s="21" t="s">
        <v>62</v>
      </c>
      <c r="B943" s="21" t="s">
        <v>63</v>
      </c>
    </row>
    <row r="949" spans="1:2" x14ac:dyDescent="0.2">
      <c r="A949" s="21" t="s">
        <v>62</v>
      </c>
      <c r="B949" s="21" t="s">
        <v>63</v>
      </c>
    </row>
    <row r="952" spans="1:2" x14ac:dyDescent="0.2">
      <c r="A952" s="21" t="s">
        <v>68</v>
      </c>
      <c r="B952" s="21" t="s">
        <v>69</v>
      </c>
    </row>
    <row r="967" spans="1:2" x14ac:dyDescent="0.2">
      <c r="A967" s="21" t="s">
        <v>72</v>
      </c>
      <c r="B967" s="21" t="s">
        <v>73</v>
      </c>
    </row>
    <row r="970" spans="1:2" x14ac:dyDescent="0.2">
      <c r="A970" s="21" t="s">
        <v>72</v>
      </c>
      <c r="B970" s="21" t="s">
        <v>73</v>
      </c>
    </row>
    <row r="973" spans="1:2" x14ac:dyDescent="0.2">
      <c r="A973" s="21" t="s">
        <v>72</v>
      </c>
      <c r="B973" s="21" t="s">
        <v>73</v>
      </c>
    </row>
    <row r="976" spans="1:2" x14ac:dyDescent="0.2">
      <c r="A976" s="21" t="s">
        <v>72</v>
      </c>
      <c r="B976" s="21" t="s">
        <v>73</v>
      </c>
    </row>
    <row r="979" spans="1:2" x14ac:dyDescent="0.2">
      <c r="A979" s="21" t="s">
        <v>90</v>
      </c>
      <c r="B979" s="21" t="s">
        <v>91</v>
      </c>
    </row>
    <row r="982" spans="1:2" x14ac:dyDescent="0.2">
      <c r="A982" s="21" t="s">
        <v>68</v>
      </c>
      <c r="B982" s="21" t="s">
        <v>69</v>
      </c>
    </row>
    <row r="985" spans="1:2" x14ac:dyDescent="0.2">
      <c r="A985" s="21" t="s">
        <v>72</v>
      </c>
      <c r="B985" s="21" t="s">
        <v>73</v>
      </c>
    </row>
    <row r="988" spans="1:2" x14ac:dyDescent="0.2">
      <c r="A988" s="21" t="s">
        <v>72</v>
      </c>
      <c r="B988" s="21" t="s">
        <v>73</v>
      </c>
    </row>
    <row r="991" spans="1:2" x14ac:dyDescent="0.2">
      <c r="A991" s="21" t="s">
        <v>68</v>
      </c>
      <c r="B991" s="21" t="s">
        <v>69</v>
      </c>
    </row>
    <row r="994" spans="1:2" x14ac:dyDescent="0.2">
      <c r="A994" s="21" t="s">
        <v>62</v>
      </c>
      <c r="B994" s="21" t="s">
        <v>63</v>
      </c>
    </row>
    <row r="1000" spans="1:2" x14ac:dyDescent="0.2">
      <c r="A1000" s="21" t="s">
        <v>92</v>
      </c>
      <c r="B1000" s="21" t="s">
        <v>93</v>
      </c>
    </row>
    <row r="1003" spans="1:2" x14ac:dyDescent="0.2">
      <c r="A1003" s="21" t="s">
        <v>72</v>
      </c>
      <c r="B1003" s="21" t="s">
        <v>73</v>
      </c>
    </row>
    <row r="1006" spans="1:2" x14ac:dyDescent="0.2">
      <c r="A1006" s="21" t="s">
        <v>62</v>
      </c>
      <c r="B1006" s="21" t="s">
        <v>63</v>
      </c>
    </row>
    <row r="1009" spans="1:2" x14ac:dyDescent="0.2">
      <c r="A1009" s="21" t="s">
        <v>76</v>
      </c>
      <c r="B1009" s="21" t="s">
        <v>77</v>
      </c>
    </row>
    <row r="1012" spans="1:2" x14ac:dyDescent="0.2">
      <c r="A1012" s="21" t="s">
        <v>72</v>
      </c>
      <c r="B1012" s="21" t="s">
        <v>73</v>
      </c>
    </row>
    <row r="1015" spans="1:2" x14ac:dyDescent="0.2">
      <c r="A1015" s="21" t="s">
        <v>72</v>
      </c>
      <c r="B1015" s="21" t="s">
        <v>73</v>
      </c>
    </row>
    <row r="1018" spans="1:2" x14ac:dyDescent="0.2">
      <c r="A1018" s="21" t="s">
        <v>62</v>
      </c>
      <c r="B1018" s="21" t="s">
        <v>63</v>
      </c>
    </row>
    <row r="1021" spans="1:2" x14ac:dyDescent="0.2">
      <c r="A1021" s="21" t="s">
        <v>72</v>
      </c>
      <c r="B1021" s="21" t="s">
        <v>73</v>
      </c>
    </row>
    <row r="1027" spans="1:2" x14ac:dyDescent="0.2">
      <c r="A1027" s="21" t="s">
        <v>94</v>
      </c>
      <c r="B1027" s="21" t="s">
        <v>95</v>
      </c>
    </row>
    <row r="1030" spans="1:2" x14ac:dyDescent="0.2">
      <c r="A1030" s="21" t="s">
        <v>68</v>
      </c>
      <c r="B1030" s="21" t="s">
        <v>69</v>
      </c>
    </row>
    <row r="1033" spans="1:2" x14ac:dyDescent="0.2">
      <c r="A1033" s="21" t="s">
        <v>62</v>
      </c>
      <c r="B1033" s="21" t="s">
        <v>63</v>
      </c>
    </row>
    <row r="1036" spans="1:2" x14ac:dyDescent="0.2">
      <c r="A1036" s="21" t="s">
        <v>62</v>
      </c>
      <c r="B1036" s="21" t="s">
        <v>63</v>
      </c>
    </row>
    <row r="1039" spans="1:2" x14ac:dyDescent="0.2">
      <c r="A1039" s="21" t="s">
        <v>62</v>
      </c>
      <c r="B1039" s="21" t="s">
        <v>63</v>
      </c>
    </row>
    <row r="1042" spans="1:2" x14ac:dyDescent="0.2">
      <c r="A1042" s="21" t="s">
        <v>72</v>
      </c>
      <c r="B1042" s="21" t="s">
        <v>73</v>
      </c>
    </row>
    <row r="1045" spans="1:2" x14ac:dyDescent="0.2">
      <c r="A1045" s="21" t="s">
        <v>72</v>
      </c>
      <c r="B1045" s="21" t="s">
        <v>73</v>
      </c>
    </row>
    <row r="1048" spans="1:2" x14ac:dyDescent="0.2">
      <c r="A1048" s="21" t="s">
        <v>80</v>
      </c>
      <c r="B1048" s="21" t="s">
        <v>81</v>
      </c>
    </row>
    <row r="1054" spans="1:2" x14ac:dyDescent="0.2">
      <c r="A1054" s="21" t="s">
        <v>62</v>
      </c>
      <c r="B1054" s="21" t="s">
        <v>63</v>
      </c>
    </row>
    <row r="1057" spans="1:2" x14ac:dyDescent="0.2">
      <c r="A1057" s="21" t="s">
        <v>62</v>
      </c>
      <c r="B1057" s="21" t="s">
        <v>63</v>
      </c>
    </row>
    <row r="1060" spans="1:2" x14ac:dyDescent="0.2">
      <c r="A1060" s="21" t="s">
        <v>72</v>
      </c>
      <c r="B1060" s="21" t="s">
        <v>73</v>
      </c>
    </row>
    <row r="1063" spans="1:2" x14ac:dyDescent="0.2">
      <c r="A1063" s="21" t="s">
        <v>76</v>
      </c>
      <c r="B1063" s="21" t="s">
        <v>77</v>
      </c>
    </row>
    <row r="1072" spans="1:2" x14ac:dyDescent="0.2">
      <c r="A1072" s="21" t="s">
        <v>62</v>
      </c>
      <c r="B1072" s="21" t="s">
        <v>63</v>
      </c>
    </row>
    <row r="1075" spans="1:2" x14ac:dyDescent="0.2">
      <c r="A1075" s="21" t="s">
        <v>62</v>
      </c>
      <c r="B1075" s="21" t="s">
        <v>63</v>
      </c>
    </row>
    <row r="1078" spans="1:2" x14ac:dyDescent="0.2">
      <c r="A1078" s="21" t="s">
        <v>62</v>
      </c>
      <c r="B1078" s="21" t="s">
        <v>63</v>
      </c>
    </row>
    <row r="1081" spans="1:2" x14ac:dyDescent="0.2">
      <c r="A1081" s="21" t="s">
        <v>62</v>
      </c>
      <c r="B1081" s="21" t="s">
        <v>63</v>
      </c>
    </row>
    <row r="1084" spans="1:2" x14ac:dyDescent="0.2">
      <c r="A1084" s="21" t="s">
        <v>62</v>
      </c>
      <c r="B1084" s="21" t="s">
        <v>63</v>
      </c>
    </row>
    <row r="1087" spans="1:2" x14ac:dyDescent="0.2">
      <c r="A1087" s="21" t="s">
        <v>68</v>
      </c>
      <c r="B1087" s="21" t="s">
        <v>69</v>
      </c>
    </row>
    <row r="1092" spans="1:2" x14ac:dyDescent="0.2">
      <c r="A1092" s="21" t="s">
        <v>68</v>
      </c>
      <c r="B1092" s="21" t="s">
        <v>69</v>
      </c>
    </row>
    <row r="1095" spans="1:2" x14ac:dyDescent="0.2">
      <c r="A1095" s="21" t="s">
        <v>68</v>
      </c>
      <c r="B1095" s="21" t="s">
        <v>69</v>
      </c>
    </row>
    <row r="1098" spans="1:2" x14ac:dyDescent="0.2">
      <c r="A1098" s="21" t="s">
        <v>68</v>
      </c>
      <c r="B1098" s="21" t="s">
        <v>69</v>
      </c>
    </row>
    <row r="1101" spans="1:2" x14ac:dyDescent="0.2">
      <c r="A1101" s="21" t="s">
        <v>68</v>
      </c>
      <c r="B1101" s="21" t="s">
        <v>69</v>
      </c>
    </row>
    <row r="1104" spans="1:2" x14ac:dyDescent="0.2">
      <c r="A1104" s="21" t="s">
        <v>68</v>
      </c>
      <c r="B1104" s="21" t="s">
        <v>69</v>
      </c>
    </row>
    <row r="1107" spans="1:2" x14ac:dyDescent="0.2">
      <c r="A1107" s="21" t="s">
        <v>62</v>
      </c>
      <c r="B1107" s="21" t="s">
        <v>63</v>
      </c>
    </row>
    <row r="1110" spans="1:2" x14ac:dyDescent="0.2">
      <c r="A1110" s="21" t="s">
        <v>68</v>
      </c>
      <c r="B1110" s="21" t="s">
        <v>69</v>
      </c>
    </row>
    <row r="1113" spans="1:2" x14ac:dyDescent="0.2">
      <c r="A1113" s="21" t="s">
        <v>62</v>
      </c>
      <c r="B1113" s="21" t="s">
        <v>63</v>
      </c>
    </row>
    <row r="1116" spans="1:2" x14ac:dyDescent="0.2">
      <c r="A1116" s="21" t="s">
        <v>62</v>
      </c>
      <c r="B1116" s="21" t="s">
        <v>63</v>
      </c>
    </row>
    <row r="1119" spans="1:2" x14ac:dyDescent="0.2">
      <c r="A1119" s="21" t="s">
        <v>62</v>
      </c>
      <c r="B1119" s="21" t="s">
        <v>63</v>
      </c>
    </row>
    <row r="1122" spans="1:2" x14ac:dyDescent="0.2">
      <c r="A1122" s="21" t="s">
        <v>68</v>
      </c>
      <c r="B1122" s="21" t="s">
        <v>69</v>
      </c>
    </row>
    <row r="1125" spans="1:2" x14ac:dyDescent="0.2">
      <c r="A1125" s="21" t="s">
        <v>68</v>
      </c>
      <c r="B1125" s="21" t="s">
        <v>69</v>
      </c>
    </row>
    <row r="1128" spans="1:2" x14ac:dyDescent="0.2">
      <c r="A1128" s="21" t="s">
        <v>68</v>
      </c>
      <c r="B1128" s="21" t="s">
        <v>69</v>
      </c>
    </row>
    <row r="1131" spans="1:2" x14ac:dyDescent="0.2">
      <c r="A1131" s="21" t="s">
        <v>62</v>
      </c>
      <c r="B1131" s="21" t="s">
        <v>63</v>
      </c>
    </row>
    <row r="1134" spans="1:2" x14ac:dyDescent="0.2">
      <c r="A1134" s="21" t="s">
        <v>64</v>
      </c>
      <c r="B1134" s="21" t="s">
        <v>65</v>
      </c>
    </row>
    <row r="1137" spans="1:2" x14ac:dyDescent="0.2">
      <c r="A1137" s="21" t="s">
        <v>62</v>
      </c>
      <c r="B1137" s="21" t="s">
        <v>63</v>
      </c>
    </row>
    <row r="1140" spans="1:2" x14ac:dyDescent="0.2">
      <c r="A1140" s="21" t="s">
        <v>68</v>
      </c>
      <c r="B1140" s="21" t="s">
        <v>69</v>
      </c>
    </row>
    <row r="1143" spans="1:2" x14ac:dyDescent="0.2">
      <c r="A1143" s="21" t="s">
        <v>68</v>
      </c>
      <c r="B1143" s="21" t="s">
        <v>69</v>
      </c>
    </row>
    <row r="1146" spans="1:2" x14ac:dyDescent="0.2">
      <c r="A1146" s="21" t="s">
        <v>76</v>
      </c>
      <c r="B1146" s="21" t="s">
        <v>77</v>
      </c>
    </row>
    <row r="1152" spans="1:2" x14ac:dyDescent="0.2">
      <c r="A1152" s="21" t="s">
        <v>62</v>
      </c>
      <c r="B1152" s="21" t="s">
        <v>63</v>
      </c>
    </row>
    <row r="1154" spans="1:2" x14ac:dyDescent="0.2">
      <c r="A1154" s="21" t="s">
        <v>62</v>
      </c>
      <c r="B1154" s="21" t="s">
        <v>63</v>
      </c>
    </row>
    <row r="1160" spans="1:2" x14ac:dyDescent="0.2">
      <c r="A1160" s="21" t="s">
        <v>68</v>
      </c>
      <c r="B1160" s="21" t="s">
        <v>69</v>
      </c>
    </row>
    <row r="1163" spans="1:2" x14ac:dyDescent="0.2">
      <c r="A1163" s="21" t="s">
        <v>62</v>
      </c>
      <c r="B1163" s="21" t="s">
        <v>63</v>
      </c>
    </row>
    <row r="1166" spans="1:2" x14ac:dyDescent="0.2">
      <c r="A1166" s="21" t="s">
        <v>68</v>
      </c>
      <c r="B1166" s="21" t="s">
        <v>69</v>
      </c>
    </row>
    <row r="1169" spans="1:2" x14ac:dyDescent="0.2">
      <c r="A1169" s="21" t="s">
        <v>62</v>
      </c>
      <c r="B1169" s="21" t="s">
        <v>63</v>
      </c>
    </row>
    <row r="1172" spans="1:2" x14ac:dyDescent="0.2">
      <c r="A1172" s="21" t="s">
        <v>80</v>
      </c>
      <c r="B1172" s="21" t="s">
        <v>81</v>
      </c>
    </row>
    <row r="1175" spans="1:2" x14ac:dyDescent="0.2">
      <c r="A1175" s="21" t="s">
        <v>92</v>
      </c>
      <c r="B1175" s="21" t="s">
        <v>93</v>
      </c>
    </row>
    <row r="1178" spans="1:2" x14ac:dyDescent="0.2">
      <c r="A1178" s="21" t="s">
        <v>62</v>
      </c>
      <c r="B1178" s="21" t="s">
        <v>63</v>
      </c>
    </row>
    <row r="1181" spans="1:2" x14ac:dyDescent="0.2">
      <c r="A1181" s="21" t="s">
        <v>80</v>
      </c>
      <c r="B1181" s="21" t="s">
        <v>81</v>
      </c>
    </row>
    <row r="1186" spans="1:2" x14ac:dyDescent="0.2">
      <c r="A1186" s="21" t="s">
        <v>62</v>
      </c>
      <c r="B1186" s="21" t="s">
        <v>63</v>
      </c>
    </row>
    <row r="1189" spans="1:2" x14ac:dyDescent="0.2">
      <c r="A1189" s="21" t="s">
        <v>62</v>
      </c>
      <c r="B1189" s="21" t="s">
        <v>63</v>
      </c>
    </row>
    <row r="1192" spans="1:2" x14ac:dyDescent="0.2">
      <c r="A1192" s="21" t="s">
        <v>74</v>
      </c>
      <c r="B1192" s="21" t="s">
        <v>75</v>
      </c>
    </row>
    <row r="1195" spans="1:2" x14ac:dyDescent="0.2">
      <c r="A1195" s="21" t="s">
        <v>68</v>
      </c>
      <c r="B1195" s="21" t="s">
        <v>69</v>
      </c>
    </row>
    <row r="1198" spans="1:2" x14ac:dyDescent="0.2">
      <c r="A1198" s="21" t="s">
        <v>68</v>
      </c>
      <c r="B1198" s="21" t="s">
        <v>69</v>
      </c>
    </row>
    <row r="1209" spans="1:2" x14ac:dyDescent="0.2">
      <c r="A1209" s="21" t="s">
        <v>62</v>
      </c>
      <c r="B1209" s="21" t="s">
        <v>63</v>
      </c>
    </row>
    <row r="1212" spans="1:2" x14ac:dyDescent="0.2">
      <c r="A1212" s="21" t="s">
        <v>92</v>
      </c>
      <c r="B1212" s="21" t="s">
        <v>93</v>
      </c>
    </row>
    <row r="1215" spans="1:2" x14ac:dyDescent="0.2">
      <c r="A1215" s="21" t="s">
        <v>62</v>
      </c>
      <c r="B1215" s="21" t="s">
        <v>63</v>
      </c>
    </row>
    <row r="1218" spans="1:2" x14ac:dyDescent="0.2">
      <c r="A1218" s="21" t="s">
        <v>62</v>
      </c>
      <c r="B1218" s="21" t="s">
        <v>63</v>
      </c>
    </row>
    <row r="1224" spans="1:2" x14ac:dyDescent="0.2">
      <c r="A1224" s="21" t="s">
        <v>62</v>
      </c>
      <c r="B1224" s="21" t="s">
        <v>63</v>
      </c>
    </row>
    <row r="1227" spans="1:2" x14ac:dyDescent="0.2">
      <c r="A1227" s="21" t="s">
        <v>92</v>
      </c>
      <c r="B1227" s="21" t="s">
        <v>93</v>
      </c>
    </row>
    <row r="1230" spans="1:2" x14ac:dyDescent="0.2">
      <c r="A1230" s="21" t="s">
        <v>68</v>
      </c>
      <c r="B1230" s="21" t="s">
        <v>69</v>
      </c>
    </row>
    <row r="1233" spans="1:2" x14ac:dyDescent="0.2">
      <c r="A1233" s="21" t="s">
        <v>62</v>
      </c>
      <c r="B1233" s="21" t="s">
        <v>63</v>
      </c>
    </row>
    <row r="1237" spans="1:2" x14ac:dyDescent="0.2">
      <c r="A1237" s="21" t="s">
        <v>62</v>
      </c>
      <c r="B1237" s="21" t="s">
        <v>63</v>
      </c>
    </row>
    <row r="1240" spans="1:2" x14ac:dyDescent="0.2">
      <c r="A1240" s="21" t="s">
        <v>62</v>
      </c>
      <c r="B1240" s="21" t="s">
        <v>63</v>
      </c>
    </row>
    <row r="1243" spans="1:2" x14ac:dyDescent="0.2">
      <c r="A1243" s="21" t="s">
        <v>68</v>
      </c>
      <c r="B1243" s="21" t="s">
        <v>69</v>
      </c>
    </row>
    <row r="1245" spans="1:2" x14ac:dyDescent="0.2">
      <c r="A1245" s="21" t="s">
        <v>68</v>
      </c>
      <c r="B1245" s="21" t="s">
        <v>69</v>
      </c>
    </row>
    <row r="1251" spans="1:2" x14ac:dyDescent="0.2">
      <c r="A1251" s="21" t="s">
        <v>80</v>
      </c>
      <c r="B1251" s="21" t="s">
        <v>81</v>
      </c>
    </row>
    <row r="1256" spans="1:2" x14ac:dyDescent="0.2">
      <c r="A1256" s="21" t="s">
        <v>62</v>
      </c>
      <c r="B1256" s="21" t="s">
        <v>63</v>
      </c>
    </row>
    <row r="1259" spans="1:2" x14ac:dyDescent="0.2">
      <c r="A1259" s="21" t="s">
        <v>62</v>
      </c>
      <c r="B1259" s="21" t="s">
        <v>63</v>
      </c>
    </row>
    <row r="1262" spans="1:2" x14ac:dyDescent="0.2">
      <c r="A1262" s="21" t="s">
        <v>62</v>
      </c>
      <c r="B1262" s="21" t="s">
        <v>63</v>
      </c>
    </row>
    <row r="1265" spans="1:2" x14ac:dyDescent="0.2">
      <c r="A1265" s="21" t="s">
        <v>62</v>
      </c>
      <c r="B1265" s="21" t="s">
        <v>63</v>
      </c>
    </row>
    <row r="1268" spans="1:2" x14ac:dyDescent="0.2">
      <c r="A1268" s="21" t="s">
        <v>62</v>
      </c>
      <c r="B1268" s="21" t="s">
        <v>63</v>
      </c>
    </row>
    <row r="1270" spans="1:2" x14ac:dyDescent="0.2">
      <c r="A1270" s="21" t="s">
        <v>64</v>
      </c>
      <c r="B1270" s="21" t="s">
        <v>65</v>
      </c>
    </row>
    <row r="1272" spans="1:2" x14ac:dyDescent="0.2">
      <c r="A1272" s="21" t="s">
        <v>62</v>
      </c>
      <c r="B1272" s="21" t="s">
        <v>63</v>
      </c>
    </row>
    <row r="1274" spans="1:2" x14ac:dyDescent="0.2">
      <c r="A1274" s="21" t="s">
        <v>62</v>
      </c>
      <c r="B1274" s="21" t="s">
        <v>63</v>
      </c>
    </row>
    <row r="1276" spans="1:2" x14ac:dyDescent="0.2">
      <c r="A1276" s="21" t="s">
        <v>62</v>
      </c>
      <c r="B1276" s="21" t="s">
        <v>63</v>
      </c>
    </row>
    <row r="1280" spans="1:2" x14ac:dyDescent="0.2">
      <c r="A1280" s="21" t="s">
        <v>68</v>
      </c>
      <c r="B1280" s="21" t="s">
        <v>69</v>
      </c>
    </row>
    <row r="1282" spans="1:2" x14ac:dyDescent="0.2">
      <c r="A1282" s="21" t="s">
        <v>72</v>
      </c>
      <c r="B1282" s="21" t="s">
        <v>73</v>
      </c>
    </row>
    <row r="1284" spans="1:2" x14ac:dyDescent="0.2">
      <c r="A1284" s="21" t="s">
        <v>96</v>
      </c>
      <c r="B1284" s="21" t="s">
        <v>97</v>
      </c>
    </row>
    <row r="1286" spans="1:2" x14ac:dyDescent="0.2">
      <c r="A1286" s="21" t="s">
        <v>62</v>
      </c>
      <c r="B1286" s="21" t="s">
        <v>63</v>
      </c>
    </row>
    <row r="1288" spans="1:2" x14ac:dyDescent="0.2">
      <c r="A1288" s="21" t="s">
        <v>76</v>
      </c>
      <c r="B1288" s="21" t="s">
        <v>77</v>
      </c>
    </row>
    <row r="1290" spans="1:2" x14ac:dyDescent="0.2">
      <c r="A1290" s="21" t="s">
        <v>62</v>
      </c>
      <c r="B1290" s="21" t="s">
        <v>63</v>
      </c>
    </row>
    <row r="1292" spans="1:2" x14ac:dyDescent="0.2">
      <c r="A1292" s="21" t="s">
        <v>68</v>
      </c>
      <c r="B1292" s="21" t="s">
        <v>69</v>
      </c>
    </row>
    <row r="1294" spans="1:2" x14ac:dyDescent="0.2">
      <c r="A1294" s="21" t="s">
        <v>68</v>
      </c>
      <c r="B1294" s="21" t="s">
        <v>69</v>
      </c>
    </row>
    <row r="1297" spans="1:2" x14ac:dyDescent="0.2">
      <c r="A1297" s="21" t="s">
        <v>68</v>
      </c>
      <c r="B1297" s="21" t="s">
        <v>69</v>
      </c>
    </row>
    <row r="1300" spans="1:2" x14ac:dyDescent="0.2">
      <c r="A1300" s="21" t="s">
        <v>62</v>
      </c>
      <c r="B1300" s="21" t="s">
        <v>63</v>
      </c>
    </row>
    <row r="1303" spans="1:2" x14ac:dyDescent="0.2">
      <c r="A1303" s="21" t="s">
        <v>62</v>
      </c>
      <c r="B1303" s="21" t="s">
        <v>63</v>
      </c>
    </row>
    <row r="1306" spans="1:2" x14ac:dyDescent="0.2">
      <c r="A1306" s="21" t="s">
        <v>62</v>
      </c>
      <c r="B1306" s="21" t="s">
        <v>63</v>
      </c>
    </row>
    <row r="1309" spans="1:2" x14ac:dyDescent="0.2">
      <c r="A1309" s="21" t="s">
        <v>68</v>
      </c>
      <c r="B1309" s="21" t="s">
        <v>69</v>
      </c>
    </row>
    <row r="1311" spans="1:2" x14ac:dyDescent="0.2">
      <c r="A1311" s="21" t="s">
        <v>62</v>
      </c>
      <c r="B1311" s="21" t="s">
        <v>63</v>
      </c>
    </row>
    <row r="1314" spans="1:2" x14ac:dyDescent="0.2">
      <c r="A1314" s="21" t="s">
        <v>68</v>
      </c>
      <c r="B1314" s="21" t="s">
        <v>69</v>
      </c>
    </row>
    <row r="1317" spans="1:2" x14ac:dyDescent="0.2">
      <c r="A1317" s="21" t="s">
        <v>62</v>
      </c>
      <c r="B1317" s="21" t="s">
        <v>63</v>
      </c>
    </row>
    <row r="1320" spans="1:2" x14ac:dyDescent="0.2">
      <c r="A1320" s="21" t="s">
        <v>76</v>
      </c>
      <c r="B1320" s="21" t="s">
        <v>77</v>
      </c>
    </row>
    <row r="1323" spans="1:2" x14ac:dyDescent="0.2">
      <c r="A1323" s="21" t="s">
        <v>68</v>
      </c>
      <c r="B1323" s="21" t="s">
        <v>69</v>
      </c>
    </row>
    <row r="1326" spans="1:2" x14ac:dyDescent="0.2">
      <c r="A1326" s="21" t="s">
        <v>62</v>
      </c>
      <c r="B1326" s="21" t="s">
        <v>63</v>
      </c>
    </row>
    <row r="1329" spans="1:2" x14ac:dyDescent="0.2">
      <c r="A1329" s="21" t="s">
        <v>62</v>
      </c>
      <c r="B1329" s="21" t="s">
        <v>63</v>
      </c>
    </row>
    <row r="1332" spans="1:2" x14ac:dyDescent="0.2">
      <c r="A1332" s="21" t="s">
        <v>74</v>
      </c>
      <c r="B1332" s="21" t="s">
        <v>75</v>
      </c>
    </row>
    <row r="1335" spans="1:2" x14ac:dyDescent="0.2">
      <c r="A1335" s="21" t="s">
        <v>68</v>
      </c>
      <c r="B1335" s="21" t="s">
        <v>69</v>
      </c>
    </row>
    <row r="1338" spans="1:2" x14ac:dyDescent="0.2">
      <c r="A1338" s="21" t="s">
        <v>68</v>
      </c>
      <c r="B1338" s="21" t="s">
        <v>69</v>
      </c>
    </row>
    <row r="1341" spans="1:2" x14ac:dyDescent="0.2">
      <c r="A1341" s="21" t="s">
        <v>62</v>
      </c>
      <c r="B1341" s="21" t="s">
        <v>63</v>
      </c>
    </row>
    <row r="1344" spans="1:2" x14ac:dyDescent="0.2">
      <c r="A1344" s="21" t="s">
        <v>80</v>
      </c>
      <c r="B1344" s="21" t="s">
        <v>81</v>
      </c>
    </row>
    <row r="1347" spans="1:2" x14ac:dyDescent="0.2">
      <c r="A1347" s="21" t="s">
        <v>62</v>
      </c>
      <c r="B1347" s="21" t="s">
        <v>63</v>
      </c>
    </row>
    <row r="1350" spans="1:2" x14ac:dyDescent="0.2">
      <c r="A1350" s="21" t="s">
        <v>80</v>
      </c>
      <c r="B1350" s="21" t="s">
        <v>81</v>
      </c>
    </row>
    <row r="1356" spans="1:2" x14ac:dyDescent="0.2">
      <c r="A1356" s="21" t="s">
        <v>68</v>
      </c>
      <c r="B1356" s="21" t="s">
        <v>69</v>
      </c>
    </row>
    <row r="1359" spans="1:2" x14ac:dyDescent="0.2">
      <c r="A1359" s="21" t="s">
        <v>62</v>
      </c>
      <c r="B1359" s="21" t="s">
        <v>63</v>
      </c>
    </row>
    <row r="1362" spans="1:2" x14ac:dyDescent="0.2">
      <c r="A1362" s="21" t="s">
        <v>80</v>
      </c>
      <c r="B1362" s="21" t="s">
        <v>81</v>
      </c>
    </row>
    <row r="1365" spans="1:2" x14ac:dyDescent="0.2">
      <c r="A1365" s="21" t="s">
        <v>62</v>
      </c>
      <c r="B1365" s="21" t="s">
        <v>63</v>
      </c>
    </row>
    <row r="1368" spans="1:2" x14ac:dyDescent="0.2">
      <c r="A1368" s="21" t="s">
        <v>76</v>
      </c>
      <c r="B1368" s="21" t="s">
        <v>77</v>
      </c>
    </row>
    <row r="1371" spans="1:2" x14ac:dyDescent="0.2">
      <c r="A1371" s="21" t="s">
        <v>72</v>
      </c>
      <c r="B1371" s="21" t="s">
        <v>73</v>
      </c>
    </row>
    <row r="1374" spans="1:2" x14ac:dyDescent="0.2">
      <c r="A1374" s="21" t="s">
        <v>68</v>
      </c>
      <c r="B1374" s="21" t="s">
        <v>69</v>
      </c>
    </row>
    <row r="1377" spans="1:2" x14ac:dyDescent="0.2">
      <c r="A1377" s="21" t="s">
        <v>76</v>
      </c>
      <c r="B1377" s="21" t="s">
        <v>77</v>
      </c>
    </row>
    <row r="1380" spans="1:2" x14ac:dyDescent="0.2">
      <c r="A1380" s="21" t="s">
        <v>72</v>
      </c>
      <c r="B1380" s="21" t="s">
        <v>73</v>
      </c>
    </row>
    <row r="1383" spans="1:2" x14ac:dyDescent="0.2">
      <c r="A1383" s="21" t="s">
        <v>62</v>
      </c>
      <c r="B1383" s="21" t="s">
        <v>63</v>
      </c>
    </row>
    <row r="1386" spans="1:2" x14ac:dyDescent="0.2">
      <c r="A1386" s="21" t="s">
        <v>98</v>
      </c>
      <c r="B1386" s="21" t="s">
        <v>99</v>
      </c>
    </row>
    <row r="1389" spans="1:2" x14ac:dyDescent="0.2">
      <c r="A1389" s="21" t="s">
        <v>62</v>
      </c>
      <c r="B1389" s="21" t="s">
        <v>63</v>
      </c>
    </row>
    <row r="1392" spans="1:2" x14ac:dyDescent="0.2">
      <c r="A1392" s="21" t="s">
        <v>100</v>
      </c>
      <c r="B1392" s="21" t="s">
        <v>101</v>
      </c>
    </row>
    <row r="1395" spans="1:2" x14ac:dyDescent="0.2">
      <c r="A1395" s="21" t="s">
        <v>62</v>
      </c>
      <c r="B1395" s="21" t="s">
        <v>63</v>
      </c>
    </row>
    <row r="1398" spans="1:2" x14ac:dyDescent="0.2">
      <c r="A1398" s="21" t="s">
        <v>62</v>
      </c>
      <c r="B1398" s="21" t="s">
        <v>63</v>
      </c>
    </row>
    <row r="1401" spans="1:2" x14ac:dyDescent="0.2">
      <c r="A1401" s="21" t="s">
        <v>62</v>
      </c>
      <c r="B1401" s="21" t="s">
        <v>63</v>
      </c>
    </row>
    <row r="1404" spans="1:2" x14ac:dyDescent="0.2">
      <c r="A1404" s="21" t="s">
        <v>62</v>
      </c>
      <c r="B1404" s="21" t="s">
        <v>63</v>
      </c>
    </row>
    <row r="1406" spans="1:2" x14ac:dyDescent="0.2">
      <c r="A1406" s="21" t="s">
        <v>94</v>
      </c>
      <c r="B1406" s="21" t="s">
        <v>95</v>
      </c>
    </row>
    <row r="1409" spans="1:2" x14ac:dyDescent="0.2">
      <c r="A1409" s="21" t="s">
        <v>62</v>
      </c>
      <c r="B1409" s="21" t="s">
        <v>63</v>
      </c>
    </row>
    <row r="1412" spans="1:2" x14ac:dyDescent="0.2">
      <c r="A1412" s="21" t="s">
        <v>62</v>
      </c>
      <c r="B1412" s="21" t="s">
        <v>63</v>
      </c>
    </row>
    <row r="1415" spans="1:2" x14ac:dyDescent="0.2">
      <c r="A1415" s="21" t="s">
        <v>62</v>
      </c>
      <c r="B1415" s="21" t="s">
        <v>63</v>
      </c>
    </row>
    <row r="1421" spans="1:2" x14ac:dyDescent="0.2">
      <c r="A1421" s="21" t="s">
        <v>62</v>
      </c>
      <c r="B1421" s="21" t="s">
        <v>63</v>
      </c>
    </row>
    <row r="1424" spans="1:2" x14ac:dyDescent="0.2">
      <c r="A1424" s="21" t="s">
        <v>68</v>
      </c>
      <c r="B1424" s="21" t="s">
        <v>69</v>
      </c>
    </row>
    <row r="1429" spans="1:2" x14ac:dyDescent="0.2">
      <c r="A1429" s="21" t="s">
        <v>68</v>
      </c>
      <c r="B1429" s="21" t="s">
        <v>69</v>
      </c>
    </row>
    <row r="1432" spans="1:2" x14ac:dyDescent="0.2">
      <c r="A1432" s="21" t="s">
        <v>68</v>
      </c>
      <c r="B1432" s="21" t="s">
        <v>69</v>
      </c>
    </row>
    <row r="1435" spans="1:2" x14ac:dyDescent="0.2">
      <c r="A1435" s="21" t="s">
        <v>62</v>
      </c>
      <c r="B1435" s="21" t="s">
        <v>63</v>
      </c>
    </row>
    <row r="1439" spans="1:2" x14ac:dyDescent="0.2">
      <c r="A1439" s="21" t="s">
        <v>62</v>
      </c>
      <c r="B1439" s="21" t="s">
        <v>63</v>
      </c>
    </row>
    <row r="1441" spans="1:2" x14ac:dyDescent="0.2">
      <c r="A1441" s="21" t="s">
        <v>62</v>
      </c>
      <c r="B1441" s="21" t="s">
        <v>63</v>
      </c>
    </row>
    <row r="1444" spans="1:2" x14ac:dyDescent="0.2">
      <c r="A1444" s="21" t="s">
        <v>62</v>
      </c>
      <c r="B1444" s="21" t="s">
        <v>63</v>
      </c>
    </row>
    <row r="1447" spans="1:2" x14ac:dyDescent="0.2">
      <c r="A1447" s="21" t="s">
        <v>68</v>
      </c>
      <c r="B1447" s="21" t="s">
        <v>69</v>
      </c>
    </row>
    <row r="1450" spans="1:2" x14ac:dyDescent="0.2">
      <c r="A1450" s="21" t="s">
        <v>68</v>
      </c>
      <c r="B1450" s="21" t="s">
        <v>69</v>
      </c>
    </row>
    <row r="1452" spans="1:2" x14ac:dyDescent="0.2">
      <c r="A1452" s="21" t="s">
        <v>62</v>
      </c>
      <c r="B1452" s="21" t="s">
        <v>63</v>
      </c>
    </row>
    <row r="1455" spans="1:2" x14ac:dyDescent="0.2">
      <c r="A1455" s="21" t="s">
        <v>68</v>
      </c>
      <c r="B1455" s="21" t="s">
        <v>69</v>
      </c>
    </row>
    <row r="1458" spans="1:2" x14ac:dyDescent="0.2">
      <c r="A1458" s="21" t="s">
        <v>68</v>
      </c>
      <c r="B1458" s="21" t="s">
        <v>69</v>
      </c>
    </row>
    <row r="1464" spans="1:2" x14ac:dyDescent="0.2">
      <c r="A1464" s="21" t="s">
        <v>62</v>
      </c>
      <c r="B1464" s="21" t="s">
        <v>63</v>
      </c>
    </row>
    <row r="1467" spans="1:2" x14ac:dyDescent="0.2">
      <c r="A1467" s="21" t="s">
        <v>68</v>
      </c>
      <c r="B1467" s="21" t="s">
        <v>69</v>
      </c>
    </row>
    <row r="1470" spans="1:2" x14ac:dyDescent="0.2">
      <c r="A1470" s="21" t="s">
        <v>68</v>
      </c>
      <c r="B1470" s="21" t="s">
        <v>69</v>
      </c>
    </row>
    <row r="1472" spans="1:2" x14ac:dyDescent="0.2">
      <c r="A1472" s="21" t="s">
        <v>72</v>
      </c>
      <c r="B1472" s="21" t="s">
        <v>73</v>
      </c>
    </row>
    <row r="1475" spans="1:2" x14ac:dyDescent="0.2">
      <c r="A1475" s="21" t="s">
        <v>62</v>
      </c>
      <c r="B1475" s="21" t="s">
        <v>63</v>
      </c>
    </row>
    <row r="1478" spans="1:2" x14ac:dyDescent="0.2">
      <c r="A1478" s="21" t="s">
        <v>62</v>
      </c>
      <c r="B1478" s="21" t="s">
        <v>63</v>
      </c>
    </row>
    <row r="1481" spans="1:2" x14ac:dyDescent="0.2">
      <c r="A1481" s="21" t="s">
        <v>74</v>
      </c>
      <c r="B1481" s="21" t="s">
        <v>75</v>
      </c>
    </row>
    <row r="1483" spans="1:2" x14ac:dyDescent="0.2">
      <c r="A1483" s="21" t="s">
        <v>68</v>
      </c>
      <c r="B1483" s="21" t="s">
        <v>69</v>
      </c>
    </row>
    <row r="1486" spans="1:2" x14ac:dyDescent="0.2">
      <c r="A1486" s="21" t="s">
        <v>72</v>
      </c>
      <c r="B1486" s="21" t="s">
        <v>73</v>
      </c>
    </row>
    <row r="1489" spans="1:2" x14ac:dyDescent="0.2">
      <c r="A1489" s="21" t="s">
        <v>62</v>
      </c>
      <c r="B1489" s="21" t="s">
        <v>63</v>
      </c>
    </row>
    <row r="1492" spans="1:2" x14ac:dyDescent="0.2">
      <c r="A1492" s="21" t="s">
        <v>66</v>
      </c>
      <c r="B1492" s="21" t="s">
        <v>67</v>
      </c>
    </row>
    <row r="1495" spans="1:2" x14ac:dyDescent="0.2">
      <c r="A1495" s="21" t="s">
        <v>62</v>
      </c>
      <c r="B1495" s="21" t="s">
        <v>63</v>
      </c>
    </row>
    <row r="1498" spans="1:2" x14ac:dyDescent="0.2">
      <c r="A1498" s="21" t="s">
        <v>68</v>
      </c>
      <c r="B1498" s="21" t="s">
        <v>69</v>
      </c>
    </row>
    <row r="1504" spans="1:2" x14ac:dyDescent="0.2">
      <c r="A1504" s="21" t="s">
        <v>62</v>
      </c>
      <c r="B1504" s="21" t="s">
        <v>63</v>
      </c>
    </row>
    <row r="1507" spans="1:2" x14ac:dyDescent="0.2">
      <c r="A1507" s="21" t="s">
        <v>72</v>
      </c>
      <c r="B1507" s="21" t="s">
        <v>73</v>
      </c>
    </row>
    <row r="1510" spans="1:2" x14ac:dyDescent="0.2">
      <c r="A1510" s="21" t="s">
        <v>72</v>
      </c>
      <c r="B1510" s="21" t="s">
        <v>73</v>
      </c>
    </row>
    <row r="1513" spans="1:2" x14ac:dyDescent="0.2">
      <c r="A1513" s="21" t="s">
        <v>62</v>
      </c>
      <c r="B1513" s="21" t="s">
        <v>63</v>
      </c>
    </row>
    <row r="1515" spans="1:2" x14ac:dyDescent="0.2">
      <c r="A1515" s="21" t="s">
        <v>62</v>
      </c>
      <c r="B1515" s="21" t="s">
        <v>63</v>
      </c>
    </row>
    <row r="1518" spans="1:2" x14ac:dyDescent="0.2">
      <c r="A1518" s="21" t="s">
        <v>62</v>
      </c>
      <c r="B1518" s="21" t="s">
        <v>63</v>
      </c>
    </row>
    <row r="1527" spans="1:2" x14ac:dyDescent="0.2">
      <c r="A1527" s="21" t="s">
        <v>62</v>
      </c>
      <c r="B1527" s="21" t="s">
        <v>63</v>
      </c>
    </row>
    <row r="1529" spans="1:2" x14ac:dyDescent="0.2">
      <c r="A1529" s="21" t="s">
        <v>62</v>
      </c>
      <c r="B1529" s="21" t="s">
        <v>63</v>
      </c>
    </row>
    <row r="1531" spans="1:2" x14ac:dyDescent="0.2">
      <c r="A1531" s="21" t="s">
        <v>62</v>
      </c>
      <c r="B1531" s="21" t="s">
        <v>63</v>
      </c>
    </row>
    <row r="1536" spans="1:2" x14ac:dyDescent="0.2">
      <c r="A1536" s="21" t="s">
        <v>62</v>
      </c>
      <c r="B1536" s="21" t="s">
        <v>63</v>
      </c>
    </row>
    <row r="1545" spans="1:2" x14ac:dyDescent="0.2">
      <c r="A1545" s="21" t="s">
        <v>102</v>
      </c>
      <c r="B1545" s="21" t="s">
        <v>103</v>
      </c>
    </row>
    <row r="1554" spans="1:2" x14ac:dyDescent="0.2">
      <c r="A1554" s="21" t="s">
        <v>72</v>
      </c>
      <c r="B1554" s="21" t="s">
        <v>73</v>
      </c>
    </row>
    <row r="1556" spans="1:2" x14ac:dyDescent="0.2">
      <c r="A1556" s="21" t="s">
        <v>68</v>
      </c>
      <c r="B1556" s="21" t="s">
        <v>69</v>
      </c>
    </row>
    <row r="1559" spans="1:2" x14ac:dyDescent="0.2">
      <c r="A1559" s="21" t="s">
        <v>62</v>
      </c>
      <c r="B1559" s="21" t="s">
        <v>63</v>
      </c>
    </row>
    <row r="1562" spans="1:2" x14ac:dyDescent="0.2">
      <c r="A1562" s="21" t="s">
        <v>80</v>
      </c>
      <c r="B1562" s="21" t="s">
        <v>81</v>
      </c>
    </row>
    <row r="1568" spans="1:2" x14ac:dyDescent="0.2">
      <c r="A1568" s="21" t="s">
        <v>62</v>
      </c>
      <c r="B1568" s="21" t="s">
        <v>63</v>
      </c>
    </row>
    <row r="1571" spans="1:2" x14ac:dyDescent="0.2">
      <c r="A1571" s="21" t="s">
        <v>62</v>
      </c>
      <c r="B1571" s="21" t="s">
        <v>63</v>
      </c>
    </row>
    <row r="1574" spans="1:2" x14ac:dyDescent="0.2">
      <c r="A1574" s="21" t="s">
        <v>62</v>
      </c>
      <c r="B1574" s="21" t="s">
        <v>63</v>
      </c>
    </row>
    <row r="1576" spans="1:2" x14ac:dyDescent="0.2">
      <c r="A1576" s="21" t="s">
        <v>62</v>
      </c>
      <c r="B1576" s="21" t="s">
        <v>63</v>
      </c>
    </row>
    <row r="1579" spans="1:2" x14ac:dyDescent="0.2">
      <c r="A1579" s="21" t="s">
        <v>62</v>
      </c>
      <c r="B1579" s="21" t="s">
        <v>63</v>
      </c>
    </row>
    <row r="1581" spans="1:2" x14ac:dyDescent="0.2">
      <c r="A1581" s="21" t="s">
        <v>104</v>
      </c>
      <c r="B1581" s="21" t="s">
        <v>105</v>
      </c>
    </row>
    <row r="1584" spans="1:2" x14ac:dyDescent="0.2">
      <c r="A1584" s="21" t="s">
        <v>68</v>
      </c>
      <c r="B1584" s="21" t="s">
        <v>69</v>
      </c>
    </row>
    <row r="1588" spans="1:2" x14ac:dyDescent="0.2">
      <c r="A1588" s="21" t="s">
        <v>62</v>
      </c>
      <c r="B1588" s="21" t="s">
        <v>63</v>
      </c>
    </row>
    <row r="1591" spans="1:2" x14ac:dyDescent="0.2">
      <c r="A1591" s="21" t="s">
        <v>62</v>
      </c>
      <c r="B1591" s="21" t="s">
        <v>63</v>
      </c>
    </row>
    <row r="1596" spans="1:2" x14ac:dyDescent="0.2">
      <c r="A1596" s="21" t="s">
        <v>64</v>
      </c>
      <c r="B1596" s="21" t="s">
        <v>65</v>
      </c>
    </row>
    <row r="1599" spans="1:2" x14ac:dyDescent="0.2">
      <c r="A1599" s="21" t="s">
        <v>102</v>
      </c>
      <c r="B1599" s="21" t="s">
        <v>103</v>
      </c>
    </row>
    <row r="1602" spans="1:2" x14ac:dyDescent="0.2">
      <c r="A1602" s="21" t="s">
        <v>62</v>
      </c>
      <c r="B1602" s="21" t="s">
        <v>63</v>
      </c>
    </row>
    <row r="1605" spans="1:2" x14ac:dyDescent="0.2">
      <c r="A1605" s="21" t="s">
        <v>62</v>
      </c>
      <c r="B1605" s="21" t="s">
        <v>63</v>
      </c>
    </row>
    <row r="1611" spans="1:2" x14ac:dyDescent="0.2">
      <c r="A1611" s="21" t="s">
        <v>72</v>
      </c>
      <c r="B1611" s="21" t="s">
        <v>73</v>
      </c>
    </row>
    <row r="1614" spans="1:2" x14ac:dyDescent="0.2">
      <c r="A1614" s="21" t="s">
        <v>102</v>
      </c>
      <c r="B1614" s="21" t="s">
        <v>103</v>
      </c>
    </row>
    <row r="1617" spans="1:2" x14ac:dyDescent="0.2">
      <c r="A1617" s="21" t="s">
        <v>62</v>
      </c>
      <c r="B1617" s="21" t="s">
        <v>63</v>
      </c>
    </row>
    <row r="1620" spans="1:2" x14ac:dyDescent="0.2">
      <c r="A1620" s="21" t="s">
        <v>102</v>
      </c>
      <c r="B1620" s="21" t="s">
        <v>103</v>
      </c>
    </row>
    <row r="1623" spans="1:2" x14ac:dyDescent="0.2">
      <c r="A1623" s="21" t="s">
        <v>62</v>
      </c>
      <c r="B1623" s="21" t="s">
        <v>63</v>
      </c>
    </row>
    <row r="1626" spans="1:2" x14ac:dyDescent="0.2">
      <c r="A1626" s="21" t="s">
        <v>62</v>
      </c>
      <c r="B1626" s="21" t="s">
        <v>63</v>
      </c>
    </row>
    <row r="1629" spans="1:2" x14ac:dyDescent="0.2">
      <c r="A1629" s="21" t="s">
        <v>74</v>
      </c>
      <c r="B1629" s="21" t="s">
        <v>75</v>
      </c>
    </row>
    <row r="1632" spans="1:2" x14ac:dyDescent="0.2">
      <c r="A1632" s="21" t="s">
        <v>64</v>
      </c>
      <c r="B1632" s="21" t="s">
        <v>65</v>
      </c>
    </row>
    <row r="1635" spans="1:2" x14ac:dyDescent="0.2">
      <c r="A1635" s="21" t="s">
        <v>68</v>
      </c>
      <c r="B1635" s="21" t="s">
        <v>69</v>
      </c>
    </row>
    <row r="1638" spans="1:2" x14ac:dyDescent="0.2">
      <c r="A1638" s="21" t="s">
        <v>62</v>
      </c>
      <c r="B1638" s="21" t="s">
        <v>63</v>
      </c>
    </row>
    <row r="1641" spans="1:2" x14ac:dyDescent="0.2">
      <c r="A1641" s="21" t="s">
        <v>62</v>
      </c>
      <c r="B1641" s="21" t="s">
        <v>63</v>
      </c>
    </row>
    <row r="1644" spans="1:2" x14ac:dyDescent="0.2">
      <c r="A1644" s="21" t="s">
        <v>102</v>
      </c>
      <c r="B1644" s="21" t="s">
        <v>103</v>
      </c>
    </row>
    <row r="1647" spans="1:2" x14ac:dyDescent="0.2">
      <c r="A1647" s="21" t="s">
        <v>68</v>
      </c>
      <c r="B1647" s="21" t="s">
        <v>69</v>
      </c>
    </row>
    <row r="1650" spans="1:2" x14ac:dyDescent="0.2">
      <c r="A1650" s="21" t="s">
        <v>72</v>
      </c>
      <c r="B1650" s="21" t="s">
        <v>73</v>
      </c>
    </row>
    <row r="1653" spans="1:2" x14ac:dyDescent="0.2">
      <c r="A1653" s="21" t="s">
        <v>72</v>
      </c>
      <c r="B1653" s="21" t="s">
        <v>73</v>
      </c>
    </row>
    <row r="1656" spans="1:2" x14ac:dyDescent="0.2">
      <c r="A1656" s="21" t="s">
        <v>80</v>
      </c>
      <c r="B1656" s="21" t="s">
        <v>81</v>
      </c>
    </row>
    <row r="1659" spans="1:2" x14ac:dyDescent="0.2">
      <c r="A1659" s="21" t="s">
        <v>62</v>
      </c>
      <c r="B1659" s="21" t="s">
        <v>63</v>
      </c>
    </row>
    <row r="1665" spans="1:2" x14ac:dyDescent="0.2">
      <c r="A1665" s="21" t="s">
        <v>68</v>
      </c>
      <c r="B1665" s="21" t="s">
        <v>69</v>
      </c>
    </row>
    <row r="1668" spans="1:2" x14ac:dyDescent="0.2">
      <c r="A1668" s="21" t="s">
        <v>62</v>
      </c>
      <c r="B1668" s="21" t="s">
        <v>63</v>
      </c>
    </row>
    <row r="1674" spans="1:2" x14ac:dyDescent="0.2">
      <c r="A1674" s="21" t="s">
        <v>68</v>
      </c>
      <c r="B1674" s="21" t="s">
        <v>69</v>
      </c>
    </row>
    <row r="1677" spans="1:2" x14ac:dyDescent="0.2">
      <c r="A1677" s="21" t="s">
        <v>80</v>
      </c>
      <c r="B1677" s="21" t="s">
        <v>81</v>
      </c>
    </row>
    <row r="1680" spans="1:2" x14ac:dyDescent="0.2">
      <c r="A1680" s="21" t="s">
        <v>62</v>
      </c>
      <c r="B1680" s="21" t="s">
        <v>63</v>
      </c>
    </row>
    <row r="1683" spans="1:2" x14ac:dyDescent="0.2">
      <c r="A1683" s="21" t="s">
        <v>92</v>
      </c>
      <c r="B1683" s="21" t="s">
        <v>93</v>
      </c>
    </row>
    <row r="1686" spans="1:2" x14ac:dyDescent="0.2">
      <c r="A1686" s="21" t="s">
        <v>68</v>
      </c>
      <c r="B1686" s="21" t="s">
        <v>69</v>
      </c>
    </row>
    <row r="1689" spans="1:2" x14ac:dyDescent="0.2">
      <c r="A1689" s="21" t="s">
        <v>80</v>
      </c>
      <c r="B1689" s="21" t="s">
        <v>81</v>
      </c>
    </row>
    <row r="1692" spans="1:2" x14ac:dyDescent="0.2">
      <c r="A1692" s="21" t="s">
        <v>92</v>
      </c>
      <c r="B1692" s="21" t="s">
        <v>93</v>
      </c>
    </row>
    <row r="1695" spans="1:2" x14ac:dyDescent="0.2">
      <c r="A1695" s="21" t="s">
        <v>68</v>
      </c>
      <c r="B1695" s="21" t="s">
        <v>69</v>
      </c>
    </row>
    <row r="1698" spans="1:2" x14ac:dyDescent="0.2">
      <c r="A1698" s="21" t="s">
        <v>62</v>
      </c>
      <c r="B1698" s="21" t="s">
        <v>63</v>
      </c>
    </row>
    <row r="1701" spans="1:2" x14ac:dyDescent="0.2">
      <c r="A1701" s="21" t="s">
        <v>68</v>
      </c>
      <c r="B1701" s="21" t="s">
        <v>69</v>
      </c>
    </row>
    <row r="1704" spans="1:2" x14ac:dyDescent="0.2">
      <c r="A1704" s="21" t="s">
        <v>62</v>
      </c>
      <c r="B1704" s="21" t="s">
        <v>63</v>
      </c>
    </row>
    <row r="1707" spans="1:2" x14ac:dyDescent="0.2">
      <c r="A1707" s="21" t="s">
        <v>68</v>
      </c>
      <c r="B1707" s="21" t="s">
        <v>69</v>
      </c>
    </row>
    <row r="1713" spans="1:2" x14ac:dyDescent="0.2">
      <c r="A1713" s="21" t="s">
        <v>62</v>
      </c>
      <c r="B1713" s="21" t="s">
        <v>63</v>
      </c>
    </row>
    <row r="1716" spans="1:2" x14ac:dyDescent="0.2">
      <c r="A1716" s="21" t="s">
        <v>68</v>
      </c>
      <c r="B1716" s="21" t="s">
        <v>69</v>
      </c>
    </row>
    <row r="1719" spans="1:2" x14ac:dyDescent="0.2">
      <c r="A1719" s="21" t="s">
        <v>74</v>
      </c>
      <c r="B1719" s="21" t="s">
        <v>75</v>
      </c>
    </row>
    <row r="1722" spans="1:2" x14ac:dyDescent="0.2">
      <c r="A1722" s="21" t="s">
        <v>68</v>
      </c>
      <c r="B1722" s="21" t="s">
        <v>69</v>
      </c>
    </row>
    <row r="1734" spans="1:2" x14ac:dyDescent="0.2">
      <c r="A1734" s="21" t="s">
        <v>106</v>
      </c>
      <c r="B1734" s="21" t="s">
        <v>107</v>
      </c>
    </row>
    <row r="1737" spans="1:2" x14ac:dyDescent="0.2">
      <c r="A1737" s="21" t="s">
        <v>62</v>
      </c>
      <c r="B1737" s="21" t="s">
        <v>63</v>
      </c>
    </row>
    <row r="1740" spans="1:2" x14ac:dyDescent="0.2">
      <c r="A1740" s="21" t="s">
        <v>68</v>
      </c>
      <c r="B1740" s="21" t="s">
        <v>69</v>
      </c>
    </row>
    <row r="1743" spans="1:2" x14ac:dyDescent="0.2">
      <c r="A1743" s="21" t="s">
        <v>66</v>
      </c>
      <c r="B1743" s="21" t="s">
        <v>67</v>
      </c>
    </row>
    <row r="1745" spans="1:2" x14ac:dyDescent="0.2">
      <c r="A1745" s="21" t="s">
        <v>72</v>
      </c>
      <c r="B1745" s="21" t="s">
        <v>73</v>
      </c>
    </row>
    <row r="1748" spans="1:2" x14ac:dyDescent="0.2">
      <c r="A1748" s="21" t="s">
        <v>72</v>
      </c>
      <c r="B1748" s="21" t="s">
        <v>73</v>
      </c>
    </row>
    <row r="1751" spans="1:2" x14ac:dyDescent="0.2">
      <c r="A1751" s="21" t="s">
        <v>72</v>
      </c>
      <c r="B1751" s="21" t="s">
        <v>73</v>
      </c>
    </row>
    <row r="1754" spans="1:2" x14ac:dyDescent="0.2">
      <c r="A1754" s="21" t="s">
        <v>62</v>
      </c>
      <c r="B1754" s="21" t="s">
        <v>63</v>
      </c>
    </row>
    <row r="1757" spans="1:2" x14ac:dyDescent="0.2">
      <c r="A1757" s="21" t="s">
        <v>62</v>
      </c>
      <c r="B1757" s="21" t="s">
        <v>63</v>
      </c>
    </row>
    <row r="1760" spans="1:2" x14ac:dyDescent="0.2">
      <c r="A1760" s="21" t="s">
        <v>62</v>
      </c>
      <c r="B1760" s="21" t="s">
        <v>63</v>
      </c>
    </row>
    <row r="1763" spans="1:2" x14ac:dyDescent="0.2">
      <c r="A1763" s="21" t="s">
        <v>62</v>
      </c>
      <c r="B1763" s="21" t="s">
        <v>63</v>
      </c>
    </row>
    <row r="1766" spans="1:2" x14ac:dyDescent="0.2">
      <c r="A1766" s="21" t="s">
        <v>62</v>
      </c>
      <c r="B1766" s="21" t="s">
        <v>63</v>
      </c>
    </row>
    <row r="1768" spans="1:2" x14ac:dyDescent="0.2">
      <c r="A1768" s="21" t="s">
        <v>62</v>
      </c>
      <c r="B1768" s="21" t="s">
        <v>63</v>
      </c>
    </row>
    <row r="1774" spans="1:2" x14ac:dyDescent="0.2">
      <c r="A1774" s="21" t="s">
        <v>62</v>
      </c>
      <c r="B1774" s="21" t="s">
        <v>63</v>
      </c>
    </row>
    <row r="1779" spans="1:2" x14ac:dyDescent="0.2">
      <c r="A1779" s="21" t="s">
        <v>62</v>
      </c>
      <c r="B1779" s="21" t="s">
        <v>63</v>
      </c>
    </row>
    <row r="1782" spans="1:2" x14ac:dyDescent="0.2">
      <c r="A1782" s="21" t="s">
        <v>62</v>
      </c>
      <c r="B1782" s="21" t="s">
        <v>63</v>
      </c>
    </row>
    <row r="1784" spans="1:2" x14ac:dyDescent="0.2">
      <c r="A1784" s="21" t="s">
        <v>62</v>
      </c>
      <c r="B1784" s="21" t="s">
        <v>63</v>
      </c>
    </row>
    <row r="1789" spans="1:2" x14ac:dyDescent="0.2">
      <c r="A1789" s="21" t="s">
        <v>62</v>
      </c>
      <c r="B1789" s="21" t="s">
        <v>63</v>
      </c>
    </row>
    <row r="1794" spans="1:2" x14ac:dyDescent="0.2">
      <c r="A1794" s="21" t="s">
        <v>62</v>
      </c>
      <c r="B1794" s="21" t="s">
        <v>63</v>
      </c>
    </row>
    <row r="1797" spans="1:2" x14ac:dyDescent="0.2">
      <c r="A1797" s="21" t="s">
        <v>62</v>
      </c>
      <c r="B1797" s="21" t="s">
        <v>63</v>
      </c>
    </row>
    <row r="1799" spans="1:2" x14ac:dyDescent="0.2">
      <c r="A1799" s="21" t="s">
        <v>72</v>
      </c>
      <c r="B1799" s="21" t="s">
        <v>73</v>
      </c>
    </row>
    <row r="1801" spans="1:2" x14ac:dyDescent="0.2">
      <c r="A1801" s="21" t="s">
        <v>62</v>
      </c>
      <c r="B1801" s="21" t="s">
        <v>63</v>
      </c>
    </row>
    <row r="1804" spans="1:2" x14ac:dyDescent="0.2">
      <c r="A1804" s="21" t="s">
        <v>62</v>
      </c>
      <c r="B1804" s="21" t="s">
        <v>63</v>
      </c>
    </row>
    <row r="1809" spans="1:2" x14ac:dyDescent="0.2">
      <c r="A1809" s="21" t="s">
        <v>62</v>
      </c>
      <c r="B1809" s="21" t="s">
        <v>63</v>
      </c>
    </row>
    <row r="1814" spans="1:2" x14ac:dyDescent="0.2">
      <c r="A1814" s="21" t="s">
        <v>62</v>
      </c>
      <c r="B1814" s="21" t="s">
        <v>63</v>
      </c>
    </row>
    <row r="1817" spans="1:2" x14ac:dyDescent="0.2">
      <c r="A1817" s="21" t="s">
        <v>62</v>
      </c>
      <c r="B1817" s="21" t="s">
        <v>63</v>
      </c>
    </row>
    <row r="1820" spans="1:2" x14ac:dyDescent="0.2">
      <c r="A1820" s="21" t="s">
        <v>62</v>
      </c>
      <c r="B1820" s="21" t="s">
        <v>63</v>
      </c>
    </row>
    <row r="1823" spans="1:2" x14ac:dyDescent="0.2">
      <c r="A1823" s="21" t="s">
        <v>102</v>
      </c>
      <c r="B1823" s="21" t="s">
        <v>103</v>
      </c>
    </row>
    <row r="1826" spans="1:2" x14ac:dyDescent="0.2">
      <c r="A1826" s="21" t="s">
        <v>68</v>
      </c>
      <c r="B1826" s="21" t="s">
        <v>69</v>
      </c>
    </row>
    <row r="1829" spans="1:2" x14ac:dyDescent="0.2">
      <c r="A1829" s="21" t="s">
        <v>62</v>
      </c>
      <c r="B1829" s="21" t="s">
        <v>63</v>
      </c>
    </row>
    <row r="1832" spans="1:2" x14ac:dyDescent="0.2">
      <c r="A1832" s="21" t="s">
        <v>62</v>
      </c>
      <c r="B1832" s="21" t="s">
        <v>63</v>
      </c>
    </row>
    <row r="1834" spans="1:2" x14ac:dyDescent="0.2">
      <c r="A1834" s="21" t="s">
        <v>62</v>
      </c>
      <c r="B1834" s="21" t="s">
        <v>63</v>
      </c>
    </row>
    <row r="1840" spans="1:2" x14ac:dyDescent="0.2">
      <c r="A1840" s="21" t="s">
        <v>62</v>
      </c>
      <c r="B1840" s="21" t="s">
        <v>63</v>
      </c>
    </row>
    <row r="1846" spans="1:2" x14ac:dyDescent="0.2">
      <c r="A1846" s="21" t="s">
        <v>68</v>
      </c>
      <c r="B1846" s="21" t="s">
        <v>69</v>
      </c>
    </row>
    <row r="1852" spans="1:2" x14ac:dyDescent="0.2">
      <c r="A1852" s="21" t="s">
        <v>62</v>
      </c>
      <c r="B1852" s="21" t="s">
        <v>63</v>
      </c>
    </row>
    <row r="1855" spans="1:2" x14ac:dyDescent="0.2">
      <c r="A1855" s="21" t="s">
        <v>62</v>
      </c>
      <c r="B1855" s="21" t="s">
        <v>63</v>
      </c>
    </row>
    <row r="1858" spans="1:2" x14ac:dyDescent="0.2">
      <c r="A1858" s="21" t="s">
        <v>102</v>
      </c>
      <c r="B1858" s="21" t="s">
        <v>103</v>
      </c>
    </row>
    <row r="1861" spans="1:2" x14ac:dyDescent="0.2">
      <c r="A1861" s="21" t="s">
        <v>62</v>
      </c>
      <c r="B1861" s="21" t="s">
        <v>63</v>
      </c>
    </row>
    <row r="1864" spans="1:2" x14ac:dyDescent="0.2">
      <c r="A1864" s="21" t="s">
        <v>66</v>
      </c>
      <c r="B1864" s="21" t="s">
        <v>67</v>
      </c>
    </row>
    <row r="1869" spans="1:2" x14ac:dyDescent="0.2">
      <c r="A1869" s="21" t="s">
        <v>72</v>
      </c>
      <c r="B1869" s="21" t="s">
        <v>73</v>
      </c>
    </row>
    <row r="1872" spans="1:2" x14ac:dyDescent="0.2">
      <c r="A1872" s="21" t="s">
        <v>102</v>
      </c>
      <c r="B1872" s="21" t="s">
        <v>103</v>
      </c>
    </row>
    <row r="1875" spans="1:2" x14ac:dyDescent="0.2">
      <c r="A1875" s="21" t="s">
        <v>68</v>
      </c>
      <c r="B1875" s="21" t="s">
        <v>69</v>
      </c>
    </row>
    <row r="1878" spans="1:2" x14ac:dyDescent="0.2">
      <c r="A1878" s="21" t="s">
        <v>72</v>
      </c>
      <c r="B1878" s="21" t="s">
        <v>73</v>
      </c>
    </row>
    <row r="1881" spans="1:2" x14ac:dyDescent="0.2">
      <c r="A1881" s="21" t="s">
        <v>62</v>
      </c>
      <c r="B1881" s="21" t="s">
        <v>63</v>
      </c>
    </row>
    <row r="1884" spans="1:2" x14ac:dyDescent="0.2">
      <c r="A1884" s="21" t="s">
        <v>102</v>
      </c>
      <c r="B1884" s="21" t="s">
        <v>103</v>
      </c>
    </row>
    <row r="1887" spans="1:2" x14ac:dyDescent="0.2">
      <c r="A1887" s="21" t="s">
        <v>72</v>
      </c>
      <c r="B1887" s="21" t="s">
        <v>73</v>
      </c>
    </row>
    <row r="1890" spans="1:2" x14ac:dyDescent="0.2">
      <c r="A1890" s="21" t="s">
        <v>62</v>
      </c>
      <c r="B1890" s="21" t="s">
        <v>63</v>
      </c>
    </row>
    <row r="1893" spans="1:2" x14ac:dyDescent="0.2">
      <c r="A1893" s="21" t="s">
        <v>62</v>
      </c>
      <c r="B1893" s="21" t="s">
        <v>63</v>
      </c>
    </row>
    <row r="1896" spans="1:2" x14ac:dyDescent="0.2">
      <c r="A1896" s="21" t="s">
        <v>72</v>
      </c>
      <c r="B1896" s="21" t="s">
        <v>73</v>
      </c>
    </row>
    <row r="1899" spans="1:2" x14ac:dyDescent="0.2">
      <c r="A1899" s="21" t="s">
        <v>68</v>
      </c>
      <c r="B1899" s="21" t="s">
        <v>69</v>
      </c>
    </row>
    <row r="1902" spans="1:2" x14ac:dyDescent="0.2">
      <c r="A1902" s="21" t="s">
        <v>62</v>
      </c>
      <c r="B1902" s="21" t="s">
        <v>63</v>
      </c>
    </row>
    <row r="1908" spans="1:2" x14ac:dyDescent="0.2">
      <c r="A1908" s="21" t="s">
        <v>72</v>
      </c>
      <c r="B1908" s="21" t="s">
        <v>73</v>
      </c>
    </row>
    <row r="1911" spans="1:2" x14ac:dyDescent="0.2">
      <c r="A1911" s="21" t="s">
        <v>62</v>
      </c>
      <c r="B1911" s="21" t="s">
        <v>63</v>
      </c>
    </row>
    <row r="1914" spans="1:2" x14ac:dyDescent="0.2">
      <c r="A1914" s="21" t="s">
        <v>64</v>
      </c>
      <c r="B1914" s="21" t="s">
        <v>65</v>
      </c>
    </row>
    <row r="1917" spans="1:2" x14ac:dyDescent="0.2">
      <c r="A1917" s="21" t="s">
        <v>62</v>
      </c>
      <c r="B1917" s="21" t="s">
        <v>63</v>
      </c>
    </row>
    <row r="1920" spans="1:2" x14ac:dyDescent="0.2">
      <c r="A1920" s="21" t="s">
        <v>86</v>
      </c>
      <c r="B1920" s="21" t="s">
        <v>87</v>
      </c>
    </row>
    <row r="1923" spans="1:2" x14ac:dyDescent="0.2">
      <c r="A1923" s="21" t="s">
        <v>68</v>
      </c>
      <c r="B1923" s="21" t="s">
        <v>69</v>
      </c>
    </row>
    <row r="1926" spans="1:2" x14ac:dyDescent="0.2">
      <c r="A1926" s="21" t="s">
        <v>68</v>
      </c>
      <c r="B1926" s="21" t="s">
        <v>69</v>
      </c>
    </row>
    <row r="1929" spans="1:2" x14ac:dyDescent="0.2">
      <c r="A1929" s="21" t="s">
        <v>108</v>
      </c>
      <c r="B1929" s="21" t="s">
        <v>109</v>
      </c>
    </row>
    <row r="1932" spans="1:2" x14ac:dyDescent="0.2">
      <c r="A1932" s="21" t="s">
        <v>62</v>
      </c>
      <c r="B1932" s="21" t="s">
        <v>63</v>
      </c>
    </row>
    <row r="1934" spans="1:2" x14ac:dyDescent="0.2">
      <c r="A1934" s="21" t="s">
        <v>62</v>
      </c>
      <c r="B1934" s="21" t="s">
        <v>63</v>
      </c>
    </row>
    <row r="1937" spans="1:2" x14ac:dyDescent="0.2">
      <c r="A1937" s="21" t="s">
        <v>62</v>
      </c>
      <c r="B1937" s="21" t="s">
        <v>63</v>
      </c>
    </row>
    <row r="1940" spans="1:2" x14ac:dyDescent="0.2">
      <c r="A1940" s="21" t="s">
        <v>110</v>
      </c>
      <c r="B1940" s="21" t="s">
        <v>111</v>
      </c>
    </row>
    <row r="1945" spans="1:2" x14ac:dyDescent="0.2">
      <c r="A1945" s="21" t="s">
        <v>68</v>
      </c>
      <c r="B1945" s="21" t="s">
        <v>69</v>
      </c>
    </row>
    <row r="1951" spans="1:2" x14ac:dyDescent="0.2">
      <c r="A1951" s="21" t="s">
        <v>62</v>
      </c>
      <c r="B1951" s="21" t="s">
        <v>63</v>
      </c>
    </row>
    <row r="1954" spans="1:2" x14ac:dyDescent="0.2">
      <c r="A1954" s="21" t="s">
        <v>62</v>
      </c>
      <c r="B1954" s="21" t="s">
        <v>63</v>
      </c>
    </row>
    <row r="1957" spans="1:2" x14ac:dyDescent="0.2">
      <c r="A1957" s="21" t="s">
        <v>68</v>
      </c>
      <c r="B1957" s="21" t="s">
        <v>69</v>
      </c>
    </row>
    <row r="1960" spans="1:2" x14ac:dyDescent="0.2">
      <c r="A1960" s="21" t="s">
        <v>62</v>
      </c>
      <c r="B1960" s="21" t="s">
        <v>63</v>
      </c>
    </row>
    <row r="1968" spans="1:2" x14ac:dyDescent="0.2">
      <c r="A1968" s="21" t="s">
        <v>62</v>
      </c>
      <c r="B1968" s="21" t="s">
        <v>63</v>
      </c>
    </row>
    <row r="1971" spans="1:2" x14ac:dyDescent="0.2">
      <c r="A1971" s="21" t="s">
        <v>62</v>
      </c>
      <c r="B1971" s="21" t="s">
        <v>63</v>
      </c>
    </row>
    <row r="1976" spans="1:2" x14ac:dyDescent="0.2">
      <c r="A1976" s="21" t="s">
        <v>62</v>
      </c>
      <c r="B1976" s="21" t="s">
        <v>63</v>
      </c>
    </row>
    <row r="1979" spans="1:2" x14ac:dyDescent="0.2">
      <c r="A1979" s="21" t="s">
        <v>62</v>
      </c>
      <c r="B1979" s="21" t="s">
        <v>63</v>
      </c>
    </row>
    <row r="1982" spans="1:2" x14ac:dyDescent="0.2">
      <c r="A1982" s="21" t="s">
        <v>68</v>
      </c>
      <c r="B1982" s="21" t="s">
        <v>69</v>
      </c>
    </row>
    <row r="1985" spans="1:2" x14ac:dyDescent="0.2">
      <c r="A1985" s="21" t="s">
        <v>72</v>
      </c>
      <c r="B1985" s="21" t="s">
        <v>73</v>
      </c>
    </row>
    <row r="1988" spans="1:2" x14ac:dyDescent="0.2">
      <c r="A1988" s="21" t="s">
        <v>62</v>
      </c>
      <c r="B1988" s="21" t="s">
        <v>63</v>
      </c>
    </row>
    <row r="1991" spans="1:2" x14ac:dyDescent="0.2">
      <c r="A1991" s="21" t="s">
        <v>76</v>
      </c>
      <c r="B1991" s="21" t="s">
        <v>77</v>
      </c>
    </row>
    <row r="1994" spans="1:2" x14ac:dyDescent="0.2">
      <c r="A1994" s="21" t="s">
        <v>72</v>
      </c>
      <c r="B1994" s="21" t="s">
        <v>73</v>
      </c>
    </row>
    <row r="1997" spans="1:2" x14ac:dyDescent="0.2">
      <c r="A1997" s="21" t="s">
        <v>62</v>
      </c>
      <c r="B1997" s="21" t="s">
        <v>63</v>
      </c>
    </row>
    <row r="2000" spans="1:2" x14ac:dyDescent="0.2">
      <c r="A2000" s="21" t="s">
        <v>62</v>
      </c>
      <c r="B2000" s="21" t="s">
        <v>63</v>
      </c>
    </row>
    <row r="2003" spans="1:2" x14ac:dyDescent="0.2">
      <c r="A2003" s="21" t="s">
        <v>62</v>
      </c>
      <c r="B2003" s="21" t="s">
        <v>63</v>
      </c>
    </row>
    <row r="2006" spans="1:2" x14ac:dyDescent="0.2">
      <c r="A2006" s="21" t="s">
        <v>62</v>
      </c>
      <c r="B2006" s="21" t="s">
        <v>63</v>
      </c>
    </row>
    <row r="2009" spans="1:2" x14ac:dyDescent="0.2">
      <c r="A2009" s="21" t="s">
        <v>62</v>
      </c>
      <c r="B2009" s="21" t="s">
        <v>63</v>
      </c>
    </row>
    <row r="2012" spans="1:2" x14ac:dyDescent="0.2">
      <c r="A2012" s="21" t="s">
        <v>62</v>
      </c>
      <c r="B2012" s="21" t="s">
        <v>63</v>
      </c>
    </row>
    <row r="2018" spans="1:2" x14ac:dyDescent="0.2">
      <c r="A2018" s="21" t="s">
        <v>102</v>
      </c>
      <c r="B2018" s="21" t="s">
        <v>103</v>
      </c>
    </row>
    <row r="2021" spans="1:2" x14ac:dyDescent="0.2">
      <c r="A2021" s="21" t="s">
        <v>72</v>
      </c>
      <c r="B2021" s="21" t="s">
        <v>73</v>
      </c>
    </row>
    <row r="2026" spans="1:2" x14ac:dyDescent="0.2">
      <c r="A2026" s="21" t="s">
        <v>62</v>
      </c>
      <c r="B2026" s="21" t="s">
        <v>63</v>
      </c>
    </row>
    <row r="2029" spans="1:2" x14ac:dyDescent="0.2">
      <c r="A2029" s="21" t="s">
        <v>68</v>
      </c>
      <c r="B2029" s="21" t="s">
        <v>69</v>
      </c>
    </row>
    <row r="2032" spans="1:2" x14ac:dyDescent="0.2">
      <c r="A2032" s="21" t="s">
        <v>62</v>
      </c>
      <c r="B2032" s="21" t="s">
        <v>63</v>
      </c>
    </row>
    <row r="2035" spans="1:2" x14ac:dyDescent="0.2">
      <c r="A2035" s="21" t="s">
        <v>72</v>
      </c>
      <c r="B2035" s="21" t="s">
        <v>73</v>
      </c>
    </row>
    <row r="2038" spans="1:2" x14ac:dyDescent="0.2">
      <c r="A2038" s="21" t="s">
        <v>72</v>
      </c>
      <c r="B2038" s="21" t="s">
        <v>73</v>
      </c>
    </row>
    <row r="2041" spans="1:2" x14ac:dyDescent="0.2">
      <c r="A2041" s="21" t="s">
        <v>72</v>
      </c>
      <c r="B2041" s="21" t="s">
        <v>73</v>
      </c>
    </row>
    <row r="2044" spans="1:2" x14ac:dyDescent="0.2">
      <c r="A2044" s="21" t="s">
        <v>72</v>
      </c>
      <c r="B2044" s="21" t="s">
        <v>73</v>
      </c>
    </row>
    <row r="2047" spans="1:2" x14ac:dyDescent="0.2">
      <c r="A2047" s="21" t="s">
        <v>62</v>
      </c>
      <c r="B2047" s="21" t="s">
        <v>63</v>
      </c>
    </row>
    <row r="2050" spans="1:2" x14ac:dyDescent="0.2">
      <c r="A2050" s="21" t="s">
        <v>74</v>
      </c>
      <c r="B2050" s="21" t="s">
        <v>75</v>
      </c>
    </row>
    <row r="2053" spans="1:2" x14ac:dyDescent="0.2">
      <c r="A2053" s="21" t="s">
        <v>62</v>
      </c>
      <c r="B2053" s="21" t="s">
        <v>63</v>
      </c>
    </row>
    <row r="2056" spans="1:2" x14ac:dyDescent="0.2">
      <c r="A2056" s="21" t="s">
        <v>62</v>
      </c>
      <c r="B2056" s="21" t="s">
        <v>63</v>
      </c>
    </row>
    <row r="2062" spans="1:2" x14ac:dyDescent="0.2">
      <c r="A2062" s="21" t="s">
        <v>62</v>
      </c>
      <c r="B2062" s="21" t="s">
        <v>63</v>
      </c>
    </row>
    <row r="2065" spans="1:2" x14ac:dyDescent="0.2">
      <c r="A2065" s="21" t="s">
        <v>62</v>
      </c>
      <c r="B2065" s="21" t="s">
        <v>63</v>
      </c>
    </row>
    <row r="2068" spans="1:2" x14ac:dyDescent="0.2">
      <c r="A2068" s="21" t="s">
        <v>62</v>
      </c>
      <c r="B2068" s="21" t="s">
        <v>63</v>
      </c>
    </row>
    <row r="2071" spans="1:2" x14ac:dyDescent="0.2">
      <c r="A2071" s="21" t="s">
        <v>72</v>
      </c>
      <c r="B2071" s="21" t="s">
        <v>73</v>
      </c>
    </row>
    <row r="2076" spans="1:2" x14ac:dyDescent="0.2">
      <c r="A2076" s="21" t="s">
        <v>68</v>
      </c>
      <c r="B2076" s="21" t="s">
        <v>69</v>
      </c>
    </row>
    <row r="2079" spans="1:2" x14ac:dyDescent="0.2">
      <c r="A2079" s="21" t="s">
        <v>72</v>
      </c>
      <c r="B2079" s="21" t="s">
        <v>73</v>
      </c>
    </row>
    <row r="2082" spans="1:2" x14ac:dyDescent="0.2">
      <c r="A2082" s="21" t="s">
        <v>62</v>
      </c>
      <c r="B2082" s="21" t="s">
        <v>63</v>
      </c>
    </row>
    <row r="2087" spans="1:2" x14ac:dyDescent="0.2">
      <c r="A2087" s="21" t="s">
        <v>68</v>
      </c>
      <c r="B2087" s="21" t="s">
        <v>69</v>
      </c>
    </row>
    <row r="2090" spans="1:2" x14ac:dyDescent="0.2">
      <c r="A2090" s="21" t="s">
        <v>72</v>
      </c>
      <c r="B2090" s="21" t="s">
        <v>73</v>
      </c>
    </row>
    <row r="2092" spans="1:2" x14ac:dyDescent="0.2">
      <c r="A2092" s="21" t="s">
        <v>68</v>
      </c>
      <c r="B2092" s="21" t="s">
        <v>69</v>
      </c>
    </row>
    <row r="2095" spans="1:2" x14ac:dyDescent="0.2">
      <c r="A2095" s="21" t="s">
        <v>112</v>
      </c>
      <c r="B2095" s="21" t="s">
        <v>113</v>
      </c>
    </row>
    <row r="2098" spans="1:2" x14ac:dyDescent="0.2">
      <c r="A2098" s="21" t="s">
        <v>62</v>
      </c>
      <c r="B2098" s="21" t="s">
        <v>63</v>
      </c>
    </row>
    <row r="2101" spans="1:2" x14ac:dyDescent="0.2">
      <c r="A2101" s="21" t="s">
        <v>72</v>
      </c>
      <c r="B2101" s="21" t="s">
        <v>73</v>
      </c>
    </row>
    <row r="2109" spans="1:2" x14ac:dyDescent="0.2">
      <c r="A2109" s="21" t="s">
        <v>68</v>
      </c>
      <c r="B2109" s="21" t="s">
        <v>69</v>
      </c>
    </row>
    <row r="2112" spans="1:2" x14ac:dyDescent="0.2">
      <c r="A2112" s="21" t="s">
        <v>62</v>
      </c>
      <c r="B2112" s="21" t="s">
        <v>63</v>
      </c>
    </row>
    <row r="2118" spans="1:2" x14ac:dyDescent="0.2">
      <c r="A2118" s="21" t="s">
        <v>68</v>
      </c>
      <c r="B2118" s="21" t="s">
        <v>69</v>
      </c>
    </row>
    <row r="2121" spans="1:2" x14ac:dyDescent="0.2">
      <c r="A2121" s="21" t="s">
        <v>74</v>
      </c>
      <c r="B2121" s="21" t="s">
        <v>75</v>
      </c>
    </row>
    <row r="2124" spans="1:2" x14ac:dyDescent="0.2">
      <c r="A2124" s="21" t="s">
        <v>72</v>
      </c>
      <c r="B2124" s="21" t="s">
        <v>73</v>
      </c>
    </row>
    <row r="2127" spans="1:2" x14ac:dyDescent="0.2">
      <c r="A2127" s="21" t="s">
        <v>62</v>
      </c>
      <c r="B2127" s="21" t="s">
        <v>63</v>
      </c>
    </row>
    <row r="2132" spans="1:2" x14ac:dyDescent="0.2">
      <c r="A2132" s="21" t="s">
        <v>68</v>
      </c>
      <c r="B2132" s="21" t="s">
        <v>69</v>
      </c>
    </row>
    <row r="2135" spans="1:2" x14ac:dyDescent="0.2">
      <c r="A2135" s="21" t="s">
        <v>106</v>
      </c>
      <c r="B2135" s="21" t="s">
        <v>107</v>
      </c>
    </row>
    <row r="2138" spans="1:2" x14ac:dyDescent="0.2">
      <c r="A2138" s="21" t="s">
        <v>62</v>
      </c>
      <c r="B2138" s="21" t="s">
        <v>63</v>
      </c>
    </row>
    <row r="2141" spans="1:2" x14ac:dyDescent="0.2">
      <c r="A2141" s="21" t="s">
        <v>72</v>
      </c>
      <c r="B2141" s="21" t="s">
        <v>73</v>
      </c>
    </row>
    <row r="2144" spans="1:2" x14ac:dyDescent="0.2">
      <c r="A2144" s="21" t="s">
        <v>68</v>
      </c>
      <c r="B2144" s="21" t="s">
        <v>69</v>
      </c>
    </row>
    <row r="2147" spans="1:2" x14ac:dyDescent="0.2">
      <c r="A2147" s="21" t="s">
        <v>72</v>
      </c>
      <c r="B2147" s="21" t="s">
        <v>73</v>
      </c>
    </row>
    <row r="2150" spans="1:2" x14ac:dyDescent="0.2">
      <c r="A2150" s="21" t="s">
        <v>62</v>
      </c>
      <c r="B2150" s="21" t="s">
        <v>63</v>
      </c>
    </row>
    <row r="2153" spans="1:2" x14ac:dyDescent="0.2">
      <c r="A2153" s="21" t="s">
        <v>62</v>
      </c>
      <c r="B2153" s="21" t="s">
        <v>63</v>
      </c>
    </row>
    <row r="2156" spans="1:2" x14ac:dyDescent="0.2">
      <c r="A2156" s="21" t="s">
        <v>72</v>
      </c>
      <c r="B2156" s="21" t="s">
        <v>73</v>
      </c>
    </row>
    <row r="2159" spans="1:2" x14ac:dyDescent="0.2">
      <c r="A2159" s="21" t="s">
        <v>62</v>
      </c>
      <c r="B2159" s="21" t="s">
        <v>63</v>
      </c>
    </row>
    <row r="2162" spans="1:2" x14ac:dyDescent="0.2">
      <c r="A2162" s="21" t="s">
        <v>62</v>
      </c>
      <c r="B2162" s="21" t="s">
        <v>63</v>
      </c>
    </row>
    <row r="2168" spans="1:2" x14ac:dyDescent="0.2">
      <c r="A2168" s="21" t="s">
        <v>62</v>
      </c>
      <c r="B2168" s="21" t="s">
        <v>63</v>
      </c>
    </row>
    <row r="2171" spans="1:2" x14ac:dyDescent="0.2">
      <c r="A2171" s="21" t="s">
        <v>62</v>
      </c>
      <c r="B2171" s="21" t="s">
        <v>63</v>
      </c>
    </row>
    <row r="2173" spans="1:2" x14ac:dyDescent="0.2">
      <c r="A2173" s="21" t="s">
        <v>68</v>
      </c>
      <c r="B2173" s="21" t="s">
        <v>69</v>
      </c>
    </row>
    <row r="2178" spans="1:2" x14ac:dyDescent="0.2">
      <c r="A2178" s="21" t="s">
        <v>62</v>
      </c>
      <c r="B2178" s="21" t="s">
        <v>63</v>
      </c>
    </row>
    <row r="2181" spans="1:2" x14ac:dyDescent="0.2">
      <c r="A2181" s="21" t="s">
        <v>62</v>
      </c>
      <c r="B2181" s="21" t="s">
        <v>63</v>
      </c>
    </row>
    <row r="2191" spans="1:2" x14ac:dyDescent="0.2">
      <c r="A2191" s="21" t="s">
        <v>68</v>
      </c>
      <c r="B2191" s="21" t="s">
        <v>69</v>
      </c>
    </row>
    <row r="2204" spans="1:2" x14ac:dyDescent="0.2">
      <c r="A2204" s="21" t="s">
        <v>62</v>
      </c>
      <c r="B2204" s="21" t="s">
        <v>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A895-6FFE-AD44-9C89-696462E4B489}">
  <dimension ref="D8:Y74"/>
  <sheetViews>
    <sheetView zoomScale="125" workbookViewId="0">
      <selection activeCell="I21" sqref="I21"/>
    </sheetView>
  </sheetViews>
  <sheetFormatPr baseColWidth="10" defaultRowHeight="15" x14ac:dyDescent="0.2"/>
  <cols>
    <col min="4" max="4" width="26.83203125" bestFit="1" customWidth="1"/>
  </cols>
  <sheetData>
    <row r="8" spans="4:25" x14ac:dyDescent="0.2">
      <c r="E8" t="s">
        <v>149</v>
      </c>
      <c r="H8" t="s">
        <v>151</v>
      </c>
      <c r="K8" t="s">
        <v>152</v>
      </c>
      <c r="N8" t="s">
        <v>153</v>
      </c>
      <c r="Q8" t="s">
        <v>154</v>
      </c>
      <c r="T8" t="s">
        <v>155</v>
      </c>
      <c r="W8" t="s">
        <v>156</v>
      </c>
    </row>
    <row r="9" spans="4:25" x14ac:dyDescent="0.2">
      <c r="E9" t="s">
        <v>5</v>
      </c>
      <c r="F9" t="s">
        <v>150</v>
      </c>
      <c r="G9" t="s">
        <v>124</v>
      </c>
      <c r="H9" t="s">
        <v>5</v>
      </c>
      <c r="I9" t="s">
        <v>150</v>
      </c>
      <c r="J9" t="s">
        <v>124</v>
      </c>
      <c r="K9" t="s">
        <v>5</v>
      </c>
      <c r="L9" t="s">
        <v>150</v>
      </c>
      <c r="M9" t="s">
        <v>124</v>
      </c>
      <c r="N9" t="s">
        <v>5</v>
      </c>
      <c r="O9" t="s">
        <v>150</v>
      </c>
      <c r="P9" t="s">
        <v>124</v>
      </c>
      <c r="Q9" t="s">
        <v>5</v>
      </c>
      <c r="R9" t="s">
        <v>150</v>
      </c>
      <c r="S9" t="s">
        <v>124</v>
      </c>
      <c r="T9" t="s">
        <v>5</v>
      </c>
      <c r="U9" t="s">
        <v>150</v>
      </c>
      <c r="V9" t="s">
        <v>124</v>
      </c>
      <c r="W9" t="s">
        <v>5</v>
      </c>
      <c r="X9" t="s">
        <v>150</v>
      </c>
      <c r="Y9" t="s">
        <v>124</v>
      </c>
    </row>
    <row r="10" spans="4:25" x14ac:dyDescent="0.2">
      <c r="D10" t="s">
        <v>50</v>
      </c>
    </row>
    <row r="11" spans="4:25" x14ac:dyDescent="0.2">
      <c r="D11" t="s">
        <v>20</v>
      </c>
    </row>
    <row r="12" spans="4:25" x14ac:dyDescent="0.2">
      <c r="D12" t="s">
        <v>23</v>
      </c>
    </row>
    <row r="13" spans="4:25" x14ac:dyDescent="0.2">
      <c r="D13" t="s">
        <v>22</v>
      </c>
    </row>
    <row r="14" spans="4:25" x14ac:dyDescent="0.2">
      <c r="D14" t="s">
        <v>11</v>
      </c>
    </row>
    <row r="15" spans="4:25" x14ac:dyDescent="0.2">
      <c r="D15" t="s">
        <v>10</v>
      </c>
    </row>
    <row r="16" spans="4:25" x14ac:dyDescent="0.2">
      <c r="D16" t="s">
        <v>9</v>
      </c>
    </row>
    <row r="17" spans="4:10" x14ac:dyDescent="0.2">
      <c r="D17" t="s">
        <v>8</v>
      </c>
    </row>
    <row r="18" spans="4:10" x14ac:dyDescent="0.2">
      <c r="D18" t="s">
        <v>27</v>
      </c>
    </row>
    <row r="19" spans="4:10" x14ac:dyDescent="0.2">
      <c r="D19" t="s">
        <v>26</v>
      </c>
    </row>
    <row r="20" spans="4:10" x14ac:dyDescent="0.2">
      <c r="D20" t="s">
        <v>25</v>
      </c>
    </row>
    <row r="21" spans="4:10" x14ac:dyDescent="0.2">
      <c r="D21" t="s">
        <v>24</v>
      </c>
    </row>
    <row r="22" spans="4:10" x14ac:dyDescent="0.2">
      <c r="D22" t="s">
        <v>13</v>
      </c>
    </row>
    <row r="23" spans="4:10" x14ac:dyDescent="0.2">
      <c r="D23" t="s">
        <v>12</v>
      </c>
    </row>
    <row r="24" spans="4:10" x14ac:dyDescent="0.2">
      <c r="D24" t="s">
        <v>19</v>
      </c>
    </row>
    <row r="25" spans="4:10" x14ac:dyDescent="0.2">
      <c r="D25" t="s">
        <v>18</v>
      </c>
    </row>
    <row r="26" spans="4:10" x14ac:dyDescent="0.2">
      <c r="D26" t="s">
        <v>21</v>
      </c>
    </row>
    <row r="27" spans="4:10" x14ac:dyDescent="0.2">
      <c r="D27" t="s">
        <v>15</v>
      </c>
    </row>
    <row r="28" spans="4:10" x14ac:dyDescent="0.2">
      <c r="D28" t="s">
        <v>14</v>
      </c>
    </row>
    <row r="29" spans="4:10" x14ac:dyDescent="0.2">
      <c r="D29" t="s">
        <v>17</v>
      </c>
    </row>
    <row r="30" spans="4:10" x14ac:dyDescent="0.2">
      <c r="D30" t="s">
        <v>16</v>
      </c>
    </row>
    <row r="32" spans="4:10" x14ac:dyDescent="0.2">
      <c r="F32" t="s">
        <v>114</v>
      </c>
      <c r="G32" s="36" t="s">
        <v>115</v>
      </c>
      <c r="H32" t="s">
        <v>157</v>
      </c>
      <c r="I32" t="s">
        <v>52</v>
      </c>
      <c r="J32" t="s">
        <v>55</v>
      </c>
    </row>
    <row r="33" spans="4:5" x14ac:dyDescent="0.2">
      <c r="D33" t="s">
        <v>50</v>
      </c>
      <c r="E33" t="s">
        <v>150</v>
      </c>
    </row>
    <row r="34" spans="4:5" x14ac:dyDescent="0.2">
      <c r="D34" t="s">
        <v>20</v>
      </c>
      <c r="E34" t="s">
        <v>150</v>
      </c>
    </row>
    <row r="35" spans="4:5" x14ac:dyDescent="0.2">
      <c r="D35" t="s">
        <v>23</v>
      </c>
      <c r="E35" t="s">
        <v>150</v>
      </c>
    </row>
    <row r="36" spans="4:5" x14ac:dyDescent="0.2">
      <c r="D36" t="s">
        <v>22</v>
      </c>
      <c r="E36" t="s">
        <v>150</v>
      </c>
    </row>
    <row r="37" spans="4:5" x14ac:dyDescent="0.2">
      <c r="D37" t="s">
        <v>11</v>
      </c>
      <c r="E37" t="s">
        <v>150</v>
      </c>
    </row>
    <row r="38" spans="4:5" x14ac:dyDescent="0.2">
      <c r="D38" t="s">
        <v>10</v>
      </c>
      <c r="E38" t="s">
        <v>150</v>
      </c>
    </row>
    <row r="39" spans="4:5" x14ac:dyDescent="0.2">
      <c r="D39" t="s">
        <v>9</v>
      </c>
      <c r="E39" t="s">
        <v>150</v>
      </c>
    </row>
    <row r="40" spans="4:5" x14ac:dyDescent="0.2">
      <c r="D40" t="s">
        <v>8</v>
      </c>
      <c r="E40" t="s">
        <v>150</v>
      </c>
    </row>
    <row r="41" spans="4:5" x14ac:dyDescent="0.2">
      <c r="D41" t="s">
        <v>27</v>
      </c>
      <c r="E41" t="s">
        <v>150</v>
      </c>
    </row>
    <row r="42" spans="4:5" x14ac:dyDescent="0.2">
      <c r="D42" t="s">
        <v>26</v>
      </c>
      <c r="E42" t="s">
        <v>150</v>
      </c>
    </row>
    <row r="43" spans="4:5" x14ac:dyDescent="0.2">
      <c r="D43" t="s">
        <v>25</v>
      </c>
      <c r="E43" t="s">
        <v>150</v>
      </c>
    </row>
    <row r="44" spans="4:5" x14ac:dyDescent="0.2">
      <c r="D44" t="s">
        <v>24</v>
      </c>
      <c r="E44" t="s">
        <v>150</v>
      </c>
    </row>
    <row r="45" spans="4:5" x14ac:dyDescent="0.2">
      <c r="D45" t="s">
        <v>13</v>
      </c>
      <c r="E45" t="s">
        <v>150</v>
      </c>
    </row>
    <row r="46" spans="4:5" x14ac:dyDescent="0.2">
      <c r="D46" t="s">
        <v>12</v>
      </c>
      <c r="E46" t="s">
        <v>150</v>
      </c>
    </row>
    <row r="47" spans="4:5" x14ac:dyDescent="0.2">
      <c r="D47" t="s">
        <v>19</v>
      </c>
      <c r="E47" t="s">
        <v>150</v>
      </c>
    </row>
    <row r="48" spans="4:5" x14ac:dyDescent="0.2">
      <c r="D48" t="s">
        <v>18</v>
      </c>
      <c r="E48" t="s">
        <v>150</v>
      </c>
    </row>
    <row r="49" spans="4:5" x14ac:dyDescent="0.2">
      <c r="D49" t="s">
        <v>21</v>
      </c>
      <c r="E49" t="s">
        <v>150</v>
      </c>
    </row>
    <row r="50" spans="4:5" x14ac:dyDescent="0.2">
      <c r="D50" t="s">
        <v>15</v>
      </c>
      <c r="E50" t="s">
        <v>150</v>
      </c>
    </row>
    <row r="51" spans="4:5" x14ac:dyDescent="0.2">
      <c r="D51" t="s">
        <v>14</v>
      </c>
      <c r="E51" t="s">
        <v>150</v>
      </c>
    </row>
    <row r="52" spans="4:5" x14ac:dyDescent="0.2">
      <c r="D52" t="s">
        <v>17</v>
      </c>
      <c r="E52" t="s">
        <v>150</v>
      </c>
    </row>
    <row r="53" spans="4:5" x14ac:dyDescent="0.2">
      <c r="D53" t="s">
        <v>16</v>
      </c>
      <c r="E53" t="s">
        <v>150</v>
      </c>
    </row>
    <row r="54" spans="4:5" x14ac:dyDescent="0.2">
      <c r="D54" t="s">
        <v>50</v>
      </c>
      <c r="E54" t="s">
        <v>124</v>
      </c>
    </row>
    <row r="55" spans="4:5" x14ac:dyDescent="0.2">
      <c r="D55" t="s">
        <v>20</v>
      </c>
      <c r="E55" t="s">
        <v>124</v>
      </c>
    </row>
    <row r="56" spans="4:5" x14ac:dyDescent="0.2">
      <c r="D56" t="s">
        <v>23</v>
      </c>
      <c r="E56" t="s">
        <v>124</v>
      </c>
    </row>
    <row r="57" spans="4:5" x14ac:dyDescent="0.2">
      <c r="D57" t="s">
        <v>22</v>
      </c>
      <c r="E57" t="s">
        <v>124</v>
      </c>
    </row>
    <row r="58" spans="4:5" x14ac:dyDescent="0.2">
      <c r="D58" t="s">
        <v>11</v>
      </c>
      <c r="E58" t="s">
        <v>124</v>
      </c>
    </row>
    <row r="59" spans="4:5" x14ac:dyDescent="0.2">
      <c r="D59" t="s">
        <v>10</v>
      </c>
      <c r="E59" t="s">
        <v>124</v>
      </c>
    </row>
    <row r="60" spans="4:5" x14ac:dyDescent="0.2">
      <c r="D60" t="s">
        <v>9</v>
      </c>
      <c r="E60" t="s">
        <v>124</v>
      </c>
    </row>
    <row r="61" spans="4:5" x14ac:dyDescent="0.2">
      <c r="D61" t="s">
        <v>8</v>
      </c>
      <c r="E61" t="s">
        <v>124</v>
      </c>
    </row>
    <row r="62" spans="4:5" x14ac:dyDescent="0.2">
      <c r="D62" t="s">
        <v>27</v>
      </c>
      <c r="E62" t="s">
        <v>124</v>
      </c>
    </row>
    <row r="63" spans="4:5" x14ac:dyDescent="0.2">
      <c r="D63" t="s">
        <v>26</v>
      </c>
      <c r="E63" t="s">
        <v>124</v>
      </c>
    </row>
    <row r="64" spans="4:5" x14ac:dyDescent="0.2">
      <c r="D64" t="s">
        <v>25</v>
      </c>
      <c r="E64" t="s">
        <v>124</v>
      </c>
    </row>
    <row r="65" spans="4:5" x14ac:dyDescent="0.2">
      <c r="D65" t="s">
        <v>24</v>
      </c>
      <c r="E65" t="s">
        <v>124</v>
      </c>
    </row>
    <row r="66" spans="4:5" x14ac:dyDescent="0.2">
      <c r="D66" t="s">
        <v>13</v>
      </c>
      <c r="E66" t="s">
        <v>124</v>
      </c>
    </row>
    <row r="67" spans="4:5" x14ac:dyDescent="0.2">
      <c r="D67" t="s">
        <v>12</v>
      </c>
      <c r="E67" t="s">
        <v>124</v>
      </c>
    </row>
    <row r="68" spans="4:5" x14ac:dyDescent="0.2">
      <c r="D68" t="s">
        <v>19</v>
      </c>
      <c r="E68" t="s">
        <v>124</v>
      </c>
    </row>
    <row r="69" spans="4:5" x14ac:dyDescent="0.2">
      <c r="D69" t="s">
        <v>18</v>
      </c>
      <c r="E69" t="s">
        <v>124</v>
      </c>
    </row>
    <row r="70" spans="4:5" x14ac:dyDescent="0.2">
      <c r="D70" t="s">
        <v>21</v>
      </c>
      <c r="E70" t="s">
        <v>124</v>
      </c>
    </row>
    <row r="71" spans="4:5" x14ac:dyDescent="0.2">
      <c r="D71" t="s">
        <v>15</v>
      </c>
      <c r="E71" t="s">
        <v>124</v>
      </c>
    </row>
    <row r="72" spans="4:5" x14ac:dyDescent="0.2">
      <c r="D72" t="s">
        <v>14</v>
      </c>
      <c r="E72" t="s">
        <v>124</v>
      </c>
    </row>
    <row r="73" spans="4:5" x14ac:dyDescent="0.2">
      <c r="D73" t="s">
        <v>17</v>
      </c>
      <c r="E73" t="s">
        <v>124</v>
      </c>
    </row>
    <row r="74" spans="4:5" x14ac:dyDescent="0.2">
      <c r="D74" t="s">
        <v>16</v>
      </c>
      <c r="E74" t="s">
        <v>124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Pivot</vt:lpstr>
      <vt:lpstr>NonPivot Summary</vt:lpstr>
      <vt:lpstr>PivotLists</vt:lpstr>
      <vt:lpstr>Collapsed - Orthotrack outcomes</vt:lpstr>
      <vt:lpstr>Comparison Tool</vt:lpstr>
      <vt:lpstr>ICD_summary</vt:lpstr>
      <vt:lpstr>ideas for R DF organization</vt:lpstr>
      <vt:lpstr>SelFn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Grey Skelton</cp:lastModifiedBy>
  <dcterms:created xsi:type="dcterms:W3CDTF">2020-07-13T19:37:38Z</dcterms:created>
  <dcterms:modified xsi:type="dcterms:W3CDTF">2021-12-02T17:16:19Z</dcterms:modified>
</cp:coreProperties>
</file>