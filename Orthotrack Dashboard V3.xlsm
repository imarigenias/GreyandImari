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ables/table1.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4" codeName="{296A6A55-71EF-3FAC-97E6-161027D96622}"/>
  <workbookPr codeName="ThisWorkbook" hidePivotFieldList="1" defaultThemeVersion="166925"/>
  <mc:AlternateContent xmlns:mc="http://schemas.openxmlformats.org/markup-compatibility/2006">
    <mc:Choice Requires="x15">
      <x15ac:absPath xmlns:x15ac="http://schemas.microsoft.com/office/spreadsheetml/2010/11/ac" url="/Users/greyskelton/Documents/Documents - Grey’s MacBook Pro/Emory/MotionLab/GreyandImari/"/>
    </mc:Choice>
  </mc:AlternateContent>
  <xr:revisionPtr revIDLastSave="0" documentId="13_ncr:1_{03D2FD07-C41A-FD4D-8AB5-256305BBDE4F}" xr6:coauthVersionLast="47" xr6:coauthVersionMax="47" xr10:uidLastSave="{00000000-0000-0000-0000-000000000000}"/>
  <bookViews>
    <workbookView xWindow="820" yWindow="-21600" windowWidth="38400" windowHeight="21600" activeTab="1" xr2:uid="{E2F9A0A0-B75E-4931-831E-26F987545C61}"/>
  </bookViews>
  <sheets>
    <sheet name="Pivot" sheetId="6" r:id="rId1"/>
    <sheet name="NonPivot Summary" sheetId="8" r:id="rId2"/>
    <sheet name="Sheet3" sheetId="12" r:id="rId3"/>
    <sheet name="Collapsed - Orthotrack outcomes" sheetId="1" r:id="rId4"/>
    <sheet name="PivotLists" sheetId="5" r:id="rId5"/>
    <sheet name="ICD_summary" sheetId="10" r:id="rId6"/>
    <sheet name="dsf" sheetId="11" r:id="rId7"/>
  </sheets>
  <externalReferences>
    <externalReference r:id="rId8"/>
  </externalReferences>
  <definedNames>
    <definedName name="_xlnm._FilterDatabase" localSheetId="5" hidden="1">ICD_summary!$I$2:$K$2</definedName>
    <definedName name="SelFeilds">_xlfn.ANCHORARRAY([1]PivotLists!$M$4)</definedName>
    <definedName name="SelFields">_xlfn.ANCHORARRAY(PivotLists!$M$4)</definedName>
    <definedName name="SelFn">PivotLists!$E$3</definedName>
    <definedName name="Slicer_Function">#N/A</definedName>
    <definedName name="Slicer_Group">#N/A</definedName>
  </definedNames>
  <calcPr calcId="191029"/>
  <pivotCaches>
    <pivotCache cacheId="11" r:id="rId9"/>
    <pivotCache cacheId="20" r:id="rId10"/>
    <pivotCache cacheId="23" r:id="rId11"/>
  </pivotCaches>
  <extLst>
    <ext xmlns:x14="http://schemas.microsoft.com/office/spreadsheetml/2009/9/main" uri="{BBE1A952-AA13-448e-AADC-164F8A28A991}">
      <x14:slicerCaches>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U12" i="8" l="1"/>
  <c r="AB93" i="8"/>
  <c r="AA93" i="8"/>
  <c r="Z93" i="8"/>
  <c r="Y93" i="8"/>
  <c r="X93" i="8"/>
  <c r="W93" i="8"/>
  <c r="V93" i="8"/>
  <c r="U93" i="8"/>
  <c r="T93" i="8"/>
  <c r="S93" i="8"/>
  <c r="R93" i="8"/>
  <c r="Q93" i="8"/>
  <c r="P93" i="8"/>
  <c r="O93" i="8"/>
  <c r="N93" i="8"/>
  <c r="M93" i="8"/>
  <c r="L93" i="8"/>
  <c r="K93" i="8"/>
  <c r="J93" i="8"/>
  <c r="I93" i="8"/>
  <c r="AB92" i="8"/>
  <c r="AA92" i="8"/>
  <c r="Z92" i="8"/>
  <c r="Y92" i="8"/>
  <c r="X92" i="8"/>
  <c r="W92" i="8"/>
  <c r="V92" i="8"/>
  <c r="U92" i="8"/>
  <c r="T92" i="8"/>
  <c r="S92" i="8"/>
  <c r="R92" i="8"/>
  <c r="Q92" i="8"/>
  <c r="P92" i="8"/>
  <c r="O92" i="8"/>
  <c r="N92" i="8"/>
  <c r="M92" i="8"/>
  <c r="L92" i="8"/>
  <c r="K92" i="8"/>
  <c r="J92" i="8"/>
  <c r="I92" i="8"/>
  <c r="AB91" i="8"/>
  <c r="AA91" i="8"/>
  <c r="Z91" i="8"/>
  <c r="Y91" i="8"/>
  <c r="X91" i="8"/>
  <c r="W91" i="8"/>
  <c r="V91" i="8"/>
  <c r="U91" i="8"/>
  <c r="T91" i="8"/>
  <c r="S91" i="8"/>
  <c r="R91" i="8"/>
  <c r="Q91" i="8"/>
  <c r="P91" i="8"/>
  <c r="O91" i="8"/>
  <c r="N91" i="8"/>
  <c r="M91" i="8"/>
  <c r="L91" i="8"/>
  <c r="K91" i="8"/>
  <c r="J91" i="8"/>
  <c r="I91" i="8"/>
  <c r="AB90" i="8"/>
  <c r="AA90" i="8"/>
  <c r="Z90" i="8"/>
  <c r="Y90" i="8"/>
  <c r="X90" i="8"/>
  <c r="W90" i="8"/>
  <c r="V90" i="8"/>
  <c r="U90" i="8"/>
  <c r="T90" i="8"/>
  <c r="S90" i="8"/>
  <c r="R90" i="8"/>
  <c r="Q90" i="8"/>
  <c r="P90" i="8"/>
  <c r="O90" i="8"/>
  <c r="N90" i="8"/>
  <c r="M90" i="8"/>
  <c r="L90" i="8"/>
  <c r="K90" i="8"/>
  <c r="J90" i="8"/>
  <c r="I90" i="8"/>
  <c r="AB89" i="8"/>
  <c r="AA89" i="8"/>
  <c r="Z89" i="8"/>
  <c r="Y89" i="8"/>
  <c r="X89" i="8"/>
  <c r="W89" i="8"/>
  <c r="V89" i="8"/>
  <c r="U89" i="8"/>
  <c r="T89" i="8"/>
  <c r="S89" i="8"/>
  <c r="R89" i="8"/>
  <c r="Q89" i="8"/>
  <c r="P89" i="8"/>
  <c r="O89" i="8"/>
  <c r="N89" i="8"/>
  <c r="M89" i="8"/>
  <c r="L89" i="8"/>
  <c r="K89" i="8"/>
  <c r="J89" i="8"/>
  <c r="I89" i="8"/>
  <c r="AB88" i="8"/>
  <c r="AA88" i="8"/>
  <c r="Z88" i="8"/>
  <c r="Y88" i="8"/>
  <c r="X88" i="8"/>
  <c r="W88" i="8"/>
  <c r="V88" i="8"/>
  <c r="U88" i="8"/>
  <c r="T88" i="8"/>
  <c r="S88" i="8"/>
  <c r="R88" i="8"/>
  <c r="Q88" i="8"/>
  <c r="P88" i="8"/>
  <c r="O88" i="8"/>
  <c r="N88" i="8"/>
  <c r="M88" i="8"/>
  <c r="L88" i="8"/>
  <c r="K88" i="8"/>
  <c r="J88" i="8"/>
  <c r="I88" i="8"/>
  <c r="AB87" i="8"/>
  <c r="AA87" i="8"/>
  <c r="Z87" i="8"/>
  <c r="Y87" i="8"/>
  <c r="X87" i="8"/>
  <c r="W87" i="8"/>
  <c r="V87" i="8"/>
  <c r="U87" i="8"/>
  <c r="T87" i="8"/>
  <c r="S87" i="8"/>
  <c r="R87" i="8"/>
  <c r="Q87" i="8"/>
  <c r="P87" i="8"/>
  <c r="O87" i="8"/>
  <c r="N87" i="8"/>
  <c r="M87" i="8"/>
  <c r="L87" i="8"/>
  <c r="K87" i="8"/>
  <c r="J87" i="8"/>
  <c r="I87" i="8"/>
  <c r="AB86" i="8"/>
  <c r="AA86" i="8"/>
  <c r="Z86" i="8"/>
  <c r="Y86" i="8"/>
  <c r="X86" i="8"/>
  <c r="W86" i="8"/>
  <c r="V86" i="8"/>
  <c r="U86" i="8"/>
  <c r="T86" i="8"/>
  <c r="S86" i="8"/>
  <c r="R86" i="8"/>
  <c r="Q86" i="8"/>
  <c r="P86" i="8"/>
  <c r="O86" i="8"/>
  <c r="N86" i="8"/>
  <c r="M86" i="8"/>
  <c r="L86" i="8"/>
  <c r="K86" i="8"/>
  <c r="J86" i="8"/>
  <c r="I86" i="8"/>
  <c r="H93" i="8"/>
  <c r="H92" i="8"/>
  <c r="H91" i="8"/>
  <c r="H90" i="8"/>
  <c r="H89" i="8"/>
  <c r="H88" i="8"/>
  <c r="H87" i="8"/>
  <c r="H86" i="8"/>
  <c r="G10" i="8"/>
  <c r="H81" i="8"/>
  <c r="I74" i="8"/>
  <c r="H74" i="8"/>
  <c r="H75" i="8"/>
  <c r="Z78" i="8"/>
  <c r="AB81" i="8"/>
  <c r="AA81" i="8"/>
  <c r="Z81" i="8"/>
  <c r="Y81" i="8"/>
  <c r="X81" i="8"/>
  <c r="W81" i="8"/>
  <c r="V81" i="8"/>
  <c r="U81" i="8"/>
  <c r="T81" i="8"/>
  <c r="S81" i="8"/>
  <c r="R81" i="8"/>
  <c r="Q81" i="8"/>
  <c r="P81" i="8"/>
  <c r="O81" i="8"/>
  <c r="N81" i="8"/>
  <c r="M81" i="8"/>
  <c r="L81" i="8"/>
  <c r="K81" i="8"/>
  <c r="J81" i="8"/>
  <c r="I81" i="8"/>
  <c r="AB80" i="8"/>
  <c r="AA80" i="8"/>
  <c r="Z80" i="8"/>
  <c r="Y80" i="8"/>
  <c r="X80" i="8"/>
  <c r="W80" i="8"/>
  <c r="V80" i="8"/>
  <c r="U80" i="8"/>
  <c r="T80" i="8"/>
  <c r="S80" i="8"/>
  <c r="R80" i="8"/>
  <c r="Q80" i="8"/>
  <c r="P80" i="8"/>
  <c r="O80" i="8"/>
  <c r="N80" i="8"/>
  <c r="M80" i="8"/>
  <c r="L80" i="8"/>
  <c r="K80" i="8"/>
  <c r="J80" i="8"/>
  <c r="I80" i="8"/>
  <c r="H80" i="8"/>
  <c r="AB79" i="8"/>
  <c r="AA79" i="8"/>
  <c r="Z79" i="8"/>
  <c r="Y79" i="8"/>
  <c r="X79" i="8"/>
  <c r="W79" i="8"/>
  <c r="V79" i="8"/>
  <c r="U79" i="8"/>
  <c r="T79" i="8"/>
  <c r="S79" i="8"/>
  <c r="R79" i="8"/>
  <c r="Q79" i="8"/>
  <c r="P79" i="8"/>
  <c r="O79" i="8"/>
  <c r="N79" i="8"/>
  <c r="M79" i="8"/>
  <c r="L79" i="8"/>
  <c r="K79" i="8"/>
  <c r="J79" i="8"/>
  <c r="I79" i="8"/>
  <c r="H79" i="8"/>
  <c r="AB78" i="8"/>
  <c r="AA78" i="8"/>
  <c r="Y78" i="8"/>
  <c r="X78" i="8"/>
  <c r="W78" i="8"/>
  <c r="V78" i="8"/>
  <c r="U78" i="8"/>
  <c r="T78" i="8"/>
  <c r="S78" i="8"/>
  <c r="R78" i="8"/>
  <c r="Q78" i="8"/>
  <c r="P78" i="8"/>
  <c r="O78" i="8"/>
  <c r="N78" i="8"/>
  <c r="M78" i="8"/>
  <c r="L78" i="8"/>
  <c r="K78" i="8"/>
  <c r="J78" i="8"/>
  <c r="I78" i="8"/>
  <c r="H78" i="8"/>
  <c r="AB77" i="8"/>
  <c r="AA77" i="8"/>
  <c r="Z77" i="8"/>
  <c r="Y77" i="8"/>
  <c r="X77" i="8"/>
  <c r="W77" i="8"/>
  <c r="V77" i="8"/>
  <c r="U77" i="8"/>
  <c r="T77" i="8"/>
  <c r="S77" i="8"/>
  <c r="R77" i="8"/>
  <c r="Q77" i="8"/>
  <c r="P77" i="8"/>
  <c r="O77" i="8"/>
  <c r="N77" i="8"/>
  <c r="M77" i="8"/>
  <c r="L77" i="8"/>
  <c r="K77" i="8"/>
  <c r="J77" i="8"/>
  <c r="I77" i="8"/>
  <c r="H77" i="8"/>
  <c r="AB76" i="8"/>
  <c r="AA76" i="8"/>
  <c r="Z76" i="8"/>
  <c r="Y76" i="8"/>
  <c r="X76" i="8"/>
  <c r="W76" i="8"/>
  <c r="V76" i="8"/>
  <c r="U76" i="8"/>
  <c r="T76" i="8"/>
  <c r="S76" i="8"/>
  <c r="R76" i="8"/>
  <c r="Q76" i="8"/>
  <c r="P76" i="8"/>
  <c r="O76" i="8"/>
  <c r="N76" i="8"/>
  <c r="M76" i="8"/>
  <c r="L76" i="8"/>
  <c r="K76" i="8"/>
  <c r="J76" i="8"/>
  <c r="I76" i="8"/>
  <c r="H76" i="8"/>
  <c r="AB75" i="8"/>
  <c r="AA75" i="8"/>
  <c r="Z75" i="8"/>
  <c r="Y75" i="8"/>
  <c r="X75" i="8"/>
  <c r="W75" i="8"/>
  <c r="V75" i="8"/>
  <c r="U75" i="8"/>
  <c r="T75" i="8"/>
  <c r="S75" i="8"/>
  <c r="R75" i="8"/>
  <c r="Q75" i="8"/>
  <c r="P75" i="8"/>
  <c r="O75" i="8"/>
  <c r="N75" i="8"/>
  <c r="M75" i="8"/>
  <c r="L75" i="8"/>
  <c r="K75" i="8"/>
  <c r="J75" i="8"/>
  <c r="I75" i="8"/>
  <c r="AB74" i="8"/>
  <c r="AA74" i="8"/>
  <c r="Z74" i="8"/>
  <c r="Y74" i="8"/>
  <c r="X74" i="8"/>
  <c r="W74" i="8"/>
  <c r="V74" i="8"/>
  <c r="U74" i="8"/>
  <c r="T74" i="8"/>
  <c r="S74" i="8"/>
  <c r="R74" i="8"/>
  <c r="Q74" i="8"/>
  <c r="P74" i="8"/>
  <c r="O74" i="8"/>
  <c r="N74" i="8"/>
  <c r="M74" i="8"/>
  <c r="L74" i="8"/>
  <c r="K74" i="8"/>
  <c r="J74" i="8"/>
  <c r="G4" i="8"/>
  <c r="I69" i="8"/>
  <c r="I68" i="8"/>
  <c r="I67" i="8"/>
  <c r="I66" i="8"/>
  <c r="I65" i="8"/>
  <c r="I64" i="8"/>
  <c r="I63" i="8"/>
  <c r="H69" i="8"/>
  <c r="H68" i="8"/>
  <c r="H67" i="8"/>
  <c r="H66" i="8"/>
  <c r="H65" i="8"/>
  <c r="H64" i="8"/>
  <c r="H63" i="8"/>
  <c r="H62" i="8"/>
  <c r="I62" i="8"/>
  <c r="K9" i="10"/>
  <c r="G15" i="8"/>
  <c r="K37" i="10"/>
  <c r="J37" i="10"/>
  <c r="K36" i="10"/>
  <c r="J36" i="10"/>
  <c r="K35" i="10"/>
  <c r="J35" i="10"/>
  <c r="K21" i="10"/>
  <c r="J21" i="10"/>
  <c r="K34" i="10"/>
  <c r="J34" i="10"/>
  <c r="K10" i="10"/>
  <c r="J10" i="10"/>
  <c r="K33" i="10"/>
  <c r="J33" i="10"/>
  <c r="K32" i="10"/>
  <c r="J32" i="10"/>
  <c r="K31" i="10"/>
  <c r="J31" i="10"/>
  <c r="K20" i="10"/>
  <c r="J20" i="10"/>
  <c r="K13" i="10"/>
  <c r="J13" i="10"/>
  <c r="K30" i="10"/>
  <c r="J30" i="10"/>
  <c r="K29" i="10"/>
  <c r="J29" i="10"/>
  <c r="K19" i="10"/>
  <c r="J19" i="10"/>
  <c r="K28" i="10"/>
  <c r="J28" i="10"/>
  <c r="K27" i="10"/>
  <c r="J27" i="10"/>
  <c r="K8" i="10"/>
  <c r="J8" i="10"/>
  <c r="K26" i="10"/>
  <c r="J26" i="10"/>
  <c r="K25" i="10"/>
  <c r="J25" i="10"/>
  <c r="J9" i="10"/>
  <c r="K11" i="10"/>
  <c r="J11" i="10"/>
  <c r="K5" i="10"/>
  <c r="J5" i="10"/>
  <c r="K24" i="10"/>
  <c r="J24" i="10"/>
  <c r="K4" i="10"/>
  <c r="J4" i="10"/>
  <c r="K15" i="10"/>
  <c r="J15" i="10"/>
  <c r="K12" i="10"/>
  <c r="J12" i="10"/>
  <c r="K3" i="10"/>
  <c r="J3" i="10"/>
  <c r="K23" i="10"/>
  <c r="J23" i="10"/>
  <c r="K22" i="10"/>
  <c r="J22" i="10"/>
  <c r="K18" i="10"/>
  <c r="J18" i="10"/>
  <c r="K17" i="10"/>
  <c r="J17" i="10"/>
  <c r="K16" i="10"/>
  <c r="J16" i="10"/>
  <c r="K14" i="10"/>
  <c r="J14" i="10"/>
  <c r="K7" i="10"/>
  <c r="J7" i="10"/>
  <c r="K6" i="10"/>
  <c r="J6" i="10"/>
  <c r="J65" i="8" l="1"/>
  <c r="J69" i="8"/>
  <c r="J66" i="8"/>
  <c r="J64" i="8"/>
  <c r="J68" i="8"/>
  <c r="J62" i="8"/>
  <c r="J63" i="8"/>
  <c r="J67" i="8"/>
  <c r="AA12" i="8"/>
  <c r="Z12" i="8"/>
  <c r="Y12" i="8"/>
  <c r="X12" i="8"/>
  <c r="W12" i="8"/>
  <c r="V12" i="8"/>
  <c r="T12" i="8"/>
  <c r="S12" i="8"/>
  <c r="R12" i="8"/>
  <c r="Q12" i="8"/>
  <c r="P12" i="8"/>
  <c r="O12" i="8"/>
  <c r="N12" i="8"/>
  <c r="M12" i="8"/>
  <c r="L12" i="8"/>
  <c r="K12" i="8"/>
  <c r="J12" i="8"/>
  <c r="I12" i="8"/>
  <c r="H12" i="8"/>
  <c r="AA11" i="8"/>
  <c r="Z11" i="8"/>
  <c r="Y11" i="8"/>
  <c r="X11" i="8"/>
  <c r="W11" i="8"/>
  <c r="V11" i="8"/>
  <c r="U11" i="8"/>
  <c r="T11" i="8"/>
  <c r="S11" i="8"/>
  <c r="R11" i="8"/>
  <c r="Q11" i="8"/>
  <c r="P11" i="8"/>
  <c r="O11" i="8"/>
  <c r="N11" i="8"/>
  <c r="M11" i="8"/>
  <c r="L11" i="8"/>
  <c r="K11" i="8"/>
  <c r="J11" i="8"/>
  <c r="I11" i="8"/>
  <c r="H11" i="8"/>
  <c r="AA10" i="8"/>
  <c r="Z10" i="8"/>
  <c r="Y10" i="8"/>
  <c r="X10" i="8"/>
  <c r="W10" i="8"/>
  <c r="V10" i="8"/>
  <c r="U10" i="8"/>
  <c r="T10" i="8"/>
  <c r="S10" i="8"/>
  <c r="R10" i="8"/>
  <c r="Q10" i="8"/>
  <c r="P10" i="8"/>
  <c r="O10" i="8"/>
  <c r="N10" i="8"/>
  <c r="M10" i="8"/>
  <c r="L10" i="8"/>
  <c r="K10" i="8"/>
  <c r="J10" i="8"/>
  <c r="I10" i="8"/>
  <c r="H10" i="8"/>
  <c r="G12" i="8"/>
  <c r="G11" i="8"/>
  <c r="AA22" i="8"/>
  <c r="Z22" i="8"/>
  <c r="Y22" i="8"/>
  <c r="X22" i="8"/>
  <c r="W22" i="8"/>
  <c r="V22" i="8"/>
  <c r="U22" i="8"/>
  <c r="T22" i="8"/>
  <c r="S22" i="8"/>
  <c r="R22" i="8"/>
  <c r="Q22" i="8"/>
  <c r="P22" i="8"/>
  <c r="O22" i="8"/>
  <c r="N22" i="8"/>
  <c r="M22" i="8"/>
  <c r="L22" i="8"/>
  <c r="K22" i="8"/>
  <c r="J22" i="8"/>
  <c r="I22" i="8"/>
  <c r="AA21" i="8"/>
  <c r="Z21" i="8"/>
  <c r="Y21" i="8"/>
  <c r="X21" i="8"/>
  <c r="W21" i="8"/>
  <c r="V21" i="8"/>
  <c r="U21" i="8"/>
  <c r="T21" i="8"/>
  <c r="S21" i="8"/>
  <c r="R21" i="8"/>
  <c r="Q21" i="8"/>
  <c r="P21" i="8"/>
  <c r="O21" i="8"/>
  <c r="N21" i="8"/>
  <c r="M21" i="8"/>
  <c r="L21" i="8"/>
  <c r="K21" i="8"/>
  <c r="J21" i="8"/>
  <c r="I21" i="8"/>
  <c r="H22" i="8"/>
  <c r="H21" i="8"/>
  <c r="G22" i="8"/>
  <c r="G21" i="8"/>
  <c r="H50" i="8"/>
  <c r="H49" i="8"/>
  <c r="G50" i="8"/>
  <c r="G49" i="8"/>
  <c r="E23" i="8"/>
  <c r="E24" i="8" s="1"/>
  <c r="D23" i="8"/>
  <c r="Z23" i="8" s="1"/>
  <c r="AA6" i="8"/>
  <c r="Z6" i="8"/>
  <c r="Y6" i="8"/>
  <c r="X6" i="8"/>
  <c r="W6" i="8"/>
  <c r="V6" i="8"/>
  <c r="U6" i="8"/>
  <c r="T6" i="8"/>
  <c r="S6" i="8"/>
  <c r="R6" i="8"/>
  <c r="Q6" i="8"/>
  <c r="P6" i="8"/>
  <c r="O6" i="8"/>
  <c r="N6" i="8"/>
  <c r="M6" i="8"/>
  <c r="L6" i="8"/>
  <c r="K6" i="8"/>
  <c r="J6" i="8"/>
  <c r="I6" i="8"/>
  <c r="H6" i="8"/>
  <c r="AA5" i="8"/>
  <c r="Z5" i="8"/>
  <c r="Y5" i="8"/>
  <c r="X5" i="8"/>
  <c r="W5" i="8"/>
  <c r="V5" i="8"/>
  <c r="U5" i="8"/>
  <c r="T5" i="8"/>
  <c r="S5" i="8"/>
  <c r="R5" i="8"/>
  <c r="Q5" i="8"/>
  <c r="P5" i="8"/>
  <c r="O5" i="8"/>
  <c r="N5" i="8"/>
  <c r="M5" i="8"/>
  <c r="L5" i="8"/>
  <c r="K5" i="8"/>
  <c r="J5" i="8"/>
  <c r="I5" i="8"/>
  <c r="H5" i="8"/>
  <c r="AA4" i="8"/>
  <c r="Z4" i="8"/>
  <c r="Y4" i="8"/>
  <c r="X4" i="8"/>
  <c r="W4" i="8"/>
  <c r="V4" i="8"/>
  <c r="U4" i="8"/>
  <c r="T4" i="8"/>
  <c r="S4" i="8"/>
  <c r="R4" i="8"/>
  <c r="Q4" i="8"/>
  <c r="P4" i="8"/>
  <c r="O4" i="8"/>
  <c r="N4" i="8"/>
  <c r="M4" i="8"/>
  <c r="L4" i="8"/>
  <c r="K4" i="8"/>
  <c r="J4" i="8"/>
  <c r="I4" i="8"/>
  <c r="H4" i="8"/>
  <c r="G6" i="8"/>
  <c r="G5" i="8"/>
  <c r="H17" i="8"/>
  <c r="H16" i="8"/>
  <c r="H15" i="8"/>
  <c r="G17" i="8"/>
  <c r="G16" i="8"/>
  <c r="N4" i="6"/>
  <c r="M4" i="6"/>
  <c r="N5" i="6"/>
  <c r="M5" i="6"/>
  <c r="J6" i="6"/>
  <c r="K6" i="6"/>
  <c r="K7" i="6" s="1"/>
  <c r="M4" i="5" a="1"/>
  <c r="M4" i="5" s="1"/>
  <c r="I49" i="8" l="1"/>
  <c r="G51" i="8"/>
  <c r="H51" i="8"/>
  <c r="G23" i="8"/>
  <c r="K23" i="8"/>
  <c r="O23" i="8"/>
  <c r="S23" i="8"/>
  <c r="W23" i="8"/>
  <c r="AA23" i="8"/>
  <c r="L23" i="8"/>
  <c r="P23" i="8"/>
  <c r="T23" i="8"/>
  <c r="X23" i="8"/>
  <c r="I23" i="8"/>
  <c r="M23" i="8"/>
  <c r="Q23" i="8"/>
  <c r="U23" i="8"/>
  <c r="Y23" i="8"/>
  <c r="I50" i="8"/>
  <c r="H23" i="8"/>
  <c r="J23" i="8"/>
  <c r="N23" i="8"/>
  <c r="R23" i="8"/>
  <c r="V23" i="8"/>
  <c r="N6" i="6"/>
  <c r="I15" i="8"/>
  <c r="I17" i="8"/>
  <c r="D25" i="8"/>
  <c r="E25" i="8"/>
  <c r="D24" i="8"/>
  <c r="I16" i="8"/>
  <c r="J8" i="6"/>
  <c r="K8" i="6"/>
  <c r="J9" i="6" s="1"/>
  <c r="J7" i="6"/>
  <c r="M6" i="6"/>
  <c r="I51" i="8" l="1"/>
  <c r="X25" i="8"/>
  <c r="T25" i="8"/>
  <c r="P25" i="8"/>
  <c r="L25" i="8"/>
  <c r="AA25" i="8"/>
  <c r="W25" i="8"/>
  <c r="S25" i="8"/>
  <c r="O25" i="8"/>
  <c r="K25" i="8"/>
  <c r="G25" i="8"/>
  <c r="H53" i="8"/>
  <c r="G53" i="8"/>
  <c r="Z25" i="8"/>
  <c r="V25" i="8"/>
  <c r="R25" i="8"/>
  <c r="N25" i="8"/>
  <c r="J25" i="8"/>
  <c r="H25" i="8"/>
  <c r="Y25" i="8"/>
  <c r="U25" i="8"/>
  <c r="Q25" i="8"/>
  <c r="M25" i="8"/>
  <c r="I25" i="8"/>
  <c r="AA24" i="8"/>
  <c r="W24" i="8"/>
  <c r="S24" i="8"/>
  <c r="O24" i="8"/>
  <c r="K24" i="8"/>
  <c r="Z24" i="8"/>
  <c r="V24" i="8"/>
  <c r="R24" i="8"/>
  <c r="N24" i="8"/>
  <c r="J24" i="8"/>
  <c r="Y24" i="8"/>
  <c r="U24" i="8"/>
  <c r="Q24" i="8"/>
  <c r="M24" i="8"/>
  <c r="I24" i="8"/>
  <c r="G24" i="8"/>
  <c r="H52" i="8"/>
  <c r="G52" i="8"/>
  <c r="X24" i="8"/>
  <c r="T24" i="8"/>
  <c r="P24" i="8"/>
  <c r="L24" i="8"/>
  <c r="H24" i="8"/>
  <c r="K9" i="6"/>
  <c r="E26" i="8"/>
  <c r="D26" i="8"/>
  <c r="N7" i="6"/>
  <c r="M7" i="6"/>
  <c r="N8" i="6"/>
  <c r="M8" i="6"/>
  <c r="N9" i="6"/>
  <c r="M9" i="6"/>
  <c r="K10" i="6"/>
  <c r="J10" i="6"/>
  <c r="I52" i="8" l="1"/>
  <c r="I53" i="8"/>
  <c r="Y26" i="8"/>
  <c r="U26" i="8"/>
  <c r="Q26" i="8"/>
  <c r="M26" i="8"/>
  <c r="I26" i="8"/>
  <c r="G26" i="8"/>
  <c r="H54" i="8"/>
  <c r="G54" i="8"/>
  <c r="X26" i="8"/>
  <c r="T26" i="8"/>
  <c r="P26" i="8"/>
  <c r="L26" i="8"/>
  <c r="H26" i="8"/>
  <c r="AA26" i="8"/>
  <c r="W26" i="8"/>
  <c r="S26" i="8"/>
  <c r="O26" i="8"/>
  <c r="K26" i="8"/>
  <c r="Z26" i="8"/>
  <c r="V26" i="8"/>
  <c r="R26" i="8"/>
  <c r="N26" i="8"/>
  <c r="J26" i="8"/>
  <c r="D27" i="8"/>
  <c r="E27" i="8"/>
  <c r="N10" i="6"/>
  <c r="M10" i="6"/>
  <c r="J11" i="6"/>
  <c r="K11" i="6"/>
  <c r="I54" i="8" l="1"/>
  <c r="Z27" i="8"/>
  <c r="V27" i="8"/>
  <c r="R27" i="8"/>
  <c r="N27" i="8"/>
  <c r="J27" i="8"/>
  <c r="H27" i="8"/>
  <c r="Y27" i="8"/>
  <c r="U27" i="8"/>
  <c r="Q27" i="8"/>
  <c r="M27" i="8"/>
  <c r="I27" i="8"/>
  <c r="X27" i="8"/>
  <c r="T27" i="8"/>
  <c r="P27" i="8"/>
  <c r="L27" i="8"/>
  <c r="AA27" i="8"/>
  <c r="W27" i="8"/>
  <c r="S27" i="8"/>
  <c r="O27" i="8"/>
  <c r="K27" i="8"/>
  <c r="G27" i="8"/>
  <c r="H55" i="8"/>
  <c r="G55" i="8"/>
  <c r="E28" i="8"/>
  <c r="D28" i="8"/>
  <c r="N11" i="6"/>
  <c r="M11" i="6"/>
  <c r="K12" i="6"/>
  <c r="J12" i="6"/>
  <c r="I55" i="8" l="1"/>
  <c r="AA28" i="8"/>
  <c r="W28" i="8"/>
  <c r="S28" i="8"/>
  <c r="O28" i="8"/>
  <c r="K28" i="8"/>
  <c r="Z28" i="8"/>
  <c r="V28" i="8"/>
  <c r="R28" i="8"/>
  <c r="N28" i="8"/>
  <c r="J28" i="8"/>
  <c r="Y28" i="8"/>
  <c r="U28" i="8"/>
  <c r="Q28" i="8"/>
  <c r="M28" i="8"/>
  <c r="I28" i="8"/>
  <c r="G28" i="8"/>
  <c r="H56" i="8"/>
  <c r="G56" i="8"/>
  <c r="X28" i="8"/>
  <c r="T28" i="8"/>
  <c r="P28" i="8"/>
  <c r="L28" i="8"/>
  <c r="H28" i="8"/>
  <c r="D29" i="8"/>
  <c r="E29" i="8"/>
  <c r="N12" i="6"/>
  <c r="M12" i="6"/>
  <c r="J13" i="6"/>
  <c r="K13" i="6"/>
  <c r="X29" i="8" l="1"/>
  <c r="T29" i="8"/>
  <c r="P29" i="8"/>
  <c r="L29" i="8"/>
  <c r="AA29" i="8"/>
  <c r="W29" i="8"/>
  <c r="S29" i="8"/>
  <c r="O29" i="8"/>
  <c r="K29" i="8"/>
  <c r="G29" i="8"/>
  <c r="H57" i="8"/>
  <c r="G57" i="8"/>
  <c r="Z29" i="8"/>
  <c r="V29" i="8"/>
  <c r="R29" i="8"/>
  <c r="N29" i="8"/>
  <c r="J29" i="8"/>
  <c r="H29" i="8"/>
  <c r="Y29" i="8"/>
  <c r="U29" i="8"/>
  <c r="Q29" i="8"/>
  <c r="M29" i="8"/>
  <c r="I29" i="8"/>
  <c r="I56" i="8"/>
  <c r="E30" i="8"/>
  <c r="D30" i="8"/>
  <c r="N13" i="6"/>
  <c r="M13" i="6"/>
  <c r="J14" i="6"/>
  <c r="I57" i="8" l="1"/>
  <c r="D31" i="8"/>
  <c r="Y30" i="8"/>
  <c r="U30" i="8"/>
  <c r="Q30" i="8"/>
  <c r="M30" i="8"/>
  <c r="I30" i="8"/>
  <c r="G30" i="8"/>
  <c r="H58" i="8"/>
  <c r="G58" i="8"/>
  <c r="X30" i="8"/>
  <c r="T30" i="8"/>
  <c r="P30" i="8"/>
  <c r="L30" i="8"/>
  <c r="H30" i="8"/>
  <c r="AA30" i="8"/>
  <c r="W30" i="8"/>
  <c r="S30" i="8"/>
  <c r="O30" i="8"/>
  <c r="K30" i="8"/>
  <c r="Z30" i="8"/>
  <c r="V30" i="8"/>
  <c r="R30" i="8"/>
  <c r="N30" i="8"/>
  <c r="J30" i="8"/>
  <c r="M14" i="6"/>
  <c r="N14" i="6"/>
  <c r="I58" i="8" l="1"/>
  <c r="Z31" i="8"/>
  <c r="V31" i="8"/>
  <c r="R31" i="8"/>
  <c r="N31" i="8"/>
  <c r="J31" i="8"/>
  <c r="H31" i="8"/>
  <c r="Y31" i="8"/>
  <c r="U31" i="8"/>
  <c r="Q31" i="8"/>
  <c r="M31" i="8"/>
  <c r="I31" i="8"/>
  <c r="X31" i="8"/>
  <c r="T31" i="8"/>
  <c r="P31" i="8"/>
  <c r="L31" i="8"/>
  <c r="AA31" i="8"/>
  <c r="W31" i="8"/>
  <c r="S31" i="8"/>
  <c r="O31" i="8"/>
  <c r="K31" i="8"/>
  <c r="G31" i="8"/>
  <c r="H59" i="8"/>
  <c r="G59" i="8"/>
  <c r="I59" i="8"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<sst xmlns="http://schemas.openxmlformats.org/spreadsheetml/2006/main" count="24612" uniqueCount="16503">
  <si>
    <t>Grand Total</t>
  </si>
  <si>
    <t>Field</t>
  </si>
  <si>
    <t>Group</t>
  </si>
  <si>
    <t>SelFields</t>
  </si>
  <si>
    <t>Function</t>
  </si>
  <si>
    <t>Count</t>
  </si>
  <si>
    <t>Avg</t>
  </si>
  <si>
    <t>SelFn</t>
  </si>
  <si>
    <t>Cadence Average Left</t>
  </si>
  <si>
    <t>Cadence Average Right</t>
  </si>
  <si>
    <t>Forward Velocity Average Left</t>
  </si>
  <si>
    <t>Forward Velocity Average Right</t>
  </si>
  <si>
    <t>Initial Double Support Time Left</t>
  </si>
  <si>
    <t>Initial Double Support Time Right</t>
  </si>
  <si>
    <t>Number of steps - left</t>
  </si>
  <si>
    <t>Number of steps - Right</t>
  </si>
  <si>
    <t>Number of Strides - Left</t>
  </si>
  <si>
    <t>Number of strides - Right</t>
  </si>
  <si>
    <t>Single Support Time Left</t>
  </si>
  <si>
    <t>Single Support Time Right</t>
  </si>
  <si>
    <t>Step Length Average Left</t>
  </si>
  <si>
    <t xml:space="preserve">Step Width </t>
  </si>
  <si>
    <t>Stride Length Average Left</t>
  </si>
  <si>
    <t>Stride Length Average Right</t>
  </si>
  <si>
    <t>Swing Phase Left</t>
  </si>
  <si>
    <t>Swing Phase Right</t>
  </si>
  <si>
    <t>Total  Support Time Left</t>
  </si>
  <si>
    <t>Total  Support Time Right</t>
  </si>
  <si>
    <t>Cadence</t>
  </si>
  <si>
    <t>Forward Velocity</t>
  </si>
  <si>
    <t>Initial Double Support Time</t>
  </si>
  <si>
    <t>Number of Steps</t>
  </si>
  <si>
    <t>Number of Strides</t>
  </si>
  <si>
    <t>Single Support Time</t>
  </si>
  <si>
    <t>Step Length Average</t>
  </si>
  <si>
    <t>Step Width</t>
  </si>
  <si>
    <t>Stride Length Average</t>
  </si>
  <si>
    <t>Swing Phase</t>
  </si>
  <si>
    <t>Total Support Time</t>
  </si>
  <si>
    <t>Record ID</t>
  </si>
  <si>
    <t>Repeat Instrument</t>
  </si>
  <si>
    <t>Repeat Instance</t>
  </si>
  <si>
    <t>Patient Folder (Full Path)</t>
  </si>
  <si>
    <t>Patient Folder Name</t>
  </si>
  <si>
    <t>ICD Code</t>
  </si>
  <si>
    <t>Primary Diagnosis</t>
  </si>
  <si>
    <t>Age</t>
  </si>
  <si>
    <t>Sex</t>
  </si>
  <si>
    <t>NRM file</t>
  </si>
  <si>
    <t>Final impression, if available</t>
  </si>
  <si>
    <t>Step Length Average - Right</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</si>
  <si>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</si>
  <si>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</si>
  <si>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</si>
  <si>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</si>
  <si>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</si>
  <si>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</si>
  <si>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</si>
  <si>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</si>
  <si>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</si>
  <si>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</si>
  <si>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</si>
  <si>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</si>
  <si>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</si>
  <si>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</si>
  <si>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</si>
  <si>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</si>
  <si>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</si>
  <si>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</si>
  <si>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</si>
  <si>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</si>
  <si>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</si>
  <si>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</si>
  <si>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</si>
  <si>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</si>
  <si>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</si>
  <si>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</si>
  <si>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</si>
  <si>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Column28</t>
  </si>
  <si>
    <t>Column29</t>
  </si>
  <si>
    <t>Column30</t>
  </si>
  <si>
    <t>Column31</t>
  </si>
  <si>
    <t>Column32</t>
  </si>
  <si>
    <t>Column33</t>
  </si>
  <si>
    <t>Column34</t>
  </si>
  <si>
    <t>Column35</t>
  </si>
  <si>
    <t>Column36</t>
  </si>
  <si>
    <t>Column37</t>
  </si>
  <si>
    <t>Column38</t>
  </si>
  <si>
    <t>Column39</t>
  </si>
  <si>
    <t>Column40</t>
  </si>
  <si>
    <t>Column41</t>
  </si>
  <si>
    <t>Column42</t>
  </si>
  <si>
    <t>Column43</t>
  </si>
  <si>
    <t>Column44</t>
  </si>
  <si>
    <t>Column45</t>
  </si>
  <si>
    <t>Column46</t>
  </si>
  <si>
    <t>Column47</t>
  </si>
  <si>
    <t>Column48</t>
  </si>
  <si>
    <t>Column49</t>
  </si>
  <si>
    <t>Column50</t>
  </si>
  <si>
    <t>Column51</t>
  </si>
  <si>
    <t>Column52</t>
  </si>
  <si>
    <t>Column53</t>
  </si>
  <si>
    <t>Column54</t>
  </si>
  <si>
    <t>Column55</t>
  </si>
  <si>
    <t>Column56</t>
  </si>
  <si>
    <t>Column57</t>
  </si>
  <si>
    <t>Column58</t>
  </si>
  <si>
    <t>Column59</t>
  </si>
  <si>
    <t>Column60</t>
  </si>
  <si>
    <t>Column61</t>
  </si>
  <si>
    <t>Column62</t>
  </si>
  <si>
    <t>Column63</t>
  </si>
  <si>
    <t>Column64</t>
  </si>
  <si>
    <t>Column65</t>
  </si>
  <si>
    <t>Column66</t>
  </si>
  <si>
    <t>Column67</t>
  </si>
  <si>
    <t>Column68</t>
  </si>
  <si>
    <t>Column69</t>
  </si>
  <si>
    <t>Column70</t>
  </si>
  <si>
    <t>Column71</t>
  </si>
  <si>
    <t>Column72</t>
  </si>
  <si>
    <t>Column73</t>
  </si>
  <si>
    <t>Column74</t>
  </si>
  <si>
    <t>Column75</t>
  </si>
  <si>
    <t>Column76</t>
  </si>
  <si>
    <t>Column77</t>
  </si>
  <si>
    <t>Column78</t>
  </si>
  <si>
    <t>Column79</t>
  </si>
  <si>
    <t>Column80</t>
  </si>
  <si>
    <t>Column81</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</si>
  <si>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</si>
  <si>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</si>
  <si>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</si>
  <si>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</si>
  <si>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</si>
  <si>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</si>
  <si>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</si>
  <si>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</si>
  <si>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</si>
  <si>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</si>
  <si>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</si>
  <si>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</si>
  <si>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</si>
  <si>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</si>
  <si>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</si>
  <si>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</si>
  <si>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</si>
  <si>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</si>
  <si>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</si>
  <si>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</si>
  <si>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</si>
  <si>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</si>
  <si>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</si>
  <si>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</si>
  <si>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</si>
  <si>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</si>
  <si>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</si>
  <si>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</si>
  <si>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</si>
  <si>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</si>
  <si>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</si>
  <si>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</si>
  <si>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</si>
  <si>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</si>
  <si>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</si>
  <si>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</si>
  <si>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</si>
  <si>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</si>
  <si>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</si>
  <si>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</si>
  <si>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</si>
  <si>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</si>
  <si>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</si>
  <si>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</si>
  <si>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</si>
  <si>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</si>
  <si>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</si>
  <si>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</si>
  <si>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</si>
  <si>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</si>
  <si>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</si>
  <si>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</si>
  <si>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</si>
  <si>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</si>
  <si>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</si>
  <si>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</si>
  <si>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</si>
  <si>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</si>
  <si>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</si>
  <si>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</si>
  <si>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</si>
  <si>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</si>
  <si>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</si>
  <si>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</si>
  <si>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</si>
  <si>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</si>
  <si>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</si>
  <si>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</si>
  <si>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</si>
  <si>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</si>
  <si>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</si>
  <si>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</si>
  <si>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</si>
  <si>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</si>
  <si>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</si>
  <si>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</si>
  <si>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</si>
  <si>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</si>
  <si>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</si>
  <si>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</si>
  <si>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</si>
  <si>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</si>
  <si>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</si>
  <si>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</si>
  <si>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</si>
  <si>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</si>
  <si>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</si>
  <si>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</si>
  <si>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</si>
  <si>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</si>
  <si>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</si>
  <si>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</si>
  <si>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</si>
  <si>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</si>
  <si>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</si>
  <si>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</si>
  <si>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</si>
  <si>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</si>
  <si>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</si>
  <si>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</si>
  <si>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</si>
  <si>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</si>
  <si>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</si>
  <si>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</si>
  <si>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</si>
  <si>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</si>
  <si>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</si>
  <si>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</si>
  <si>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</si>
  <si>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</si>
  <si>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</si>
  <si>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</si>
  <si>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</si>
  <si>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</si>
  <si>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</si>
  <si>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</si>
  <si>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</si>
  <si>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</si>
  <si>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</si>
  <si>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</si>
  <si>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</si>
  <si>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</si>
  <si>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</si>
  <si>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</si>
  <si>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</si>
  <si>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</si>
  <si>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</si>
  <si>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</si>
  <si>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</si>
  <si>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</si>
  <si>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</si>
  <si>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</si>
  <si>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</si>
  <si>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</si>
  <si>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</si>
  <si>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</si>
  <si>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</si>
  <si>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</si>
  <si>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</si>
  <si>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</si>
  <si>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</si>
  <si>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</si>
  <si>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</si>
  <si>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</si>
  <si>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</si>
  <si>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</si>
  <si>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</si>
  <si>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</si>
  <si>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</si>
  <si>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</si>
  <si>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</si>
  <si>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</si>
  <si>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</si>
  <si>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</si>
  <si>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</si>
  <si>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</si>
  <si>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</si>
  <si>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</si>
  <si>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</si>
  <si>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</si>
  <si>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</si>
  <si>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</si>
  <si>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</si>
  <si>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</si>
  <si>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</si>
  <si>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</si>
  <si>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</si>
  <si>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</si>
  <si>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</si>
  <si>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Column251</t>
  </si>
  <si>
    <t>Column252</t>
  </si>
  <si>
    <t>Column253</t>
  </si>
  <si>
    <t>Column254</t>
  </si>
  <si>
    <t>Column255</t>
  </si>
  <si>
    <t>Column256</t>
  </si>
  <si>
    <t>Column257</t>
  </si>
  <si>
    <t>Column258</t>
  </si>
  <si>
    <t>Column259</t>
  </si>
  <si>
    <t>Column260</t>
  </si>
  <si>
    <t>Column261</t>
  </si>
  <si>
    <t>Column262</t>
  </si>
  <si>
    <t>Column263</t>
  </si>
  <si>
    <t>Column264</t>
  </si>
  <si>
    <t>Column265</t>
  </si>
  <si>
    <t>Column266</t>
  </si>
  <si>
    <t>Column267</t>
  </si>
  <si>
    <t>Column268</t>
  </si>
  <si>
    <t>Column269</t>
  </si>
  <si>
    <t>Column270</t>
  </si>
  <si>
    <t>Column271</t>
  </si>
  <si>
    <t>Column272</t>
  </si>
  <si>
    <t>Column273</t>
  </si>
  <si>
    <t>Column274</t>
  </si>
  <si>
    <t>Column275</t>
  </si>
  <si>
    <t>Column276</t>
  </si>
  <si>
    <t>Column277</t>
  </si>
  <si>
    <t>Column278</t>
  </si>
  <si>
    <t>Column279</t>
  </si>
  <si>
    <t>Column280</t>
  </si>
  <si>
    <t>Column281</t>
  </si>
  <si>
    <t>Column282</t>
  </si>
  <si>
    <t>Column283</t>
  </si>
  <si>
    <t>Column284</t>
  </si>
  <si>
    <t>Column285</t>
  </si>
  <si>
    <t>Column286</t>
  </si>
  <si>
    <t>Column287</t>
  </si>
  <si>
    <t>Column288</t>
  </si>
  <si>
    <t>Column289</t>
  </si>
  <si>
    <t>Column290</t>
  </si>
  <si>
    <t>Column291</t>
  </si>
  <si>
    <t>Column292</t>
  </si>
  <si>
    <t>Column293</t>
  </si>
  <si>
    <t>Column294</t>
  </si>
  <si>
    <t>Column295</t>
  </si>
  <si>
    <t>Column296</t>
  </si>
  <si>
    <t>Column297</t>
  </si>
  <si>
    <t>Column298</t>
  </si>
  <si>
    <t>Column299</t>
  </si>
  <si>
    <t>Column300</t>
  </si>
  <si>
    <t>Column301</t>
  </si>
  <si>
    <t>Column302</t>
  </si>
  <si>
    <t>Column303</t>
  </si>
  <si>
    <t>Column304</t>
  </si>
  <si>
    <t>Column305</t>
  </si>
  <si>
    <t>Column306</t>
  </si>
  <si>
    <t>Column307</t>
  </si>
  <si>
    <t>Column308</t>
  </si>
  <si>
    <t>Column309</t>
  </si>
  <si>
    <t>Column310</t>
  </si>
  <si>
    <t>Column311</t>
  </si>
  <si>
    <t>Column312</t>
  </si>
  <si>
    <t>Column313</t>
  </si>
  <si>
    <t>Column314</t>
  </si>
  <si>
    <t>Column315</t>
  </si>
  <si>
    <t>Column316</t>
  </si>
  <si>
    <t>Column317</t>
  </si>
  <si>
    <t>Column318</t>
  </si>
  <si>
    <t>Column319</t>
  </si>
  <si>
    <t>Column320</t>
  </si>
  <si>
    <t>Column321</t>
  </si>
  <si>
    <t>Column322</t>
  </si>
  <si>
    <t>Column323</t>
  </si>
  <si>
    <t>Column324</t>
  </si>
  <si>
    <t>Column325</t>
  </si>
  <si>
    <t>Column326</t>
  </si>
  <si>
    <t>Column327</t>
  </si>
  <si>
    <t>Column328</t>
  </si>
  <si>
    <t>Column329</t>
  </si>
  <si>
    <t>Column330</t>
  </si>
  <si>
    <t>Column331</t>
  </si>
  <si>
    <t>Column332</t>
  </si>
  <si>
    <t>Column333</t>
  </si>
  <si>
    <t>Column334</t>
  </si>
  <si>
    <t>Column335</t>
  </si>
  <si>
    <t>Column336</t>
  </si>
  <si>
    <t>Column337</t>
  </si>
  <si>
    <t>Column338</t>
  </si>
  <si>
    <t>Column339</t>
  </si>
  <si>
    <t>Column340</t>
  </si>
  <si>
    <t>Column341</t>
  </si>
  <si>
    <t>Column342</t>
  </si>
  <si>
    <t>Column343</t>
  </si>
  <si>
    <t>Column344</t>
  </si>
  <si>
    <t>Column345</t>
  </si>
  <si>
    <t>Column346</t>
  </si>
  <si>
    <t>Column347</t>
  </si>
  <si>
    <t>Column348</t>
  </si>
  <si>
    <t>Column349</t>
  </si>
  <si>
    <t>Column350</t>
  </si>
  <si>
    <t>Column351</t>
  </si>
  <si>
    <t>Column352</t>
  </si>
  <si>
    <t>Column353</t>
  </si>
  <si>
    <t>Column354</t>
  </si>
  <si>
    <t>Column355</t>
  </si>
  <si>
    <t>Column356</t>
  </si>
  <si>
    <t>Column357</t>
  </si>
  <si>
    <t>Column358</t>
  </si>
  <si>
    <t>Column359</t>
  </si>
  <si>
    <t>Column360</t>
  </si>
  <si>
    <t>Column361</t>
  </si>
  <si>
    <t>Column362</t>
  </si>
  <si>
    <t>Column363</t>
  </si>
  <si>
    <t>Column364</t>
  </si>
  <si>
    <t>Column365</t>
  </si>
  <si>
    <t>Column366</t>
  </si>
  <si>
    <t>Column367</t>
  </si>
  <si>
    <t>Column368</t>
  </si>
  <si>
    <t>Column369</t>
  </si>
  <si>
    <t>Column370</t>
  </si>
  <si>
    <t>Column371</t>
  </si>
  <si>
    <t>Column372</t>
  </si>
  <si>
    <t>Column373</t>
  </si>
  <si>
    <t>Column374</t>
  </si>
  <si>
    <t>Column375</t>
  </si>
  <si>
    <t>Column376</t>
  </si>
  <si>
    <t>Column377</t>
  </si>
  <si>
    <t>Column378</t>
  </si>
  <si>
    <t>Column379</t>
  </si>
  <si>
    <t>Column380</t>
  </si>
  <si>
    <t>Column381</t>
  </si>
  <si>
    <t>Column382</t>
  </si>
  <si>
    <t>Column383</t>
  </si>
  <si>
    <t>Column384</t>
  </si>
  <si>
    <t>Column385</t>
  </si>
  <si>
    <t>Column386</t>
  </si>
  <si>
    <t>Column387</t>
  </si>
  <si>
    <t>Column388</t>
  </si>
  <si>
    <t>Column389</t>
  </si>
  <si>
    <t>Column390</t>
  </si>
  <si>
    <t>Column391</t>
  </si>
  <si>
    <t>Column392</t>
  </si>
  <si>
    <t>Column393</t>
  </si>
  <si>
    <t>Column394</t>
  </si>
  <si>
    <t>Column395</t>
  </si>
  <si>
    <t>Column396</t>
  </si>
  <si>
    <t>Column397</t>
  </si>
  <si>
    <t>Column398</t>
  </si>
  <si>
    <t>Column399</t>
  </si>
  <si>
    <t>Column400</t>
  </si>
  <si>
    <t>Column401</t>
  </si>
  <si>
    <t>Column402</t>
  </si>
  <si>
    <t>Column403</t>
  </si>
  <si>
    <t>Column404</t>
  </si>
  <si>
    <t>Column405</t>
  </si>
  <si>
    <t>Column406</t>
  </si>
  <si>
    <t>Column407</t>
  </si>
  <si>
    <t>Column408</t>
  </si>
  <si>
    <t>Column409</t>
  </si>
  <si>
    <t>Column410</t>
  </si>
  <si>
    <t>Column411</t>
  </si>
  <si>
    <t>Column412</t>
  </si>
  <si>
    <t>Column413</t>
  </si>
  <si>
    <t>Column414</t>
  </si>
  <si>
    <t>Column415</t>
  </si>
  <si>
    <t>Column416</t>
  </si>
  <si>
    <t>Column417</t>
  </si>
  <si>
    <t>Column418</t>
  </si>
  <si>
    <t>Column419</t>
  </si>
  <si>
    <t>Column420</t>
  </si>
  <si>
    <t>Column421</t>
  </si>
  <si>
    <t>Column422</t>
  </si>
  <si>
    <t>Column423</t>
  </si>
  <si>
    <t>Column424</t>
  </si>
  <si>
    <t>Column425</t>
  </si>
  <si>
    <t>Column426</t>
  </si>
  <si>
    <t>Column427</t>
  </si>
  <si>
    <t>Column428</t>
  </si>
  <si>
    <t>Column429</t>
  </si>
  <si>
    <t>Column430</t>
  </si>
  <si>
    <t>Column431</t>
  </si>
  <si>
    <t>Column432</t>
  </si>
  <si>
    <t>Column433</t>
  </si>
  <si>
    <t>Column434</t>
  </si>
  <si>
    <t>Column435</t>
  </si>
  <si>
    <t>Column436</t>
  </si>
  <si>
    <t>Column437</t>
  </si>
  <si>
    <t>Column438</t>
  </si>
  <si>
    <t>Column439</t>
  </si>
  <si>
    <t>Column440</t>
  </si>
  <si>
    <t>Column441</t>
  </si>
  <si>
    <t>Column442</t>
  </si>
  <si>
    <t>Column443</t>
  </si>
  <si>
    <t>Column444</t>
  </si>
  <si>
    <t>Column445</t>
  </si>
  <si>
    <t>Column446</t>
  </si>
  <si>
    <t>Column447</t>
  </si>
  <si>
    <t>Column448</t>
  </si>
  <si>
    <t>Column449</t>
  </si>
  <si>
    <t>Column450</t>
  </si>
  <si>
    <t>Column451</t>
  </si>
  <si>
    <t>Column452</t>
  </si>
  <si>
    <t>Column453</t>
  </si>
  <si>
    <t>Column454</t>
  </si>
  <si>
    <t>Column455</t>
  </si>
  <si>
    <t>Column456</t>
  </si>
  <si>
    <t>Column457</t>
  </si>
  <si>
    <t>Column458</t>
  </si>
  <si>
    <t>Column459</t>
  </si>
  <si>
    <t>Column460</t>
  </si>
  <si>
    <t>Column461</t>
  </si>
  <si>
    <t>Column462</t>
  </si>
  <si>
    <t>Column463</t>
  </si>
  <si>
    <t>Column464</t>
  </si>
  <si>
    <t>Column465</t>
  </si>
  <si>
    <t>Column466</t>
  </si>
  <si>
    <t>Column467</t>
  </si>
  <si>
    <t>Column468</t>
  </si>
  <si>
    <t>Column469</t>
  </si>
  <si>
    <t>Column470</t>
  </si>
  <si>
    <t>Column471</t>
  </si>
  <si>
    <t>Column472</t>
  </si>
  <si>
    <t>Column473</t>
  </si>
  <si>
    <t>Column474</t>
  </si>
  <si>
    <t>Column475</t>
  </si>
  <si>
    <t>Column476</t>
  </si>
  <si>
    <t>Column477</t>
  </si>
  <si>
    <t>Column478</t>
  </si>
  <si>
    <t>Column479</t>
  </si>
  <si>
    <t>Column480</t>
  </si>
  <si>
    <t>Column481</t>
  </si>
  <si>
    <t>Column482</t>
  </si>
  <si>
    <t>Column483</t>
  </si>
  <si>
    <t>Column484</t>
  </si>
  <si>
    <t>Column485</t>
  </si>
  <si>
    <t>Column486</t>
  </si>
  <si>
    <t>Column487</t>
  </si>
  <si>
    <t>Column488</t>
  </si>
  <si>
    <t>Column489</t>
  </si>
  <si>
    <t>Column490</t>
  </si>
  <si>
    <t>Column491</t>
  </si>
  <si>
    <t>Column492</t>
  </si>
  <si>
    <t>Column493</t>
  </si>
  <si>
    <t>Column494</t>
  </si>
  <si>
    <t>Column495</t>
  </si>
  <si>
    <t>Column496</t>
  </si>
  <si>
    <t>Column497</t>
  </si>
  <si>
    <t>Column498</t>
  </si>
  <si>
    <t>Column499</t>
  </si>
  <si>
    <t>Column500</t>
  </si>
  <si>
    <t>Column501</t>
  </si>
  <si>
    <t>Column502</t>
  </si>
  <si>
    <t>Column503</t>
  </si>
  <si>
    <t>Column504</t>
  </si>
  <si>
    <t>Column505</t>
  </si>
  <si>
    <t>Column506</t>
  </si>
  <si>
    <t>Column507</t>
  </si>
  <si>
    <t>Column508</t>
  </si>
  <si>
    <t>Column509</t>
  </si>
  <si>
    <t>Column510</t>
  </si>
  <si>
    <t>Column511</t>
  </si>
  <si>
    <t>Column512</t>
  </si>
  <si>
    <t>Column513</t>
  </si>
  <si>
    <t>Column514</t>
  </si>
  <si>
    <t>Column515</t>
  </si>
  <si>
    <t>Column516</t>
  </si>
  <si>
    <t>Column517</t>
  </si>
  <si>
    <t>Column518</t>
  </si>
  <si>
    <t>Column519</t>
  </si>
  <si>
    <t>Column520</t>
  </si>
  <si>
    <t>Column521</t>
  </si>
  <si>
    <t>Column522</t>
  </si>
  <si>
    <t>Column523</t>
  </si>
  <si>
    <t>Column524</t>
  </si>
  <si>
    <t>Column525</t>
  </si>
  <si>
    <t>Column526</t>
  </si>
  <si>
    <t>Column527</t>
  </si>
  <si>
    <t>Column528</t>
  </si>
  <si>
    <t>Column529</t>
  </si>
  <si>
    <t>Column530</t>
  </si>
  <si>
    <t>Column531</t>
  </si>
  <si>
    <t>Column532</t>
  </si>
  <si>
    <t>Column533</t>
  </si>
  <si>
    <t>Column534</t>
  </si>
  <si>
    <t>Column535</t>
  </si>
  <si>
    <t>Column536</t>
  </si>
  <si>
    <t>Column537</t>
  </si>
  <si>
    <t>Column538</t>
  </si>
  <si>
    <t>Column539</t>
  </si>
  <si>
    <t>Column540</t>
  </si>
  <si>
    <t>Column541</t>
  </si>
  <si>
    <t>Column542</t>
  </si>
  <si>
    <t>Column543</t>
  </si>
  <si>
    <t>Column544</t>
  </si>
  <si>
    <t>Column545</t>
  </si>
  <si>
    <t>Column546</t>
  </si>
  <si>
    <t>Column547</t>
  </si>
  <si>
    <t>Column548</t>
  </si>
  <si>
    <t>Column549</t>
  </si>
  <si>
    <t>Column550</t>
  </si>
  <si>
    <t>Column551</t>
  </si>
  <si>
    <t>Column552</t>
  </si>
  <si>
    <t>Column553</t>
  </si>
  <si>
    <t>Column554</t>
  </si>
  <si>
    <t>Column555</t>
  </si>
  <si>
    <t>Column556</t>
  </si>
  <si>
    <t>Column557</t>
  </si>
  <si>
    <t>Column558</t>
  </si>
  <si>
    <t>Column559</t>
  </si>
  <si>
    <t>Column560</t>
  </si>
  <si>
    <t>Column561</t>
  </si>
  <si>
    <t>Column562</t>
  </si>
  <si>
    <t>Column563</t>
  </si>
  <si>
    <t>Column564</t>
  </si>
  <si>
    <t>Column565</t>
  </si>
  <si>
    <t>Column566</t>
  </si>
  <si>
    <t>Column567</t>
  </si>
  <si>
    <t>Column568</t>
  </si>
  <si>
    <t>Column569</t>
  </si>
  <si>
    <t>Column570</t>
  </si>
  <si>
    <t>Column571</t>
  </si>
  <si>
    <t>Column572</t>
  </si>
  <si>
    <t>Column573</t>
  </si>
  <si>
    <t>Column574</t>
  </si>
  <si>
    <t>Column575</t>
  </si>
  <si>
    <t>Column576</t>
  </si>
  <si>
    <t>Column577</t>
  </si>
  <si>
    <t>Column578</t>
  </si>
  <si>
    <t>Column579</t>
  </si>
  <si>
    <t>Column580</t>
  </si>
  <si>
    <t>Column581</t>
  </si>
  <si>
    <t>Column582</t>
  </si>
  <si>
    <t>Column583</t>
  </si>
  <si>
    <t>Column584</t>
  </si>
  <si>
    <t>Column585</t>
  </si>
  <si>
    <t>Column586</t>
  </si>
  <si>
    <t>Column587</t>
  </si>
  <si>
    <t>Column588</t>
  </si>
  <si>
    <t>Column589</t>
  </si>
  <si>
    <t>Column590</t>
  </si>
  <si>
    <t>Column591</t>
  </si>
  <si>
    <t>Column592</t>
  </si>
  <si>
    <t>Column593</t>
  </si>
  <si>
    <t>Column594</t>
  </si>
  <si>
    <t>Column595</t>
  </si>
  <si>
    <t>Column596</t>
  </si>
  <si>
    <t>Column597</t>
  </si>
  <si>
    <t>Column598</t>
  </si>
  <si>
    <t>Column599</t>
  </si>
  <si>
    <t>Column600</t>
  </si>
  <si>
    <t>Column601</t>
  </si>
  <si>
    <t>Column602</t>
  </si>
  <si>
    <t>Column603</t>
  </si>
  <si>
    <t>Column604</t>
  </si>
  <si>
    <t>Column605</t>
  </si>
  <si>
    <t>Column606</t>
  </si>
  <si>
    <t>Column607</t>
  </si>
  <si>
    <t>Column608</t>
  </si>
  <si>
    <t>Column609</t>
  </si>
  <si>
    <t>Column610</t>
  </si>
  <si>
    <t>Column611</t>
  </si>
  <si>
    <t>Column612</t>
  </si>
  <si>
    <t>Column613</t>
  </si>
  <si>
    <t>Column614</t>
  </si>
  <si>
    <t>Column615</t>
  </si>
  <si>
    <t>Column616</t>
  </si>
  <si>
    <t>Column617</t>
  </si>
  <si>
    <t>Column618</t>
  </si>
  <si>
    <t>Column619</t>
  </si>
  <si>
    <t>Column620</t>
  </si>
  <si>
    <t>Column621</t>
  </si>
  <si>
    <t>Column622</t>
  </si>
  <si>
    <t>Column623</t>
  </si>
  <si>
    <t>Column624</t>
  </si>
  <si>
    <t>Column625</t>
  </si>
  <si>
    <t>Column626</t>
  </si>
  <si>
    <t>Column627</t>
  </si>
  <si>
    <t>Column628</t>
  </si>
  <si>
    <t>Column629</t>
  </si>
  <si>
    <t>Column630</t>
  </si>
  <si>
    <t>Column631</t>
  </si>
  <si>
    <t>Column632</t>
  </si>
  <si>
    <t>Column633</t>
  </si>
  <si>
    <t>Column634</t>
  </si>
  <si>
    <t>Column635</t>
  </si>
  <si>
    <t>Column636</t>
  </si>
  <si>
    <t>Column637</t>
  </si>
  <si>
    <t>Column638</t>
  </si>
  <si>
    <t>Column639</t>
  </si>
  <si>
    <t>Column640</t>
  </si>
  <si>
    <t>Column641</t>
  </si>
  <si>
    <t>Column642</t>
  </si>
  <si>
    <t>Column643</t>
  </si>
  <si>
    <t>Column644</t>
  </si>
  <si>
    <t>Column645</t>
  </si>
  <si>
    <t>Column646</t>
  </si>
  <si>
    <t>Column647</t>
  </si>
  <si>
    <t>Column648</t>
  </si>
  <si>
    <t>Column649</t>
  </si>
  <si>
    <t>Column650</t>
  </si>
  <si>
    <t>Column651</t>
  </si>
  <si>
    <t>Column652</t>
  </si>
  <si>
    <t>Column653</t>
  </si>
  <si>
    <t>Column654</t>
  </si>
  <si>
    <t>Column655</t>
  </si>
  <si>
    <t>Column656</t>
  </si>
  <si>
    <t>Column657</t>
  </si>
  <si>
    <t>Column658</t>
  </si>
  <si>
    <t>Column659</t>
  </si>
  <si>
    <t>Column660</t>
  </si>
  <si>
    <t>Column661</t>
  </si>
  <si>
    <t>Column662</t>
  </si>
  <si>
    <t>Column663</t>
  </si>
  <si>
    <t>Column664</t>
  </si>
  <si>
    <t>Column665</t>
  </si>
  <si>
    <t>Column666</t>
  </si>
  <si>
    <t>Column667</t>
  </si>
  <si>
    <t>Column668</t>
  </si>
  <si>
    <t>Column669</t>
  </si>
  <si>
    <t>Column670</t>
  </si>
  <si>
    <t>Column671</t>
  </si>
  <si>
    <t>Column672</t>
  </si>
  <si>
    <t>Column673</t>
  </si>
  <si>
    <t>Column674</t>
  </si>
  <si>
    <t>Column675</t>
  </si>
  <si>
    <t>Column676</t>
  </si>
  <si>
    <t>Column677</t>
  </si>
  <si>
    <t>Column678</t>
  </si>
  <si>
    <t>Column679</t>
  </si>
  <si>
    <t>Column680</t>
  </si>
  <si>
    <t>Column681</t>
  </si>
  <si>
    <t>Column682</t>
  </si>
  <si>
    <t>Column683</t>
  </si>
  <si>
    <t>Column684</t>
  </si>
  <si>
    <t>Column685</t>
  </si>
  <si>
    <t>Column686</t>
  </si>
  <si>
    <t>Column687</t>
  </si>
  <si>
    <t>Column688</t>
  </si>
  <si>
    <t>Column689</t>
  </si>
  <si>
    <t>Column690</t>
  </si>
  <si>
    <t>Column691</t>
  </si>
  <si>
    <t>Column692</t>
  </si>
  <si>
    <t>Column693</t>
  </si>
  <si>
    <t>Column694</t>
  </si>
  <si>
    <t>Column695</t>
  </si>
  <si>
    <t>Column696</t>
  </si>
  <si>
    <t>Column697</t>
  </si>
  <si>
    <t>Column698</t>
  </si>
  <si>
    <t>Column699</t>
  </si>
  <si>
    <t>Column700</t>
  </si>
  <si>
    <t>Column701</t>
  </si>
  <si>
    <t>Column702</t>
  </si>
  <si>
    <t>Column703</t>
  </si>
  <si>
    <t>Column704</t>
  </si>
  <si>
    <t>Column705</t>
  </si>
  <si>
    <t>Column706</t>
  </si>
  <si>
    <t>Column707</t>
  </si>
  <si>
    <t>Column708</t>
  </si>
  <si>
    <t>Column709</t>
  </si>
  <si>
    <t>Column710</t>
  </si>
  <si>
    <t>Column711</t>
  </si>
  <si>
    <t>Column712</t>
  </si>
  <si>
    <t>Column713</t>
  </si>
  <si>
    <t>Column714</t>
  </si>
  <si>
    <t>Column715</t>
  </si>
  <si>
    <t>Column716</t>
  </si>
  <si>
    <t>Column717</t>
  </si>
  <si>
    <t>Column718</t>
  </si>
  <si>
    <t>Column719</t>
  </si>
  <si>
    <t>Column720</t>
  </si>
  <si>
    <t>Column721</t>
  </si>
  <si>
    <t>Column722</t>
  </si>
  <si>
    <t>Column723</t>
  </si>
  <si>
    <t>Column724</t>
  </si>
  <si>
    <t>Column725</t>
  </si>
  <si>
    <t>Column726</t>
  </si>
  <si>
    <t>Column727</t>
  </si>
  <si>
    <t>Column728</t>
  </si>
  <si>
    <t>Column729</t>
  </si>
  <si>
    <t>Column730</t>
  </si>
  <si>
    <t>Column731</t>
  </si>
  <si>
    <t>Column732</t>
  </si>
  <si>
    <t>Column733</t>
  </si>
  <si>
    <t>Column734</t>
  </si>
  <si>
    <t>Column735</t>
  </si>
  <si>
    <t>Column736</t>
  </si>
  <si>
    <t>Column737</t>
  </si>
  <si>
    <t>Column738</t>
  </si>
  <si>
    <t>Column739</t>
  </si>
  <si>
    <t>Column740</t>
  </si>
  <si>
    <t>Column741</t>
  </si>
  <si>
    <t>Column742</t>
  </si>
  <si>
    <t>Column743</t>
  </si>
  <si>
    <t>Column744</t>
  </si>
  <si>
    <t>Column745</t>
  </si>
  <si>
    <t>Column746</t>
  </si>
  <si>
    <t>Column747</t>
  </si>
  <si>
    <t>Column748</t>
  </si>
  <si>
    <t>Column749</t>
  </si>
  <si>
    <t>Column750</t>
  </si>
  <si>
    <t>Column751</t>
  </si>
  <si>
    <t>Column752</t>
  </si>
  <si>
    <t>Column753</t>
  </si>
  <si>
    <t>Column754</t>
  </si>
  <si>
    <t>Column755</t>
  </si>
  <si>
    <t>Column756</t>
  </si>
  <si>
    <t>Column757</t>
  </si>
  <si>
    <t>Column758</t>
  </si>
  <si>
    <t>Column759</t>
  </si>
  <si>
    <t>Column760</t>
  </si>
  <si>
    <t>Column761</t>
  </si>
  <si>
    <t>Column762</t>
  </si>
  <si>
    <t>Column763</t>
  </si>
  <si>
    <t>Column764</t>
  </si>
  <si>
    <t>Column765</t>
  </si>
  <si>
    <t>Column766</t>
  </si>
  <si>
    <t>Column767</t>
  </si>
  <si>
    <t>Column768</t>
  </si>
  <si>
    <t>Column769</t>
  </si>
  <si>
    <t>Column770</t>
  </si>
  <si>
    <t>Column771</t>
  </si>
  <si>
    <t>Column772</t>
  </si>
  <si>
    <t>Column773</t>
  </si>
  <si>
    <t>Column774</t>
  </si>
  <si>
    <t>Column775</t>
  </si>
  <si>
    <t>Column776</t>
  </si>
  <si>
    <t>Column777</t>
  </si>
  <si>
    <t>Column778</t>
  </si>
  <si>
    <t>Column779</t>
  </si>
  <si>
    <t>Column780</t>
  </si>
  <si>
    <t>Column781</t>
  </si>
  <si>
    <t>Column782</t>
  </si>
  <si>
    <t>Column783</t>
  </si>
  <si>
    <t>Column784</t>
  </si>
  <si>
    <t>Column785</t>
  </si>
  <si>
    <t>Column786</t>
  </si>
  <si>
    <t>Column787</t>
  </si>
  <si>
    <t>Column788</t>
  </si>
  <si>
    <t>Column789</t>
  </si>
  <si>
    <t>Column790</t>
  </si>
  <si>
    <t>Column791</t>
  </si>
  <si>
    <t>Column792</t>
  </si>
  <si>
    <t>Column793</t>
  </si>
  <si>
    <t>Column794</t>
  </si>
  <si>
    <t>Column795</t>
  </si>
  <si>
    <t>Column796</t>
  </si>
  <si>
    <t>Column797</t>
  </si>
  <si>
    <t>Column798</t>
  </si>
  <si>
    <t>Column799</t>
  </si>
  <si>
    <t>Column800</t>
  </si>
  <si>
    <t>Column801</t>
  </si>
  <si>
    <t>Column802</t>
  </si>
  <si>
    <t>Column803</t>
  </si>
  <si>
    <t>Column804</t>
  </si>
  <si>
    <t>Column805</t>
  </si>
  <si>
    <t>Column806</t>
  </si>
  <si>
    <t>Column807</t>
  </si>
  <si>
    <t>Column808</t>
  </si>
  <si>
    <t>Column809</t>
  </si>
  <si>
    <t>Column810</t>
  </si>
  <si>
    <t>Column811</t>
  </si>
  <si>
    <t>Column812</t>
  </si>
  <si>
    <t>Column813</t>
  </si>
  <si>
    <t>Column814</t>
  </si>
  <si>
    <t>Column815</t>
  </si>
  <si>
    <t>Column816</t>
  </si>
  <si>
    <t>Column817</t>
  </si>
  <si>
    <t>Column818</t>
  </si>
  <si>
    <t>Column819</t>
  </si>
  <si>
    <t>Column820</t>
  </si>
  <si>
    <t>Column821</t>
  </si>
  <si>
    <t>Column822</t>
  </si>
  <si>
    <t>Column823</t>
  </si>
  <si>
    <t>Column824</t>
  </si>
  <si>
    <t>Column825</t>
  </si>
  <si>
    <t>Column826</t>
  </si>
  <si>
    <t>Column827</t>
  </si>
  <si>
    <t>Column828</t>
  </si>
  <si>
    <t>Column829</t>
  </si>
  <si>
    <t>Column830</t>
  </si>
  <si>
    <t>Column831</t>
  </si>
  <si>
    <t>Column832</t>
  </si>
  <si>
    <t>Column833</t>
  </si>
  <si>
    <t>Column834</t>
  </si>
  <si>
    <t>Column835</t>
  </si>
  <si>
    <t>Column836</t>
  </si>
  <si>
    <t>Column837</t>
  </si>
  <si>
    <t>Column838</t>
  </si>
  <si>
    <t>Column839</t>
  </si>
  <si>
    <t>Column840</t>
  </si>
  <si>
    <t>Column841</t>
  </si>
  <si>
    <t>Column842</t>
  </si>
  <si>
    <t>Column843</t>
  </si>
  <si>
    <t>Column844</t>
  </si>
  <si>
    <t>Column845</t>
  </si>
  <si>
    <t>Column846</t>
  </si>
  <si>
    <t>Column847</t>
  </si>
  <si>
    <t>Column848</t>
  </si>
  <si>
    <t>Column849</t>
  </si>
  <si>
    <t>Column850</t>
  </si>
  <si>
    <t>Column851</t>
  </si>
  <si>
    <t>Column852</t>
  </si>
  <si>
    <t>Column853</t>
  </si>
  <si>
    <t>Column854</t>
  </si>
  <si>
    <t>Column855</t>
  </si>
  <si>
    <t>Column856</t>
  </si>
  <si>
    <t>Column857</t>
  </si>
  <si>
    <t>Column858</t>
  </si>
  <si>
    <t>Column859</t>
  </si>
  <si>
    <t>Column860</t>
  </si>
  <si>
    <t>Column861</t>
  </si>
  <si>
    <t>Column862</t>
  </si>
  <si>
    <t>Column863</t>
  </si>
  <si>
    <t>Column864</t>
  </si>
  <si>
    <t>Column865</t>
  </si>
  <si>
    <t>Column866</t>
  </si>
  <si>
    <t>Column867</t>
  </si>
  <si>
    <t>Column868</t>
  </si>
  <si>
    <t>Column869</t>
  </si>
  <si>
    <t>Column870</t>
  </si>
  <si>
    <t>Column871</t>
  </si>
  <si>
    <t>Column872</t>
  </si>
  <si>
    <t>Column873</t>
  </si>
  <si>
    <t>Column874</t>
  </si>
  <si>
    <t>Column875</t>
  </si>
  <si>
    <t>Column876</t>
  </si>
  <si>
    <t>Column877</t>
  </si>
  <si>
    <t>Column878</t>
  </si>
  <si>
    <t>Column879</t>
  </si>
  <si>
    <t>Column880</t>
  </si>
  <si>
    <t>Column881</t>
  </si>
  <si>
    <t>Column882</t>
  </si>
  <si>
    <t>Column883</t>
  </si>
  <si>
    <t>Column884</t>
  </si>
  <si>
    <t>Column885</t>
  </si>
  <si>
    <t>Column886</t>
  </si>
  <si>
    <t>Column887</t>
  </si>
  <si>
    <t>Column888</t>
  </si>
  <si>
    <t>Column889</t>
  </si>
  <si>
    <t>Column890</t>
  </si>
  <si>
    <t>Column891</t>
  </si>
  <si>
    <t>Column892</t>
  </si>
  <si>
    <t>Column893</t>
  </si>
  <si>
    <t>Column894</t>
  </si>
  <si>
    <t>Column895</t>
  </si>
  <si>
    <t>Column896</t>
  </si>
  <si>
    <t>Column897</t>
  </si>
  <si>
    <t>Column898</t>
  </si>
  <si>
    <t>Column899</t>
  </si>
  <si>
    <t>Column900</t>
  </si>
  <si>
    <t>Column901</t>
  </si>
  <si>
    <t>Column902</t>
  </si>
  <si>
    <t>Column903</t>
  </si>
  <si>
    <t>Column904</t>
  </si>
  <si>
    <t>Column905</t>
  </si>
  <si>
    <t>Column906</t>
  </si>
  <si>
    <t>Column907</t>
  </si>
  <si>
    <t>Column908</t>
  </si>
  <si>
    <t>Column909</t>
  </si>
  <si>
    <t>Column910</t>
  </si>
  <si>
    <t>Column911</t>
  </si>
  <si>
    <t>Column912</t>
  </si>
  <si>
    <t>Column913</t>
  </si>
  <si>
    <t>Column914</t>
  </si>
  <si>
    <t>Column915</t>
  </si>
  <si>
    <t>Column916</t>
  </si>
  <si>
    <t>Column917</t>
  </si>
  <si>
    <t>Column918</t>
  </si>
  <si>
    <t>Column919</t>
  </si>
  <si>
    <t>Column920</t>
  </si>
  <si>
    <t>Column921</t>
  </si>
  <si>
    <t>Column922</t>
  </si>
  <si>
    <t>Column923</t>
  </si>
  <si>
    <t>Column924</t>
  </si>
  <si>
    <t>Column925</t>
  </si>
  <si>
    <t>Column926</t>
  </si>
  <si>
    <t>Column927</t>
  </si>
  <si>
    <t>Column928</t>
  </si>
  <si>
    <t>Column929</t>
  </si>
  <si>
    <t>Column930</t>
  </si>
  <si>
    <t>Column931</t>
  </si>
  <si>
    <t>Column932</t>
  </si>
  <si>
    <t>Column933</t>
  </si>
  <si>
    <t>Column934</t>
  </si>
  <si>
    <t>Column935</t>
  </si>
  <si>
    <t>Column936</t>
  </si>
  <si>
    <t>Column937</t>
  </si>
  <si>
    <t>Column938</t>
  </si>
  <si>
    <t>Column939</t>
  </si>
  <si>
    <t>Column940</t>
  </si>
  <si>
    <t>Column941</t>
  </si>
  <si>
    <t>Column942</t>
  </si>
  <si>
    <t>Column943</t>
  </si>
  <si>
    <t>Column944</t>
  </si>
  <si>
    <t>Column945</t>
  </si>
  <si>
    <t>Column946</t>
  </si>
  <si>
    <t>Column947</t>
  </si>
  <si>
    <t>Column948</t>
  </si>
  <si>
    <t>Column949</t>
  </si>
  <si>
    <t>Column950</t>
  </si>
  <si>
    <t>Column951</t>
  </si>
  <si>
    <t>Column952</t>
  </si>
  <si>
    <t>Column953</t>
  </si>
  <si>
    <t>Column954</t>
  </si>
  <si>
    <t>Column955</t>
  </si>
  <si>
    <t>Column956</t>
  </si>
  <si>
    <t>Column957</t>
  </si>
  <si>
    <t>Column958</t>
  </si>
  <si>
    <t>Column959</t>
  </si>
  <si>
    <t>Column960</t>
  </si>
  <si>
    <t>Column961</t>
  </si>
  <si>
    <t>Column962</t>
  </si>
  <si>
    <t>Column963</t>
  </si>
  <si>
    <t>Column964</t>
  </si>
  <si>
    <t>Column965</t>
  </si>
  <si>
    <t>Column966</t>
  </si>
  <si>
    <t>Column967</t>
  </si>
  <si>
    <t>Column968</t>
  </si>
  <si>
    <t>Column969</t>
  </si>
  <si>
    <t>Column970</t>
  </si>
  <si>
    <t>Column971</t>
  </si>
  <si>
    <t>Column972</t>
  </si>
  <si>
    <t>Column973</t>
  </si>
  <si>
    <t>Column974</t>
  </si>
  <si>
    <t>Column975</t>
  </si>
  <si>
    <t>Column976</t>
  </si>
  <si>
    <t>Column977</t>
  </si>
  <si>
    <t>Column978</t>
  </si>
  <si>
    <t>Column979</t>
  </si>
  <si>
    <t>Column980</t>
  </si>
  <si>
    <t>Column981</t>
  </si>
  <si>
    <t>Column982</t>
  </si>
  <si>
    <t>Column983</t>
  </si>
  <si>
    <t>Column984</t>
  </si>
  <si>
    <t>Column985</t>
  </si>
  <si>
    <t>Column986</t>
  </si>
  <si>
    <t>Column987</t>
  </si>
  <si>
    <t>Column988</t>
  </si>
  <si>
    <t>Column989</t>
  </si>
  <si>
    <t>Column990</t>
  </si>
  <si>
    <t>Column991</t>
  </si>
  <si>
    <t>Column992</t>
  </si>
  <si>
    <t>Column993</t>
  </si>
  <si>
    <t>Column994</t>
  </si>
  <si>
    <t>Column995</t>
  </si>
  <si>
    <t>Column996</t>
  </si>
  <si>
    <t>Column997</t>
  </si>
  <si>
    <t>Column998</t>
  </si>
  <si>
    <t>Column999</t>
  </si>
  <si>
    <t>Column1000</t>
  </si>
  <si>
    <t>Column1001</t>
  </si>
  <si>
    <t>Column1002</t>
  </si>
  <si>
    <t>Column1003</t>
  </si>
  <si>
    <t>Column1004</t>
  </si>
  <si>
    <t>Column1005</t>
  </si>
  <si>
    <t>Column1006</t>
  </si>
  <si>
    <t>Column1007</t>
  </si>
  <si>
    <t>Column1008</t>
  </si>
  <si>
    <t>Column1009</t>
  </si>
  <si>
    <t>Column1010</t>
  </si>
  <si>
    <t>Column1011</t>
  </si>
  <si>
    <t>Column1012</t>
  </si>
  <si>
    <t>Column1013</t>
  </si>
  <si>
    <t>Column1014</t>
  </si>
  <si>
    <t>Column1015</t>
  </si>
  <si>
    <t>Column1016</t>
  </si>
  <si>
    <t>Column1017</t>
  </si>
  <si>
    <t>Column1018</t>
  </si>
  <si>
    <t>Column1019</t>
  </si>
  <si>
    <t>Column1020</t>
  </si>
  <si>
    <t>Column1021</t>
  </si>
  <si>
    <t>Column1022</t>
  </si>
  <si>
    <t>Column1023</t>
  </si>
  <si>
    <t>Column1024</t>
  </si>
  <si>
    <t>Column1025</t>
  </si>
  <si>
    <t>Column1026</t>
  </si>
  <si>
    <t>Column1027</t>
  </si>
  <si>
    <t>Column1028</t>
  </si>
  <si>
    <t>Column1029</t>
  </si>
  <si>
    <t>Column1030</t>
  </si>
  <si>
    <t>Column1031</t>
  </si>
  <si>
    <t>Column1032</t>
  </si>
  <si>
    <t>Column1033</t>
  </si>
  <si>
    <t>Column1034</t>
  </si>
  <si>
    <t>Column1035</t>
  </si>
  <si>
    <t>Column1036</t>
  </si>
  <si>
    <t>Column1037</t>
  </si>
  <si>
    <t>Column1038</t>
  </si>
  <si>
    <t>Column1039</t>
  </si>
  <si>
    <t>Column1040</t>
  </si>
  <si>
    <t>Column1041</t>
  </si>
  <si>
    <t>Column1042</t>
  </si>
  <si>
    <t>Column1043</t>
  </si>
  <si>
    <t>Column1044</t>
  </si>
  <si>
    <t>Column1045</t>
  </si>
  <si>
    <t>Column1046</t>
  </si>
  <si>
    <t>Column1047</t>
  </si>
  <si>
    <t>Column1048</t>
  </si>
  <si>
    <t>Column1049</t>
  </si>
  <si>
    <t>Column1050</t>
  </si>
  <si>
    <t>Column1051</t>
  </si>
  <si>
    <t>Column1052</t>
  </si>
  <si>
    <t>Column1053</t>
  </si>
  <si>
    <t>Column1054</t>
  </si>
  <si>
    <t>Column1055</t>
  </si>
  <si>
    <t>Column1056</t>
  </si>
  <si>
    <t>Column1057</t>
  </si>
  <si>
    <t>Column1058</t>
  </si>
  <si>
    <t>Column1059</t>
  </si>
  <si>
    <t>Column1060</t>
  </si>
  <si>
    <t>Column1061</t>
  </si>
  <si>
    <t>Column1062</t>
  </si>
  <si>
    <t>Column1063</t>
  </si>
  <si>
    <t>Column1064</t>
  </si>
  <si>
    <t>Column1065</t>
  </si>
  <si>
    <t>Column1066</t>
  </si>
  <si>
    <t>Column1067</t>
  </si>
  <si>
    <t>Column1068</t>
  </si>
  <si>
    <t>Column1069</t>
  </si>
  <si>
    <t>Column1070</t>
  </si>
  <si>
    <t>Column1071</t>
  </si>
  <si>
    <t>Column1072</t>
  </si>
  <si>
    <t>Column1073</t>
  </si>
  <si>
    <t>Column1074</t>
  </si>
  <si>
    <t>Column1075</t>
  </si>
  <si>
    <t>Column1076</t>
  </si>
  <si>
    <t>Column1077</t>
  </si>
  <si>
    <t>Column1078</t>
  </si>
  <si>
    <t>Column1079</t>
  </si>
  <si>
    <t>Column1080</t>
  </si>
  <si>
    <t>Column1081</t>
  </si>
  <si>
    <t>Column1082</t>
  </si>
  <si>
    <t>Column1083</t>
  </si>
  <si>
    <t>Column1084</t>
  </si>
  <si>
    <t>Column1085</t>
  </si>
  <si>
    <t>Column1086</t>
  </si>
  <si>
    <t>Column1087</t>
  </si>
  <si>
    <t>Column1088</t>
  </si>
  <si>
    <t>Column1089</t>
  </si>
  <si>
    <t>Column1090</t>
  </si>
  <si>
    <t>Column1091</t>
  </si>
  <si>
    <t>Column1092</t>
  </si>
  <si>
    <t>Column1093</t>
  </si>
  <si>
    <t>Column1094</t>
  </si>
  <si>
    <t>Column1095</t>
  </si>
  <si>
    <t>Column1096</t>
  </si>
  <si>
    <t>Column1097</t>
  </si>
  <si>
    <t>Column1098</t>
  </si>
  <si>
    <t>Column1099</t>
  </si>
  <si>
    <t>Column1100</t>
  </si>
  <si>
    <t>Column1101</t>
  </si>
  <si>
    <t>Column1102</t>
  </si>
  <si>
    <t>Column1103</t>
  </si>
  <si>
    <t>Column1104</t>
  </si>
  <si>
    <t>Column1105</t>
  </si>
  <si>
    <t>Column1106</t>
  </si>
  <si>
    <t>Column1107</t>
  </si>
  <si>
    <t>Column1108</t>
  </si>
  <si>
    <t>Column1109</t>
  </si>
  <si>
    <t>Column1110</t>
  </si>
  <si>
    <t>Column1111</t>
  </si>
  <si>
    <t>Column1112</t>
  </si>
  <si>
    <t>Column1113</t>
  </si>
  <si>
    <t>Column1114</t>
  </si>
  <si>
    <t>Column1115</t>
  </si>
  <si>
    <t>Column1116</t>
  </si>
  <si>
    <t>Column1117</t>
  </si>
  <si>
    <t>Column1118</t>
  </si>
  <si>
    <t>Column1119</t>
  </si>
  <si>
    <t>Column1120</t>
  </si>
  <si>
    <t>Column1121</t>
  </si>
  <si>
    <t>Column1122</t>
  </si>
  <si>
    <t>Column1123</t>
  </si>
  <si>
    <t>Column1124</t>
  </si>
  <si>
    <t>Column1125</t>
  </si>
  <si>
    <t>Column1126</t>
  </si>
  <si>
    <t>Column1127</t>
  </si>
  <si>
    <t>Column1128</t>
  </si>
  <si>
    <t>Column1129</t>
  </si>
  <si>
    <t>Column1130</t>
  </si>
  <si>
    <t>Column1131</t>
  </si>
  <si>
    <t>Column1132</t>
  </si>
  <si>
    <t>Column1133</t>
  </si>
  <si>
    <t>Column1134</t>
  </si>
  <si>
    <t>Column1135</t>
  </si>
  <si>
    <t>Column1136</t>
  </si>
  <si>
    <t>Column1137</t>
  </si>
  <si>
    <t>Column1138</t>
  </si>
  <si>
    <t>Column1139</t>
  </si>
  <si>
    <t>Column1140</t>
  </si>
  <si>
    <t>Column1141</t>
  </si>
  <si>
    <t>Column1142</t>
  </si>
  <si>
    <t>Column1143</t>
  </si>
  <si>
    <t>Column1144</t>
  </si>
  <si>
    <t>Column1145</t>
  </si>
  <si>
    <t>Column1146</t>
  </si>
  <si>
    <t>Column1147</t>
  </si>
  <si>
    <t>Column1148</t>
  </si>
  <si>
    <t>Column1149</t>
  </si>
  <si>
    <t>Column1150</t>
  </si>
  <si>
    <t>Column1151</t>
  </si>
  <si>
    <t>Column1152</t>
  </si>
  <si>
    <t>Column1153</t>
  </si>
  <si>
    <t>Column1154</t>
  </si>
  <si>
    <t>Column1155</t>
  </si>
  <si>
    <t>Column1156</t>
  </si>
  <si>
    <t>Column1157</t>
  </si>
  <si>
    <t>Column1158</t>
  </si>
  <si>
    <t>Column1159</t>
  </si>
  <si>
    <t>Column1160</t>
  </si>
  <si>
    <t>Column1161</t>
  </si>
  <si>
    <t>Column1162</t>
  </si>
  <si>
    <t>Column1163</t>
  </si>
  <si>
    <t>Column1164</t>
  </si>
  <si>
    <t>Column1165</t>
  </si>
  <si>
    <t>Column1166</t>
  </si>
  <si>
    <t>Column1167</t>
  </si>
  <si>
    <t>Column1168</t>
  </si>
  <si>
    <t>Column1169</t>
  </si>
  <si>
    <t>Column1170</t>
  </si>
  <si>
    <t>Column1171</t>
  </si>
  <si>
    <t>Column1172</t>
  </si>
  <si>
    <t>Column1173</t>
  </si>
  <si>
    <t>Column1174</t>
  </si>
  <si>
    <t>Column1175</t>
  </si>
  <si>
    <t>Column1176</t>
  </si>
  <si>
    <t>Column1177</t>
  </si>
  <si>
    <t>Column1178</t>
  </si>
  <si>
    <t>Column1179</t>
  </si>
  <si>
    <t>Column1180</t>
  </si>
  <si>
    <t>Column1181</t>
  </si>
  <si>
    <t>Column1182</t>
  </si>
  <si>
    <t>Column1183</t>
  </si>
  <si>
    <t>Column1184</t>
  </si>
  <si>
    <t>Column1185</t>
  </si>
  <si>
    <t>Column1186</t>
  </si>
  <si>
    <t>Column1187</t>
  </si>
  <si>
    <t>Column1188</t>
  </si>
  <si>
    <t>Column1189</t>
  </si>
  <si>
    <t>Column1190</t>
  </si>
  <si>
    <t>Column1191</t>
  </si>
  <si>
    <t>Column1192</t>
  </si>
  <si>
    <t>Column1193</t>
  </si>
  <si>
    <t>Column1194</t>
  </si>
  <si>
    <t>Column1195</t>
  </si>
  <si>
    <t>Column1196</t>
  </si>
  <si>
    <t>Column1197</t>
  </si>
  <si>
    <t>Column1198</t>
  </si>
  <si>
    <t>Column1199</t>
  </si>
  <si>
    <t>Column1200</t>
  </si>
  <si>
    <t>Column1201</t>
  </si>
  <si>
    <t>Column1202</t>
  </si>
  <si>
    <t>Column1203</t>
  </si>
  <si>
    <t>Column1204</t>
  </si>
  <si>
    <t>Column1205</t>
  </si>
  <si>
    <t>Column1206</t>
  </si>
  <si>
    <t>Column1207</t>
  </si>
  <si>
    <t>Column1208</t>
  </si>
  <si>
    <t>Column1209</t>
  </si>
  <si>
    <t>Column1210</t>
  </si>
  <si>
    <t>Column1211</t>
  </si>
  <si>
    <t>Column1212</t>
  </si>
  <si>
    <t>Column1213</t>
  </si>
  <si>
    <t>Column1214</t>
  </si>
  <si>
    <t>Column1215</t>
  </si>
  <si>
    <t>Column1216</t>
  </si>
  <si>
    <t>Column1217</t>
  </si>
  <si>
    <t>Column1218</t>
  </si>
  <si>
    <t>Column1219</t>
  </si>
  <si>
    <t>Column1220</t>
  </si>
  <si>
    <t>Column1221</t>
  </si>
  <si>
    <t>Column1222</t>
  </si>
  <si>
    <t>Column1223</t>
  </si>
  <si>
    <t>Column1224</t>
  </si>
  <si>
    <t>Column1225</t>
  </si>
  <si>
    <t>Column1226</t>
  </si>
  <si>
    <t>Column1227</t>
  </si>
  <si>
    <t>Column1228</t>
  </si>
  <si>
    <t>Column1229</t>
  </si>
  <si>
    <t>Column1230</t>
  </si>
  <si>
    <t>Column1231</t>
  </si>
  <si>
    <t>Column1232</t>
  </si>
  <si>
    <t>Column1233</t>
  </si>
  <si>
    <t>Column1234</t>
  </si>
  <si>
    <t>Column1235</t>
  </si>
  <si>
    <t>Column1236</t>
  </si>
  <si>
    <t>Column1237</t>
  </si>
  <si>
    <t>Column1238</t>
  </si>
  <si>
    <t>Column1239</t>
  </si>
  <si>
    <t>Column1240</t>
  </si>
  <si>
    <t>Column1241</t>
  </si>
  <si>
    <t>Column1242</t>
  </si>
  <si>
    <t>Column1243</t>
  </si>
  <si>
    <t>Column1244</t>
  </si>
  <si>
    <t>Column1245</t>
  </si>
  <si>
    <t>Column1246</t>
  </si>
  <si>
    <t>Column1247</t>
  </si>
  <si>
    <t>Column1248</t>
  </si>
  <si>
    <t>Column1249</t>
  </si>
  <si>
    <t>Column1250</t>
  </si>
  <si>
    <t>Column1251</t>
  </si>
  <si>
    <t>Column1252</t>
  </si>
  <si>
    <t>Column1253</t>
  </si>
  <si>
    <t>Column1254</t>
  </si>
  <si>
    <t>Column1255</t>
  </si>
  <si>
    <t>Column1256</t>
  </si>
  <si>
    <t>Column1257</t>
  </si>
  <si>
    <t>Column1258</t>
  </si>
  <si>
    <t>Column1259</t>
  </si>
  <si>
    <t>Column1260</t>
  </si>
  <si>
    <t>Column1261</t>
  </si>
  <si>
    <t>Column1262</t>
  </si>
  <si>
    <t>Column1263</t>
  </si>
  <si>
    <t>Column1264</t>
  </si>
  <si>
    <t>Column1265</t>
  </si>
  <si>
    <t>Column1266</t>
  </si>
  <si>
    <t>Column1267</t>
  </si>
  <si>
    <t>Column1268</t>
  </si>
  <si>
    <t>Column1269</t>
  </si>
  <si>
    <t>Column1270</t>
  </si>
  <si>
    <t>Column1271</t>
  </si>
  <si>
    <t>Column1272</t>
  </si>
  <si>
    <t>Column1273</t>
  </si>
  <si>
    <t>Column1274</t>
  </si>
  <si>
    <t>Column1275</t>
  </si>
  <si>
    <t>Column1276</t>
  </si>
  <si>
    <t>Column1277</t>
  </si>
  <si>
    <t>Column1278</t>
  </si>
  <si>
    <t>Column1279</t>
  </si>
  <si>
    <t>Column1280</t>
  </si>
  <si>
    <t>Column1281</t>
  </si>
  <si>
    <t>Column1282</t>
  </si>
  <si>
    <t>Column1283</t>
  </si>
  <si>
    <t>Column1284</t>
  </si>
  <si>
    <t>Column1285</t>
  </si>
  <si>
    <t>Column1286</t>
  </si>
  <si>
    <t>Column1287</t>
  </si>
  <si>
    <t>Column1288</t>
  </si>
  <si>
    <t>Column1289</t>
  </si>
  <si>
    <t>Column1290</t>
  </si>
  <si>
    <t>Column1291</t>
  </si>
  <si>
    <t>Column1292</t>
  </si>
  <si>
    <t>Column1293</t>
  </si>
  <si>
    <t>Column1294</t>
  </si>
  <si>
    <t>Column1295</t>
  </si>
  <si>
    <t>Column1296</t>
  </si>
  <si>
    <t>Column1297</t>
  </si>
  <si>
    <t>Column1298</t>
  </si>
  <si>
    <t>Column1299</t>
  </si>
  <si>
    <t>Column1300</t>
  </si>
  <si>
    <t>Column1301</t>
  </si>
  <si>
    <t>Column1302</t>
  </si>
  <si>
    <t>Column1303</t>
  </si>
  <si>
    <t>Column1304</t>
  </si>
  <si>
    <t>Column1305</t>
  </si>
  <si>
    <t>Column1306</t>
  </si>
  <si>
    <t>Column1307</t>
  </si>
  <si>
    <t>Column1308</t>
  </si>
  <si>
    <t>Column1309</t>
  </si>
  <si>
    <t>Column1310</t>
  </si>
  <si>
    <t>Column1311</t>
  </si>
  <si>
    <t>Column1312</t>
  </si>
  <si>
    <t>Column1313</t>
  </si>
  <si>
    <t>Column1314</t>
  </si>
  <si>
    <t>Column1315</t>
  </si>
  <si>
    <t>Column1316</t>
  </si>
  <si>
    <t>Column1317</t>
  </si>
  <si>
    <t>Column1318</t>
  </si>
  <si>
    <t>Column1319</t>
  </si>
  <si>
    <t>Column1320</t>
  </si>
  <si>
    <t>Column1321</t>
  </si>
  <si>
    <t>Column1322</t>
  </si>
  <si>
    <t>Column1323</t>
  </si>
  <si>
    <t>Column1324</t>
  </si>
  <si>
    <t>Column1325</t>
  </si>
  <si>
    <t>Column1326</t>
  </si>
  <si>
    <t>Column1327</t>
  </si>
  <si>
    <t>Column1328</t>
  </si>
  <si>
    <t>Column1329</t>
  </si>
  <si>
    <t>Column1330</t>
  </si>
  <si>
    <t>Column1331</t>
  </si>
  <si>
    <t>Column1332</t>
  </si>
  <si>
    <t>Column1333</t>
  </si>
  <si>
    <t>Column1334</t>
  </si>
  <si>
    <t>Column1335</t>
  </si>
  <si>
    <t>Column1336</t>
  </si>
  <si>
    <t>Column1337</t>
  </si>
  <si>
    <t>Column1338</t>
  </si>
  <si>
    <t>Column1339</t>
  </si>
  <si>
    <t>Column1340</t>
  </si>
  <si>
    <t>Column1341</t>
  </si>
  <si>
    <t>Column1342</t>
  </si>
  <si>
    <t>Column1343</t>
  </si>
  <si>
    <t>Column1344</t>
  </si>
  <si>
    <t>Column1345</t>
  </si>
  <si>
    <t>Column1346</t>
  </si>
  <si>
    <t>Column1347</t>
  </si>
  <si>
    <t>Column1348</t>
  </si>
  <si>
    <t>Column1349</t>
  </si>
  <si>
    <t>Column1350</t>
  </si>
  <si>
    <t>Column1351</t>
  </si>
  <si>
    <t>Column1352</t>
  </si>
  <si>
    <t>Column1353</t>
  </si>
  <si>
    <t>Column1354</t>
  </si>
  <si>
    <t>Column1355</t>
  </si>
  <si>
    <t>Column1356</t>
  </si>
  <si>
    <t>Column1357</t>
  </si>
  <si>
    <t>Column1358</t>
  </si>
  <si>
    <t>Column1359</t>
  </si>
  <si>
    <t>Column1360</t>
  </si>
  <si>
    <t>Column1361</t>
  </si>
  <si>
    <t>Column1362</t>
  </si>
  <si>
    <t>Column1363</t>
  </si>
  <si>
    <t>Column1364</t>
  </si>
  <si>
    <t>Column1365</t>
  </si>
  <si>
    <t>Column1366</t>
  </si>
  <si>
    <t>Column1367</t>
  </si>
  <si>
    <t>Column1368</t>
  </si>
  <si>
    <t>Column1369</t>
  </si>
  <si>
    <t>Column1370</t>
  </si>
  <si>
    <t>Column1371</t>
  </si>
  <si>
    <t>Column1372</t>
  </si>
  <si>
    <t>Column1373</t>
  </si>
  <si>
    <t>Column1374</t>
  </si>
  <si>
    <t>Column1375</t>
  </si>
  <si>
    <t>Column1376</t>
  </si>
  <si>
    <t>Column1377</t>
  </si>
  <si>
    <t>Column1378</t>
  </si>
  <si>
    <t>Column1379</t>
  </si>
  <si>
    <t>Column1380</t>
  </si>
  <si>
    <t>Column1381</t>
  </si>
  <si>
    <t>Column1382</t>
  </si>
  <si>
    <t>Column1383</t>
  </si>
  <si>
    <t>Column1384</t>
  </si>
  <si>
    <t>Column1385</t>
  </si>
  <si>
    <t>Column1386</t>
  </si>
  <si>
    <t>Column1387</t>
  </si>
  <si>
    <t>Column1388</t>
  </si>
  <si>
    <t>Column1389</t>
  </si>
  <si>
    <t>Column1390</t>
  </si>
  <si>
    <t>Column1391</t>
  </si>
  <si>
    <t>Column1392</t>
  </si>
  <si>
    <t>Column1393</t>
  </si>
  <si>
    <t>Column1394</t>
  </si>
  <si>
    <t>Column1395</t>
  </si>
  <si>
    <t>Column1396</t>
  </si>
  <si>
    <t>Column1397</t>
  </si>
  <si>
    <t>Column1398</t>
  </si>
  <si>
    <t>Column1399</t>
  </si>
  <si>
    <t>Column1400</t>
  </si>
  <si>
    <t>Column1401</t>
  </si>
  <si>
    <t>Column1402</t>
  </si>
  <si>
    <t>Column1403</t>
  </si>
  <si>
    <t>Column1404</t>
  </si>
  <si>
    <t>Column1405</t>
  </si>
  <si>
    <t>Column1406</t>
  </si>
  <si>
    <t>Column1407</t>
  </si>
  <si>
    <t>Column1408</t>
  </si>
  <si>
    <t>Column1409</t>
  </si>
  <si>
    <t>Column1410</t>
  </si>
  <si>
    <t>Column1411</t>
  </si>
  <si>
    <t>Column1412</t>
  </si>
  <si>
    <t>Column1413</t>
  </si>
  <si>
    <t>Column1414</t>
  </si>
  <si>
    <t>Column1415</t>
  </si>
  <si>
    <t>Column1416</t>
  </si>
  <si>
    <t>Column1417</t>
  </si>
  <si>
    <t>Column1418</t>
  </si>
  <si>
    <t>Column1419</t>
  </si>
  <si>
    <t>Column1420</t>
  </si>
  <si>
    <t>Column1421</t>
  </si>
  <si>
    <t>Column1422</t>
  </si>
  <si>
    <t>Column1423</t>
  </si>
  <si>
    <t>Column1424</t>
  </si>
  <si>
    <t>Column1425</t>
  </si>
  <si>
    <t>Column1426</t>
  </si>
  <si>
    <t>Column1427</t>
  </si>
  <si>
    <t>Column1428</t>
  </si>
  <si>
    <t>Column1429</t>
  </si>
  <si>
    <t>Column1430</t>
  </si>
  <si>
    <t>Column1431</t>
  </si>
  <si>
    <t>Column1432</t>
  </si>
  <si>
    <t>Column1433</t>
  </si>
  <si>
    <t>Column1434</t>
  </si>
  <si>
    <t>Column1435</t>
  </si>
  <si>
    <t>Column1436</t>
  </si>
  <si>
    <t>Column1437</t>
  </si>
  <si>
    <t>Column1438</t>
  </si>
  <si>
    <t>Column1439</t>
  </si>
  <si>
    <t>Column1440</t>
  </si>
  <si>
    <t>Column1441</t>
  </si>
  <si>
    <t>Column1442</t>
  </si>
  <si>
    <t>Column1443</t>
  </si>
  <si>
    <t>Column1444</t>
  </si>
  <si>
    <t>Column1445</t>
  </si>
  <si>
    <t>Column1446</t>
  </si>
  <si>
    <t>Column1447</t>
  </si>
  <si>
    <t>Column1448</t>
  </si>
  <si>
    <t>Column1449</t>
  </si>
  <si>
    <t>Column1450</t>
  </si>
  <si>
    <t>Column1451</t>
  </si>
  <si>
    <t>Column1452</t>
  </si>
  <si>
    <t>Column1453</t>
  </si>
  <si>
    <t>Column1454</t>
  </si>
  <si>
    <t>Column1455</t>
  </si>
  <si>
    <t>Column1456</t>
  </si>
  <si>
    <t>Column1457</t>
  </si>
  <si>
    <t>Column1458</t>
  </si>
  <si>
    <t>Column1459</t>
  </si>
  <si>
    <t>Column1460</t>
  </si>
  <si>
    <t>Column1461</t>
  </si>
  <si>
    <t>Column1462</t>
  </si>
  <si>
    <t>Column1463</t>
  </si>
  <si>
    <t>Column1464</t>
  </si>
  <si>
    <t>Column1465</t>
  </si>
  <si>
    <t>Column1466</t>
  </si>
  <si>
    <t>Column1467</t>
  </si>
  <si>
    <t>Column1468</t>
  </si>
  <si>
    <t>Column1469</t>
  </si>
  <si>
    <t>Column1470</t>
  </si>
  <si>
    <t>Column1471</t>
  </si>
  <si>
    <t>Column1472</t>
  </si>
  <si>
    <t>Column1473</t>
  </si>
  <si>
    <t>Column1474</t>
  </si>
  <si>
    <t>Column1475</t>
  </si>
  <si>
    <t>Column1476</t>
  </si>
  <si>
    <t>Column1477</t>
  </si>
  <si>
    <t>Column1478</t>
  </si>
  <si>
    <t>Column1479</t>
  </si>
  <si>
    <t>Column1480</t>
  </si>
  <si>
    <t>Column1481</t>
  </si>
  <si>
    <t>Column1482</t>
  </si>
  <si>
    <t>Column1483</t>
  </si>
  <si>
    <t>Column1484</t>
  </si>
  <si>
    <t>Column1485</t>
  </si>
  <si>
    <t>Column1486</t>
  </si>
  <si>
    <t>Column1487</t>
  </si>
  <si>
    <t>Column1488</t>
  </si>
  <si>
    <t>Column1489</t>
  </si>
  <si>
    <t>Column1490</t>
  </si>
  <si>
    <t>Column1491</t>
  </si>
  <si>
    <t>Column1492</t>
  </si>
  <si>
    <t>Column1493</t>
  </si>
  <si>
    <t>Column1494</t>
  </si>
  <si>
    <t>Column1495</t>
  </si>
  <si>
    <t>Column1496</t>
  </si>
  <si>
    <t>Column1497</t>
  </si>
  <si>
    <t>Column1498</t>
  </si>
  <si>
    <t>Column1499</t>
  </si>
  <si>
    <t>Column1500</t>
  </si>
  <si>
    <t>Column1501</t>
  </si>
  <si>
    <t>Column1502</t>
  </si>
  <si>
    <t>Column1503</t>
  </si>
  <si>
    <t>Column1504</t>
  </si>
  <si>
    <t>Column1505</t>
  </si>
  <si>
    <t>Column1506</t>
  </si>
  <si>
    <t>Column1507</t>
  </si>
  <si>
    <t>Column1508</t>
  </si>
  <si>
    <t>Column1509</t>
  </si>
  <si>
    <t>Column1510</t>
  </si>
  <si>
    <t>Column1511</t>
  </si>
  <si>
    <t>Column1512</t>
  </si>
  <si>
    <t>Column1513</t>
  </si>
  <si>
    <t>Column1514</t>
  </si>
  <si>
    <t>Column1515</t>
  </si>
  <si>
    <t>Column1516</t>
  </si>
  <si>
    <t>Column1517</t>
  </si>
  <si>
    <t>Column1518</t>
  </si>
  <si>
    <t>Column1519</t>
  </si>
  <si>
    <t>Column1520</t>
  </si>
  <si>
    <t>Column1521</t>
  </si>
  <si>
    <t>Column1522</t>
  </si>
  <si>
    <t>Column1523</t>
  </si>
  <si>
    <t>Column1524</t>
  </si>
  <si>
    <t>Column1525</t>
  </si>
  <si>
    <t>Column1526</t>
  </si>
  <si>
    <t>Column1527</t>
  </si>
  <si>
    <t>Column1528</t>
  </si>
  <si>
    <t>Column1529</t>
  </si>
  <si>
    <t>Column1530</t>
  </si>
  <si>
    <t>Column1531</t>
  </si>
  <si>
    <t>Column1532</t>
  </si>
  <si>
    <t>Column1533</t>
  </si>
  <si>
    <t>Column1534</t>
  </si>
  <si>
    <t>Column1535</t>
  </si>
  <si>
    <t>Column1536</t>
  </si>
  <si>
    <t>Column1537</t>
  </si>
  <si>
    <t>Column1538</t>
  </si>
  <si>
    <t>Column1539</t>
  </si>
  <si>
    <t>Column1540</t>
  </si>
  <si>
    <t>Column1541</t>
  </si>
  <si>
    <t>Column1542</t>
  </si>
  <si>
    <t>Column1543</t>
  </si>
  <si>
    <t>Column1544</t>
  </si>
  <si>
    <t>Column1545</t>
  </si>
  <si>
    <t>Column1546</t>
  </si>
  <si>
    <t>Column1547</t>
  </si>
  <si>
    <t>Column1548</t>
  </si>
  <si>
    <t>Column1549</t>
  </si>
  <si>
    <t>Column1550</t>
  </si>
  <si>
    <t>Column1551</t>
  </si>
  <si>
    <t>Column1552</t>
  </si>
  <si>
    <t>Column1553</t>
  </si>
  <si>
    <t>Column1554</t>
  </si>
  <si>
    <t>Column1555</t>
  </si>
  <si>
    <t>Column1556</t>
  </si>
  <si>
    <t>Column1557</t>
  </si>
  <si>
    <t>Column1558</t>
  </si>
  <si>
    <t>Column1559</t>
  </si>
  <si>
    <t>Column1560</t>
  </si>
  <si>
    <t>Column1561</t>
  </si>
  <si>
    <t>Column1562</t>
  </si>
  <si>
    <t>Column1563</t>
  </si>
  <si>
    <t>Column1564</t>
  </si>
  <si>
    <t>Column1565</t>
  </si>
  <si>
    <t>Column1566</t>
  </si>
  <si>
    <t>Column1567</t>
  </si>
  <si>
    <t>Column1568</t>
  </si>
  <si>
    <t>Column1569</t>
  </si>
  <si>
    <t>Column1570</t>
  </si>
  <si>
    <t>Column1571</t>
  </si>
  <si>
    <t>Column1572</t>
  </si>
  <si>
    <t>Column1573</t>
  </si>
  <si>
    <t>Column1574</t>
  </si>
  <si>
    <t>Column1575</t>
  </si>
  <si>
    <t>Column1576</t>
  </si>
  <si>
    <t>Column1577</t>
  </si>
  <si>
    <t>Column1578</t>
  </si>
  <si>
    <t>Column1579</t>
  </si>
  <si>
    <t>Column1580</t>
  </si>
  <si>
    <t>Column1581</t>
  </si>
  <si>
    <t>Column1582</t>
  </si>
  <si>
    <t>Column1583</t>
  </si>
  <si>
    <t>Column1584</t>
  </si>
  <si>
    <t>Column1585</t>
  </si>
  <si>
    <t>Column1586</t>
  </si>
  <si>
    <t>Column1587</t>
  </si>
  <si>
    <t>Column1588</t>
  </si>
  <si>
    <t>Column1589</t>
  </si>
  <si>
    <t>Column1590</t>
  </si>
  <si>
    <t>Column1591</t>
  </si>
  <si>
    <t>Column1592</t>
  </si>
  <si>
    <t>Column1593</t>
  </si>
  <si>
    <t>Column1594</t>
  </si>
  <si>
    <t>Column1595</t>
  </si>
  <si>
    <t>Column1596</t>
  </si>
  <si>
    <t>Column1597</t>
  </si>
  <si>
    <t>Column1598</t>
  </si>
  <si>
    <t>Column1599</t>
  </si>
  <si>
    <t>Column1600</t>
  </si>
  <si>
    <t>Column1601</t>
  </si>
  <si>
    <t>Column1602</t>
  </si>
  <si>
    <t>Column1603</t>
  </si>
  <si>
    <t>Column1604</t>
  </si>
  <si>
    <t>Column1605</t>
  </si>
  <si>
    <t>Column1606</t>
  </si>
  <si>
    <t>Column1607</t>
  </si>
  <si>
    <t>Column1608</t>
  </si>
  <si>
    <t>Column1609</t>
  </si>
  <si>
    <t>Column1610</t>
  </si>
  <si>
    <t>Column1611</t>
  </si>
  <si>
    <t>Column1612</t>
  </si>
  <si>
    <t>Column1613</t>
  </si>
  <si>
    <t>Column1614</t>
  </si>
  <si>
    <t>Column1615</t>
  </si>
  <si>
    <t>Column1616</t>
  </si>
  <si>
    <t>Column1617</t>
  </si>
  <si>
    <t>Column1618</t>
  </si>
  <si>
    <t>Column1619</t>
  </si>
  <si>
    <t>Column1620</t>
  </si>
  <si>
    <t>Column1621</t>
  </si>
  <si>
    <t>Column1622</t>
  </si>
  <si>
    <t>Column1623</t>
  </si>
  <si>
    <t>Column1624</t>
  </si>
  <si>
    <t>Column1625</t>
  </si>
  <si>
    <t>Column1626</t>
  </si>
  <si>
    <t>Column1627</t>
  </si>
  <si>
    <t>Column1628</t>
  </si>
  <si>
    <t>Column1629</t>
  </si>
  <si>
    <t>Column1630</t>
  </si>
  <si>
    <t>Column1631</t>
  </si>
  <si>
    <t>Column1632</t>
  </si>
  <si>
    <t>Column1633</t>
  </si>
  <si>
    <t>Column1634</t>
  </si>
  <si>
    <t>Column1635</t>
  </si>
  <si>
    <t>Column1636</t>
  </si>
  <si>
    <t>Column1637</t>
  </si>
  <si>
    <t>Column1638</t>
  </si>
  <si>
    <t>Column1639</t>
  </si>
  <si>
    <t>Column1640</t>
  </si>
  <si>
    <t>Column1641</t>
  </si>
  <si>
    <t>Column1642</t>
  </si>
  <si>
    <t>Column1643</t>
  </si>
  <si>
    <t>Column1644</t>
  </si>
  <si>
    <t>Column1645</t>
  </si>
  <si>
    <t>Column1646</t>
  </si>
  <si>
    <t>Column1647</t>
  </si>
  <si>
    <t>Column1648</t>
  </si>
  <si>
    <t>Column1649</t>
  </si>
  <si>
    <t>Column1650</t>
  </si>
  <si>
    <t>Column1651</t>
  </si>
  <si>
    <t>Column1652</t>
  </si>
  <si>
    <t>Column1653</t>
  </si>
  <si>
    <t>Column1654</t>
  </si>
  <si>
    <t>Column1655</t>
  </si>
  <si>
    <t>Column1656</t>
  </si>
  <si>
    <t>Column1657</t>
  </si>
  <si>
    <t>Column1658</t>
  </si>
  <si>
    <t>Column1659</t>
  </si>
  <si>
    <t>Column1660</t>
  </si>
  <si>
    <t>Column1661</t>
  </si>
  <si>
    <t>Column1662</t>
  </si>
  <si>
    <t>Column1663</t>
  </si>
  <si>
    <t>Column1664</t>
  </si>
  <si>
    <t>Column1665</t>
  </si>
  <si>
    <t>Column1666</t>
  </si>
  <si>
    <t>Column1667</t>
  </si>
  <si>
    <t>Column1668</t>
  </si>
  <si>
    <t>Column1669</t>
  </si>
  <si>
    <t>Column1670</t>
  </si>
  <si>
    <t>Column1671</t>
  </si>
  <si>
    <t>Column1672</t>
  </si>
  <si>
    <t>Column1673</t>
  </si>
  <si>
    <t>Column1674</t>
  </si>
  <si>
    <t>Column1675</t>
  </si>
  <si>
    <t>Column1676</t>
  </si>
  <si>
    <t>Column1677</t>
  </si>
  <si>
    <t>Column1678</t>
  </si>
  <si>
    <t>Column1679</t>
  </si>
  <si>
    <t>Column1680</t>
  </si>
  <si>
    <t>Column1681</t>
  </si>
  <si>
    <t>Column1682</t>
  </si>
  <si>
    <t>Column1683</t>
  </si>
  <si>
    <t>Column1684</t>
  </si>
  <si>
    <t>Column1685</t>
  </si>
  <si>
    <t>Column1686</t>
  </si>
  <si>
    <t>Column1687</t>
  </si>
  <si>
    <t>Column1688</t>
  </si>
  <si>
    <t>Column1689</t>
  </si>
  <si>
    <t>Column1690</t>
  </si>
  <si>
    <t>Column1691</t>
  </si>
  <si>
    <t>Column1692</t>
  </si>
  <si>
    <t>Column1693</t>
  </si>
  <si>
    <t>Column1694</t>
  </si>
  <si>
    <t>Column1695</t>
  </si>
  <si>
    <t>Column1696</t>
  </si>
  <si>
    <t>Column1697</t>
  </si>
  <si>
    <t>Column1698</t>
  </si>
  <si>
    <t>Column1699</t>
  </si>
  <si>
    <t>Column1700</t>
  </si>
  <si>
    <t>Column1701</t>
  </si>
  <si>
    <t>Column1702</t>
  </si>
  <si>
    <t>Column1703</t>
  </si>
  <si>
    <t>Column1704</t>
  </si>
  <si>
    <t>Column1705</t>
  </si>
  <si>
    <t>Column1706</t>
  </si>
  <si>
    <t>Column1707</t>
  </si>
  <si>
    <t>Column1708</t>
  </si>
  <si>
    <t>Column1709</t>
  </si>
  <si>
    <t>Column1710</t>
  </si>
  <si>
    <t>Column1711</t>
  </si>
  <si>
    <t>Column1712</t>
  </si>
  <si>
    <t>Column1713</t>
  </si>
  <si>
    <t>Column1714</t>
  </si>
  <si>
    <t>Column1715</t>
  </si>
  <si>
    <t>Column1716</t>
  </si>
  <si>
    <t>Column1717</t>
  </si>
  <si>
    <t>Column1718</t>
  </si>
  <si>
    <t>Column1719</t>
  </si>
  <si>
    <t>Column1720</t>
  </si>
  <si>
    <t>Column1721</t>
  </si>
  <si>
    <t>Column1722</t>
  </si>
  <si>
    <t>Column1723</t>
  </si>
  <si>
    <t>Column1724</t>
  </si>
  <si>
    <t>Column1725</t>
  </si>
  <si>
    <t>Column1726</t>
  </si>
  <si>
    <t>Column1727</t>
  </si>
  <si>
    <t>Column1728</t>
  </si>
  <si>
    <t>Column1729</t>
  </si>
  <si>
    <t>Column1730</t>
  </si>
  <si>
    <t>Column1731</t>
  </si>
  <si>
    <t>Column1732</t>
  </si>
  <si>
    <t>Column1733</t>
  </si>
  <si>
    <t>Column1734</t>
  </si>
  <si>
    <t>Column1735</t>
  </si>
  <si>
    <t>Column1736</t>
  </si>
  <si>
    <t>Column1737</t>
  </si>
  <si>
    <t>Column1738</t>
  </si>
  <si>
    <t>Column1739</t>
  </si>
  <si>
    <t>Column1740</t>
  </si>
  <si>
    <t>Column1741</t>
  </si>
  <si>
    <t>Column1742</t>
  </si>
  <si>
    <t>Column1743</t>
  </si>
  <si>
    <t>Column1744</t>
  </si>
  <si>
    <t>Column1745</t>
  </si>
  <si>
    <t>Column1746</t>
  </si>
  <si>
    <t>Column1747</t>
  </si>
  <si>
    <t>Column1748</t>
  </si>
  <si>
    <t>Column1749</t>
  </si>
  <si>
    <t>Column1750</t>
  </si>
  <si>
    <t>Column1751</t>
  </si>
  <si>
    <t>Column1752</t>
  </si>
  <si>
    <t>Column1753</t>
  </si>
  <si>
    <t>Column1754</t>
  </si>
  <si>
    <t>Column1755</t>
  </si>
  <si>
    <t>Column1756</t>
  </si>
  <si>
    <t>Column1757</t>
  </si>
  <si>
    <t>Column1758</t>
  </si>
  <si>
    <t>Column1759</t>
  </si>
  <si>
    <t>Column1760</t>
  </si>
  <si>
    <t>Column1761</t>
  </si>
  <si>
    <t>Column1762</t>
  </si>
  <si>
    <t>Column1763</t>
  </si>
  <si>
    <t>Column1764</t>
  </si>
  <si>
    <t>Column1765</t>
  </si>
  <si>
    <t>Column1766</t>
  </si>
  <si>
    <t>Column1767</t>
  </si>
  <si>
    <t>Column1768</t>
  </si>
  <si>
    <t>Column1769</t>
  </si>
  <si>
    <t>Column1770</t>
  </si>
  <si>
    <t>Column1771</t>
  </si>
  <si>
    <t>Column1772</t>
  </si>
  <si>
    <t>Column1773</t>
  </si>
  <si>
    <t>Column1774</t>
  </si>
  <si>
    <t>Column1775</t>
  </si>
  <si>
    <t>Column1776</t>
  </si>
  <si>
    <t>Column1777</t>
  </si>
  <si>
    <t>Column1778</t>
  </si>
  <si>
    <t>Column1779</t>
  </si>
  <si>
    <t>Column1780</t>
  </si>
  <si>
    <t>Column1781</t>
  </si>
  <si>
    <t>Column1782</t>
  </si>
  <si>
    <t>Column1783</t>
  </si>
  <si>
    <t>Column1784</t>
  </si>
  <si>
    <t>Column1785</t>
  </si>
  <si>
    <t>Column1786</t>
  </si>
  <si>
    <t>Column1787</t>
  </si>
  <si>
    <t>Column1788</t>
  </si>
  <si>
    <t>Column1789</t>
  </si>
  <si>
    <t>Column1790</t>
  </si>
  <si>
    <t>Column1791</t>
  </si>
  <si>
    <t>Column1792</t>
  </si>
  <si>
    <t>Column1793</t>
  </si>
  <si>
    <t>Column1794</t>
  </si>
  <si>
    <t>Column1795</t>
  </si>
  <si>
    <t>Column1796</t>
  </si>
  <si>
    <t>Column1797</t>
  </si>
  <si>
    <t>Column1798</t>
  </si>
  <si>
    <t>Column1799</t>
  </si>
  <si>
    <t>Column1800</t>
  </si>
  <si>
    <t>Column1801</t>
  </si>
  <si>
    <t>Column1802</t>
  </si>
  <si>
    <t>Column1803</t>
  </si>
  <si>
    <t>Column1804</t>
  </si>
  <si>
    <t>Column1805</t>
  </si>
  <si>
    <t>Column1806</t>
  </si>
  <si>
    <t>Column1807</t>
  </si>
  <si>
    <t>Column1808</t>
  </si>
  <si>
    <t>Column1809</t>
  </si>
  <si>
    <t>Column1810</t>
  </si>
  <si>
    <t>Column1811</t>
  </si>
  <si>
    <t>Column1812</t>
  </si>
  <si>
    <t>Column1813</t>
  </si>
  <si>
    <t>Column1814</t>
  </si>
  <si>
    <t>Column1815</t>
  </si>
  <si>
    <t>Column1816</t>
  </si>
  <si>
    <t>Column1817</t>
  </si>
  <si>
    <t>Column1818</t>
  </si>
  <si>
    <t>Column1819</t>
  </si>
  <si>
    <t>Column1820</t>
  </si>
  <si>
    <t>Column1821</t>
  </si>
  <si>
    <t>Column1822</t>
  </si>
  <si>
    <t>Column1823</t>
  </si>
  <si>
    <t>Column1824</t>
  </si>
  <si>
    <t>Column1825</t>
  </si>
  <si>
    <t>Column1826</t>
  </si>
  <si>
    <t>Column1827</t>
  </si>
  <si>
    <t>Column1828</t>
  </si>
  <si>
    <t>Column1829</t>
  </si>
  <si>
    <t>Column1830</t>
  </si>
  <si>
    <t>Column1831</t>
  </si>
  <si>
    <t>Column1832</t>
  </si>
  <si>
    <t>Column1833</t>
  </si>
  <si>
    <t>Column1834</t>
  </si>
  <si>
    <t>Column1835</t>
  </si>
  <si>
    <t>Column1836</t>
  </si>
  <si>
    <t>Column1837</t>
  </si>
  <si>
    <t>Column1838</t>
  </si>
  <si>
    <t>Column1839</t>
  </si>
  <si>
    <t>Column1840</t>
  </si>
  <si>
    <t>Column1841</t>
  </si>
  <si>
    <t>Column1842</t>
  </si>
  <si>
    <t>Column1843</t>
  </si>
  <si>
    <t>Column1844</t>
  </si>
  <si>
    <t>Column1845</t>
  </si>
  <si>
    <t>Column1846</t>
  </si>
  <si>
    <t>Column1847</t>
  </si>
  <si>
    <t>Column1848</t>
  </si>
  <si>
    <t>Column1849</t>
  </si>
  <si>
    <t>Column1850</t>
  </si>
  <si>
    <t>Column1851</t>
  </si>
  <si>
    <t>Column1852</t>
  </si>
  <si>
    <t>Column1853</t>
  </si>
  <si>
    <t>Column1854</t>
  </si>
  <si>
    <t>Column1855</t>
  </si>
  <si>
    <t>Column1856</t>
  </si>
  <si>
    <t>Column1857</t>
  </si>
  <si>
    <t>Column1858</t>
  </si>
  <si>
    <t>Column1859</t>
  </si>
  <si>
    <t>Column1860</t>
  </si>
  <si>
    <t>Column1861</t>
  </si>
  <si>
    <t>Column1862</t>
  </si>
  <si>
    <t>Column1863</t>
  </si>
  <si>
    <t>Column1864</t>
  </si>
  <si>
    <t>Column1865</t>
  </si>
  <si>
    <t>Column1866</t>
  </si>
  <si>
    <t>Column1867</t>
  </si>
  <si>
    <t>Column1868</t>
  </si>
  <si>
    <t>Column1869</t>
  </si>
  <si>
    <t>Column1870</t>
  </si>
  <si>
    <t>Column1871</t>
  </si>
  <si>
    <t>Column1872</t>
  </si>
  <si>
    <t>Column1873</t>
  </si>
  <si>
    <t>Column1874</t>
  </si>
  <si>
    <t>Column1875</t>
  </si>
  <si>
    <t>Column1876</t>
  </si>
  <si>
    <t>Column1877</t>
  </si>
  <si>
    <t>Column1878</t>
  </si>
  <si>
    <t>Column1879</t>
  </si>
  <si>
    <t>Column1880</t>
  </si>
  <si>
    <t>Column1881</t>
  </si>
  <si>
    <t>Column1882</t>
  </si>
  <si>
    <t>Column1883</t>
  </si>
  <si>
    <t>Column1884</t>
  </si>
  <si>
    <t>Column1885</t>
  </si>
  <si>
    <t>Column1886</t>
  </si>
  <si>
    <t>Column1887</t>
  </si>
  <si>
    <t>Column1888</t>
  </si>
  <si>
    <t>Column1889</t>
  </si>
  <si>
    <t>Column1890</t>
  </si>
  <si>
    <t>Column1891</t>
  </si>
  <si>
    <t>Column1892</t>
  </si>
  <si>
    <t>Column1893</t>
  </si>
  <si>
    <t>Column1894</t>
  </si>
  <si>
    <t>Column1895</t>
  </si>
  <si>
    <t>Column1896</t>
  </si>
  <si>
    <t>Column1897</t>
  </si>
  <si>
    <t>Column1898</t>
  </si>
  <si>
    <t>Column1899</t>
  </si>
  <si>
    <t>Column1900</t>
  </si>
  <si>
    <t>Column1901</t>
  </si>
  <si>
    <t>Column1902</t>
  </si>
  <si>
    <t>Column1903</t>
  </si>
  <si>
    <t>Column1904</t>
  </si>
  <si>
    <t>Column1905</t>
  </si>
  <si>
    <t>Column1906</t>
  </si>
  <si>
    <t>Column1907</t>
  </si>
  <si>
    <t>Column1908</t>
  </si>
  <si>
    <t>Column1909</t>
  </si>
  <si>
    <t>Column1910</t>
  </si>
  <si>
    <t>Column1911</t>
  </si>
  <si>
    <t>Column1912</t>
  </si>
  <si>
    <t>Column1913</t>
  </si>
  <si>
    <t>Column1914</t>
  </si>
  <si>
    <t>Column1915</t>
  </si>
  <si>
    <t>Column1916</t>
  </si>
  <si>
    <t>Column1917</t>
  </si>
  <si>
    <t>Column1918</t>
  </si>
  <si>
    <t>Column1919</t>
  </si>
  <si>
    <t>Column1920</t>
  </si>
  <si>
    <t>Column1921</t>
  </si>
  <si>
    <t>Column1922</t>
  </si>
  <si>
    <t>Column1923</t>
  </si>
  <si>
    <t>Column1924</t>
  </si>
  <si>
    <t>Column1925</t>
  </si>
  <si>
    <t>Column1926</t>
  </si>
  <si>
    <t>Column1927</t>
  </si>
  <si>
    <t>Column1928</t>
  </si>
  <si>
    <t>Column1929</t>
  </si>
  <si>
    <t>Column1930</t>
  </si>
  <si>
    <t>Column1931</t>
  </si>
  <si>
    <t>Column1932</t>
  </si>
  <si>
    <t>Column1933</t>
  </si>
  <si>
    <t>Column1934</t>
  </si>
  <si>
    <t>Column1935</t>
  </si>
  <si>
    <t>Column1936</t>
  </si>
  <si>
    <t>Column1937</t>
  </si>
  <si>
    <t>Column1938</t>
  </si>
  <si>
    <t>Column1939</t>
  </si>
  <si>
    <t>Column1940</t>
  </si>
  <si>
    <t>Column1941</t>
  </si>
  <si>
    <t>Column1942</t>
  </si>
  <si>
    <t>Column1943</t>
  </si>
  <si>
    <t>Column1944</t>
  </si>
  <si>
    <t>Column1945</t>
  </si>
  <si>
    <t>Column1946</t>
  </si>
  <si>
    <t>Column1947</t>
  </si>
  <si>
    <t>Column1948</t>
  </si>
  <si>
    <t>Column1949</t>
  </si>
  <si>
    <t>Column1950</t>
  </si>
  <si>
    <t>Column1951</t>
  </si>
  <si>
    <t>Column1952</t>
  </si>
  <si>
    <t>Column1953</t>
  </si>
  <si>
    <t>Column1954</t>
  </si>
  <si>
    <t>Column1955</t>
  </si>
  <si>
    <t>Column1956</t>
  </si>
  <si>
    <t>Column1957</t>
  </si>
  <si>
    <t>Column1958</t>
  </si>
  <si>
    <t>Column1959</t>
  </si>
  <si>
    <t>Column1960</t>
  </si>
  <si>
    <t>Column1961</t>
  </si>
  <si>
    <t>Column1962</t>
  </si>
  <si>
    <t>Column1963</t>
  </si>
  <si>
    <t>Column1964</t>
  </si>
  <si>
    <t>Column1965</t>
  </si>
  <si>
    <t>Column1966</t>
  </si>
  <si>
    <t>Column1967</t>
  </si>
  <si>
    <t>Column1968</t>
  </si>
  <si>
    <t>Column1969</t>
  </si>
  <si>
    <t>Column1970</t>
  </si>
  <si>
    <t>Column1971</t>
  </si>
  <si>
    <t>Column1972</t>
  </si>
  <si>
    <t>Column1973</t>
  </si>
  <si>
    <t>Column1974</t>
  </si>
  <si>
    <t>Column1975</t>
  </si>
  <si>
    <t>Column1976</t>
  </si>
  <si>
    <t>Column1977</t>
  </si>
  <si>
    <t>Column1978</t>
  </si>
  <si>
    <t>Column1979</t>
  </si>
  <si>
    <t>Column1980</t>
  </si>
  <si>
    <t>Column1981</t>
  </si>
  <si>
    <t>Column1982</t>
  </si>
  <si>
    <t>Column1983</t>
  </si>
  <si>
    <t>Column1984</t>
  </si>
  <si>
    <t>Column1985</t>
  </si>
  <si>
    <t>Column1986</t>
  </si>
  <si>
    <t>Column1987</t>
  </si>
  <si>
    <t>Column1988</t>
  </si>
  <si>
    <t>Column1989</t>
  </si>
  <si>
    <t>Column1990</t>
  </si>
  <si>
    <t>Column1991</t>
  </si>
  <si>
    <t>Column1992</t>
  </si>
  <si>
    <t>Column1993</t>
  </si>
  <si>
    <t>Column1994</t>
  </si>
  <si>
    <t>Column1995</t>
  </si>
  <si>
    <t>Column1996</t>
  </si>
  <si>
    <t>Column1997</t>
  </si>
  <si>
    <t>Column1998</t>
  </si>
  <si>
    <t>Column1999</t>
  </si>
  <si>
    <t>Column2000</t>
  </si>
  <si>
    <t>Column2001</t>
  </si>
  <si>
    <t>Column2002</t>
  </si>
  <si>
    <t>Column2003</t>
  </si>
  <si>
    <t>Column2004</t>
  </si>
  <si>
    <t>Column2005</t>
  </si>
  <si>
    <t>Column2006</t>
  </si>
  <si>
    <t>Column2007</t>
  </si>
  <si>
    <t>Column2008</t>
  </si>
  <si>
    <t>Column2009</t>
  </si>
  <si>
    <t>Column2010</t>
  </si>
  <si>
    <t>Column2011</t>
  </si>
  <si>
    <t>Column2012</t>
  </si>
  <si>
    <t>Column2013</t>
  </si>
  <si>
    <t>Column2014</t>
  </si>
  <si>
    <t>Column2015</t>
  </si>
  <si>
    <t>Column2016</t>
  </si>
  <si>
    <t>Column2017</t>
  </si>
  <si>
    <t>Column2018</t>
  </si>
  <si>
    <t>Column2019</t>
  </si>
  <si>
    <t>Column2020</t>
  </si>
  <si>
    <t>Column2021</t>
  </si>
  <si>
    <t>Column2022</t>
  </si>
  <si>
    <t>Column2023</t>
  </si>
  <si>
    <t>Column2024</t>
  </si>
  <si>
    <t>Column2025</t>
  </si>
  <si>
    <t>Column2026</t>
  </si>
  <si>
    <t>Column2027</t>
  </si>
  <si>
    <t>Column2028</t>
  </si>
  <si>
    <t>Column2029</t>
  </si>
  <si>
    <t>Column2030</t>
  </si>
  <si>
    <t>Column2031</t>
  </si>
  <si>
    <t>Column2032</t>
  </si>
  <si>
    <t>Column2033</t>
  </si>
  <si>
    <t>Column2034</t>
  </si>
  <si>
    <t>Column2035</t>
  </si>
  <si>
    <t>Column2036</t>
  </si>
  <si>
    <t>Column2037</t>
  </si>
  <si>
    <t>Column2038</t>
  </si>
  <si>
    <t>Column2039</t>
  </si>
  <si>
    <t>Column2040</t>
  </si>
  <si>
    <t>Column2041</t>
  </si>
  <si>
    <t>Column2042</t>
  </si>
  <si>
    <t>Column2043</t>
  </si>
  <si>
    <t>Column2044</t>
  </si>
  <si>
    <t>Column2045</t>
  </si>
  <si>
    <t>Column2046</t>
  </si>
  <si>
    <t>Column2047</t>
  </si>
  <si>
    <t>Column2048</t>
  </si>
  <si>
    <t>Column2049</t>
  </si>
  <si>
    <t>Column2050</t>
  </si>
  <si>
    <t>Column2051</t>
  </si>
  <si>
    <t>Column2052</t>
  </si>
  <si>
    <t>Column2053</t>
  </si>
  <si>
    <t>Column2054</t>
  </si>
  <si>
    <t>Column2055</t>
  </si>
  <si>
    <t>Column2056</t>
  </si>
  <si>
    <t>Column2057</t>
  </si>
  <si>
    <t>Column2058</t>
  </si>
  <si>
    <t>Column2059</t>
  </si>
  <si>
    <t>Column2060</t>
  </si>
  <si>
    <t>Column2061</t>
  </si>
  <si>
    <t>Column2062</t>
  </si>
  <si>
    <t>Column2063</t>
  </si>
  <si>
    <t>Column2064</t>
  </si>
  <si>
    <t>Column2065</t>
  </si>
  <si>
    <t>Column2066</t>
  </si>
  <si>
    <t>Column2067</t>
  </si>
  <si>
    <t>Column2068</t>
  </si>
  <si>
    <t>Column2069</t>
  </si>
  <si>
    <t>Column2070</t>
  </si>
  <si>
    <t>Column2071</t>
  </si>
  <si>
    <t>Column2072</t>
  </si>
  <si>
    <t>Column2073</t>
  </si>
  <si>
    <t>Column2074</t>
  </si>
  <si>
    <t>Column2075</t>
  </si>
  <si>
    <t>Column2076</t>
  </si>
  <si>
    <t>Column2077</t>
  </si>
  <si>
    <t>Column2078</t>
  </si>
  <si>
    <t>Column2079</t>
  </si>
  <si>
    <t>Column2080</t>
  </si>
  <si>
    <t>Column2081</t>
  </si>
  <si>
    <t>Column2082</t>
  </si>
  <si>
    <t>Column2083</t>
  </si>
  <si>
    <t>Column2084</t>
  </si>
  <si>
    <t>Column2085</t>
  </si>
  <si>
    <t>Column2086</t>
  </si>
  <si>
    <t>Column2087</t>
  </si>
  <si>
    <t>Column2088</t>
  </si>
  <si>
    <t>Column2089</t>
  </si>
  <si>
    <t>Column2090</t>
  </si>
  <si>
    <t>Column2091</t>
  </si>
  <si>
    <t>Column2092</t>
  </si>
  <si>
    <t>Column2093</t>
  </si>
  <si>
    <t>Column2094</t>
  </si>
  <si>
    <t>Column2095</t>
  </si>
  <si>
    <t>Column2096</t>
  </si>
  <si>
    <t>Column2097</t>
  </si>
  <si>
    <t>Column2098</t>
  </si>
  <si>
    <t>Column2099</t>
  </si>
  <si>
    <t>Column2100</t>
  </si>
  <si>
    <t>Column2101</t>
  </si>
  <si>
    <t>Column2102</t>
  </si>
  <si>
    <t>Column2103</t>
  </si>
  <si>
    <t>Column2104</t>
  </si>
  <si>
    <t>Column2105</t>
  </si>
  <si>
    <t>Column2106</t>
  </si>
  <si>
    <t>Column2107</t>
  </si>
  <si>
    <t>Column2108</t>
  </si>
  <si>
    <t>Column2109</t>
  </si>
  <si>
    <t>Column2110</t>
  </si>
  <si>
    <t>Column2111</t>
  </si>
  <si>
    <t>Column2112</t>
  </si>
  <si>
    <t>Column2113</t>
  </si>
  <si>
    <t>Column2114</t>
  </si>
  <si>
    <t>Column2115</t>
  </si>
  <si>
    <t>Column2116</t>
  </si>
  <si>
    <t>Column2117</t>
  </si>
  <si>
    <t>Column2118</t>
  </si>
  <si>
    <t>Column2119</t>
  </si>
  <si>
    <t>Column2120</t>
  </si>
  <si>
    <t>Column2121</t>
  </si>
  <si>
    <t>Column2122</t>
  </si>
  <si>
    <t>Column2123</t>
  </si>
  <si>
    <t>Column2124</t>
  </si>
  <si>
    <t>Column2125</t>
  </si>
  <si>
    <t>Column2126</t>
  </si>
  <si>
    <t>Column2127</t>
  </si>
  <si>
    <t>Column2128</t>
  </si>
  <si>
    <t>Column2129</t>
  </si>
  <si>
    <t>Column2130</t>
  </si>
  <si>
    <t>Column2131</t>
  </si>
  <si>
    <t>Column2132</t>
  </si>
  <si>
    <t>Column2133</t>
  </si>
  <si>
    <t>Column2134</t>
  </si>
  <si>
    <t>Column2135</t>
  </si>
  <si>
    <t>Column2136</t>
  </si>
  <si>
    <t>Column2137</t>
  </si>
  <si>
    <t>Column2138</t>
  </si>
  <si>
    <t>Column2139</t>
  </si>
  <si>
    <t>Column2140</t>
  </si>
  <si>
    <t>Column2141</t>
  </si>
  <si>
    <t>Column2142</t>
  </si>
  <si>
    <t>Column2143</t>
  </si>
  <si>
    <t>Column2144</t>
  </si>
  <si>
    <t>Column2145</t>
  </si>
  <si>
    <t>Column2146</t>
  </si>
  <si>
    <t>Column2147</t>
  </si>
  <si>
    <t>Column2148</t>
  </si>
  <si>
    <t>Column2149</t>
  </si>
  <si>
    <t>Column2150</t>
  </si>
  <si>
    <t>Column2151</t>
  </si>
  <si>
    <t>Column2152</t>
  </si>
  <si>
    <t>Column2153</t>
  </si>
  <si>
    <t>Column2154</t>
  </si>
  <si>
    <t>Column2155</t>
  </si>
  <si>
    <t>Column2156</t>
  </si>
  <si>
    <t>Column2157</t>
  </si>
  <si>
    <t>Column2158</t>
  </si>
  <si>
    <t>Column2159</t>
  </si>
  <si>
    <t>Column2160</t>
  </si>
  <si>
    <t>Column2161</t>
  </si>
  <si>
    <t>Column2162</t>
  </si>
  <si>
    <t>Column2163</t>
  </si>
  <si>
    <t>Column2164</t>
  </si>
  <si>
    <t>Column2165</t>
  </si>
  <si>
    <t>Column2166</t>
  </si>
  <si>
    <t>Column2167</t>
  </si>
  <si>
    <t>Column2168</t>
  </si>
  <si>
    <t>Column2169</t>
  </si>
  <si>
    <t>Column2170</t>
  </si>
  <si>
    <t>Column2171</t>
  </si>
  <si>
    <t>Column2172</t>
  </si>
  <si>
    <t>Column2173</t>
  </si>
  <si>
    <t>Column2174</t>
  </si>
  <si>
    <t>Column2175</t>
  </si>
  <si>
    <t>Column2176</t>
  </si>
  <si>
    <t>Column2177</t>
  </si>
  <si>
    <t>Column2178</t>
  </si>
  <si>
    <t>Column2179</t>
  </si>
  <si>
    <t>Column2180</t>
  </si>
  <si>
    <t>Column2181</t>
  </si>
  <si>
    <t>Column2182</t>
  </si>
  <si>
    <t>Column2183</t>
  </si>
  <si>
    <t>Column2184</t>
  </si>
  <si>
    <t>Column2185</t>
  </si>
  <si>
    <t>Column2186</t>
  </si>
  <si>
    <t>Column2187</t>
  </si>
  <si>
    <t>Column2188</t>
  </si>
  <si>
    <t>Column2189</t>
  </si>
  <si>
    <t>Column2190</t>
  </si>
  <si>
    <t>Column2191</t>
  </si>
  <si>
    <t>Column2192</t>
  </si>
  <si>
    <t>Column2193</t>
  </si>
  <si>
    <t>Column2194</t>
  </si>
  <si>
    <t>Column2195</t>
  </si>
  <si>
    <t>Column2196</t>
  </si>
  <si>
    <t>Column2197</t>
  </si>
  <si>
    <t>Column2198</t>
  </si>
  <si>
    <t>Column2199</t>
  </si>
  <si>
    <t>Column2200</t>
  </si>
  <si>
    <t>Column2201</t>
  </si>
  <si>
    <t>Column2202</t>
  </si>
  <si>
    <t>Column2203</t>
  </si>
  <si>
    <t>Column2204</t>
  </si>
  <si>
    <t>Column2205</t>
  </si>
  <si>
    <t>Column2206</t>
  </si>
  <si>
    <t>Column2207</t>
  </si>
  <si>
    <t>Column2208</t>
  </si>
  <si>
    <t>Column2209</t>
  </si>
  <si>
    <t>Column2210</t>
  </si>
  <si>
    <t>Column2211</t>
  </si>
  <si>
    <t>Column2212</t>
  </si>
  <si>
    <t>Column2213</t>
  </si>
  <si>
    <t>Column2214</t>
  </si>
  <si>
    <t>Column2215</t>
  </si>
  <si>
    <t>Column2216</t>
  </si>
  <si>
    <t>Column2217</t>
  </si>
  <si>
    <t>Column2218</t>
  </si>
  <si>
    <t>Column2219</t>
  </si>
  <si>
    <t>Column2220</t>
  </si>
  <si>
    <t>Column2221</t>
  </si>
  <si>
    <t>Column2222</t>
  </si>
  <si>
    <t>Column2223</t>
  </si>
  <si>
    <t>Column2224</t>
  </si>
  <si>
    <t>Column2225</t>
  </si>
  <si>
    <t>Column2226</t>
  </si>
  <si>
    <t>Column2227</t>
  </si>
  <si>
    <t>Column2228</t>
  </si>
  <si>
    <t>Column2229</t>
  </si>
  <si>
    <t>Column2230</t>
  </si>
  <si>
    <t>Column2231</t>
  </si>
  <si>
    <t>Column2232</t>
  </si>
  <si>
    <t>Column2233</t>
  </si>
  <si>
    <t>Column2234</t>
  </si>
  <si>
    <t>Column2235</t>
  </si>
  <si>
    <t>Column2236</t>
  </si>
  <si>
    <t>Column2237</t>
  </si>
  <si>
    <t>Column2238</t>
  </si>
  <si>
    <t>Column2239</t>
  </si>
  <si>
    <t>Column2240</t>
  </si>
  <si>
    <t>Column2241</t>
  </si>
  <si>
    <t>Column2242</t>
  </si>
  <si>
    <t>Column2243</t>
  </si>
  <si>
    <t>Column2244</t>
  </si>
  <si>
    <t>Column2245</t>
  </si>
  <si>
    <t>Column2246</t>
  </si>
  <si>
    <t>Column2247</t>
  </si>
  <si>
    <t>Column2248</t>
  </si>
  <si>
    <t>Column2249</t>
  </si>
  <si>
    <t>Column2250</t>
  </si>
  <si>
    <t>Column2251</t>
  </si>
  <si>
    <t>Column2252</t>
  </si>
  <si>
    <t>Column2253</t>
  </si>
  <si>
    <t>Column2254</t>
  </si>
  <si>
    <t>Column2255</t>
  </si>
  <si>
    <t>Column2256</t>
  </si>
  <si>
    <t>Column2257</t>
  </si>
  <si>
    <t>Column2258</t>
  </si>
  <si>
    <t>Column2259</t>
  </si>
  <si>
    <t>Column2260</t>
  </si>
  <si>
    <t>Column2261</t>
  </si>
  <si>
    <t>Column2262</t>
  </si>
  <si>
    <t>Column2263</t>
  </si>
  <si>
    <t>Column2264</t>
  </si>
  <si>
    <t>Column2265</t>
  </si>
  <si>
    <t>Column2266</t>
  </si>
  <si>
    <t>Column2267</t>
  </si>
  <si>
    <t>Column2268</t>
  </si>
  <si>
    <t>Column2269</t>
  </si>
  <si>
    <t>Column2270</t>
  </si>
  <si>
    <t>Column2271</t>
  </si>
  <si>
    <t>Column2272</t>
  </si>
  <si>
    <t>Column2273</t>
  </si>
  <si>
    <t>Column2274</t>
  </si>
  <si>
    <t>Column2275</t>
  </si>
  <si>
    <t>Column2276</t>
  </si>
  <si>
    <t>Column2277</t>
  </si>
  <si>
    <t>Column2278</t>
  </si>
  <si>
    <t>Column2279</t>
  </si>
  <si>
    <t>Column2280</t>
  </si>
  <si>
    <t>Column2281</t>
  </si>
  <si>
    <t>Column2282</t>
  </si>
  <si>
    <t>Column2283</t>
  </si>
  <si>
    <t>Column2284</t>
  </si>
  <si>
    <t>Column2285</t>
  </si>
  <si>
    <t>Column2286</t>
  </si>
  <si>
    <t>Column2287</t>
  </si>
  <si>
    <t>Column2288</t>
  </si>
  <si>
    <t>Column2289</t>
  </si>
  <si>
    <t>Column2290</t>
  </si>
  <si>
    <t>Column2291</t>
  </si>
  <si>
    <t>Column2292</t>
  </si>
  <si>
    <t>Column2293</t>
  </si>
  <si>
    <t>Column2294</t>
  </si>
  <si>
    <t>Column2295</t>
  </si>
  <si>
    <t>Column2296</t>
  </si>
  <si>
    <t>Column2297</t>
  </si>
  <si>
    <t>Column2298</t>
  </si>
  <si>
    <t>Column2299</t>
  </si>
  <si>
    <t>Column2300</t>
  </si>
  <si>
    <t>Column2301</t>
  </si>
  <si>
    <t>Column2302</t>
  </si>
  <si>
    <t>Column2303</t>
  </si>
  <si>
    <t>Column2304</t>
  </si>
  <si>
    <t>Column2305</t>
  </si>
  <si>
    <t>Column2306</t>
  </si>
  <si>
    <t>Column2307</t>
  </si>
  <si>
    <t>Column2308</t>
  </si>
  <si>
    <t>Column2309</t>
  </si>
  <si>
    <t>Column2310</t>
  </si>
  <si>
    <t>Column2311</t>
  </si>
  <si>
    <t>Column2312</t>
  </si>
  <si>
    <t>Column2313</t>
  </si>
  <si>
    <t>Column2314</t>
  </si>
  <si>
    <t>Column2315</t>
  </si>
  <si>
    <t>Column2316</t>
  </si>
  <si>
    <t>Column2317</t>
  </si>
  <si>
    <t>Column2318</t>
  </si>
  <si>
    <t>Column2319</t>
  </si>
  <si>
    <t>Column2320</t>
  </si>
  <si>
    <t>Column2321</t>
  </si>
  <si>
    <t>Column2322</t>
  </si>
  <si>
    <t>Column2323</t>
  </si>
  <si>
    <t>Column2324</t>
  </si>
  <si>
    <t>Column2325</t>
  </si>
  <si>
    <t>Column2326</t>
  </si>
  <si>
    <t>Column2327</t>
  </si>
  <si>
    <t>Column2328</t>
  </si>
  <si>
    <t>Column2329</t>
  </si>
  <si>
    <t>Column2330</t>
  </si>
  <si>
    <t>Column2331</t>
  </si>
  <si>
    <t>Column2332</t>
  </si>
  <si>
    <t>Column2333</t>
  </si>
  <si>
    <t>Column2334</t>
  </si>
  <si>
    <t>Column2335</t>
  </si>
  <si>
    <t>Column2336</t>
  </si>
  <si>
    <t>Column2337</t>
  </si>
  <si>
    <t>Column2338</t>
  </si>
  <si>
    <t>Column2339</t>
  </si>
  <si>
    <t>Column2340</t>
  </si>
  <si>
    <t>Column2341</t>
  </si>
  <si>
    <t>Column2342</t>
  </si>
  <si>
    <t>Column2343</t>
  </si>
  <si>
    <t>Column2344</t>
  </si>
  <si>
    <t>Column2345</t>
  </si>
  <si>
    <t>Column2346</t>
  </si>
  <si>
    <t>Column2347</t>
  </si>
  <si>
    <t>Column2348</t>
  </si>
  <si>
    <t>Column2349</t>
  </si>
  <si>
    <t>Column2350</t>
  </si>
  <si>
    <t>Column2351</t>
  </si>
  <si>
    <t>Column2352</t>
  </si>
  <si>
    <t>Column2353</t>
  </si>
  <si>
    <t>Column2354</t>
  </si>
  <si>
    <t>Column2355</t>
  </si>
  <si>
    <t>Column2356</t>
  </si>
  <si>
    <t>Column2357</t>
  </si>
  <si>
    <t>Column2358</t>
  </si>
  <si>
    <t>Column2359</t>
  </si>
  <si>
    <t>Column2360</t>
  </si>
  <si>
    <t>Column2361</t>
  </si>
  <si>
    <t>Column2362</t>
  </si>
  <si>
    <t>Column2363</t>
  </si>
  <si>
    <t>Column2364</t>
  </si>
  <si>
    <t>Column2365</t>
  </si>
  <si>
    <t>Column2366</t>
  </si>
  <si>
    <t>Column2367</t>
  </si>
  <si>
    <t>Column2368</t>
  </si>
  <si>
    <t>Column2369</t>
  </si>
  <si>
    <t>Column2370</t>
  </si>
  <si>
    <t>Column2371</t>
  </si>
  <si>
    <t>Column2372</t>
  </si>
  <si>
    <t>Column2373</t>
  </si>
  <si>
    <t>Column2374</t>
  </si>
  <si>
    <t>Column2375</t>
  </si>
  <si>
    <t>Column2376</t>
  </si>
  <si>
    <t>Column2377</t>
  </si>
  <si>
    <t>Column2378</t>
  </si>
  <si>
    <t>Column2379</t>
  </si>
  <si>
    <t>Column2380</t>
  </si>
  <si>
    <t>Column2381</t>
  </si>
  <si>
    <t>Column2382</t>
  </si>
  <si>
    <t>Column2383</t>
  </si>
  <si>
    <t>Column2384</t>
  </si>
  <si>
    <t>Column2385</t>
  </si>
  <si>
    <t>Column2386</t>
  </si>
  <si>
    <t>Column2387</t>
  </si>
  <si>
    <t>Column2388</t>
  </si>
  <si>
    <t>Column2389</t>
  </si>
  <si>
    <t>Column2390</t>
  </si>
  <si>
    <t>Column2391</t>
  </si>
  <si>
    <t>Column2392</t>
  </si>
  <si>
    <t>Column2393</t>
  </si>
  <si>
    <t>Column2394</t>
  </si>
  <si>
    <t>Column2395</t>
  </si>
  <si>
    <t>Column2396</t>
  </si>
  <si>
    <t>Column2397</t>
  </si>
  <si>
    <t>Column2398</t>
  </si>
  <si>
    <t>Column2399</t>
  </si>
  <si>
    <t>Column2400</t>
  </si>
  <si>
    <t>Column2401</t>
  </si>
  <si>
    <t>Column2402</t>
  </si>
  <si>
    <t>Column2403</t>
  </si>
  <si>
    <t>Column2404</t>
  </si>
  <si>
    <t>Column2405</t>
  </si>
  <si>
    <t>Column2406</t>
  </si>
  <si>
    <t>Column2407</t>
  </si>
  <si>
    <t>Column2408</t>
  </si>
  <si>
    <t>Column2409</t>
  </si>
  <si>
    <t>Column2410</t>
  </si>
  <si>
    <t>Column2411</t>
  </si>
  <si>
    <t>Column2412</t>
  </si>
  <si>
    <t>Column2413</t>
  </si>
  <si>
    <t>Column2414</t>
  </si>
  <si>
    <t>Column2415</t>
  </si>
  <si>
    <t>Column2416</t>
  </si>
  <si>
    <t>Column2417</t>
  </si>
  <si>
    <t>Column2418</t>
  </si>
  <si>
    <t>Column2419</t>
  </si>
  <si>
    <t>Column2420</t>
  </si>
  <si>
    <t>Column2421</t>
  </si>
  <si>
    <t>Column2422</t>
  </si>
  <si>
    <t>Column2423</t>
  </si>
  <si>
    <t>Column2424</t>
  </si>
  <si>
    <t>Column2425</t>
  </si>
  <si>
    <t>Column2426</t>
  </si>
  <si>
    <t>Column2427</t>
  </si>
  <si>
    <t>Column2428</t>
  </si>
  <si>
    <t>Column2429</t>
  </si>
  <si>
    <t>Column2430</t>
  </si>
  <si>
    <t>Column2431</t>
  </si>
  <si>
    <t>Column2432</t>
  </si>
  <si>
    <t>Column2433</t>
  </si>
  <si>
    <t>Column2434</t>
  </si>
  <si>
    <t>Column2435</t>
  </si>
  <si>
    <t>Column2436</t>
  </si>
  <si>
    <t>Column2437</t>
  </si>
  <si>
    <t>Column2438</t>
  </si>
  <si>
    <t>Column2439</t>
  </si>
  <si>
    <t>Column2440</t>
  </si>
  <si>
    <t>Column2441</t>
  </si>
  <si>
    <t>Column2442</t>
  </si>
  <si>
    <t>Column2443</t>
  </si>
  <si>
    <t>Column2444</t>
  </si>
  <si>
    <t>Column2445</t>
  </si>
  <si>
    <t>Column2446</t>
  </si>
  <si>
    <t>Column2447</t>
  </si>
  <si>
    <t>Column2448</t>
  </si>
  <si>
    <t>Column2449</t>
  </si>
  <si>
    <t>Column2450</t>
  </si>
  <si>
    <t>Column2451</t>
  </si>
  <si>
    <t>Column2452</t>
  </si>
  <si>
    <t>Column2453</t>
  </si>
  <si>
    <t>Column2454</t>
  </si>
  <si>
    <t>Column2455</t>
  </si>
  <si>
    <t>Column2456</t>
  </si>
  <si>
    <t>Column2457</t>
  </si>
  <si>
    <t>Column2458</t>
  </si>
  <si>
    <t>Column2459</t>
  </si>
  <si>
    <t>Column2460</t>
  </si>
  <si>
    <t>Column2461</t>
  </si>
  <si>
    <t>Column2462</t>
  </si>
  <si>
    <t>Column2463</t>
  </si>
  <si>
    <t>Column2464</t>
  </si>
  <si>
    <t>Column2465</t>
  </si>
  <si>
    <t>Column2466</t>
  </si>
  <si>
    <t>Column2467</t>
  </si>
  <si>
    <t>Column2468</t>
  </si>
  <si>
    <t>Column2469</t>
  </si>
  <si>
    <t>Column2470</t>
  </si>
  <si>
    <t>Column2471</t>
  </si>
  <si>
    <t>Column2472</t>
  </si>
  <si>
    <t>Column2473</t>
  </si>
  <si>
    <t>Column2474</t>
  </si>
  <si>
    <t>Column2475</t>
  </si>
  <si>
    <t>Column2476</t>
  </si>
  <si>
    <t>Column2477</t>
  </si>
  <si>
    <t>Column2478</t>
  </si>
  <si>
    <t>Column2479</t>
  </si>
  <si>
    <t>Column2480</t>
  </si>
  <si>
    <t>Column2481</t>
  </si>
  <si>
    <t>Column2482</t>
  </si>
  <si>
    <t>Column2483</t>
  </si>
  <si>
    <t>Column2484</t>
  </si>
  <si>
    <t>Column2485</t>
  </si>
  <si>
    <t>Column2486</t>
  </si>
  <si>
    <t>Column2487</t>
  </si>
  <si>
    <t>Column2488</t>
  </si>
  <si>
    <t>Column2489</t>
  </si>
  <si>
    <t>Column2490</t>
  </si>
  <si>
    <t>Column2491</t>
  </si>
  <si>
    <t>Column2492</t>
  </si>
  <si>
    <t>Column2493</t>
  </si>
  <si>
    <t>Column2494</t>
  </si>
  <si>
    <t>Column2495</t>
  </si>
  <si>
    <t>Column2496</t>
  </si>
  <si>
    <t>Column2497</t>
  </si>
  <si>
    <t>Column2498</t>
  </si>
  <si>
    <t>Column2499</t>
  </si>
  <si>
    <t>Column2500</t>
  </si>
  <si>
    <t>Column2501</t>
  </si>
  <si>
    <t>Column2502</t>
  </si>
  <si>
    <t>Column2503</t>
  </si>
  <si>
    <t>Column2504</t>
  </si>
  <si>
    <t>Column2505</t>
  </si>
  <si>
    <t>Column2506</t>
  </si>
  <si>
    <t>Column2507</t>
  </si>
  <si>
    <t>Column2508</t>
  </si>
  <si>
    <t>Column2509</t>
  </si>
  <si>
    <t>Column2510</t>
  </si>
  <si>
    <t>Column2511</t>
  </si>
  <si>
    <t>Column2512</t>
  </si>
  <si>
    <t>Column2513</t>
  </si>
  <si>
    <t>Column2514</t>
  </si>
  <si>
    <t>Column2515</t>
  </si>
  <si>
    <t>Column2516</t>
  </si>
  <si>
    <t>Column2517</t>
  </si>
  <si>
    <t>Column2518</t>
  </si>
  <si>
    <t>Column2519</t>
  </si>
  <si>
    <t>Column2520</t>
  </si>
  <si>
    <t>Column2521</t>
  </si>
  <si>
    <t>Column2522</t>
  </si>
  <si>
    <t>Column2523</t>
  </si>
  <si>
    <t>Column2524</t>
  </si>
  <si>
    <t>Column2525</t>
  </si>
  <si>
    <t>Column2526</t>
  </si>
  <si>
    <t>Column2527</t>
  </si>
  <si>
    <t>Column2528</t>
  </si>
  <si>
    <t>Column2529</t>
  </si>
  <si>
    <t>Column2530</t>
  </si>
  <si>
    <t>Column2531</t>
  </si>
  <si>
    <t>Column2532</t>
  </si>
  <si>
    <t>Column2533</t>
  </si>
  <si>
    <t>Column2534</t>
  </si>
  <si>
    <t>Column2535</t>
  </si>
  <si>
    <t>Column2536</t>
  </si>
  <si>
    <t>Column2537</t>
  </si>
  <si>
    <t>Column2538</t>
  </si>
  <si>
    <t>Column2539</t>
  </si>
  <si>
    <t>Column2540</t>
  </si>
  <si>
    <t>Column2541</t>
  </si>
  <si>
    <t>Column2542</t>
  </si>
  <si>
    <t>Column2543</t>
  </si>
  <si>
    <t>Column2544</t>
  </si>
  <si>
    <t>Column2545</t>
  </si>
  <si>
    <t>Column2546</t>
  </si>
  <si>
    <t>Column2547</t>
  </si>
  <si>
    <t>Column2548</t>
  </si>
  <si>
    <t>Column2549</t>
  </si>
  <si>
    <t>Column2550</t>
  </si>
  <si>
    <t>Column2551</t>
  </si>
  <si>
    <t>Column2552</t>
  </si>
  <si>
    <t>Column2553</t>
  </si>
  <si>
    <t>Column2554</t>
  </si>
  <si>
    <t>Column2555</t>
  </si>
  <si>
    <t>Column2556</t>
  </si>
  <si>
    <t>Column2557</t>
  </si>
  <si>
    <t>Column2558</t>
  </si>
  <si>
    <t>Column2559</t>
  </si>
  <si>
    <t>Column2560</t>
  </si>
  <si>
    <t>Column2561</t>
  </si>
  <si>
    <t>Column2562</t>
  </si>
  <si>
    <t>Column2563</t>
  </si>
  <si>
    <t>Column2564</t>
  </si>
  <si>
    <t>Column2565</t>
  </si>
  <si>
    <t>Column2566</t>
  </si>
  <si>
    <t>Column2567</t>
  </si>
  <si>
    <t>Column2568</t>
  </si>
  <si>
    <t>Column2569</t>
  </si>
  <si>
    <t>Column2570</t>
  </si>
  <si>
    <t>Column2571</t>
  </si>
  <si>
    <t>Column2572</t>
  </si>
  <si>
    <t>Column2573</t>
  </si>
  <si>
    <t>Column2574</t>
  </si>
  <si>
    <t>Column2575</t>
  </si>
  <si>
    <t>Column2576</t>
  </si>
  <si>
    <t>Column2577</t>
  </si>
  <si>
    <t>Column2578</t>
  </si>
  <si>
    <t>Column2579</t>
  </si>
  <si>
    <t>Column2580</t>
  </si>
  <si>
    <t>Column2581</t>
  </si>
  <si>
    <t>Column2582</t>
  </si>
  <si>
    <t>Column2583</t>
  </si>
  <si>
    <t>Column2584</t>
  </si>
  <si>
    <t>Column2585</t>
  </si>
  <si>
    <t>Column2586</t>
  </si>
  <si>
    <t>Column2587</t>
  </si>
  <si>
    <t>Column2588</t>
  </si>
  <si>
    <t>Column2589</t>
  </si>
  <si>
    <t>Column2590</t>
  </si>
  <si>
    <t>Column2591</t>
  </si>
  <si>
    <t>Column2592</t>
  </si>
  <si>
    <t>Column2593</t>
  </si>
  <si>
    <t>Column2594</t>
  </si>
  <si>
    <t>Column2595</t>
  </si>
  <si>
    <t>Column2596</t>
  </si>
  <si>
    <t>Column2597</t>
  </si>
  <si>
    <t>Column2598</t>
  </si>
  <si>
    <t>Column2599</t>
  </si>
  <si>
    <t>Column2600</t>
  </si>
  <si>
    <t>Column2601</t>
  </si>
  <si>
    <t>Column2602</t>
  </si>
  <si>
    <t>Column2603</t>
  </si>
  <si>
    <t>Column2604</t>
  </si>
  <si>
    <t>Column2605</t>
  </si>
  <si>
    <t>Column2606</t>
  </si>
  <si>
    <t>Column2607</t>
  </si>
  <si>
    <t>Column2608</t>
  </si>
  <si>
    <t>Column2609</t>
  </si>
  <si>
    <t>Column2610</t>
  </si>
  <si>
    <t>Column2611</t>
  </si>
  <si>
    <t>Column2612</t>
  </si>
  <si>
    <t>Column2613</t>
  </si>
  <si>
    <t>Column2614</t>
  </si>
  <si>
    <t>Column2615</t>
  </si>
  <si>
    <t>Column2616</t>
  </si>
  <si>
    <t>Column2617</t>
  </si>
  <si>
    <t>Column2618</t>
  </si>
  <si>
    <t>Column2619</t>
  </si>
  <si>
    <t>Column2620</t>
  </si>
  <si>
    <t>Column2621</t>
  </si>
  <si>
    <t>Column2622</t>
  </si>
  <si>
    <t>Column2623</t>
  </si>
  <si>
    <t>Column2624</t>
  </si>
  <si>
    <t>Column2625</t>
  </si>
  <si>
    <t>Column2626</t>
  </si>
  <si>
    <t>Column2627</t>
  </si>
  <si>
    <t>Column2628</t>
  </si>
  <si>
    <t>Column2629</t>
  </si>
  <si>
    <t>Column2630</t>
  </si>
  <si>
    <t>Column2631</t>
  </si>
  <si>
    <t>Column2632</t>
  </si>
  <si>
    <t>Column2633</t>
  </si>
  <si>
    <t>Column2634</t>
  </si>
  <si>
    <t>Column2635</t>
  </si>
  <si>
    <t>Column2636</t>
  </si>
  <si>
    <t>Column2637</t>
  </si>
  <si>
    <t>Column2638</t>
  </si>
  <si>
    <t>Column2639</t>
  </si>
  <si>
    <t>Column2640</t>
  </si>
  <si>
    <t>Column2641</t>
  </si>
  <si>
    <t>Column2642</t>
  </si>
  <si>
    <t>Column2643</t>
  </si>
  <si>
    <t>Column2644</t>
  </si>
  <si>
    <t>Column2645</t>
  </si>
  <si>
    <t>Column2646</t>
  </si>
  <si>
    <t>Column2647</t>
  </si>
  <si>
    <t>Column2648</t>
  </si>
  <si>
    <t>Column2649</t>
  </si>
  <si>
    <t>Column2650</t>
  </si>
  <si>
    <t>Column2651</t>
  </si>
  <si>
    <t>Column2652</t>
  </si>
  <si>
    <t>Column2653</t>
  </si>
  <si>
    <t>Column2654</t>
  </si>
  <si>
    <t>Column2655</t>
  </si>
  <si>
    <t>Column2656</t>
  </si>
  <si>
    <t>Column2657</t>
  </si>
  <si>
    <t>Column2658</t>
  </si>
  <si>
    <t>Column2659</t>
  </si>
  <si>
    <t>Column2660</t>
  </si>
  <si>
    <t>Column2661</t>
  </si>
  <si>
    <t>Column2662</t>
  </si>
  <si>
    <t>Column2663</t>
  </si>
  <si>
    <t>Column2664</t>
  </si>
  <si>
    <t>Column2665</t>
  </si>
  <si>
    <t>Column2666</t>
  </si>
  <si>
    <t>Column2667</t>
  </si>
  <si>
    <t>Column2668</t>
  </si>
  <si>
    <t>Column2669</t>
  </si>
  <si>
    <t>Column2670</t>
  </si>
  <si>
    <t>Column2671</t>
  </si>
  <si>
    <t>Column2672</t>
  </si>
  <si>
    <t>Column2673</t>
  </si>
  <si>
    <t>Column2674</t>
  </si>
  <si>
    <t>Column2675</t>
  </si>
  <si>
    <t>Column2676</t>
  </si>
  <si>
    <t>Column2677</t>
  </si>
  <si>
    <t>Column2678</t>
  </si>
  <si>
    <t>Column2679</t>
  </si>
  <si>
    <t>Column2680</t>
  </si>
  <si>
    <t>Column2681</t>
  </si>
  <si>
    <t>Column2682</t>
  </si>
  <si>
    <t>Column2683</t>
  </si>
  <si>
    <t>Column2684</t>
  </si>
  <si>
    <t>Column2685</t>
  </si>
  <si>
    <t>Column2686</t>
  </si>
  <si>
    <t>Column2687</t>
  </si>
  <si>
    <t>Column2688</t>
  </si>
  <si>
    <t>Column2689</t>
  </si>
  <si>
    <t>Column2690</t>
  </si>
  <si>
    <t>Column2691</t>
  </si>
  <si>
    <t>Column2692</t>
  </si>
  <si>
    <t>Column2693</t>
  </si>
  <si>
    <t>Column2694</t>
  </si>
  <si>
    <t>Column2695</t>
  </si>
  <si>
    <t>Column2696</t>
  </si>
  <si>
    <t>Column2697</t>
  </si>
  <si>
    <t>Column2698</t>
  </si>
  <si>
    <t>Column2699</t>
  </si>
  <si>
    <t>Column2700</t>
  </si>
  <si>
    <t>Column2701</t>
  </si>
  <si>
    <t>Column2702</t>
  </si>
  <si>
    <t>Column2703</t>
  </si>
  <si>
    <t>Column2704</t>
  </si>
  <si>
    <t>Column2705</t>
  </si>
  <si>
    <t>Column2706</t>
  </si>
  <si>
    <t>Column2707</t>
  </si>
  <si>
    <t>Column2708</t>
  </si>
  <si>
    <t>Column2709</t>
  </si>
  <si>
    <t>Column2710</t>
  </si>
  <si>
    <t>Column2711</t>
  </si>
  <si>
    <t>Column2712</t>
  </si>
  <si>
    <t>Column2713</t>
  </si>
  <si>
    <t>Column2714</t>
  </si>
  <si>
    <t>Column2715</t>
  </si>
  <si>
    <t>Column2716</t>
  </si>
  <si>
    <t>Column2717</t>
  </si>
  <si>
    <t>Column2718</t>
  </si>
  <si>
    <t>Column2719</t>
  </si>
  <si>
    <t>Column2720</t>
  </si>
  <si>
    <t>Column2721</t>
  </si>
  <si>
    <t>Column2722</t>
  </si>
  <si>
    <t>Column2723</t>
  </si>
  <si>
    <t>Column2724</t>
  </si>
  <si>
    <t>Column2725</t>
  </si>
  <si>
    <t>Column2726</t>
  </si>
  <si>
    <t>Column2727</t>
  </si>
  <si>
    <t>Column2728</t>
  </si>
  <si>
    <t>Column2729</t>
  </si>
  <si>
    <t>Column2730</t>
  </si>
  <si>
    <t>Column2731</t>
  </si>
  <si>
    <t>Column2732</t>
  </si>
  <si>
    <t>Column2733</t>
  </si>
  <si>
    <t>Column2734</t>
  </si>
  <si>
    <t>Column2735</t>
  </si>
  <si>
    <t>Column2736</t>
  </si>
  <si>
    <t>Column2737</t>
  </si>
  <si>
    <t>Column2738</t>
  </si>
  <si>
    <t>Column2739</t>
  </si>
  <si>
    <t>Column2740</t>
  </si>
  <si>
    <t>Column2741</t>
  </si>
  <si>
    <t>Column2742</t>
  </si>
  <si>
    <t>Column2743</t>
  </si>
  <si>
    <t>Column2744</t>
  </si>
  <si>
    <t>Column2745</t>
  </si>
  <si>
    <t>Column2746</t>
  </si>
  <si>
    <t>Column2747</t>
  </si>
  <si>
    <t>Column2748</t>
  </si>
  <si>
    <t>Column2749</t>
  </si>
  <si>
    <t>Column2750</t>
  </si>
  <si>
    <t>Column2751</t>
  </si>
  <si>
    <t>Column2752</t>
  </si>
  <si>
    <t>Column2753</t>
  </si>
  <si>
    <t>Column2754</t>
  </si>
  <si>
    <t>Column2755</t>
  </si>
  <si>
    <t>Column2756</t>
  </si>
  <si>
    <t>Column2757</t>
  </si>
  <si>
    <t>Column2758</t>
  </si>
  <si>
    <t>Column2759</t>
  </si>
  <si>
    <t>Column2760</t>
  </si>
  <si>
    <t>Column2761</t>
  </si>
  <si>
    <t>Column2762</t>
  </si>
  <si>
    <t>Column2763</t>
  </si>
  <si>
    <t>Column2764</t>
  </si>
  <si>
    <t>Column2765</t>
  </si>
  <si>
    <t>Column2766</t>
  </si>
  <si>
    <t>Column2767</t>
  </si>
  <si>
    <t>Column2768</t>
  </si>
  <si>
    <t>Column2769</t>
  </si>
  <si>
    <t>Column2770</t>
  </si>
  <si>
    <t>Column2771</t>
  </si>
  <si>
    <t>Column2772</t>
  </si>
  <si>
    <t>Column2773</t>
  </si>
  <si>
    <t>Column2774</t>
  </si>
  <si>
    <t>Column2775</t>
  </si>
  <si>
    <t>Column2776</t>
  </si>
  <si>
    <t>Column2777</t>
  </si>
  <si>
    <t>Column2778</t>
  </si>
  <si>
    <t>Column2779</t>
  </si>
  <si>
    <t>Column2780</t>
  </si>
  <si>
    <t>Column2781</t>
  </si>
  <si>
    <t>Column2782</t>
  </si>
  <si>
    <t>Column2783</t>
  </si>
  <si>
    <t>Column2784</t>
  </si>
  <si>
    <t>Column2785</t>
  </si>
  <si>
    <t>Column2786</t>
  </si>
  <si>
    <t>Column2787</t>
  </si>
  <si>
    <t>Column2788</t>
  </si>
  <si>
    <t>Column2789</t>
  </si>
  <si>
    <t>Column2790</t>
  </si>
  <si>
    <t>Column2791</t>
  </si>
  <si>
    <t>Column2792</t>
  </si>
  <si>
    <t>Column2793</t>
  </si>
  <si>
    <t>Column2794</t>
  </si>
  <si>
    <t>Column2795</t>
  </si>
  <si>
    <t>Column2796</t>
  </si>
  <si>
    <t>Column2797</t>
  </si>
  <si>
    <t>Column2798</t>
  </si>
  <si>
    <t>Column2799</t>
  </si>
  <si>
    <t>Column2800</t>
  </si>
  <si>
    <t>Column2801</t>
  </si>
  <si>
    <t>Column2802</t>
  </si>
  <si>
    <t>Column2803</t>
  </si>
  <si>
    <t>Column2804</t>
  </si>
  <si>
    <t>Column2805</t>
  </si>
  <si>
    <t>Column2806</t>
  </si>
  <si>
    <t>Column2807</t>
  </si>
  <si>
    <t>Column2808</t>
  </si>
  <si>
    <t>Column2809</t>
  </si>
  <si>
    <t>Column2810</t>
  </si>
  <si>
    <t>Column2811</t>
  </si>
  <si>
    <t>Column2812</t>
  </si>
  <si>
    <t>Column2813</t>
  </si>
  <si>
    <t>Column2814</t>
  </si>
  <si>
    <t>Column2815</t>
  </si>
  <si>
    <t>Column2816</t>
  </si>
  <si>
    <t>Column2817</t>
  </si>
  <si>
    <t>Column2818</t>
  </si>
  <si>
    <t>Column2819</t>
  </si>
  <si>
    <t>Column2820</t>
  </si>
  <si>
    <t>Column2821</t>
  </si>
  <si>
    <t>Column2822</t>
  </si>
  <si>
    <t>Column2823</t>
  </si>
  <si>
    <t>Column2824</t>
  </si>
  <si>
    <t>Column2825</t>
  </si>
  <si>
    <t>Column2826</t>
  </si>
  <si>
    <t>Column2827</t>
  </si>
  <si>
    <t>Column2828</t>
  </si>
  <si>
    <t>Column2829</t>
  </si>
  <si>
    <t>Column2830</t>
  </si>
  <si>
    <t>Column2831</t>
  </si>
  <si>
    <t>Column2832</t>
  </si>
  <si>
    <t>Column2833</t>
  </si>
  <si>
    <t>Column2834</t>
  </si>
  <si>
    <t>Column2835</t>
  </si>
  <si>
    <t>Column2836</t>
  </si>
  <si>
    <t>Column2837</t>
  </si>
  <si>
    <t>Column2838</t>
  </si>
  <si>
    <t>Column2839</t>
  </si>
  <si>
    <t>Column2840</t>
  </si>
  <si>
    <t>Column2841</t>
  </si>
  <si>
    <t>Column2842</t>
  </si>
  <si>
    <t>Column2843</t>
  </si>
  <si>
    <t>Column2844</t>
  </si>
  <si>
    <t>Column2845</t>
  </si>
  <si>
    <t>Column2846</t>
  </si>
  <si>
    <t>Column2847</t>
  </si>
  <si>
    <t>Column2848</t>
  </si>
  <si>
    <t>Column2849</t>
  </si>
  <si>
    <t>Column2850</t>
  </si>
  <si>
    <t>Column2851</t>
  </si>
  <si>
    <t>Column2852</t>
  </si>
  <si>
    <t>Column2853</t>
  </si>
  <si>
    <t>Column2854</t>
  </si>
  <si>
    <t>Column2855</t>
  </si>
  <si>
    <t>Column2856</t>
  </si>
  <si>
    <t>Column2857</t>
  </si>
  <si>
    <t>Column2858</t>
  </si>
  <si>
    <t>Column2859</t>
  </si>
  <si>
    <t>Column2860</t>
  </si>
  <si>
    <t>Column2861</t>
  </si>
  <si>
    <t>Column2862</t>
  </si>
  <si>
    <t>Column2863</t>
  </si>
  <si>
    <t>Column2864</t>
  </si>
  <si>
    <t>Column2865</t>
  </si>
  <si>
    <t>Column2866</t>
  </si>
  <si>
    <t>Column2867</t>
  </si>
  <si>
    <t>Column2868</t>
  </si>
  <si>
    <t>Column2869</t>
  </si>
  <si>
    <t>Column2870</t>
  </si>
  <si>
    <t>Column2871</t>
  </si>
  <si>
    <t>Column2872</t>
  </si>
  <si>
    <t>Column2873</t>
  </si>
  <si>
    <t>Column2874</t>
  </si>
  <si>
    <t>Column2875</t>
  </si>
  <si>
    <t>Column2876</t>
  </si>
  <si>
    <t>Column2877</t>
  </si>
  <si>
    <t>Column2878</t>
  </si>
  <si>
    <t>Column2879</t>
  </si>
  <si>
    <t>Column2880</t>
  </si>
  <si>
    <t>Column2881</t>
  </si>
  <si>
    <t>Column2882</t>
  </si>
  <si>
    <t>Column2883</t>
  </si>
  <si>
    <t>Column2884</t>
  </si>
  <si>
    <t>Column2885</t>
  </si>
  <si>
    <t>Column2886</t>
  </si>
  <si>
    <t>Column2887</t>
  </si>
  <si>
    <t>Column2888</t>
  </si>
  <si>
    <t>Column2889</t>
  </si>
  <si>
    <t>Column2890</t>
  </si>
  <si>
    <t>Column2891</t>
  </si>
  <si>
    <t>Column2892</t>
  </si>
  <si>
    <t>Column2893</t>
  </si>
  <si>
    <t>Column2894</t>
  </si>
  <si>
    <t>Column2895</t>
  </si>
  <si>
    <t>Column2896</t>
  </si>
  <si>
    <t>Column2897</t>
  </si>
  <si>
    <t>Column2898</t>
  </si>
  <si>
    <t>Column2899</t>
  </si>
  <si>
    <t>Column2900</t>
  </si>
  <si>
    <t>Column2901</t>
  </si>
  <si>
    <t>Column2902</t>
  </si>
  <si>
    <t>Column2903</t>
  </si>
  <si>
    <t>Column2904</t>
  </si>
  <si>
    <t>Column2905</t>
  </si>
  <si>
    <t>Column2906</t>
  </si>
  <si>
    <t>Column2907</t>
  </si>
  <si>
    <t>Column2908</t>
  </si>
  <si>
    <t>Column2909</t>
  </si>
  <si>
    <t>Column2910</t>
  </si>
  <si>
    <t>Column2911</t>
  </si>
  <si>
    <t>Column2912</t>
  </si>
  <si>
    <t>Column2913</t>
  </si>
  <si>
    <t>Column2914</t>
  </si>
  <si>
    <t>Column2915</t>
  </si>
  <si>
    <t>Column2916</t>
  </si>
  <si>
    <t>Column2917</t>
  </si>
  <si>
    <t>Column2918</t>
  </si>
  <si>
    <t>Column2919</t>
  </si>
  <si>
    <t>Column2920</t>
  </si>
  <si>
    <t>Column2921</t>
  </si>
  <si>
    <t>Column2922</t>
  </si>
  <si>
    <t>Column2923</t>
  </si>
  <si>
    <t>Column2924</t>
  </si>
  <si>
    <t>Column2925</t>
  </si>
  <si>
    <t>Column2926</t>
  </si>
  <si>
    <t>Column2927</t>
  </si>
  <si>
    <t>Column2928</t>
  </si>
  <si>
    <t>Column2929</t>
  </si>
  <si>
    <t>Column2930</t>
  </si>
  <si>
    <t>Column2931</t>
  </si>
  <si>
    <t>Column2932</t>
  </si>
  <si>
    <t>Column2933</t>
  </si>
  <si>
    <t>Column2934</t>
  </si>
  <si>
    <t>Column2935</t>
  </si>
  <si>
    <t>Column2936</t>
  </si>
  <si>
    <t>Column2937</t>
  </si>
  <si>
    <t>Column2938</t>
  </si>
  <si>
    <t>Column2939</t>
  </si>
  <si>
    <t>Column2940</t>
  </si>
  <si>
    <t>Column2941</t>
  </si>
  <si>
    <t>Column2942</t>
  </si>
  <si>
    <t>Column2943</t>
  </si>
  <si>
    <t>Column2944</t>
  </si>
  <si>
    <t>Column2945</t>
  </si>
  <si>
    <t>Column2946</t>
  </si>
  <si>
    <t>Column2947</t>
  </si>
  <si>
    <t>Column2948</t>
  </si>
  <si>
    <t>Column2949</t>
  </si>
  <si>
    <t>Column2950</t>
  </si>
  <si>
    <t>Column2951</t>
  </si>
  <si>
    <t>Column2952</t>
  </si>
  <si>
    <t>Column2953</t>
  </si>
  <si>
    <t>Column2954</t>
  </si>
  <si>
    <t>Column2955</t>
  </si>
  <si>
    <t>Column2956</t>
  </si>
  <si>
    <t>Column2957</t>
  </si>
  <si>
    <t>Column2958</t>
  </si>
  <si>
    <t>Column2959</t>
  </si>
  <si>
    <t>Column2960</t>
  </si>
  <si>
    <t>Column2961</t>
  </si>
  <si>
    <t>Column2962</t>
  </si>
  <si>
    <t>Column2963</t>
  </si>
  <si>
    <t>Column2964</t>
  </si>
  <si>
    <t>Column2965</t>
  </si>
  <si>
    <t>Column2966</t>
  </si>
  <si>
    <t>Column2967</t>
  </si>
  <si>
    <t>Column2968</t>
  </si>
  <si>
    <t>Column2969</t>
  </si>
  <si>
    <t>Column2970</t>
  </si>
  <si>
    <t>Column2971</t>
  </si>
  <si>
    <t>Column2972</t>
  </si>
  <si>
    <t>Column2973</t>
  </si>
  <si>
    <t>Column2974</t>
  </si>
  <si>
    <t>Column2975</t>
  </si>
  <si>
    <t>Column2976</t>
  </si>
  <si>
    <t>Column2977</t>
  </si>
  <si>
    <t>Column2978</t>
  </si>
  <si>
    <t>Column2979</t>
  </si>
  <si>
    <t>Column2980</t>
  </si>
  <si>
    <t>Column2981</t>
  </si>
  <si>
    <t>Column2982</t>
  </si>
  <si>
    <t>Column2983</t>
  </si>
  <si>
    <t>Column2984</t>
  </si>
  <si>
    <t>Column2985</t>
  </si>
  <si>
    <t>Column2986</t>
  </si>
  <si>
    <t>Column2987</t>
  </si>
  <si>
    <t>Column2988</t>
  </si>
  <si>
    <t>Column2989</t>
  </si>
  <si>
    <t>Column2990</t>
  </si>
  <si>
    <t>Column2991</t>
  </si>
  <si>
    <t>Column2992</t>
  </si>
  <si>
    <t>Column2993</t>
  </si>
  <si>
    <t>Column2994</t>
  </si>
  <si>
    <t>Column2995</t>
  </si>
  <si>
    <t>Column2996</t>
  </si>
  <si>
    <t>Column2997</t>
  </si>
  <si>
    <t>Column2998</t>
  </si>
  <si>
    <t>Column2999</t>
  </si>
  <si>
    <t>Column3000</t>
  </si>
  <si>
    <t>Column3001</t>
  </si>
  <si>
    <t>Column3002</t>
  </si>
  <si>
    <t>Column3003</t>
  </si>
  <si>
    <t>Column3004</t>
  </si>
  <si>
    <t>Column3005</t>
  </si>
  <si>
    <t>Column3006</t>
  </si>
  <si>
    <t>Column3007</t>
  </si>
  <si>
    <t>Column3008</t>
  </si>
  <si>
    <t>Column3009</t>
  </si>
  <si>
    <t>Column3010</t>
  </si>
  <si>
    <t>Column3011</t>
  </si>
  <si>
    <t>Column3012</t>
  </si>
  <si>
    <t>Column3013</t>
  </si>
  <si>
    <t>Column3014</t>
  </si>
  <si>
    <t>Column3015</t>
  </si>
  <si>
    <t>Column3016</t>
  </si>
  <si>
    <t>Column3017</t>
  </si>
  <si>
    <t>Column3018</t>
  </si>
  <si>
    <t>Column3019</t>
  </si>
  <si>
    <t>Column3020</t>
  </si>
  <si>
    <t>Column3021</t>
  </si>
  <si>
    <t>Column3022</t>
  </si>
  <si>
    <t>Column3023</t>
  </si>
  <si>
    <t>Column3024</t>
  </si>
  <si>
    <t>Column3025</t>
  </si>
  <si>
    <t>Column3026</t>
  </si>
  <si>
    <t>Column3027</t>
  </si>
  <si>
    <t>Column3028</t>
  </si>
  <si>
    <t>Column3029</t>
  </si>
  <si>
    <t>Column3030</t>
  </si>
  <si>
    <t>Column3031</t>
  </si>
  <si>
    <t>Column3032</t>
  </si>
  <si>
    <t>Column3033</t>
  </si>
  <si>
    <t>Column3034</t>
  </si>
  <si>
    <t>Column3035</t>
  </si>
  <si>
    <t>Column3036</t>
  </si>
  <si>
    <t>Column3037</t>
  </si>
  <si>
    <t>Column3038</t>
  </si>
  <si>
    <t>Column3039</t>
  </si>
  <si>
    <t>Column3040</t>
  </si>
  <si>
    <t>Column3041</t>
  </si>
  <si>
    <t>Column3042</t>
  </si>
  <si>
    <t>Column3043</t>
  </si>
  <si>
    <t>Column3044</t>
  </si>
  <si>
    <t>Column3045</t>
  </si>
  <si>
    <t>Column3046</t>
  </si>
  <si>
    <t>Column3047</t>
  </si>
  <si>
    <t>Column3048</t>
  </si>
  <si>
    <t>Column3049</t>
  </si>
  <si>
    <t>Column3050</t>
  </si>
  <si>
    <t>Column3051</t>
  </si>
  <si>
    <t>Column3052</t>
  </si>
  <si>
    <t>Column3053</t>
  </si>
  <si>
    <t>Column3054</t>
  </si>
  <si>
    <t>Column3055</t>
  </si>
  <si>
    <t>Column3056</t>
  </si>
  <si>
    <t>Column3057</t>
  </si>
  <si>
    <t>Column3058</t>
  </si>
  <si>
    <t>Column3059</t>
  </si>
  <si>
    <t>Column3060</t>
  </si>
  <si>
    <t>Column3061</t>
  </si>
  <si>
    <t>Column3062</t>
  </si>
  <si>
    <t>Column3063</t>
  </si>
  <si>
    <t>Column3064</t>
  </si>
  <si>
    <t>Column3065</t>
  </si>
  <si>
    <t>Column3066</t>
  </si>
  <si>
    <t>Column3067</t>
  </si>
  <si>
    <t>Column3068</t>
  </si>
  <si>
    <t>Column3069</t>
  </si>
  <si>
    <t>Column3070</t>
  </si>
  <si>
    <t>Column3071</t>
  </si>
  <si>
    <t>Column3072</t>
  </si>
  <si>
    <t>Column3073</t>
  </si>
  <si>
    <t>Column3074</t>
  </si>
  <si>
    <t>Column3075</t>
  </si>
  <si>
    <t>Column3076</t>
  </si>
  <si>
    <t>Column3077</t>
  </si>
  <si>
    <t>Column3078</t>
  </si>
  <si>
    <t>Column3079</t>
  </si>
  <si>
    <t>Column3080</t>
  </si>
  <si>
    <t>Column3081</t>
  </si>
  <si>
    <t>Column3082</t>
  </si>
  <si>
    <t>Column3083</t>
  </si>
  <si>
    <t>Column3084</t>
  </si>
  <si>
    <t>Column3085</t>
  </si>
  <si>
    <t>Column3086</t>
  </si>
  <si>
    <t>Column3087</t>
  </si>
  <si>
    <t>Column3088</t>
  </si>
  <si>
    <t>Column3089</t>
  </si>
  <si>
    <t>Column3090</t>
  </si>
  <si>
    <t>Column3091</t>
  </si>
  <si>
    <t>Column3092</t>
  </si>
  <si>
    <t>Column3093</t>
  </si>
  <si>
    <t>Column3094</t>
  </si>
  <si>
    <t>Column3095</t>
  </si>
  <si>
    <t>Column3096</t>
  </si>
  <si>
    <t>Column3097</t>
  </si>
  <si>
    <t>Column3098</t>
  </si>
  <si>
    <t>Column3099</t>
  </si>
  <si>
    <t>Column3100</t>
  </si>
  <si>
    <t>Column3101</t>
  </si>
  <si>
    <t>Column3102</t>
  </si>
  <si>
    <t>Column3103</t>
  </si>
  <si>
    <t>Column3104</t>
  </si>
  <si>
    <t>Column3105</t>
  </si>
  <si>
    <t>Column3106</t>
  </si>
  <si>
    <t>Column3107</t>
  </si>
  <si>
    <t>Column3108</t>
  </si>
  <si>
    <t>Column3109</t>
  </si>
  <si>
    <t>Column3110</t>
  </si>
  <si>
    <t>Column3111</t>
  </si>
  <si>
    <t>Column3112</t>
  </si>
  <si>
    <t>Column3113</t>
  </si>
  <si>
    <t>Column3114</t>
  </si>
  <si>
    <t>Column3115</t>
  </si>
  <si>
    <t>Column3116</t>
  </si>
  <si>
    <t>Column3117</t>
  </si>
  <si>
    <t>Column3118</t>
  </si>
  <si>
    <t>Column3119</t>
  </si>
  <si>
    <t>Column3120</t>
  </si>
  <si>
    <t>Column3121</t>
  </si>
  <si>
    <t>Column3122</t>
  </si>
  <si>
    <t>Column3123</t>
  </si>
  <si>
    <t>Column3124</t>
  </si>
  <si>
    <t>Column3125</t>
  </si>
  <si>
    <t>Column3126</t>
  </si>
  <si>
    <t>Column3127</t>
  </si>
  <si>
    <t>Column3128</t>
  </si>
  <si>
    <t>Column3129</t>
  </si>
  <si>
    <t>Column3130</t>
  </si>
  <si>
    <t>Column3131</t>
  </si>
  <si>
    <t>Column3132</t>
  </si>
  <si>
    <t>Column3133</t>
  </si>
  <si>
    <t>Column3134</t>
  </si>
  <si>
    <t>Column3135</t>
  </si>
  <si>
    <t>Column3136</t>
  </si>
  <si>
    <t>Column3137</t>
  </si>
  <si>
    <t>Column3138</t>
  </si>
  <si>
    <t>Column3139</t>
  </si>
  <si>
    <t>Column3140</t>
  </si>
  <si>
    <t>Column3141</t>
  </si>
  <si>
    <t>Column3142</t>
  </si>
  <si>
    <t>Column3143</t>
  </si>
  <si>
    <t>Column3144</t>
  </si>
  <si>
    <t>Column3145</t>
  </si>
  <si>
    <t>Column3146</t>
  </si>
  <si>
    <t>Column3147</t>
  </si>
  <si>
    <t>Column3148</t>
  </si>
  <si>
    <t>Column3149</t>
  </si>
  <si>
    <t>Column3150</t>
  </si>
  <si>
    <t>Column3151</t>
  </si>
  <si>
    <t>Column3152</t>
  </si>
  <si>
    <t>Column3153</t>
  </si>
  <si>
    <t>Column3154</t>
  </si>
  <si>
    <t>Column3155</t>
  </si>
  <si>
    <t>Column3156</t>
  </si>
  <si>
    <t>Column3157</t>
  </si>
  <si>
    <t>Column3158</t>
  </si>
  <si>
    <t>Column3159</t>
  </si>
  <si>
    <t>Column3160</t>
  </si>
  <si>
    <t>Column3161</t>
  </si>
  <si>
    <t>Column3162</t>
  </si>
  <si>
    <t>Column3163</t>
  </si>
  <si>
    <t>Column3164</t>
  </si>
  <si>
    <t>Column3165</t>
  </si>
  <si>
    <t>Column3166</t>
  </si>
  <si>
    <t>Column3167</t>
  </si>
  <si>
    <t>Column3168</t>
  </si>
  <si>
    <t>Column3169</t>
  </si>
  <si>
    <t>Column3170</t>
  </si>
  <si>
    <t>Column3171</t>
  </si>
  <si>
    <t>Column3172</t>
  </si>
  <si>
    <t>Column3173</t>
  </si>
  <si>
    <t>Column3174</t>
  </si>
  <si>
    <t>Column3175</t>
  </si>
  <si>
    <t>Column3176</t>
  </si>
  <si>
    <t>Column3177</t>
  </si>
  <si>
    <t>Column3178</t>
  </si>
  <si>
    <t>Column3179</t>
  </si>
  <si>
    <t>Column3180</t>
  </si>
  <si>
    <t>Column3181</t>
  </si>
  <si>
    <t>Column3182</t>
  </si>
  <si>
    <t>Column3183</t>
  </si>
  <si>
    <t>Column3184</t>
  </si>
  <si>
    <t>Column3185</t>
  </si>
  <si>
    <t>Column3186</t>
  </si>
  <si>
    <t>Column3187</t>
  </si>
  <si>
    <t>Column3188</t>
  </si>
  <si>
    <t>Column3189</t>
  </si>
  <si>
    <t>Column3190</t>
  </si>
  <si>
    <t>Column3191</t>
  </si>
  <si>
    <t>Column3192</t>
  </si>
  <si>
    <t>Column3193</t>
  </si>
  <si>
    <t>Column3194</t>
  </si>
  <si>
    <t>Column3195</t>
  </si>
  <si>
    <t>Column3196</t>
  </si>
  <si>
    <t>Column3197</t>
  </si>
  <si>
    <t>Column3198</t>
  </si>
  <si>
    <t>Column3199</t>
  </si>
  <si>
    <t>Column3200</t>
  </si>
  <si>
    <t>Column3201</t>
  </si>
  <si>
    <t>Column3202</t>
  </si>
  <si>
    <t>Column3203</t>
  </si>
  <si>
    <t>Column3204</t>
  </si>
  <si>
    <t>Column3205</t>
  </si>
  <si>
    <t>Column3206</t>
  </si>
  <si>
    <t>Column3207</t>
  </si>
  <si>
    <t>Column3208</t>
  </si>
  <si>
    <t>Column3209</t>
  </si>
  <si>
    <t>Column3210</t>
  </si>
  <si>
    <t>Column3211</t>
  </si>
  <si>
    <t>Column3212</t>
  </si>
  <si>
    <t>Column3213</t>
  </si>
  <si>
    <t>Column3214</t>
  </si>
  <si>
    <t>Column3215</t>
  </si>
  <si>
    <t>Column3216</t>
  </si>
  <si>
    <t>Column3217</t>
  </si>
  <si>
    <t>Column3218</t>
  </si>
  <si>
    <t>Column3219</t>
  </si>
  <si>
    <t>Column3220</t>
  </si>
  <si>
    <t>Column3221</t>
  </si>
  <si>
    <t>Column3222</t>
  </si>
  <si>
    <t>Column3223</t>
  </si>
  <si>
    <t>Column3224</t>
  </si>
  <si>
    <t>Column3225</t>
  </si>
  <si>
    <t>Column3226</t>
  </si>
  <si>
    <t>Column3227</t>
  </si>
  <si>
    <t>Column3228</t>
  </si>
  <si>
    <t>Column3229</t>
  </si>
  <si>
    <t>Column3230</t>
  </si>
  <si>
    <t>Column3231</t>
  </si>
  <si>
    <t>Column3232</t>
  </si>
  <si>
    <t>Column3233</t>
  </si>
  <si>
    <t>Column3234</t>
  </si>
  <si>
    <t>Column3235</t>
  </si>
  <si>
    <t>Column3236</t>
  </si>
  <si>
    <t>Column3237</t>
  </si>
  <si>
    <t>Column3238</t>
  </si>
  <si>
    <t>Column3239</t>
  </si>
  <si>
    <t>Column3240</t>
  </si>
  <si>
    <t>Column3241</t>
  </si>
  <si>
    <t>Column3242</t>
  </si>
  <si>
    <t>Column3243</t>
  </si>
  <si>
    <t>Column3244</t>
  </si>
  <si>
    <t>Column3245</t>
  </si>
  <si>
    <t>Column3246</t>
  </si>
  <si>
    <t>Column3247</t>
  </si>
  <si>
    <t>Column3248</t>
  </si>
  <si>
    <t>Column3249</t>
  </si>
  <si>
    <t>Column3250</t>
  </si>
  <si>
    <t>Column3251</t>
  </si>
  <si>
    <t>Column3252</t>
  </si>
  <si>
    <t>Column3253</t>
  </si>
  <si>
    <t>Column3254</t>
  </si>
  <si>
    <t>Column3255</t>
  </si>
  <si>
    <t>Column3256</t>
  </si>
  <si>
    <t>Column3257</t>
  </si>
  <si>
    <t>Column3258</t>
  </si>
  <si>
    <t>Column3259</t>
  </si>
  <si>
    <t>Column3260</t>
  </si>
  <si>
    <t>Column3261</t>
  </si>
  <si>
    <t>Column3262</t>
  </si>
  <si>
    <t>Column3263</t>
  </si>
  <si>
    <t>Column3264</t>
  </si>
  <si>
    <t>Column3265</t>
  </si>
  <si>
    <t>Column3266</t>
  </si>
  <si>
    <t>Column3267</t>
  </si>
  <si>
    <t>Column3268</t>
  </si>
  <si>
    <t>Column3269</t>
  </si>
  <si>
    <t>Column3270</t>
  </si>
  <si>
    <t>Column3271</t>
  </si>
  <si>
    <t>Column3272</t>
  </si>
  <si>
    <t>Column3273</t>
  </si>
  <si>
    <t>Column3274</t>
  </si>
  <si>
    <t>Column3275</t>
  </si>
  <si>
    <t>Column3276</t>
  </si>
  <si>
    <t>Column3277</t>
  </si>
  <si>
    <t>Column3278</t>
  </si>
  <si>
    <t>Column3279</t>
  </si>
  <si>
    <t>Column3280</t>
  </si>
  <si>
    <t>Column3281</t>
  </si>
  <si>
    <t>Column3282</t>
  </si>
  <si>
    <t>Column3283</t>
  </si>
  <si>
    <t>Column3284</t>
  </si>
  <si>
    <t>Column3285</t>
  </si>
  <si>
    <t>Column3286</t>
  </si>
  <si>
    <t>Column3287</t>
  </si>
  <si>
    <t>Column3288</t>
  </si>
  <si>
    <t>Column3289</t>
  </si>
  <si>
    <t>Column3290</t>
  </si>
  <si>
    <t>Column3291</t>
  </si>
  <si>
    <t>Column3292</t>
  </si>
  <si>
    <t>Column3293</t>
  </si>
  <si>
    <t>Column3294</t>
  </si>
  <si>
    <t>Column3295</t>
  </si>
  <si>
    <t>Column3296</t>
  </si>
  <si>
    <t>Column3297</t>
  </si>
  <si>
    <t>Column3298</t>
  </si>
  <si>
    <t>Column3299</t>
  </si>
  <si>
    <t>Column3300</t>
  </si>
  <si>
    <t>Column3301</t>
  </si>
  <si>
    <t>Column3302</t>
  </si>
  <si>
    <t>Column3303</t>
  </si>
  <si>
    <t>Column3304</t>
  </si>
  <si>
    <t>Column3305</t>
  </si>
  <si>
    <t>Column3306</t>
  </si>
  <si>
    <t>Column3307</t>
  </si>
  <si>
    <t>Column3308</t>
  </si>
  <si>
    <t>Column3309</t>
  </si>
  <si>
    <t>Column3310</t>
  </si>
  <si>
    <t>Column3311</t>
  </si>
  <si>
    <t>Column3312</t>
  </si>
  <si>
    <t>Column3313</t>
  </si>
  <si>
    <t>Column3314</t>
  </si>
  <si>
    <t>Column3315</t>
  </si>
  <si>
    <t>Column3316</t>
  </si>
  <si>
    <t>Column3317</t>
  </si>
  <si>
    <t>Column3318</t>
  </si>
  <si>
    <t>Column3319</t>
  </si>
  <si>
    <t>Column3320</t>
  </si>
  <si>
    <t>Column3321</t>
  </si>
  <si>
    <t>Column3322</t>
  </si>
  <si>
    <t>Column3323</t>
  </si>
  <si>
    <t>Column3324</t>
  </si>
  <si>
    <t>Column3325</t>
  </si>
  <si>
    <t>Column3326</t>
  </si>
  <si>
    <t>Column3327</t>
  </si>
  <si>
    <t>Column3328</t>
  </si>
  <si>
    <t>Column3329</t>
  </si>
  <si>
    <t>Column3330</t>
  </si>
  <si>
    <t>Column3331</t>
  </si>
  <si>
    <t>Column3332</t>
  </si>
  <si>
    <t>Column3333</t>
  </si>
  <si>
    <t>Column3334</t>
  </si>
  <si>
    <t>Column3335</t>
  </si>
  <si>
    <t>Column3336</t>
  </si>
  <si>
    <t>Column3337</t>
  </si>
  <si>
    <t>Column3338</t>
  </si>
  <si>
    <t>Column3339</t>
  </si>
  <si>
    <t>Column3340</t>
  </si>
  <si>
    <t>Column3341</t>
  </si>
  <si>
    <t>Column3342</t>
  </si>
  <si>
    <t>Column3343</t>
  </si>
  <si>
    <t>Column3344</t>
  </si>
  <si>
    <t>Column3345</t>
  </si>
  <si>
    <t>Column3346</t>
  </si>
  <si>
    <t>Column3347</t>
  </si>
  <si>
    <t>Column3348</t>
  </si>
  <si>
    <t>Column3349</t>
  </si>
  <si>
    <t>Column3350</t>
  </si>
  <si>
    <t>Column3351</t>
  </si>
  <si>
    <t>Column3352</t>
  </si>
  <si>
    <t>Column3353</t>
  </si>
  <si>
    <t>Column3354</t>
  </si>
  <si>
    <t>Column3355</t>
  </si>
  <si>
    <t>Column3356</t>
  </si>
  <si>
    <t>Column3357</t>
  </si>
  <si>
    <t>Column3358</t>
  </si>
  <si>
    <t>Column3359</t>
  </si>
  <si>
    <t>Column3360</t>
  </si>
  <si>
    <t>Column3361</t>
  </si>
  <si>
    <t>Column3362</t>
  </si>
  <si>
    <t>Column3363</t>
  </si>
  <si>
    <t>Column3364</t>
  </si>
  <si>
    <t>Column3365</t>
  </si>
  <si>
    <t>Column3366</t>
  </si>
  <si>
    <t>Column3367</t>
  </si>
  <si>
    <t>Column3368</t>
  </si>
  <si>
    <t>Column3369</t>
  </si>
  <si>
    <t>Column3370</t>
  </si>
  <si>
    <t>Column3371</t>
  </si>
  <si>
    <t>Column3372</t>
  </si>
  <si>
    <t>Column3373</t>
  </si>
  <si>
    <t>Column3374</t>
  </si>
  <si>
    <t>Column3375</t>
  </si>
  <si>
    <t>Column3376</t>
  </si>
  <si>
    <t>Column3377</t>
  </si>
  <si>
    <t>Column3378</t>
  </si>
  <si>
    <t>Column3379</t>
  </si>
  <si>
    <t>Column3380</t>
  </si>
  <si>
    <t>Column3381</t>
  </si>
  <si>
    <t>Column3382</t>
  </si>
  <si>
    <t>Column3383</t>
  </si>
  <si>
    <t>Column3384</t>
  </si>
  <si>
    <t>Column3385</t>
  </si>
  <si>
    <t>Column3386</t>
  </si>
  <si>
    <t>Column3387</t>
  </si>
  <si>
    <t>Column3388</t>
  </si>
  <si>
    <t>Column3389</t>
  </si>
  <si>
    <t>Column3390</t>
  </si>
  <si>
    <t>Column3391</t>
  </si>
  <si>
    <t>Column3392</t>
  </si>
  <si>
    <t>Column3393</t>
  </si>
  <si>
    <t>Column3394</t>
  </si>
  <si>
    <t>Column3395</t>
  </si>
  <si>
    <t>Column3396</t>
  </si>
  <si>
    <t>Column3397</t>
  </si>
  <si>
    <t>Column3398</t>
  </si>
  <si>
    <t>Column3399</t>
  </si>
  <si>
    <t>Column3400</t>
  </si>
  <si>
    <t>Column3401</t>
  </si>
  <si>
    <t>Column3402</t>
  </si>
  <si>
    <t>Column3403</t>
  </si>
  <si>
    <t>Column3404</t>
  </si>
  <si>
    <t>Column3405</t>
  </si>
  <si>
    <t>Column3406</t>
  </si>
  <si>
    <t>Column3407</t>
  </si>
  <si>
    <t>Column3408</t>
  </si>
  <si>
    <t>Column3409</t>
  </si>
  <si>
    <t>Column3410</t>
  </si>
  <si>
    <t>Column3411</t>
  </si>
  <si>
    <t>Column3412</t>
  </si>
  <si>
    <t>Column3413</t>
  </si>
  <si>
    <t>Column3414</t>
  </si>
  <si>
    <t>Column3415</t>
  </si>
  <si>
    <t>Column3416</t>
  </si>
  <si>
    <t>Column3417</t>
  </si>
  <si>
    <t>Column3418</t>
  </si>
  <si>
    <t>Column3419</t>
  </si>
  <si>
    <t>Column3420</t>
  </si>
  <si>
    <t>Column3421</t>
  </si>
  <si>
    <t>Column3422</t>
  </si>
  <si>
    <t>Column3423</t>
  </si>
  <si>
    <t>Column3424</t>
  </si>
  <si>
    <t>Column3425</t>
  </si>
  <si>
    <t>Column3426</t>
  </si>
  <si>
    <t>Column3427</t>
  </si>
  <si>
    <t>Column3428</t>
  </si>
  <si>
    <t>Column3429</t>
  </si>
  <si>
    <t>Column3430</t>
  </si>
  <si>
    <t>Column3431</t>
  </si>
  <si>
    <t>Column3432</t>
  </si>
  <si>
    <t>Column3433</t>
  </si>
  <si>
    <t>Column3434</t>
  </si>
  <si>
    <t>Column3435</t>
  </si>
  <si>
    <t>Column3436</t>
  </si>
  <si>
    <t>Column3437</t>
  </si>
  <si>
    <t>Column3438</t>
  </si>
  <si>
    <t>Column3439</t>
  </si>
  <si>
    <t>Column3440</t>
  </si>
  <si>
    <t>Column3441</t>
  </si>
  <si>
    <t>Column3442</t>
  </si>
  <si>
    <t>Column3443</t>
  </si>
  <si>
    <t>Column3444</t>
  </si>
  <si>
    <t>Column3445</t>
  </si>
  <si>
    <t>Column3446</t>
  </si>
  <si>
    <t>Column3447</t>
  </si>
  <si>
    <t>Column3448</t>
  </si>
  <si>
    <t>Column3449</t>
  </si>
  <si>
    <t>Column3450</t>
  </si>
  <si>
    <t>Column3451</t>
  </si>
  <si>
    <t>Column3452</t>
  </si>
  <si>
    <t>Column3453</t>
  </si>
  <si>
    <t>Column3454</t>
  </si>
  <si>
    <t>Column3455</t>
  </si>
  <si>
    <t>Column3456</t>
  </si>
  <si>
    <t>Column3457</t>
  </si>
  <si>
    <t>Column3458</t>
  </si>
  <si>
    <t>Column3459</t>
  </si>
  <si>
    <t>Column3460</t>
  </si>
  <si>
    <t>Column3461</t>
  </si>
  <si>
    <t>Column3462</t>
  </si>
  <si>
    <t>Column3463</t>
  </si>
  <si>
    <t>Column3464</t>
  </si>
  <si>
    <t>Column3465</t>
  </si>
  <si>
    <t>Column3466</t>
  </si>
  <si>
    <t>Column3467</t>
  </si>
  <si>
    <t>Column3468</t>
  </si>
  <si>
    <t>Column3469</t>
  </si>
  <si>
    <t>Column3470</t>
  </si>
  <si>
    <t>Column3471</t>
  </si>
  <si>
    <t>Column3472</t>
  </si>
  <si>
    <t>Column3473</t>
  </si>
  <si>
    <t>Column3474</t>
  </si>
  <si>
    <t>Column3475</t>
  </si>
  <si>
    <t>Column3476</t>
  </si>
  <si>
    <t>Column3477</t>
  </si>
  <si>
    <t>Column3478</t>
  </si>
  <si>
    <t>Column3479</t>
  </si>
  <si>
    <t>Column3480</t>
  </si>
  <si>
    <t>Column3481</t>
  </si>
  <si>
    <t>Column3482</t>
  </si>
  <si>
    <t>Column3483</t>
  </si>
  <si>
    <t>Column3484</t>
  </si>
  <si>
    <t>Column3485</t>
  </si>
  <si>
    <t>Column3486</t>
  </si>
  <si>
    <t>Column3487</t>
  </si>
  <si>
    <t>Column3488</t>
  </si>
  <si>
    <t>Column3489</t>
  </si>
  <si>
    <t>Column3490</t>
  </si>
  <si>
    <t>Column3491</t>
  </si>
  <si>
    <t>Column3492</t>
  </si>
  <si>
    <t>Column3493</t>
  </si>
  <si>
    <t>Column3494</t>
  </si>
  <si>
    <t>Column3495</t>
  </si>
  <si>
    <t>Column3496</t>
  </si>
  <si>
    <t>Column3497</t>
  </si>
  <si>
    <t>Column3498</t>
  </si>
  <si>
    <t>Column3499</t>
  </si>
  <si>
    <t>Column3500</t>
  </si>
  <si>
    <t>Column3501</t>
  </si>
  <si>
    <t>Column3502</t>
  </si>
  <si>
    <t>Column3503</t>
  </si>
  <si>
    <t>Column3504</t>
  </si>
  <si>
    <t>Column3505</t>
  </si>
  <si>
    <t>Column3506</t>
  </si>
  <si>
    <t>Column3507</t>
  </si>
  <si>
    <t>Column3508</t>
  </si>
  <si>
    <t>Column3509</t>
  </si>
  <si>
    <t>Column3510</t>
  </si>
  <si>
    <t>Column3511</t>
  </si>
  <si>
    <t>Column3512</t>
  </si>
  <si>
    <t>Column3513</t>
  </si>
  <si>
    <t>Column3514</t>
  </si>
  <si>
    <t>Column3515</t>
  </si>
  <si>
    <t>Column3516</t>
  </si>
  <si>
    <t>Column3517</t>
  </si>
  <si>
    <t>Column3518</t>
  </si>
  <si>
    <t>Column3519</t>
  </si>
  <si>
    <t>Column3520</t>
  </si>
  <si>
    <t>Column3521</t>
  </si>
  <si>
    <t>Column3522</t>
  </si>
  <si>
    <t>Column3523</t>
  </si>
  <si>
    <t>Column3524</t>
  </si>
  <si>
    <t>Column3525</t>
  </si>
  <si>
    <t>Column3526</t>
  </si>
  <si>
    <t>Column3527</t>
  </si>
  <si>
    <t>Column3528</t>
  </si>
  <si>
    <t>Column3529</t>
  </si>
  <si>
    <t>Column3530</t>
  </si>
  <si>
    <t>Column3531</t>
  </si>
  <si>
    <t>Column3532</t>
  </si>
  <si>
    <t>Column3533</t>
  </si>
  <si>
    <t>Column3534</t>
  </si>
  <si>
    <t>Column3535</t>
  </si>
  <si>
    <t>Column3536</t>
  </si>
  <si>
    <t>Column3537</t>
  </si>
  <si>
    <t>Column3538</t>
  </si>
  <si>
    <t>Column3539</t>
  </si>
  <si>
    <t>Column3540</t>
  </si>
  <si>
    <t>Column3541</t>
  </si>
  <si>
    <t>Column3542</t>
  </si>
  <si>
    <t>Column3543</t>
  </si>
  <si>
    <t>Column3544</t>
  </si>
  <si>
    <t>Column3545</t>
  </si>
  <si>
    <t>Column3546</t>
  </si>
  <si>
    <t>Column3547</t>
  </si>
  <si>
    <t>Column3548</t>
  </si>
  <si>
    <t>Column3549</t>
  </si>
  <si>
    <t>Column3550</t>
  </si>
  <si>
    <t>Column3551</t>
  </si>
  <si>
    <t>Column3552</t>
  </si>
  <si>
    <t>Column3553</t>
  </si>
  <si>
    <t>Column3554</t>
  </si>
  <si>
    <t>Column3555</t>
  </si>
  <si>
    <t>Column3556</t>
  </si>
  <si>
    <t>Column3557</t>
  </si>
  <si>
    <t>Column3558</t>
  </si>
  <si>
    <t>Column3559</t>
  </si>
  <si>
    <t>Column3560</t>
  </si>
  <si>
    <t>Column3561</t>
  </si>
  <si>
    <t>Column3562</t>
  </si>
  <si>
    <t>Column3563</t>
  </si>
  <si>
    <t>Column3564</t>
  </si>
  <si>
    <t>Column3565</t>
  </si>
  <si>
    <t>Column3566</t>
  </si>
  <si>
    <t>Column3567</t>
  </si>
  <si>
    <t>Column3568</t>
  </si>
  <si>
    <t>Column3569</t>
  </si>
  <si>
    <t>Column3570</t>
  </si>
  <si>
    <t>Column3571</t>
  </si>
  <si>
    <t>Column3572</t>
  </si>
  <si>
    <t>Column3573</t>
  </si>
  <si>
    <t>Column3574</t>
  </si>
  <si>
    <t>Column3575</t>
  </si>
  <si>
    <t>Column3576</t>
  </si>
  <si>
    <t>Column3577</t>
  </si>
  <si>
    <t>Column3578</t>
  </si>
  <si>
    <t>Column3579</t>
  </si>
  <si>
    <t>Column3580</t>
  </si>
  <si>
    <t>Column3581</t>
  </si>
  <si>
    <t>Column3582</t>
  </si>
  <si>
    <t>Column3583</t>
  </si>
  <si>
    <t>Column3584</t>
  </si>
  <si>
    <t>Column3585</t>
  </si>
  <si>
    <t>Column3586</t>
  </si>
  <si>
    <t>Column3587</t>
  </si>
  <si>
    <t>Column3588</t>
  </si>
  <si>
    <t>Column3589</t>
  </si>
  <si>
    <t>Column3590</t>
  </si>
  <si>
    <t>Column3591</t>
  </si>
  <si>
    <t>Column3592</t>
  </si>
  <si>
    <t>Column3593</t>
  </si>
  <si>
    <t>Column3594</t>
  </si>
  <si>
    <t>Column3595</t>
  </si>
  <si>
    <t>Column3596</t>
  </si>
  <si>
    <t>Column3597</t>
  </si>
  <si>
    <t>Column3598</t>
  </si>
  <si>
    <t>Column3599</t>
  </si>
  <si>
    <t>Column3600</t>
  </si>
  <si>
    <t>Column3601</t>
  </si>
  <si>
    <t>Column3602</t>
  </si>
  <si>
    <t>Column3603</t>
  </si>
  <si>
    <t>Column3604</t>
  </si>
  <si>
    <t>Column3605</t>
  </si>
  <si>
    <t>Column3606</t>
  </si>
  <si>
    <t>Column3607</t>
  </si>
  <si>
    <t>Column3608</t>
  </si>
  <si>
    <t>Column3609</t>
  </si>
  <si>
    <t>Column3610</t>
  </si>
  <si>
    <t>Column3611</t>
  </si>
  <si>
    <t>Column3612</t>
  </si>
  <si>
    <t>Column3613</t>
  </si>
  <si>
    <t>Column3614</t>
  </si>
  <si>
    <t>Column3615</t>
  </si>
  <si>
    <t>Column3616</t>
  </si>
  <si>
    <t>Column3617</t>
  </si>
  <si>
    <t>Column3618</t>
  </si>
  <si>
    <t>Column3619</t>
  </si>
  <si>
    <t>Column3620</t>
  </si>
  <si>
    <t>Column3621</t>
  </si>
  <si>
    <t>Column3622</t>
  </si>
  <si>
    <t>Column3623</t>
  </si>
  <si>
    <t>Column3624</t>
  </si>
  <si>
    <t>Column3625</t>
  </si>
  <si>
    <t>Column3626</t>
  </si>
  <si>
    <t>Column3627</t>
  </si>
  <si>
    <t>Column3628</t>
  </si>
  <si>
    <t>Column3629</t>
  </si>
  <si>
    <t>Column3630</t>
  </si>
  <si>
    <t>Column3631</t>
  </si>
  <si>
    <t>Column3632</t>
  </si>
  <si>
    <t>Column3633</t>
  </si>
  <si>
    <t>Column3634</t>
  </si>
  <si>
    <t>Column3635</t>
  </si>
  <si>
    <t>Column3636</t>
  </si>
  <si>
    <t>Column3637</t>
  </si>
  <si>
    <t>Column3638</t>
  </si>
  <si>
    <t>Column3639</t>
  </si>
  <si>
    <t>Column3640</t>
  </si>
  <si>
    <t>Column3641</t>
  </si>
  <si>
    <t>Column3642</t>
  </si>
  <si>
    <t>Column3643</t>
  </si>
  <si>
    <t>Column3644</t>
  </si>
  <si>
    <t>Column3645</t>
  </si>
  <si>
    <t>Column3646</t>
  </si>
  <si>
    <t>Column3647</t>
  </si>
  <si>
    <t>Column3648</t>
  </si>
  <si>
    <t>Column3649</t>
  </si>
  <si>
    <t>Column3650</t>
  </si>
  <si>
    <t>Column3651</t>
  </si>
  <si>
    <t>Column3652</t>
  </si>
  <si>
    <t>Column3653</t>
  </si>
  <si>
    <t>Column3654</t>
  </si>
  <si>
    <t>Column3655</t>
  </si>
  <si>
    <t>Column3656</t>
  </si>
  <si>
    <t>Column3657</t>
  </si>
  <si>
    <t>Column3658</t>
  </si>
  <si>
    <t>Column3659</t>
  </si>
  <si>
    <t>Column3660</t>
  </si>
  <si>
    <t>Column3661</t>
  </si>
  <si>
    <t>Column3662</t>
  </si>
  <si>
    <t>Column3663</t>
  </si>
  <si>
    <t>Column3664</t>
  </si>
  <si>
    <t>Column3665</t>
  </si>
  <si>
    <t>Column3666</t>
  </si>
  <si>
    <t>Column3667</t>
  </si>
  <si>
    <t>Column3668</t>
  </si>
  <si>
    <t>Column3669</t>
  </si>
  <si>
    <t>Column3670</t>
  </si>
  <si>
    <t>Column3671</t>
  </si>
  <si>
    <t>Column3672</t>
  </si>
  <si>
    <t>Column3673</t>
  </si>
  <si>
    <t>Column3674</t>
  </si>
  <si>
    <t>Column3675</t>
  </si>
  <si>
    <t>Column3676</t>
  </si>
  <si>
    <t>Column3677</t>
  </si>
  <si>
    <t>Column3678</t>
  </si>
  <si>
    <t>Column3679</t>
  </si>
  <si>
    <t>Column3680</t>
  </si>
  <si>
    <t>Column3681</t>
  </si>
  <si>
    <t>Column3682</t>
  </si>
  <si>
    <t>Column3683</t>
  </si>
  <si>
    <t>Column3684</t>
  </si>
  <si>
    <t>Column3685</t>
  </si>
  <si>
    <t>Column3686</t>
  </si>
  <si>
    <t>Column3687</t>
  </si>
  <si>
    <t>Column3688</t>
  </si>
  <si>
    <t>Column3689</t>
  </si>
  <si>
    <t>Column3690</t>
  </si>
  <si>
    <t>Column3691</t>
  </si>
  <si>
    <t>Column3692</t>
  </si>
  <si>
    <t>Column3693</t>
  </si>
  <si>
    <t>Column3694</t>
  </si>
  <si>
    <t>Column3695</t>
  </si>
  <si>
    <t>Column3696</t>
  </si>
  <si>
    <t>Column3697</t>
  </si>
  <si>
    <t>Column3698</t>
  </si>
  <si>
    <t>Column3699</t>
  </si>
  <si>
    <t>Column3700</t>
  </si>
  <si>
    <t>Column3701</t>
  </si>
  <si>
    <t>Column3702</t>
  </si>
  <si>
    <t>Column3703</t>
  </si>
  <si>
    <t>Column3704</t>
  </si>
  <si>
    <t>Column3705</t>
  </si>
  <si>
    <t>Column3706</t>
  </si>
  <si>
    <t>Column3707</t>
  </si>
  <si>
    <t>Column3708</t>
  </si>
  <si>
    <t>Column3709</t>
  </si>
  <si>
    <t>Column3710</t>
  </si>
  <si>
    <t>Column3711</t>
  </si>
  <si>
    <t>Column3712</t>
  </si>
  <si>
    <t>Column3713</t>
  </si>
  <si>
    <t>Column3714</t>
  </si>
  <si>
    <t>Column3715</t>
  </si>
  <si>
    <t>Column3716</t>
  </si>
  <si>
    <t>Column3717</t>
  </si>
  <si>
    <t>Column3718</t>
  </si>
  <si>
    <t>Column3719</t>
  </si>
  <si>
    <t>Column3720</t>
  </si>
  <si>
    <t>Column3721</t>
  </si>
  <si>
    <t>Column3722</t>
  </si>
  <si>
    <t>Column3723</t>
  </si>
  <si>
    <t>Column3724</t>
  </si>
  <si>
    <t>Column3725</t>
  </si>
  <si>
    <t>Column3726</t>
  </si>
  <si>
    <t>Column3727</t>
  </si>
  <si>
    <t>Column3728</t>
  </si>
  <si>
    <t>Column3729</t>
  </si>
  <si>
    <t>Column3730</t>
  </si>
  <si>
    <t>Column3731</t>
  </si>
  <si>
    <t>Column3732</t>
  </si>
  <si>
    <t>Column3733</t>
  </si>
  <si>
    <t>Column3734</t>
  </si>
  <si>
    <t>Column3735</t>
  </si>
  <si>
    <t>Column3736</t>
  </si>
  <si>
    <t>Column3737</t>
  </si>
  <si>
    <t>Column3738</t>
  </si>
  <si>
    <t>Column3739</t>
  </si>
  <si>
    <t>Column3740</t>
  </si>
  <si>
    <t>Column3741</t>
  </si>
  <si>
    <t>Column3742</t>
  </si>
  <si>
    <t>Column3743</t>
  </si>
  <si>
    <t>Column3744</t>
  </si>
  <si>
    <t>Column3745</t>
  </si>
  <si>
    <t>Column3746</t>
  </si>
  <si>
    <t>Column3747</t>
  </si>
  <si>
    <t>Column3748</t>
  </si>
  <si>
    <t>Column3749</t>
  </si>
  <si>
    <t>Column3750</t>
  </si>
  <si>
    <t>Column3751</t>
  </si>
  <si>
    <t>Column3752</t>
  </si>
  <si>
    <t>Column3753</t>
  </si>
  <si>
    <t>Column3754</t>
  </si>
  <si>
    <t>Column3755</t>
  </si>
  <si>
    <t>Column3756</t>
  </si>
  <si>
    <t>Column3757</t>
  </si>
  <si>
    <t>Column3758</t>
  </si>
  <si>
    <t>Column3759</t>
  </si>
  <si>
    <t>Column3760</t>
  </si>
  <si>
    <t>Column3761</t>
  </si>
  <si>
    <t>Column3762</t>
  </si>
  <si>
    <t>Column3763</t>
  </si>
  <si>
    <t>Column3764</t>
  </si>
  <si>
    <t>Column3765</t>
  </si>
  <si>
    <t>Column3766</t>
  </si>
  <si>
    <t>Column3767</t>
  </si>
  <si>
    <t>Column3768</t>
  </si>
  <si>
    <t>Column3769</t>
  </si>
  <si>
    <t>Column3770</t>
  </si>
  <si>
    <t>Column3771</t>
  </si>
  <si>
    <t>Column3772</t>
  </si>
  <si>
    <t>Column3773</t>
  </si>
  <si>
    <t>Column3774</t>
  </si>
  <si>
    <t>Column3775</t>
  </si>
  <si>
    <t>Column3776</t>
  </si>
  <si>
    <t>Column3777</t>
  </si>
  <si>
    <t>Column3778</t>
  </si>
  <si>
    <t>Column3779</t>
  </si>
  <si>
    <t>Column3780</t>
  </si>
  <si>
    <t>Column3781</t>
  </si>
  <si>
    <t>Column3782</t>
  </si>
  <si>
    <t>Column3783</t>
  </si>
  <si>
    <t>Column3784</t>
  </si>
  <si>
    <t>Column3785</t>
  </si>
  <si>
    <t>Column3786</t>
  </si>
  <si>
    <t>Column3787</t>
  </si>
  <si>
    <t>Column3788</t>
  </si>
  <si>
    <t>Column3789</t>
  </si>
  <si>
    <t>Column3790</t>
  </si>
  <si>
    <t>Column3791</t>
  </si>
  <si>
    <t>Column3792</t>
  </si>
  <si>
    <t>Column3793</t>
  </si>
  <si>
    <t>Column3794</t>
  </si>
  <si>
    <t>Column3795</t>
  </si>
  <si>
    <t>Column3796</t>
  </si>
  <si>
    <t>Column3797</t>
  </si>
  <si>
    <t>Column3798</t>
  </si>
  <si>
    <t>Column3799</t>
  </si>
  <si>
    <t>Column3800</t>
  </si>
  <si>
    <t>Column3801</t>
  </si>
  <si>
    <t>Column3802</t>
  </si>
  <si>
    <t>Column3803</t>
  </si>
  <si>
    <t>Column3804</t>
  </si>
  <si>
    <t>Column3805</t>
  </si>
  <si>
    <t>Column3806</t>
  </si>
  <si>
    <t>Column3807</t>
  </si>
  <si>
    <t>Column3808</t>
  </si>
  <si>
    <t>Column3809</t>
  </si>
  <si>
    <t>Column3810</t>
  </si>
  <si>
    <t>Column3811</t>
  </si>
  <si>
    <t>Column3812</t>
  </si>
  <si>
    <t>Column3813</t>
  </si>
  <si>
    <t>Column3814</t>
  </si>
  <si>
    <t>Column3815</t>
  </si>
  <si>
    <t>Column3816</t>
  </si>
  <si>
    <t>Column3817</t>
  </si>
  <si>
    <t>Column3818</t>
  </si>
  <si>
    <t>Column3819</t>
  </si>
  <si>
    <t>Column3820</t>
  </si>
  <si>
    <t>Column3821</t>
  </si>
  <si>
    <t>Column3822</t>
  </si>
  <si>
    <t>Column3823</t>
  </si>
  <si>
    <t>Column3824</t>
  </si>
  <si>
    <t>Column3825</t>
  </si>
  <si>
    <t>Column3826</t>
  </si>
  <si>
    <t>Column3827</t>
  </si>
  <si>
    <t>Column3828</t>
  </si>
  <si>
    <t>Column3829</t>
  </si>
  <si>
    <t>Column3830</t>
  </si>
  <si>
    <t>Column3831</t>
  </si>
  <si>
    <t>Column3832</t>
  </si>
  <si>
    <t>Column3833</t>
  </si>
  <si>
    <t>Column3834</t>
  </si>
  <si>
    <t>Column3835</t>
  </si>
  <si>
    <t>Column3836</t>
  </si>
  <si>
    <t>Column3837</t>
  </si>
  <si>
    <t>Column3838</t>
  </si>
  <si>
    <t>Column3839</t>
  </si>
  <si>
    <t>Column3840</t>
  </si>
  <si>
    <t>Column3841</t>
  </si>
  <si>
    <t>Column3842</t>
  </si>
  <si>
    <t>Column3843</t>
  </si>
  <si>
    <t>Column3844</t>
  </si>
  <si>
    <t>Column3845</t>
  </si>
  <si>
    <t>Column3846</t>
  </si>
  <si>
    <t>Column3847</t>
  </si>
  <si>
    <t>Column3848</t>
  </si>
  <si>
    <t>Column3849</t>
  </si>
  <si>
    <t>Column3850</t>
  </si>
  <si>
    <t>Column3851</t>
  </si>
  <si>
    <t>Column3852</t>
  </si>
  <si>
    <t>Column3853</t>
  </si>
  <si>
    <t>Column3854</t>
  </si>
  <si>
    <t>Column3855</t>
  </si>
  <si>
    <t>Column3856</t>
  </si>
  <si>
    <t>Column3857</t>
  </si>
  <si>
    <t>Column3858</t>
  </si>
  <si>
    <t>Column3859</t>
  </si>
  <si>
    <t>Column3860</t>
  </si>
  <si>
    <t>Column3861</t>
  </si>
  <si>
    <t>Column3862</t>
  </si>
  <si>
    <t>Column3863</t>
  </si>
  <si>
    <t>Column3864</t>
  </si>
  <si>
    <t>Column3865</t>
  </si>
  <si>
    <t>Column3866</t>
  </si>
  <si>
    <t>Column3867</t>
  </si>
  <si>
    <t>Column3868</t>
  </si>
  <si>
    <t>Column3869</t>
  </si>
  <si>
    <t>Column3870</t>
  </si>
  <si>
    <t>Column3871</t>
  </si>
  <si>
    <t>Column3872</t>
  </si>
  <si>
    <t>Column3873</t>
  </si>
  <si>
    <t>Column3874</t>
  </si>
  <si>
    <t>Column3875</t>
  </si>
  <si>
    <t>Column3876</t>
  </si>
  <si>
    <t>Column3877</t>
  </si>
  <si>
    <t>Column3878</t>
  </si>
  <si>
    <t>Column3879</t>
  </si>
  <si>
    <t>Column3880</t>
  </si>
  <si>
    <t>Column3881</t>
  </si>
  <si>
    <t>Column3882</t>
  </si>
  <si>
    <t>Column3883</t>
  </si>
  <si>
    <t>Column3884</t>
  </si>
  <si>
    <t>Column3885</t>
  </si>
  <si>
    <t>Column3886</t>
  </si>
  <si>
    <t>Column3887</t>
  </si>
  <si>
    <t>Column3888</t>
  </si>
  <si>
    <t>Column3889</t>
  </si>
  <si>
    <t>Column3890</t>
  </si>
  <si>
    <t>Column3891</t>
  </si>
  <si>
    <t>Column3892</t>
  </si>
  <si>
    <t>Column3893</t>
  </si>
  <si>
    <t>Column3894</t>
  </si>
  <si>
    <t>Column3895</t>
  </si>
  <si>
    <t>Column3896</t>
  </si>
  <si>
    <t>Column3897</t>
  </si>
  <si>
    <t>Column3898</t>
  </si>
  <si>
    <t>Column3899</t>
  </si>
  <si>
    <t>Column3900</t>
  </si>
  <si>
    <t>Column3901</t>
  </si>
  <si>
    <t>Column3902</t>
  </si>
  <si>
    <t>Column3903</t>
  </si>
  <si>
    <t>Column3904</t>
  </si>
  <si>
    <t>Column3905</t>
  </si>
  <si>
    <t>Column3906</t>
  </si>
  <si>
    <t>Column3907</t>
  </si>
  <si>
    <t>Column3908</t>
  </si>
  <si>
    <t>Column3909</t>
  </si>
  <si>
    <t>Column3910</t>
  </si>
  <si>
    <t>Column3911</t>
  </si>
  <si>
    <t>Column3912</t>
  </si>
  <si>
    <t>Column3913</t>
  </si>
  <si>
    <t>Column3914</t>
  </si>
  <si>
    <t>Column3915</t>
  </si>
  <si>
    <t>Column3916</t>
  </si>
  <si>
    <t>Column3917</t>
  </si>
  <si>
    <t>Column3918</t>
  </si>
  <si>
    <t>Column3919</t>
  </si>
  <si>
    <t>Column3920</t>
  </si>
  <si>
    <t>Column3921</t>
  </si>
  <si>
    <t>Column3922</t>
  </si>
  <si>
    <t>Column3923</t>
  </si>
  <si>
    <t>Column3924</t>
  </si>
  <si>
    <t>Column3925</t>
  </si>
  <si>
    <t>Column3926</t>
  </si>
  <si>
    <t>Column3927</t>
  </si>
  <si>
    <t>Column3928</t>
  </si>
  <si>
    <t>Column3929</t>
  </si>
  <si>
    <t>Column3930</t>
  </si>
  <si>
    <t>Column3931</t>
  </si>
  <si>
    <t>Column3932</t>
  </si>
  <si>
    <t>Column3933</t>
  </si>
  <si>
    <t>Column3934</t>
  </si>
  <si>
    <t>Column3935</t>
  </si>
  <si>
    <t>Column3936</t>
  </si>
  <si>
    <t>Column3937</t>
  </si>
  <si>
    <t>Column3938</t>
  </si>
  <si>
    <t>Column3939</t>
  </si>
  <si>
    <t>Column3940</t>
  </si>
  <si>
    <t>Column3941</t>
  </si>
  <si>
    <t>Column3942</t>
  </si>
  <si>
    <t>Column3943</t>
  </si>
  <si>
    <t>Column3944</t>
  </si>
  <si>
    <t>Column3945</t>
  </si>
  <si>
    <t>Column3946</t>
  </si>
  <si>
    <t>Column3947</t>
  </si>
  <si>
    <t>Column3948</t>
  </si>
  <si>
    <t>Column3949</t>
  </si>
  <si>
    <t>Column3950</t>
  </si>
  <si>
    <t>Column3951</t>
  </si>
  <si>
    <t>Column3952</t>
  </si>
  <si>
    <t>Column3953</t>
  </si>
  <si>
    <t>Column3954</t>
  </si>
  <si>
    <t>Column3955</t>
  </si>
  <si>
    <t>Column3956</t>
  </si>
  <si>
    <t>Column3957</t>
  </si>
  <si>
    <t>Column3958</t>
  </si>
  <si>
    <t>Column3959</t>
  </si>
  <si>
    <t>Column3960</t>
  </si>
  <si>
    <t>Column3961</t>
  </si>
  <si>
    <t>Column3962</t>
  </si>
  <si>
    <t>Column3963</t>
  </si>
  <si>
    <t>Column3964</t>
  </si>
  <si>
    <t>Column3965</t>
  </si>
  <si>
    <t>Column3966</t>
  </si>
  <si>
    <t>Column3967</t>
  </si>
  <si>
    <t>Column3968</t>
  </si>
  <si>
    <t>Column3969</t>
  </si>
  <si>
    <t>Column3970</t>
  </si>
  <si>
    <t>Column3971</t>
  </si>
  <si>
    <t>Column3972</t>
  </si>
  <si>
    <t>Column3973</t>
  </si>
  <si>
    <t>Column3974</t>
  </si>
  <si>
    <t>Column3975</t>
  </si>
  <si>
    <t>Column3976</t>
  </si>
  <si>
    <t>Column3977</t>
  </si>
  <si>
    <t>Column3978</t>
  </si>
  <si>
    <t>Column3979</t>
  </si>
  <si>
    <t>Column3980</t>
  </si>
  <si>
    <t>Column3981</t>
  </si>
  <si>
    <t>Column3982</t>
  </si>
  <si>
    <t>Column3983</t>
  </si>
  <si>
    <t>Column3984</t>
  </si>
  <si>
    <t>Column3985</t>
  </si>
  <si>
    <t>Column3986</t>
  </si>
  <si>
    <t>Column3987</t>
  </si>
  <si>
    <t>Column3988</t>
  </si>
  <si>
    <t>Column3989</t>
  </si>
  <si>
    <t>Column3990</t>
  </si>
  <si>
    <t>Column3991</t>
  </si>
  <si>
    <t>Column3992</t>
  </si>
  <si>
    <t>Column3993</t>
  </si>
  <si>
    <t>Column3994</t>
  </si>
  <si>
    <t>Column3995</t>
  </si>
  <si>
    <t>Column3996</t>
  </si>
  <si>
    <t>Column3997</t>
  </si>
  <si>
    <t>Column3998</t>
  </si>
  <si>
    <t>Column3999</t>
  </si>
  <si>
    <t>Column4000</t>
  </si>
  <si>
    <t>Column4001</t>
  </si>
  <si>
    <t>Column4002</t>
  </si>
  <si>
    <t>Column4003</t>
  </si>
  <si>
    <t>Column4004</t>
  </si>
  <si>
    <t>Column4005</t>
  </si>
  <si>
    <t>Column4006</t>
  </si>
  <si>
    <t>Column4007</t>
  </si>
  <si>
    <t>Column4008</t>
  </si>
  <si>
    <t>Column4009</t>
  </si>
  <si>
    <t>Column4010</t>
  </si>
  <si>
    <t>Column4011</t>
  </si>
  <si>
    <t>Column4012</t>
  </si>
  <si>
    <t>Column4013</t>
  </si>
  <si>
    <t>Column4014</t>
  </si>
  <si>
    <t>Column4015</t>
  </si>
  <si>
    <t>Column4016</t>
  </si>
  <si>
    <t>Column4017</t>
  </si>
  <si>
    <t>Column4018</t>
  </si>
  <si>
    <t>Column4019</t>
  </si>
  <si>
    <t>Column4020</t>
  </si>
  <si>
    <t>Column4021</t>
  </si>
  <si>
    <t>Column4022</t>
  </si>
  <si>
    <t>Column4023</t>
  </si>
  <si>
    <t>Column4024</t>
  </si>
  <si>
    <t>Column4025</t>
  </si>
  <si>
    <t>Column4026</t>
  </si>
  <si>
    <t>Column4027</t>
  </si>
  <si>
    <t>Column4028</t>
  </si>
  <si>
    <t>Column4029</t>
  </si>
  <si>
    <t>Column4030</t>
  </si>
  <si>
    <t>Column4031</t>
  </si>
  <si>
    <t>Column4032</t>
  </si>
  <si>
    <t>Column4033</t>
  </si>
  <si>
    <t>Column4034</t>
  </si>
  <si>
    <t>Column4035</t>
  </si>
  <si>
    <t>Column4036</t>
  </si>
  <si>
    <t>Column4037</t>
  </si>
  <si>
    <t>Column4038</t>
  </si>
  <si>
    <t>Column4039</t>
  </si>
  <si>
    <t>Column4040</t>
  </si>
  <si>
    <t>Column4041</t>
  </si>
  <si>
    <t>Column4042</t>
  </si>
  <si>
    <t>Column4043</t>
  </si>
  <si>
    <t>Column4044</t>
  </si>
  <si>
    <t>Column4045</t>
  </si>
  <si>
    <t>Column4046</t>
  </si>
  <si>
    <t>Column4047</t>
  </si>
  <si>
    <t>Column4048</t>
  </si>
  <si>
    <t>Column4049</t>
  </si>
  <si>
    <t>Column4050</t>
  </si>
  <si>
    <t>Column4051</t>
  </si>
  <si>
    <t>Column4052</t>
  </si>
  <si>
    <t>Column4053</t>
  </si>
  <si>
    <t>Column4054</t>
  </si>
  <si>
    <t>Column4055</t>
  </si>
  <si>
    <t>Column4056</t>
  </si>
  <si>
    <t>Column4057</t>
  </si>
  <si>
    <t>Column4058</t>
  </si>
  <si>
    <t>Column4059</t>
  </si>
  <si>
    <t>Column4060</t>
  </si>
  <si>
    <t>Column4061</t>
  </si>
  <si>
    <t>Column4062</t>
  </si>
  <si>
    <t>Column4063</t>
  </si>
  <si>
    <t>Column4064</t>
  </si>
  <si>
    <t>Column4065</t>
  </si>
  <si>
    <t>Column4066</t>
  </si>
  <si>
    <t>Column4067</t>
  </si>
  <si>
    <t>Column4068</t>
  </si>
  <si>
    <t>Column4069</t>
  </si>
  <si>
    <t>Column4070</t>
  </si>
  <si>
    <t>Column4071</t>
  </si>
  <si>
    <t>Column4072</t>
  </si>
  <si>
    <t>Column4073</t>
  </si>
  <si>
    <t>Column4074</t>
  </si>
  <si>
    <t>Column4075</t>
  </si>
  <si>
    <t>Column4076</t>
  </si>
  <si>
    <t>Column4077</t>
  </si>
  <si>
    <t>Column4078</t>
  </si>
  <si>
    <t>Column4079</t>
  </si>
  <si>
    <t>Column4080</t>
  </si>
  <si>
    <t>Column4081</t>
  </si>
  <si>
    <t>Column4082</t>
  </si>
  <si>
    <t>Column4083</t>
  </si>
  <si>
    <t>Column4084</t>
  </si>
  <si>
    <t>Column4085</t>
  </si>
  <si>
    <t>Column4086</t>
  </si>
  <si>
    <t>Column4087</t>
  </si>
  <si>
    <t>Column4088</t>
  </si>
  <si>
    <t>Column4089</t>
  </si>
  <si>
    <t>Column4090</t>
  </si>
  <si>
    <t>Column4091</t>
  </si>
  <si>
    <t>Column4092</t>
  </si>
  <si>
    <t>Column4093</t>
  </si>
  <si>
    <t>Column4094</t>
  </si>
  <si>
    <t>Column4095</t>
  </si>
  <si>
    <t>Column4096</t>
  </si>
  <si>
    <t>Column4097</t>
  </si>
  <si>
    <t>Column4098</t>
  </si>
  <si>
    <t>Column4099</t>
  </si>
  <si>
    <t>Column4100</t>
  </si>
  <si>
    <t>Column4101</t>
  </si>
  <si>
    <t>Column4102</t>
  </si>
  <si>
    <t>Column4103</t>
  </si>
  <si>
    <t>Column4104</t>
  </si>
  <si>
    <t>Column4105</t>
  </si>
  <si>
    <t>Column4106</t>
  </si>
  <si>
    <t>Column4107</t>
  </si>
  <si>
    <t>Column4108</t>
  </si>
  <si>
    <t>Column4109</t>
  </si>
  <si>
    <t>Column4110</t>
  </si>
  <si>
    <t>Column4111</t>
  </si>
  <si>
    <t>Column4112</t>
  </si>
  <si>
    <t>Column4113</t>
  </si>
  <si>
    <t>Column4114</t>
  </si>
  <si>
    <t>Column4115</t>
  </si>
  <si>
    <t>Column4116</t>
  </si>
  <si>
    <t>Column4117</t>
  </si>
  <si>
    <t>Column4118</t>
  </si>
  <si>
    <t>Column4119</t>
  </si>
  <si>
    <t>Column4120</t>
  </si>
  <si>
    <t>Column4121</t>
  </si>
  <si>
    <t>Column4122</t>
  </si>
  <si>
    <t>Column4123</t>
  </si>
  <si>
    <t>Column4124</t>
  </si>
  <si>
    <t>Column4125</t>
  </si>
  <si>
    <t>Column4126</t>
  </si>
  <si>
    <t>Column4127</t>
  </si>
  <si>
    <t>Column4128</t>
  </si>
  <si>
    <t>Column4129</t>
  </si>
  <si>
    <t>Column4130</t>
  </si>
  <si>
    <t>Column4131</t>
  </si>
  <si>
    <t>Column4132</t>
  </si>
  <si>
    <t>Column4133</t>
  </si>
  <si>
    <t>Column4134</t>
  </si>
  <si>
    <t>Column4135</t>
  </si>
  <si>
    <t>Column4136</t>
  </si>
  <si>
    <t>Column4137</t>
  </si>
  <si>
    <t>Column4138</t>
  </si>
  <si>
    <t>Column4139</t>
  </si>
  <si>
    <t>Column4140</t>
  </si>
  <si>
    <t>Column4141</t>
  </si>
  <si>
    <t>Column4142</t>
  </si>
  <si>
    <t>Column4143</t>
  </si>
  <si>
    <t>Column4144</t>
  </si>
  <si>
    <t>Column4145</t>
  </si>
  <si>
    <t>Column4146</t>
  </si>
  <si>
    <t>Column4147</t>
  </si>
  <si>
    <t>Column4148</t>
  </si>
  <si>
    <t>Column4149</t>
  </si>
  <si>
    <t>Column4150</t>
  </si>
  <si>
    <t>Column4151</t>
  </si>
  <si>
    <t>Column4152</t>
  </si>
  <si>
    <t>Column4153</t>
  </si>
  <si>
    <t>Column4154</t>
  </si>
  <si>
    <t>Column4155</t>
  </si>
  <si>
    <t>Column4156</t>
  </si>
  <si>
    <t>Column4157</t>
  </si>
  <si>
    <t>Column4158</t>
  </si>
  <si>
    <t>Column4159</t>
  </si>
  <si>
    <t>Column4160</t>
  </si>
  <si>
    <t>Column4161</t>
  </si>
  <si>
    <t>Column4162</t>
  </si>
  <si>
    <t>Column4163</t>
  </si>
  <si>
    <t>Column4164</t>
  </si>
  <si>
    <t>Column4165</t>
  </si>
  <si>
    <t>Column4166</t>
  </si>
  <si>
    <t>Column4167</t>
  </si>
  <si>
    <t>Column4168</t>
  </si>
  <si>
    <t>Column4169</t>
  </si>
  <si>
    <t>Column4170</t>
  </si>
  <si>
    <t>Column4171</t>
  </si>
  <si>
    <t>Column4172</t>
  </si>
  <si>
    <t>Column4173</t>
  </si>
  <si>
    <t>Column4174</t>
  </si>
  <si>
    <t>Column4175</t>
  </si>
  <si>
    <t>Column4176</t>
  </si>
  <si>
    <t>Column4177</t>
  </si>
  <si>
    <t>Column4178</t>
  </si>
  <si>
    <t>Column4179</t>
  </si>
  <si>
    <t>Column4180</t>
  </si>
  <si>
    <t>Column4181</t>
  </si>
  <si>
    <t>Column4182</t>
  </si>
  <si>
    <t>Column4183</t>
  </si>
  <si>
    <t>Column4184</t>
  </si>
  <si>
    <t>Column4185</t>
  </si>
  <si>
    <t>Column4186</t>
  </si>
  <si>
    <t>Column4187</t>
  </si>
  <si>
    <t>Column4188</t>
  </si>
  <si>
    <t>Column4189</t>
  </si>
  <si>
    <t>Column4190</t>
  </si>
  <si>
    <t>Column4191</t>
  </si>
  <si>
    <t>Column4192</t>
  </si>
  <si>
    <t>Column4193</t>
  </si>
  <si>
    <t>Column4194</t>
  </si>
  <si>
    <t>Column4195</t>
  </si>
  <si>
    <t>Column4196</t>
  </si>
  <si>
    <t>Column4197</t>
  </si>
  <si>
    <t>Column4198</t>
  </si>
  <si>
    <t>Column4199</t>
  </si>
  <si>
    <t>Column4200</t>
  </si>
  <si>
    <t>Column4201</t>
  </si>
  <si>
    <t>Column4202</t>
  </si>
  <si>
    <t>Column4203</t>
  </si>
  <si>
    <t>Column4204</t>
  </si>
  <si>
    <t>Column4205</t>
  </si>
  <si>
    <t>Column4206</t>
  </si>
  <si>
    <t>Column4207</t>
  </si>
  <si>
    <t>Column4208</t>
  </si>
  <si>
    <t>Column4209</t>
  </si>
  <si>
    <t>Column4210</t>
  </si>
  <si>
    <t>Column4211</t>
  </si>
  <si>
    <t>Column4212</t>
  </si>
  <si>
    <t>Column4213</t>
  </si>
  <si>
    <t>Column4214</t>
  </si>
  <si>
    <t>Column4215</t>
  </si>
  <si>
    <t>Column4216</t>
  </si>
  <si>
    <t>Column4217</t>
  </si>
  <si>
    <t>Column4218</t>
  </si>
  <si>
    <t>Column4219</t>
  </si>
  <si>
    <t>Column4220</t>
  </si>
  <si>
    <t>Column4221</t>
  </si>
  <si>
    <t>Column4222</t>
  </si>
  <si>
    <t>Column4223</t>
  </si>
  <si>
    <t>Column4224</t>
  </si>
  <si>
    <t>Column4225</t>
  </si>
  <si>
    <t>Column4226</t>
  </si>
  <si>
    <t>Column4227</t>
  </si>
  <si>
    <t>Column4228</t>
  </si>
  <si>
    <t>Column4229</t>
  </si>
  <si>
    <t>Column4230</t>
  </si>
  <si>
    <t>Column4231</t>
  </si>
  <si>
    <t>Column4232</t>
  </si>
  <si>
    <t>Column4233</t>
  </si>
  <si>
    <t>Column4234</t>
  </si>
  <si>
    <t>Column4235</t>
  </si>
  <si>
    <t>Column4236</t>
  </si>
  <si>
    <t>Column4237</t>
  </si>
  <si>
    <t>Column4238</t>
  </si>
  <si>
    <t>Column4239</t>
  </si>
  <si>
    <t>Column4240</t>
  </si>
  <si>
    <t>Column4241</t>
  </si>
  <si>
    <t>Column4242</t>
  </si>
  <si>
    <t>Column4243</t>
  </si>
  <si>
    <t>Column4244</t>
  </si>
  <si>
    <t>Column4245</t>
  </si>
  <si>
    <t>Column4246</t>
  </si>
  <si>
    <t>Column4247</t>
  </si>
  <si>
    <t>Column4248</t>
  </si>
  <si>
    <t>Column4249</t>
  </si>
  <si>
    <t>Column4250</t>
  </si>
  <si>
    <t>Column4251</t>
  </si>
  <si>
    <t>Column4252</t>
  </si>
  <si>
    <t>Column4253</t>
  </si>
  <si>
    <t>Column4254</t>
  </si>
  <si>
    <t>Column4255</t>
  </si>
  <si>
    <t>Column4256</t>
  </si>
  <si>
    <t>Column4257</t>
  </si>
  <si>
    <t>Column4258</t>
  </si>
  <si>
    <t>Column4259</t>
  </si>
  <si>
    <t>Column4260</t>
  </si>
  <si>
    <t>Column4261</t>
  </si>
  <si>
    <t>Column4262</t>
  </si>
  <si>
    <t>Column4263</t>
  </si>
  <si>
    <t>Column4264</t>
  </si>
  <si>
    <t>Column4265</t>
  </si>
  <si>
    <t>Column4266</t>
  </si>
  <si>
    <t>Column4267</t>
  </si>
  <si>
    <t>Column4268</t>
  </si>
  <si>
    <t>Column4269</t>
  </si>
  <si>
    <t>Column4270</t>
  </si>
  <si>
    <t>Column4271</t>
  </si>
  <si>
    <t>Column4272</t>
  </si>
  <si>
    <t>Column4273</t>
  </si>
  <si>
    <t>Column4274</t>
  </si>
  <si>
    <t>Column4275</t>
  </si>
  <si>
    <t>Column4276</t>
  </si>
  <si>
    <t>Column4277</t>
  </si>
  <si>
    <t>Column4278</t>
  </si>
  <si>
    <t>Column4279</t>
  </si>
  <si>
    <t>Column4280</t>
  </si>
  <si>
    <t>Column4281</t>
  </si>
  <si>
    <t>Column4282</t>
  </si>
  <si>
    <t>Column4283</t>
  </si>
  <si>
    <t>Column4284</t>
  </si>
  <si>
    <t>Column4285</t>
  </si>
  <si>
    <t>Column4286</t>
  </si>
  <si>
    <t>Column4287</t>
  </si>
  <si>
    <t>Column4288</t>
  </si>
  <si>
    <t>Column4289</t>
  </si>
  <si>
    <t>Column4290</t>
  </si>
  <si>
    <t>Column4291</t>
  </si>
  <si>
    <t>Column4292</t>
  </si>
  <si>
    <t>Column4293</t>
  </si>
  <si>
    <t>Column4294</t>
  </si>
  <si>
    <t>Column4295</t>
  </si>
  <si>
    <t>Column4296</t>
  </si>
  <si>
    <t>Column4297</t>
  </si>
  <si>
    <t>Column4298</t>
  </si>
  <si>
    <t>Column4299</t>
  </si>
  <si>
    <t>Column4300</t>
  </si>
  <si>
    <t>Column4301</t>
  </si>
  <si>
    <t>Column4302</t>
  </si>
  <si>
    <t>Column4303</t>
  </si>
  <si>
    <t>Column4304</t>
  </si>
  <si>
    <t>Column4305</t>
  </si>
  <si>
    <t>Column4306</t>
  </si>
  <si>
    <t>Column4307</t>
  </si>
  <si>
    <t>Column4308</t>
  </si>
  <si>
    <t>Column4309</t>
  </si>
  <si>
    <t>Column4310</t>
  </si>
  <si>
    <t>Column4311</t>
  </si>
  <si>
    <t>Column4312</t>
  </si>
  <si>
    <t>Column4313</t>
  </si>
  <si>
    <t>Column4314</t>
  </si>
  <si>
    <t>Column4315</t>
  </si>
  <si>
    <t>Column4316</t>
  </si>
  <si>
    <t>Column4317</t>
  </si>
  <si>
    <t>Column4318</t>
  </si>
  <si>
    <t>Column4319</t>
  </si>
  <si>
    <t>Column4320</t>
  </si>
  <si>
    <t>Column4321</t>
  </si>
  <si>
    <t>Column4322</t>
  </si>
  <si>
    <t>Column4323</t>
  </si>
  <si>
    <t>Column4324</t>
  </si>
  <si>
    <t>Column4325</t>
  </si>
  <si>
    <t>Column4326</t>
  </si>
  <si>
    <t>Column4327</t>
  </si>
  <si>
    <t>Column4328</t>
  </si>
  <si>
    <t>Column4329</t>
  </si>
  <si>
    <t>Column4330</t>
  </si>
  <si>
    <t>Column4331</t>
  </si>
  <si>
    <t>Column4332</t>
  </si>
  <si>
    <t>Column4333</t>
  </si>
  <si>
    <t>Column4334</t>
  </si>
  <si>
    <t>Column4335</t>
  </si>
  <si>
    <t>Column4336</t>
  </si>
  <si>
    <t>Column4337</t>
  </si>
  <si>
    <t>Column4338</t>
  </si>
  <si>
    <t>Column4339</t>
  </si>
  <si>
    <t>Column4340</t>
  </si>
  <si>
    <t>Column4341</t>
  </si>
  <si>
    <t>Column4342</t>
  </si>
  <si>
    <t>Column4343</t>
  </si>
  <si>
    <t>Column4344</t>
  </si>
  <si>
    <t>Column4345</t>
  </si>
  <si>
    <t>Column4346</t>
  </si>
  <si>
    <t>Column4347</t>
  </si>
  <si>
    <t>Column4348</t>
  </si>
  <si>
    <t>Column4349</t>
  </si>
  <si>
    <t>Column4350</t>
  </si>
  <si>
    <t>Column4351</t>
  </si>
  <si>
    <t>Column4352</t>
  </si>
  <si>
    <t>Column4353</t>
  </si>
  <si>
    <t>Column4354</t>
  </si>
  <si>
    <t>Column4355</t>
  </si>
  <si>
    <t>Column4356</t>
  </si>
  <si>
    <t>Column4357</t>
  </si>
  <si>
    <t>Column4358</t>
  </si>
  <si>
    <t>Column4359</t>
  </si>
  <si>
    <t>Column4360</t>
  </si>
  <si>
    <t>Column4361</t>
  </si>
  <si>
    <t>Column4362</t>
  </si>
  <si>
    <t>Column4363</t>
  </si>
  <si>
    <t>Column4364</t>
  </si>
  <si>
    <t>Column4365</t>
  </si>
  <si>
    <t>Column4366</t>
  </si>
  <si>
    <t>Column4367</t>
  </si>
  <si>
    <t>Column4368</t>
  </si>
  <si>
    <t>Column4369</t>
  </si>
  <si>
    <t>Column4370</t>
  </si>
  <si>
    <t>Column4371</t>
  </si>
  <si>
    <t>Column4372</t>
  </si>
  <si>
    <t>Column4373</t>
  </si>
  <si>
    <t>Column4374</t>
  </si>
  <si>
    <t>Column4375</t>
  </si>
  <si>
    <t>Column4376</t>
  </si>
  <si>
    <t>Column4377</t>
  </si>
  <si>
    <t>Column4378</t>
  </si>
  <si>
    <t>Column4379</t>
  </si>
  <si>
    <t>Column4380</t>
  </si>
  <si>
    <t>Column4381</t>
  </si>
  <si>
    <t>Column4382</t>
  </si>
  <si>
    <t>Column4383</t>
  </si>
  <si>
    <t>Column4384</t>
  </si>
  <si>
    <t>Column4385</t>
  </si>
  <si>
    <t>Column4386</t>
  </si>
  <si>
    <t>Column4387</t>
  </si>
  <si>
    <t>Column4388</t>
  </si>
  <si>
    <t>Column4389</t>
  </si>
  <si>
    <t>Column4390</t>
  </si>
  <si>
    <t>Column4391</t>
  </si>
  <si>
    <t>Column4392</t>
  </si>
  <si>
    <t>Column4393</t>
  </si>
  <si>
    <t>Column4394</t>
  </si>
  <si>
    <t>Column4395</t>
  </si>
  <si>
    <t>Column4396</t>
  </si>
  <si>
    <t>Column4397</t>
  </si>
  <si>
    <t>Column4398</t>
  </si>
  <si>
    <t>Column4399</t>
  </si>
  <si>
    <t>Column4400</t>
  </si>
  <si>
    <t>Column4401</t>
  </si>
  <si>
    <t>Column4402</t>
  </si>
  <si>
    <t>Column4403</t>
  </si>
  <si>
    <t>Column4404</t>
  </si>
  <si>
    <t>Column4405</t>
  </si>
  <si>
    <t>Column4406</t>
  </si>
  <si>
    <t>Column4407</t>
  </si>
  <si>
    <t>Column4408</t>
  </si>
  <si>
    <t>Column4409</t>
  </si>
  <si>
    <t>Column4410</t>
  </si>
  <si>
    <t>Column4411</t>
  </si>
  <si>
    <t>Column4412</t>
  </si>
  <si>
    <t>Column4413</t>
  </si>
  <si>
    <t>Column4414</t>
  </si>
  <si>
    <t>Column4415</t>
  </si>
  <si>
    <t>Column4416</t>
  </si>
  <si>
    <t>Column4417</t>
  </si>
  <si>
    <t>Column4418</t>
  </si>
  <si>
    <t>Column4419</t>
  </si>
  <si>
    <t>Column4420</t>
  </si>
  <si>
    <t>Column4421</t>
  </si>
  <si>
    <t>Column4422</t>
  </si>
  <si>
    <t>Column4423</t>
  </si>
  <si>
    <t>Column4424</t>
  </si>
  <si>
    <t>Column4425</t>
  </si>
  <si>
    <t>Column4426</t>
  </si>
  <si>
    <t>Column4427</t>
  </si>
  <si>
    <t>Column4428</t>
  </si>
  <si>
    <t>Column4429</t>
  </si>
  <si>
    <t>Column4430</t>
  </si>
  <si>
    <t>Column4431</t>
  </si>
  <si>
    <t>Column4432</t>
  </si>
  <si>
    <t>Column4433</t>
  </si>
  <si>
    <t>Column4434</t>
  </si>
  <si>
    <t>Column4435</t>
  </si>
  <si>
    <t>Column4436</t>
  </si>
  <si>
    <t>Column4437</t>
  </si>
  <si>
    <t>Column4438</t>
  </si>
  <si>
    <t>Column4439</t>
  </si>
  <si>
    <t>Column4440</t>
  </si>
  <si>
    <t>Column4441</t>
  </si>
  <si>
    <t>Column4442</t>
  </si>
  <si>
    <t>Column4443</t>
  </si>
  <si>
    <t>Column4444</t>
  </si>
  <si>
    <t>Column4445</t>
  </si>
  <si>
    <t>Column4446</t>
  </si>
  <si>
    <t>Column4447</t>
  </si>
  <si>
    <t>Column4448</t>
  </si>
  <si>
    <t>Column4449</t>
  </si>
  <si>
    <t>Column4450</t>
  </si>
  <si>
    <t>Column4451</t>
  </si>
  <si>
    <t>Column4452</t>
  </si>
  <si>
    <t>Column4453</t>
  </si>
  <si>
    <t>Column4454</t>
  </si>
  <si>
    <t>Column4455</t>
  </si>
  <si>
    <t>Column4456</t>
  </si>
  <si>
    <t>Column4457</t>
  </si>
  <si>
    <t>Column4458</t>
  </si>
  <si>
    <t>Column4459</t>
  </si>
  <si>
    <t>Column4460</t>
  </si>
  <si>
    <t>Column4461</t>
  </si>
  <si>
    <t>Column4462</t>
  </si>
  <si>
    <t>Column4463</t>
  </si>
  <si>
    <t>Column4464</t>
  </si>
  <si>
    <t>Column4465</t>
  </si>
  <si>
    <t>Column4466</t>
  </si>
  <si>
    <t>Column4467</t>
  </si>
  <si>
    <t>Column4468</t>
  </si>
  <si>
    <t>Column4469</t>
  </si>
  <si>
    <t>Column4470</t>
  </si>
  <si>
    <t>Column4471</t>
  </si>
  <si>
    <t>Column4472</t>
  </si>
  <si>
    <t>Column4473</t>
  </si>
  <si>
    <t>Column4474</t>
  </si>
  <si>
    <t>Column4475</t>
  </si>
  <si>
    <t>Column4476</t>
  </si>
  <si>
    <t>Column4477</t>
  </si>
  <si>
    <t>Column4478</t>
  </si>
  <si>
    <t>Column4479</t>
  </si>
  <si>
    <t>Column4480</t>
  </si>
  <si>
    <t>Column4481</t>
  </si>
  <si>
    <t>Column4482</t>
  </si>
  <si>
    <t>Column4483</t>
  </si>
  <si>
    <t>Column4484</t>
  </si>
  <si>
    <t>Column4485</t>
  </si>
  <si>
    <t>Column4486</t>
  </si>
  <si>
    <t>Column4487</t>
  </si>
  <si>
    <t>Column4488</t>
  </si>
  <si>
    <t>Column4489</t>
  </si>
  <si>
    <t>Column4490</t>
  </si>
  <si>
    <t>Column4491</t>
  </si>
  <si>
    <t>Column4492</t>
  </si>
  <si>
    <t>Column4493</t>
  </si>
  <si>
    <t>Column4494</t>
  </si>
  <si>
    <t>Column4495</t>
  </si>
  <si>
    <t>Column4496</t>
  </si>
  <si>
    <t>Column4497</t>
  </si>
  <si>
    <t>Column4498</t>
  </si>
  <si>
    <t>Column4499</t>
  </si>
  <si>
    <t>Column4500</t>
  </si>
  <si>
    <t>Column4501</t>
  </si>
  <si>
    <t>Column4502</t>
  </si>
  <si>
    <t>Column4503</t>
  </si>
  <si>
    <t>Column4504</t>
  </si>
  <si>
    <t>Column4505</t>
  </si>
  <si>
    <t>Column4506</t>
  </si>
  <si>
    <t>Column4507</t>
  </si>
  <si>
    <t>Column4508</t>
  </si>
  <si>
    <t>Column4509</t>
  </si>
  <si>
    <t>Column4510</t>
  </si>
  <si>
    <t>Column4511</t>
  </si>
  <si>
    <t>Column4512</t>
  </si>
  <si>
    <t>Column4513</t>
  </si>
  <si>
    <t>Column4514</t>
  </si>
  <si>
    <t>Column4515</t>
  </si>
  <si>
    <t>Column4516</t>
  </si>
  <si>
    <t>Column4517</t>
  </si>
  <si>
    <t>Column4518</t>
  </si>
  <si>
    <t>Column4519</t>
  </si>
  <si>
    <t>Column4520</t>
  </si>
  <si>
    <t>Column4521</t>
  </si>
  <si>
    <t>Column4522</t>
  </si>
  <si>
    <t>Column4523</t>
  </si>
  <si>
    <t>Column4524</t>
  </si>
  <si>
    <t>Column4525</t>
  </si>
  <si>
    <t>Column4526</t>
  </si>
  <si>
    <t>Column4527</t>
  </si>
  <si>
    <t>Column4528</t>
  </si>
  <si>
    <t>Column4529</t>
  </si>
  <si>
    <t>Column4530</t>
  </si>
  <si>
    <t>Column4531</t>
  </si>
  <si>
    <t>Column4532</t>
  </si>
  <si>
    <t>Column4533</t>
  </si>
  <si>
    <t>Column4534</t>
  </si>
  <si>
    <t>Column4535</t>
  </si>
  <si>
    <t>Column4536</t>
  </si>
  <si>
    <t>Column4537</t>
  </si>
  <si>
    <t>Column4538</t>
  </si>
  <si>
    <t>Column4539</t>
  </si>
  <si>
    <t>Column4540</t>
  </si>
  <si>
    <t>Column4541</t>
  </si>
  <si>
    <t>Column4542</t>
  </si>
  <si>
    <t>Column4543</t>
  </si>
  <si>
    <t>Column4544</t>
  </si>
  <si>
    <t>Column4545</t>
  </si>
  <si>
    <t>Column4546</t>
  </si>
  <si>
    <t>Column4547</t>
  </si>
  <si>
    <t>Column4548</t>
  </si>
  <si>
    <t>Column4549</t>
  </si>
  <si>
    <t>Column4550</t>
  </si>
  <si>
    <t>Column4551</t>
  </si>
  <si>
    <t>Column4552</t>
  </si>
  <si>
    <t>Column4553</t>
  </si>
  <si>
    <t>Column4554</t>
  </si>
  <si>
    <t>Column4555</t>
  </si>
  <si>
    <t>Column4556</t>
  </si>
  <si>
    <t>Column4557</t>
  </si>
  <si>
    <t>Column4558</t>
  </si>
  <si>
    <t>Column4559</t>
  </si>
  <si>
    <t>Column4560</t>
  </si>
  <si>
    <t>Column4561</t>
  </si>
  <si>
    <t>Column4562</t>
  </si>
  <si>
    <t>Column4563</t>
  </si>
  <si>
    <t>Column4564</t>
  </si>
  <si>
    <t>Column4565</t>
  </si>
  <si>
    <t>Column4566</t>
  </si>
  <si>
    <t>Column4567</t>
  </si>
  <si>
    <t>Column4568</t>
  </si>
  <si>
    <t>Column4569</t>
  </si>
  <si>
    <t>Column4570</t>
  </si>
  <si>
    <t>Column4571</t>
  </si>
  <si>
    <t>Column4572</t>
  </si>
  <si>
    <t>Column4573</t>
  </si>
  <si>
    <t>Column4574</t>
  </si>
  <si>
    <t>Column4575</t>
  </si>
  <si>
    <t>Column4576</t>
  </si>
  <si>
    <t>Column4577</t>
  </si>
  <si>
    <t>Column4578</t>
  </si>
  <si>
    <t>Column4579</t>
  </si>
  <si>
    <t>Column4580</t>
  </si>
  <si>
    <t>Column4581</t>
  </si>
  <si>
    <t>Column4582</t>
  </si>
  <si>
    <t>Column4583</t>
  </si>
  <si>
    <t>Column4584</t>
  </si>
  <si>
    <t>Column4585</t>
  </si>
  <si>
    <t>Column4586</t>
  </si>
  <si>
    <t>Column4587</t>
  </si>
  <si>
    <t>Column4588</t>
  </si>
  <si>
    <t>Column4589</t>
  </si>
  <si>
    <t>Column4590</t>
  </si>
  <si>
    <t>Column4591</t>
  </si>
  <si>
    <t>Column4592</t>
  </si>
  <si>
    <t>Column4593</t>
  </si>
  <si>
    <t>Column4594</t>
  </si>
  <si>
    <t>Column4595</t>
  </si>
  <si>
    <t>Column4596</t>
  </si>
  <si>
    <t>Column4597</t>
  </si>
  <si>
    <t>Column4598</t>
  </si>
  <si>
    <t>Column4599</t>
  </si>
  <si>
    <t>Column4600</t>
  </si>
  <si>
    <t>Column4601</t>
  </si>
  <si>
    <t>Column4602</t>
  </si>
  <si>
    <t>Column4603</t>
  </si>
  <si>
    <t>Column4604</t>
  </si>
  <si>
    <t>Column4605</t>
  </si>
  <si>
    <t>Column4606</t>
  </si>
  <si>
    <t>Column4607</t>
  </si>
  <si>
    <t>Column4608</t>
  </si>
  <si>
    <t>Column4609</t>
  </si>
  <si>
    <t>Column4610</t>
  </si>
  <si>
    <t>Column4611</t>
  </si>
  <si>
    <t>Column4612</t>
  </si>
  <si>
    <t>Column4613</t>
  </si>
  <si>
    <t>Column4614</t>
  </si>
  <si>
    <t>Column4615</t>
  </si>
  <si>
    <t>Column4616</t>
  </si>
  <si>
    <t>Column4617</t>
  </si>
  <si>
    <t>Column4618</t>
  </si>
  <si>
    <t>Column4619</t>
  </si>
  <si>
    <t>Column4620</t>
  </si>
  <si>
    <t>Column4621</t>
  </si>
  <si>
    <t>Column4622</t>
  </si>
  <si>
    <t>Column4623</t>
  </si>
  <si>
    <t>Column4624</t>
  </si>
  <si>
    <t>Column4625</t>
  </si>
  <si>
    <t>Column4626</t>
  </si>
  <si>
    <t>Column4627</t>
  </si>
  <si>
    <t>Column4628</t>
  </si>
  <si>
    <t>Column4629</t>
  </si>
  <si>
    <t>Column4630</t>
  </si>
  <si>
    <t>Column4631</t>
  </si>
  <si>
    <t>Column4632</t>
  </si>
  <si>
    <t>Column4633</t>
  </si>
  <si>
    <t>Column4634</t>
  </si>
  <si>
    <t>Column4635</t>
  </si>
  <si>
    <t>Column4636</t>
  </si>
  <si>
    <t>Column4637</t>
  </si>
  <si>
    <t>Column4638</t>
  </si>
  <si>
    <t>Column4639</t>
  </si>
  <si>
    <t>Column4640</t>
  </si>
  <si>
    <t>Column4641</t>
  </si>
  <si>
    <t>Column4642</t>
  </si>
  <si>
    <t>Column4643</t>
  </si>
  <si>
    <t>Column4644</t>
  </si>
  <si>
    <t>Column4645</t>
  </si>
  <si>
    <t>Column4646</t>
  </si>
  <si>
    <t>Column4647</t>
  </si>
  <si>
    <t>Column4648</t>
  </si>
  <si>
    <t>Column4649</t>
  </si>
  <si>
    <t>Column4650</t>
  </si>
  <si>
    <t>Column4651</t>
  </si>
  <si>
    <t>Column4652</t>
  </si>
  <si>
    <t>Column4653</t>
  </si>
  <si>
    <t>Column4654</t>
  </si>
  <si>
    <t>Column4655</t>
  </si>
  <si>
    <t>Column4656</t>
  </si>
  <si>
    <t>Column4657</t>
  </si>
  <si>
    <t>Column4658</t>
  </si>
  <si>
    <t>Column4659</t>
  </si>
  <si>
    <t>Column4660</t>
  </si>
  <si>
    <t>Column4661</t>
  </si>
  <si>
    <t>Column4662</t>
  </si>
  <si>
    <t>Column4663</t>
  </si>
  <si>
    <t>Column4664</t>
  </si>
  <si>
    <t>Column4665</t>
  </si>
  <si>
    <t>Column4666</t>
  </si>
  <si>
    <t>Column4667</t>
  </si>
  <si>
    <t>Column4668</t>
  </si>
  <si>
    <t>Column4669</t>
  </si>
  <si>
    <t>Column4670</t>
  </si>
  <si>
    <t>Column4671</t>
  </si>
  <si>
    <t>Column4672</t>
  </si>
  <si>
    <t>Column4673</t>
  </si>
  <si>
    <t>Column4674</t>
  </si>
  <si>
    <t>Column4675</t>
  </si>
  <si>
    <t>Column4676</t>
  </si>
  <si>
    <t>Column4677</t>
  </si>
  <si>
    <t>Column4678</t>
  </si>
  <si>
    <t>Column4679</t>
  </si>
  <si>
    <t>Column4680</t>
  </si>
  <si>
    <t>Column4681</t>
  </si>
  <si>
    <t>Column4682</t>
  </si>
  <si>
    <t>Column4683</t>
  </si>
  <si>
    <t>Column4684</t>
  </si>
  <si>
    <t>Column4685</t>
  </si>
  <si>
    <t>Column4686</t>
  </si>
  <si>
    <t>Column4687</t>
  </si>
  <si>
    <t>Column4688</t>
  </si>
  <si>
    <t>Column4689</t>
  </si>
  <si>
    <t>Column4690</t>
  </si>
  <si>
    <t>Column4691</t>
  </si>
  <si>
    <t>Column4692</t>
  </si>
  <si>
    <t>Column4693</t>
  </si>
  <si>
    <t>Column4694</t>
  </si>
  <si>
    <t>Column4695</t>
  </si>
  <si>
    <t>Column4696</t>
  </si>
  <si>
    <t>Column4697</t>
  </si>
  <si>
    <t>Column4698</t>
  </si>
  <si>
    <t>Column4699</t>
  </si>
  <si>
    <t>Column4700</t>
  </si>
  <si>
    <t>Column4701</t>
  </si>
  <si>
    <t>Column4702</t>
  </si>
  <si>
    <t>Column4703</t>
  </si>
  <si>
    <t>Column4704</t>
  </si>
  <si>
    <t>Column4705</t>
  </si>
  <si>
    <t>Column4706</t>
  </si>
  <si>
    <t>Column4707</t>
  </si>
  <si>
    <t>Column4708</t>
  </si>
  <si>
    <t>Column4709</t>
  </si>
  <si>
    <t>Column4710</t>
  </si>
  <si>
    <t>Column4711</t>
  </si>
  <si>
    <t>Column4712</t>
  </si>
  <si>
    <t>Column4713</t>
  </si>
  <si>
    <t>Column4714</t>
  </si>
  <si>
    <t>Column4715</t>
  </si>
  <si>
    <t>Column4716</t>
  </si>
  <si>
    <t>Column4717</t>
  </si>
  <si>
    <t>Column4718</t>
  </si>
  <si>
    <t>Column4719</t>
  </si>
  <si>
    <t>Column4720</t>
  </si>
  <si>
    <t>Column4721</t>
  </si>
  <si>
    <t>Column4722</t>
  </si>
  <si>
    <t>Column4723</t>
  </si>
  <si>
    <t>Column4724</t>
  </si>
  <si>
    <t>Column4725</t>
  </si>
  <si>
    <t>Column4726</t>
  </si>
  <si>
    <t>Column4727</t>
  </si>
  <si>
    <t>Column4728</t>
  </si>
  <si>
    <t>Column4729</t>
  </si>
  <si>
    <t>Column4730</t>
  </si>
  <si>
    <t>Column4731</t>
  </si>
  <si>
    <t>Column4732</t>
  </si>
  <si>
    <t>Column4733</t>
  </si>
  <si>
    <t>Column4734</t>
  </si>
  <si>
    <t>Column4735</t>
  </si>
  <si>
    <t>Column4736</t>
  </si>
  <si>
    <t>Column4737</t>
  </si>
  <si>
    <t>Column4738</t>
  </si>
  <si>
    <t>Column4739</t>
  </si>
  <si>
    <t>Column4740</t>
  </si>
  <si>
    <t>Column4741</t>
  </si>
  <si>
    <t>Column4742</t>
  </si>
  <si>
    <t>Column4743</t>
  </si>
  <si>
    <t>Column4744</t>
  </si>
  <si>
    <t>Column4745</t>
  </si>
  <si>
    <t>Column4746</t>
  </si>
  <si>
    <t>Column4747</t>
  </si>
  <si>
    <t>Column4748</t>
  </si>
  <si>
    <t>Column4749</t>
  </si>
  <si>
    <t>Column4750</t>
  </si>
  <si>
    <t>Column4751</t>
  </si>
  <si>
    <t>Column4752</t>
  </si>
  <si>
    <t>Column4753</t>
  </si>
  <si>
    <t>Column4754</t>
  </si>
  <si>
    <t>Column4755</t>
  </si>
  <si>
    <t>Column4756</t>
  </si>
  <si>
    <t>Column4757</t>
  </si>
  <si>
    <t>Column4758</t>
  </si>
  <si>
    <t>Column4759</t>
  </si>
  <si>
    <t>Column4760</t>
  </si>
  <si>
    <t>Column4761</t>
  </si>
  <si>
    <t>Column4762</t>
  </si>
  <si>
    <t>Column4763</t>
  </si>
  <si>
    <t>Column4764</t>
  </si>
  <si>
    <t>Column4765</t>
  </si>
  <si>
    <t>Column4766</t>
  </si>
  <si>
    <t>Column4767</t>
  </si>
  <si>
    <t>Column4768</t>
  </si>
  <si>
    <t>Column4769</t>
  </si>
  <si>
    <t>Column4770</t>
  </si>
  <si>
    <t>Column4771</t>
  </si>
  <si>
    <t>Column4772</t>
  </si>
  <si>
    <t>Column4773</t>
  </si>
  <si>
    <t>Column4774</t>
  </si>
  <si>
    <t>Column4775</t>
  </si>
  <si>
    <t>Column4776</t>
  </si>
  <si>
    <t>Column4777</t>
  </si>
  <si>
    <t>Column4778</t>
  </si>
  <si>
    <t>Column4779</t>
  </si>
  <si>
    <t>Column4780</t>
  </si>
  <si>
    <t>Column4781</t>
  </si>
  <si>
    <t>Column4782</t>
  </si>
  <si>
    <t>Column4783</t>
  </si>
  <si>
    <t>Column4784</t>
  </si>
  <si>
    <t>Column4785</t>
  </si>
  <si>
    <t>Column4786</t>
  </si>
  <si>
    <t>Column4787</t>
  </si>
  <si>
    <t>Column4788</t>
  </si>
  <si>
    <t>Column4789</t>
  </si>
  <si>
    <t>Column4790</t>
  </si>
  <si>
    <t>Column4791</t>
  </si>
  <si>
    <t>Column4792</t>
  </si>
  <si>
    <t>Column4793</t>
  </si>
  <si>
    <t>Column4794</t>
  </si>
  <si>
    <t>Column4795</t>
  </si>
  <si>
    <t>Column4796</t>
  </si>
  <si>
    <t>Column4797</t>
  </si>
  <si>
    <t>Column4798</t>
  </si>
  <si>
    <t>Column4799</t>
  </si>
  <si>
    <t>Column4800</t>
  </si>
  <si>
    <t>Column4801</t>
  </si>
  <si>
    <t>Column4802</t>
  </si>
  <si>
    <t>Column4803</t>
  </si>
  <si>
    <t>Column4804</t>
  </si>
  <si>
    <t>Column4805</t>
  </si>
  <si>
    <t>Column4806</t>
  </si>
  <si>
    <t>Column4807</t>
  </si>
  <si>
    <t>Column4808</t>
  </si>
  <si>
    <t>Column4809</t>
  </si>
  <si>
    <t>Column4810</t>
  </si>
  <si>
    <t>Column4811</t>
  </si>
  <si>
    <t>Column4812</t>
  </si>
  <si>
    <t>Column4813</t>
  </si>
  <si>
    <t>Column4814</t>
  </si>
  <si>
    <t>Column4815</t>
  </si>
  <si>
    <t>Column4816</t>
  </si>
  <si>
    <t>Column4817</t>
  </si>
  <si>
    <t>Column4818</t>
  </si>
  <si>
    <t>Column4819</t>
  </si>
  <si>
    <t>Column4820</t>
  </si>
  <si>
    <t>Column4821</t>
  </si>
  <si>
    <t>Column4822</t>
  </si>
  <si>
    <t>Column4823</t>
  </si>
  <si>
    <t>Column4824</t>
  </si>
  <si>
    <t>Column4825</t>
  </si>
  <si>
    <t>Column4826</t>
  </si>
  <si>
    <t>Column4827</t>
  </si>
  <si>
    <t>Column4828</t>
  </si>
  <si>
    <t>Column4829</t>
  </si>
  <si>
    <t>Column4830</t>
  </si>
  <si>
    <t>Column4831</t>
  </si>
  <si>
    <t>Column4832</t>
  </si>
  <si>
    <t>Column4833</t>
  </si>
  <si>
    <t>Column4834</t>
  </si>
  <si>
    <t>Column4835</t>
  </si>
  <si>
    <t>Column4836</t>
  </si>
  <si>
    <t>Column4837</t>
  </si>
  <si>
    <t>Column4838</t>
  </si>
  <si>
    <t>Column4839</t>
  </si>
  <si>
    <t>Column4840</t>
  </si>
  <si>
    <t>Column4841</t>
  </si>
  <si>
    <t>Column4842</t>
  </si>
  <si>
    <t>Column4843</t>
  </si>
  <si>
    <t>Column4844</t>
  </si>
  <si>
    <t>Column4845</t>
  </si>
  <si>
    <t>Column4846</t>
  </si>
  <si>
    <t>Column4847</t>
  </si>
  <si>
    <t>Column4848</t>
  </si>
  <si>
    <t>Column4849</t>
  </si>
  <si>
    <t>Column4850</t>
  </si>
  <si>
    <t>Column4851</t>
  </si>
  <si>
    <t>Column4852</t>
  </si>
  <si>
    <t>Column4853</t>
  </si>
  <si>
    <t>Column4854</t>
  </si>
  <si>
    <t>Column4855</t>
  </si>
  <si>
    <t>Column4856</t>
  </si>
  <si>
    <t>Column4857</t>
  </si>
  <si>
    <t>Column4858</t>
  </si>
  <si>
    <t>Column4859</t>
  </si>
  <si>
    <t>Column4860</t>
  </si>
  <si>
    <t>Column4861</t>
  </si>
  <si>
    <t>Column4862</t>
  </si>
  <si>
    <t>Column4863</t>
  </si>
  <si>
    <t>Column4864</t>
  </si>
  <si>
    <t>Column4865</t>
  </si>
  <si>
    <t>Column4866</t>
  </si>
  <si>
    <t>Column4867</t>
  </si>
  <si>
    <t>Column4868</t>
  </si>
  <si>
    <t>Column4869</t>
  </si>
  <si>
    <t>Column4870</t>
  </si>
  <si>
    <t>Column4871</t>
  </si>
  <si>
    <t>Column4872</t>
  </si>
  <si>
    <t>Column4873</t>
  </si>
  <si>
    <t>Column4874</t>
  </si>
  <si>
    <t>Column4875</t>
  </si>
  <si>
    <t>Column4876</t>
  </si>
  <si>
    <t>Column4877</t>
  </si>
  <si>
    <t>Column4878</t>
  </si>
  <si>
    <t>Column4879</t>
  </si>
  <si>
    <t>Column4880</t>
  </si>
  <si>
    <t>Column4881</t>
  </si>
  <si>
    <t>Column4882</t>
  </si>
  <si>
    <t>Column4883</t>
  </si>
  <si>
    <t>Column4884</t>
  </si>
  <si>
    <t>Column4885</t>
  </si>
  <si>
    <t>Column4886</t>
  </si>
  <si>
    <t>Column4887</t>
  </si>
  <si>
    <t>Column4888</t>
  </si>
  <si>
    <t>Column4889</t>
  </si>
  <si>
    <t>Column4890</t>
  </si>
  <si>
    <t>Column4891</t>
  </si>
  <si>
    <t>Column4892</t>
  </si>
  <si>
    <t>Column4893</t>
  </si>
  <si>
    <t>Column4894</t>
  </si>
  <si>
    <t>Column4895</t>
  </si>
  <si>
    <t>Column4896</t>
  </si>
  <si>
    <t>Column4897</t>
  </si>
  <si>
    <t>Column4898</t>
  </si>
  <si>
    <t>Column4899</t>
  </si>
  <si>
    <t>Column4900</t>
  </si>
  <si>
    <t>Column4901</t>
  </si>
  <si>
    <t>Column4902</t>
  </si>
  <si>
    <t>Column4903</t>
  </si>
  <si>
    <t>Column4904</t>
  </si>
  <si>
    <t>Column4905</t>
  </si>
  <si>
    <t>Column4906</t>
  </si>
  <si>
    <t>Column4907</t>
  </si>
  <si>
    <t>Column4908</t>
  </si>
  <si>
    <t>Column4909</t>
  </si>
  <si>
    <t>Column4910</t>
  </si>
  <si>
    <t>Column4911</t>
  </si>
  <si>
    <t>Column4912</t>
  </si>
  <si>
    <t>Column4913</t>
  </si>
  <si>
    <t>Column4914</t>
  </si>
  <si>
    <t>Column4915</t>
  </si>
  <si>
    <t>Column4916</t>
  </si>
  <si>
    <t>Column4917</t>
  </si>
  <si>
    <t>Column4918</t>
  </si>
  <si>
    <t>Column4919</t>
  </si>
  <si>
    <t>Column4920</t>
  </si>
  <si>
    <t>Column4921</t>
  </si>
  <si>
    <t>Column4922</t>
  </si>
  <si>
    <t>Column4923</t>
  </si>
  <si>
    <t>Column4924</t>
  </si>
  <si>
    <t>Column4925</t>
  </si>
  <si>
    <t>Column4926</t>
  </si>
  <si>
    <t>Column4927</t>
  </si>
  <si>
    <t>Column4928</t>
  </si>
  <si>
    <t>Column4929</t>
  </si>
  <si>
    <t>Column4930</t>
  </si>
  <si>
    <t>Column4931</t>
  </si>
  <si>
    <t>Column4932</t>
  </si>
  <si>
    <t>Column4933</t>
  </si>
  <si>
    <t>Column4934</t>
  </si>
  <si>
    <t>Column4935</t>
  </si>
  <si>
    <t>Column4936</t>
  </si>
  <si>
    <t>Column4937</t>
  </si>
  <si>
    <t>Column4938</t>
  </si>
  <si>
    <t>Column4939</t>
  </si>
  <si>
    <t>Column4940</t>
  </si>
  <si>
    <t>Column4941</t>
  </si>
  <si>
    <t>Column4942</t>
  </si>
  <si>
    <t>Column4943</t>
  </si>
  <si>
    <t>Column4944</t>
  </si>
  <si>
    <t>Column4945</t>
  </si>
  <si>
    <t>Column4946</t>
  </si>
  <si>
    <t>Column4947</t>
  </si>
  <si>
    <t>Column4948</t>
  </si>
  <si>
    <t>Column4949</t>
  </si>
  <si>
    <t>Column4950</t>
  </si>
  <si>
    <t>Column4951</t>
  </si>
  <si>
    <t>Column4952</t>
  </si>
  <si>
    <t>Column4953</t>
  </si>
  <si>
    <t>Column4954</t>
  </si>
  <si>
    <t>Column4955</t>
  </si>
  <si>
    <t>Column4956</t>
  </si>
  <si>
    <t>Column4957</t>
  </si>
  <si>
    <t>Column4958</t>
  </si>
  <si>
    <t>Column4959</t>
  </si>
  <si>
    <t>Column4960</t>
  </si>
  <si>
    <t>Column4961</t>
  </si>
  <si>
    <t>Column4962</t>
  </si>
  <si>
    <t>Column4963</t>
  </si>
  <si>
    <t>Column4964</t>
  </si>
  <si>
    <t>Column4965</t>
  </si>
  <si>
    <t>Column4966</t>
  </si>
  <si>
    <t>Column4967</t>
  </si>
  <si>
    <t>Column4968</t>
  </si>
  <si>
    <t>Column4969</t>
  </si>
  <si>
    <t>Column4970</t>
  </si>
  <si>
    <t>Column4971</t>
  </si>
  <si>
    <t>Column4972</t>
  </si>
  <si>
    <t>Column4973</t>
  </si>
  <si>
    <t>Column4974</t>
  </si>
  <si>
    <t>Column4975</t>
  </si>
  <si>
    <t>Column4976</t>
  </si>
  <si>
    <t>Column4977</t>
  </si>
  <si>
    <t>Column4978</t>
  </si>
  <si>
    <t>Column4979</t>
  </si>
  <si>
    <t>Column4980</t>
  </si>
  <si>
    <t>Column4981</t>
  </si>
  <si>
    <t>Column4982</t>
  </si>
  <si>
    <t>Column4983</t>
  </si>
  <si>
    <t>Column4984</t>
  </si>
  <si>
    <t>Column4985</t>
  </si>
  <si>
    <t>Column4986</t>
  </si>
  <si>
    <t>Column4987</t>
  </si>
  <si>
    <t>Column4988</t>
  </si>
  <si>
    <t>Column4989</t>
  </si>
  <si>
    <t>Column4990</t>
  </si>
  <si>
    <t>Column4991</t>
  </si>
  <si>
    <t>Column4992</t>
  </si>
  <si>
    <t>Column4993</t>
  </si>
  <si>
    <t>Column4994</t>
  </si>
  <si>
    <t>Column4995</t>
  </si>
  <si>
    <t>Column4996</t>
  </si>
  <si>
    <t>Column4997</t>
  </si>
  <si>
    <t>Column4998</t>
  </si>
  <si>
    <t>Column4999</t>
  </si>
  <si>
    <t>Column5000</t>
  </si>
  <si>
    <t>Column5001</t>
  </si>
  <si>
    <t>Column5002</t>
  </si>
  <si>
    <t>Column5003</t>
  </si>
  <si>
    <t>Column5004</t>
  </si>
  <si>
    <t>Column5005</t>
  </si>
  <si>
    <t>Column5006</t>
  </si>
  <si>
    <t>Column5007</t>
  </si>
  <si>
    <t>Column5008</t>
  </si>
  <si>
    <t>Column5009</t>
  </si>
  <si>
    <t>Column5010</t>
  </si>
  <si>
    <t>Column5011</t>
  </si>
  <si>
    <t>Column5012</t>
  </si>
  <si>
    <t>Column5013</t>
  </si>
  <si>
    <t>Column5014</t>
  </si>
  <si>
    <t>Column5015</t>
  </si>
  <si>
    <t>Column5016</t>
  </si>
  <si>
    <t>Column5017</t>
  </si>
  <si>
    <t>Column5018</t>
  </si>
  <si>
    <t>Column5019</t>
  </si>
  <si>
    <t>Column5020</t>
  </si>
  <si>
    <t>Column5021</t>
  </si>
  <si>
    <t>Column5022</t>
  </si>
  <si>
    <t>Column5023</t>
  </si>
  <si>
    <t>Column5024</t>
  </si>
  <si>
    <t>Column5025</t>
  </si>
  <si>
    <t>Column5026</t>
  </si>
  <si>
    <t>Column5027</t>
  </si>
  <si>
    <t>Column5028</t>
  </si>
  <si>
    <t>Column5029</t>
  </si>
  <si>
    <t>Column5030</t>
  </si>
  <si>
    <t>Column5031</t>
  </si>
  <si>
    <t>Column5032</t>
  </si>
  <si>
    <t>Column5033</t>
  </si>
  <si>
    <t>Column5034</t>
  </si>
  <si>
    <t>Column5035</t>
  </si>
  <si>
    <t>Column5036</t>
  </si>
  <si>
    <t>Column5037</t>
  </si>
  <si>
    <t>Column5038</t>
  </si>
  <si>
    <t>Column5039</t>
  </si>
  <si>
    <t>Column5040</t>
  </si>
  <si>
    <t>Column5041</t>
  </si>
  <si>
    <t>Column5042</t>
  </si>
  <si>
    <t>Column5043</t>
  </si>
  <si>
    <t>Column5044</t>
  </si>
  <si>
    <t>Column5045</t>
  </si>
  <si>
    <t>Column5046</t>
  </si>
  <si>
    <t>Column5047</t>
  </si>
  <si>
    <t>Column5048</t>
  </si>
  <si>
    <t>Column5049</t>
  </si>
  <si>
    <t>Column5050</t>
  </si>
  <si>
    <t>Column5051</t>
  </si>
  <si>
    <t>Column5052</t>
  </si>
  <si>
    <t>Column5053</t>
  </si>
  <si>
    <t>Column5054</t>
  </si>
  <si>
    <t>Column5055</t>
  </si>
  <si>
    <t>Column5056</t>
  </si>
  <si>
    <t>Column5057</t>
  </si>
  <si>
    <t>Column5058</t>
  </si>
  <si>
    <t>Column5059</t>
  </si>
  <si>
    <t>Column5060</t>
  </si>
  <si>
    <t>Column5061</t>
  </si>
  <si>
    <t>Column5062</t>
  </si>
  <si>
    <t>Column5063</t>
  </si>
  <si>
    <t>Column5064</t>
  </si>
  <si>
    <t>Column5065</t>
  </si>
  <si>
    <t>Column5066</t>
  </si>
  <si>
    <t>Column5067</t>
  </si>
  <si>
    <t>Column5068</t>
  </si>
  <si>
    <t>Column5069</t>
  </si>
  <si>
    <t>Column5070</t>
  </si>
  <si>
    <t>Column5071</t>
  </si>
  <si>
    <t>Column5072</t>
  </si>
  <si>
    <t>Column5073</t>
  </si>
  <si>
    <t>Column5074</t>
  </si>
  <si>
    <t>Column5075</t>
  </si>
  <si>
    <t>Column5076</t>
  </si>
  <si>
    <t>Column5077</t>
  </si>
  <si>
    <t>Column5078</t>
  </si>
  <si>
    <t>Column5079</t>
  </si>
  <si>
    <t>Column5080</t>
  </si>
  <si>
    <t>Column5081</t>
  </si>
  <si>
    <t>Column5082</t>
  </si>
  <si>
    <t>Column5083</t>
  </si>
  <si>
    <t>Column5084</t>
  </si>
  <si>
    <t>Column5085</t>
  </si>
  <si>
    <t>Column5086</t>
  </si>
  <si>
    <t>Column5087</t>
  </si>
  <si>
    <t>Column5088</t>
  </si>
  <si>
    <t>Column5089</t>
  </si>
  <si>
    <t>Column5090</t>
  </si>
  <si>
    <t>Column5091</t>
  </si>
  <si>
    <t>Column5092</t>
  </si>
  <si>
    <t>Column5093</t>
  </si>
  <si>
    <t>Column5094</t>
  </si>
  <si>
    <t>Column5095</t>
  </si>
  <si>
    <t>Column5096</t>
  </si>
  <si>
    <t>Column5097</t>
  </si>
  <si>
    <t>Column5098</t>
  </si>
  <si>
    <t>Column5099</t>
  </si>
  <si>
    <t>Column5100</t>
  </si>
  <si>
    <t>Column5101</t>
  </si>
  <si>
    <t>Column5102</t>
  </si>
  <si>
    <t>Column5103</t>
  </si>
  <si>
    <t>Column5104</t>
  </si>
  <si>
    <t>Column5105</t>
  </si>
  <si>
    <t>Column5106</t>
  </si>
  <si>
    <t>Column5107</t>
  </si>
  <si>
    <t>Column5108</t>
  </si>
  <si>
    <t>Column5109</t>
  </si>
  <si>
    <t>Column5110</t>
  </si>
  <si>
    <t>Column5111</t>
  </si>
  <si>
    <t>Column5112</t>
  </si>
  <si>
    <t>Column5113</t>
  </si>
  <si>
    <t>Column5114</t>
  </si>
  <si>
    <t>Column5115</t>
  </si>
  <si>
    <t>Column5116</t>
  </si>
  <si>
    <t>Column5117</t>
  </si>
  <si>
    <t>Column5118</t>
  </si>
  <si>
    <t>Column5119</t>
  </si>
  <si>
    <t>Column5120</t>
  </si>
  <si>
    <t>Column5121</t>
  </si>
  <si>
    <t>Column5122</t>
  </si>
  <si>
    <t>Column5123</t>
  </si>
  <si>
    <t>Column5124</t>
  </si>
  <si>
    <t>Column5125</t>
  </si>
  <si>
    <t>Column5126</t>
  </si>
  <si>
    <t>Column5127</t>
  </si>
  <si>
    <t>Column5128</t>
  </si>
  <si>
    <t>Column5129</t>
  </si>
  <si>
    <t>Column5130</t>
  </si>
  <si>
    <t>Column5131</t>
  </si>
  <si>
    <t>Column5132</t>
  </si>
  <si>
    <t>Column5133</t>
  </si>
  <si>
    <t>Column5134</t>
  </si>
  <si>
    <t>Column5135</t>
  </si>
  <si>
    <t>Column5136</t>
  </si>
  <si>
    <t>Column5137</t>
  </si>
  <si>
    <t>Column5138</t>
  </si>
  <si>
    <t>Column5139</t>
  </si>
  <si>
    <t>Column5140</t>
  </si>
  <si>
    <t>Column5141</t>
  </si>
  <si>
    <t>Column5142</t>
  </si>
  <si>
    <t>Column5143</t>
  </si>
  <si>
    <t>Column5144</t>
  </si>
  <si>
    <t>Column5145</t>
  </si>
  <si>
    <t>Column5146</t>
  </si>
  <si>
    <t>Column5147</t>
  </si>
  <si>
    <t>Column5148</t>
  </si>
  <si>
    <t>Column5149</t>
  </si>
  <si>
    <t>Column5150</t>
  </si>
  <si>
    <t>Column5151</t>
  </si>
  <si>
    <t>Column5152</t>
  </si>
  <si>
    <t>Column5153</t>
  </si>
  <si>
    <t>Column5154</t>
  </si>
  <si>
    <t>Column5155</t>
  </si>
  <si>
    <t>Column5156</t>
  </si>
  <si>
    <t>Column5157</t>
  </si>
  <si>
    <t>Column5158</t>
  </si>
  <si>
    <t>Column5159</t>
  </si>
  <si>
    <t>Column5160</t>
  </si>
  <si>
    <t>Column5161</t>
  </si>
  <si>
    <t>Column5162</t>
  </si>
  <si>
    <t>Column5163</t>
  </si>
  <si>
    <t>Column5164</t>
  </si>
  <si>
    <t>Column5165</t>
  </si>
  <si>
    <t>Column5166</t>
  </si>
  <si>
    <t>Column5167</t>
  </si>
  <si>
    <t>Column5168</t>
  </si>
  <si>
    <t>Column5169</t>
  </si>
  <si>
    <t>Column5170</t>
  </si>
  <si>
    <t>Column5171</t>
  </si>
  <si>
    <t>Column5172</t>
  </si>
  <si>
    <t>Column5173</t>
  </si>
  <si>
    <t>Column5174</t>
  </si>
  <si>
    <t>Column5175</t>
  </si>
  <si>
    <t>Column5176</t>
  </si>
  <si>
    <t>Column5177</t>
  </si>
  <si>
    <t>Column5178</t>
  </si>
  <si>
    <t>Column5179</t>
  </si>
  <si>
    <t>Column5180</t>
  </si>
  <si>
    <t>Column5181</t>
  </si>
  <si>
    <t>Column5182</t>
  </si>
  <si>
    <t>Column5183</t>
  </si>
  <si>
    <t>Column5184</t>
  </si>
  <si>
    <t>Column5185</t>
  </si>
  <si>
    <t>Column5186</t>
  </si>
  <si>
    <t>Column5187</t>
  </si>
  <si>
    <t>Column5188</t>
  </si>
  <si>
    <t>Column5189</t>
  </si>
  <si>
    <t>Column5190</t>
  </si>
  <si>
    <t>Column5191</t>
  </si>
  <si>
    <t>Column5192</t>
  </si>
  <si>
    <t>Column5193</t>
  </si>
  <si>
    <t>Column5194</t>
  </si>
  <si>
    <t>Column5195</t>
  </si>
  <si>
    <t>Column5196</t>
  </si>
  <si>
    <t>Column5197</t>
  </si>
  <si>
    <t>Column5198</t>
  </si>
  <si>
    <t>Column5199</t>
  </si>
  <si>
    <t>Column5200</t>
  </si>
  <si>
    <t>Column5201</t>
  </si>
  <si>
    <t>Column5202</t>
  </si>
  <si>
    <t>Column5203</t>
  </si>
  <si>
    <t>Column5204</t>
  </si>
  <si>
    <t>Column5205</t>
  </si>
  <si>
    <t>Column5206</t>
  </si>
  <si>
    <t>Column5207</t>
  </si>
  <si>
    <t>Column5208</t>
  </si>
  <si>
    <t>Column5209</t>
  </si>
  <si>
    <t>Column5210</t>
  </si>
  <si>
    <t>Column5211</t>
  </si>
  <si>
    <t>Column5212</t>
  </si>
  <si>
    <t>Column5213</t>
  </si>
  <si>
    <t>Column5214</t>
  </si>
  <si>
    <t>Column5215</t>
  </si>
  <si>
    <t>Column5216</t>
  </si>
  <si>
    <t>Column5217</t>
  </si>
  <si>
    <t>Column5218</t>
  </si>
  <si>
    <t>Column5219</t>
  </si>
  <si>
    <t>Column5220</t>
  </si>
  <si>
    <t>Column5221</t>
  </si>
  <si>
    <t>Column5222</t>
  </si>
  <si>
    <t>Column5223</t>
  </si>
  <si>
    <t>Column5224</t>
  </si>
  <si>
    <t>Column5225</t>
  </si>
  <si>
    <t>Column5226</t>
  </si>
  <si>
    <t>Column5227</t>
  </si>
  <si>
    <t>Column5228</t>
  </si>
  <si>
    <t>Column5229</t>
  </si>
  <si>
    <t>Column5230</t>
  </si>
  <si>
    <t>Column5231</t>
  </si>
  <si>
    <t>Column5232</t>
  </si>
  <si>
    <t>Column5233</t>
  </si>
  <si>
    <t>Column5234</t>
  </si>
  <si>
    <t>Column5235</t>
  </si>
  <si>
    <t>Column5236</t>
  </si>
  <si>
    <t>Column5237</t>
  </si>
  <si>
    <t>Column5238</t>
  </si>
  <si>
    <t>Column5239</t>
  </si>
  <si>
    <t>Column5240</t>
  </si>
  <si>
    <t>Column5241</t>
  </si>
  <si>
    <t>Column5242</t>
  </si>
  <si>
    <t>Column5243</t>
  </si>
  <si>
    <t>Column5244</t>
  </si>
  <si>
    <t>Column5245</t>
  </si>
  <si>
    <t>Column5246</t>
  </si>
  <si>
    <t>Column5247</t>
  </si>
  <si>
    <t>Column5248</t>
  </si>
  <si>
    <t>Column5249</t>
  </si>
  <si>
    <t>Column5250</t>
  </si>
  <si>
    <t>Column5251</t>
  </si>
  <si>
    <t>Column5252</t>
  </si>
  <si>
    <t>Column5253</t>
  </si>
  <si>
    <t>Column5254</t>
  </si>
  <si>
    <t>Column5255</t>
  </si>
  <si>
    <t>Column5256</t>
  </si>
  <si>
    <t>Column5257</t>
  </si>
  <si>
    <t>Column5258</t>
  </si>
  <si>
    <t>Column5259</t>
  </si>
  <si>
    <t>Column5260</t>
  </si>
  <si>
    <t>Column5261</t>
  </si>
  <si>
    <t>Column5262</t>
  </si>
  <si>
    <t>Column5263</t>
  </si>
  <si>
    <t>Column5264</t>
  </si>
  <si>
    <t>Column5265</t>
  </si>
  <si>
    <t>Column5266</t>
  </si>
  <si>
    <t>Column5267</t>
  </si>
  <si>
    <t>Column5268</t>
  </si>
  <si>
    <t>Column5269</t>
  </si>
  <si>
    <t>Column5270</t>
  </si>
  <si>
    <t>Column5271</t>
  </si>
  <si>
    <t>Column5272</t>
  </si>
  <si>
    <t>Column5273</t>
  </si>
  <si>
    <t>Column5274</t>
  </si>
  <si>
    <t>Column5275</t>
  </si>
  <si>
    <t>Column5276</t>
  </si>
  <si>
    <t>Column5277</t>
  </si>
  <si>
    <t>Column5278</t>
  </si>
  <si>
    <t>Column5279</t>
  </si>
  <si>
    <t>Column5280</t>
  </si>
  <si>
    <t>Column5281</t>
  </si>
  <si>
    <t>Column5282</t>
  </si>
  <si>
    <t>Column5283</t>
  </si>
  <si>
    <t>Column5284</t>
  </si>
  <si>
    <t>Column5285</t>
  </si>
  <si>
    <t>Column5286</t>
  </si>
  <si>
    <t>Column5287</t>
  </si>
  <si>
    <t>Column5288</t>
  </si>
  <si>
    <t>Column5289</t>
  </si>
  <si>
    <t>Column5290</t>
  </si>
  <si>
    <t>Column5291</t>
  </si>
  <si>
    <t>Column5292</t>
  </si>
  <si>
    <t>Column5293</t>
  </si>
  <si>
    <t>Column5294</t>
  </si>
  <si>
    <t>Column5295</t>
  </si>
  <si>
    <t>Column5296</t>
  </si>
  <si>
    <t>Column5297</t>
  </si>
  <si>
    <t>Column5298</t>
  </si>
  <si>
    <t>Column5299</t>
  </si>
  <si>
    <t>Column5300</t>
  </si>
  <si>
    <t>Column5301</t>
  </si>
  <si>
    <t>Column5302</t>
  </si>
  <si>
    <t>Column5303</t>
  </si>
  <si>
    <t>Column5304</t>
  </si>
  <si>
    <t>Column5305</t>
  </si>
  <si>
    <t>Column5306</t>
  </si>
  <si>
    <t>Column5307</t>
  </si>
  <si>
    <t>Column5308</t>
  </si>
  <si>
    <t>Column5309</t>
  </si>
  <si>
    <t>Column5310</t>
  </si>
  <si>
    <t>Column5311</t>
  </si>
  <si>
    <t>Column5312</t>
  </si>
  <si>
    <t>Column5313</t>
  </si>
  <si>
    <t>Column5314</t>
  </si>
  <si>
    <t>Column5315</t>
  </si>
  <si>
    <t>Column5316</t>
  </si>
  <si>
    <t>Column5317</t>
  </si>
  <si>
    <t>Column5318</t>
  </si>
  <si>
    <t>Column5319</t>
  </si>
  <si>
    <t>Column5320</t>
  </si>
  <si>
    <t>Column5321</t>
  </si>
  <si>
    <t>Column5322</t>
  </si>
  <si>
    <t>Column5323</t>
  </si>
  <si>
    <t>Column5324</t>
  </si>
  <si>
    <t>Column5325</t>
  </si>
  <si>
    <t>Column5326</t>
  </si>
  <si>
    <t>Column5327</t>
  </si>
  <si>
    <t>Column5328</t>
  </si>
  <si>
    <t>Column5329</t>
  </si>
  <si>
    <t>Column5330</t>
  </si>
  <si>
    <t>Column5331</t>
  </si>
  <si>
    <t>Column5332</t>
  </si>
  <si>
    <t>Column5333</t>
  </si>
  <si>
    <t>Column5334</t>
  </si>
  <si>
    <t>Column5335</t>
  </si>
  <si>
    <t>Column5336</t>
  </si>
  <si>
    <t>Column5337</t>
  </si>
  <si>
    <t>Column5338</t>
  </si>
  <si>
    <t>Column5339</t>
  </si>
  <si>
    <t>Column5340</t>
  </si>
  <si>
    <t>Column5341</t>
  </si>
  <si>
    <t>Column5342</t>
  </si>
  <si>
    <t>Column5343</t>
  </si>
  <si>
    <t>Column5344</t>
  </si>
  <si>
    <t>Column5345</t>
  </si>
  <si>
    <t>Column5346</t>
  </si>
  <si>
    <t>Column5347</t>
  </si>
  <si>
    <t>Column5348</t>
  </si>
  <si>
    <t>Column5349</t>
  </si>
  <si>
    <t>Column5350</t>
  </si>
  <si>
    <t>Column5351</t>
  </si>
  <si>
    <t>Column5352</t>
  </si>
  <si>
    <t>Column5353</t>
  </si>
  <si>
    <t>Column5354</t>
  </si>
  <si>
    <t>Column5355</t>
  </si>
  <si>
    <t>Column5356</t>
  </si>
  <si>
    <t>Column5357</t>
  </si>
  <si>
    <t>Column5358</t>
  </si>
  <si>
    <t>Column5359</t>
  </si>
  <si>
    <t>Column5360</t>
  </si>
  <si>
    <t>Column5361</t>
  </si>
  <si>
    <t>Column5362</t>
  </si>
  <si>
    <t>Column5363</t>
  </si>
  <si>
    <t>Column5364</t>
  </si>
  <si>
    <t>Column5365</t>
  </si>
  <si>
    <t>Column5366</t>
  </si>
  <si>
    <t>Column5367</t>
  </si>
  <si>
    <t>Column5368</t>
  </si>
  <si>
    <t>Column5369</t>
  </si>
  <si>
    <t>Column5370</t>
  </si>
  <si>
    <t>Column5371</t>
  </si>
  <si>
    <t>Column5372</t>
  </si>
  <si>
    <t>Column5373</t>
  </si>
  <si>
    <t>Column5374</t>
  </si>
  <si>
    <t>Column5375</t>
  </si>
  <si>
    <t>Column5376</t>
  </si>
  <si>
    <t>Column5377</t>
  </si>
  <si>
    <t>Column5378</t>
  </si>
  <si>
    <t>Column5379</t>
  </si>
  <si>
    <t>Column5380</t>
  </si>
  <si>
    <t>Column5381</t>
  </si>
  <si>
    <t>Column5382</t>
  </si>
  <si>
    <t>Column5383</t>
  </si>
  <si>
    <t>Column5384</t>
  </si>
  <si>
    <t>Column5385</t>
  </si>
  <si>
    <t>Column5386</t>
  </si>
  <si>
    <t>Column5387</t>
  </si>
  <si>
    <t>Column5388</t>
  </si>
  <si>
    <t>Column5389</t>
  </si>
  <si>
    <t>Column5390</t>
  </si>
  <si>
    <t>Column5391</t>
  </si>
  <si>
    <t>Column5392</t>
  </si>
  <si>
    <t>Column5393</t>
  </si>
  <si>
    <t>Column5394</t>
  </si>
  <si>
    <t>Column5395</t>
  </si>
  <si>
    <t>Column5396</t>
  </si>
  <si>
    <t>Column5397</t>
  </si>
  <si>
    <t>Column5398</t>
  </si>
  <si>
    <t>Column5399</t>
  </si>
  <si>
    <t>Column5400</t>
  </si>
  <si>
    <t>Column5401</t>
  </si>
  <si>
    <t>Column5402</t>
  </si>
  <si>
    <t>Column5403</t>
  </si>
  <si>
    <t>Column5404</t>
  </si>
  <si>
    <t>Column5405</t>
  </si>
  <si>
    <t>Column5406</t>
  </si>
  <si>
    <t>Column5407</t>
  </si>
  <si>
    <t>Column5408</t>
  </si>
  <si>
    <t>Column5409</t>
  </si>
  <si>
    <t>Column5410</t>
  </si>
  <si>
    <t>Column5411</t>
  </si>
  <si>
    <t>Column5412</t>
  </si>
  <si>
    <t>Column5413</t>
  </si>
  <si>
    <t>Column5414</t>
  </si>
  <si>
    <t>Column5415</t>
  </si>
  <si>
    <t>Column5416</t>
  </si>
  <si>
    <t>Column5417</t>
  </si>
  <si>
    <t>Column5418</t>
  </si>
  <si>
    <t>Column5419</t>
  </si>
  <si>
    <t>Column5420</t>
  </si>
  <si>
    <t>Column5421</t>
  </si>
  <si>
    <t>Column5422</t>
  </si>
  <si>
    <t>Column5423</t>
  </si>
  <si>
    <t>Column5424</t>
  </si>
  <si>
    <t>Column5425</t>
  </si>
  <si>
    <t>Column5426</t>
  </si>
  <si>
    <t>Column5427</t>
  </si>
  <si>
    <t>Column5428</t>
  </si>
  <si>
    <t>Column5429</t>
  </si>
  <si>
    <t>Column5430</t>
  </si>
  <si>
    <t>Column5431</t>
  </si>
  <si>
    <t>Column5432</t>
  </si>
  <si>
    <t>Column5433</t>
  </si>
  <si>
    <t>Column5434</t>
  </si>
  <si>
    <t>Column5435</t>
  </si>
  <si>
    <t>Column5436</t>
  </si>
  <si>
    <t>Column5437</t>
  </si>
  <si>
    <t>Column5438</t>
  </si>
  <si>
    <t>Column5439</t>
  </si>
  <si>
    <t>Column5440</t>
  </si>
  <si>
    <t>Column5441</t>
  </si>
  <si>
    <t>Column5442</t>
  </si>
  <si>
    <t>Column5443</t>
  </si>
  <si>
    <t>Column5444</t>
  </si>
  <si>
    <t>Column5445</t>
  </si>
  <si>
    <t>Column5446</t>
  </si>
  <si>
    <t>Column5447</t>
  </si>
  <si>
    <t>Column5448</t>
  </si>
  <si>
    <t>Column5449</t>
  </si>
  <si>
    <t>Column5450</t>
  </si>
  <si>
    <t>Column5451</t>
  </si>
  <si>
    <t>Column5452</t>
  </si>
  <si>
    <t>Column5453</t>
  </si>
  <si>
    <t>Column5454</t>
  </si>
  <si>
    <t>Column5455</t>
  </si>
  <si>
    <t>Column5456</t>
  </si>
  <si>
    <t>Column5457</t>
  </si>
  <si>
    <t>Column5458</t>
  </si>
  <si>
    <t>Column5459</t>
  </si>
  <si>
    <t>Column5460</t>
  </si>
  <si>
    <t>Column5461</t>
  </si>
  <si>
    <t>Column5462</t>
  </si>
  <si>
    <t>Column5463</t>
  </si>
  <si>
    <t>Column5464</t>
  </si>
  <si>
    <t>Column5465</t>
  </si>
  <si>
    <t>Column5466</t>
  </si>
  <si>
    <t>Column5467</t>
  </si>
  <si>
    <t>Column5468</t>
  </si>
  <si>
    <t>Column5469</t>
  </si>
  <si>
    <t>Column5470</t>
  </si>
  <si>
    <t>Column5471</t>
  </si>
  <si>
    <t>Column5472</t>
  </si>
  <si>
    <t>Column5473</t>
  </si>
  <si>
    <t>Column5474</t>
  </si>
  <si>
    <t>Column5475</t>
  </si>
  <si>
    <t>Column5476</t>
  </si>
  <si>
    <t>Column5477</t>
  </si>
  <si>
    <t>Column5478</t>
  </si>
  <si>
    <t>Column5479</t>
  </si>
  <si>
    <t>Column5480</t>
  </si>
  <si>
    <t>Column5481</t>
  </si>
  <si>
    <t>Column5482</t>
  </si>
  <si>
    <t>Column5483</t>
  </si>
  <si>
    <t>Column5484</t>
  </si>
  <si>
    <t>Column5485</t>
  </si>
  <si>
    <t>Column5486</t>
  </si>
  <si>
    <t>Column5487</t>
  </si>
  <si>
    <t>Column5488</t>
  </si>
  <si>
    <t>Column5489</t>
  </si>
  <si>
    <t>Column5490</t>
  </si>
  <si>
    <t>Column5491</t>
  </si>
  <si>
    <t>Column5492</t>
  </si>
  <si>
    <t>Column5493</t>
  </si>
  <si>
    <t>Column5494</t>
  </si>
  <si>
    <t>Column5495</t>
  </si>
  <si>
    <t>Column5496</t>
  </si>
  <si>
    <t>Column5497</t>
  </si>
  <si>
    <t>Column5498</t>
  </si>
  <si>
    <t>Column5499</t>
  </si>
  <si>
    <t>Column5500</t>
  </si>
  <si>
    <t>Column5501</t>
  </si>
  <si>
    <t>Column5502</t>
  </si>
  <si>
    <t>Column5503</t>
  </si>
  <si>
    <t>Column5504</t>
  </si>
  <si>
    <t>Column5505</t>
  </si>
  <si>
    <t>Column5506</t>
  </si>
  <si>
    <t>Column5507</t>
  </si>
  <si>
    <t>Column5508</t>
  </si>
  <si>
    <t>Column5509</t>
  </si>
  <si>
    <t>Column5510</t>
  </si>
  <si>
    <t>Column5511</t>
  </si>
  <si>
    <t>Column5512</t>
  </si>
  <si>
    <t>Column5513</t>
  </si>
  <si>
    <t>Column5514</t>
  </si>
  <si>
    <t>Column5515</t>
  </si>
  <si>
    <t>Column5516</t>
  </si>
  <si>
    <t>Column5517</t>
  </si>
  <si>
    <t>Column5518</t>
  </si>
  <si>
    <t>Column5519</t>
  </si>
  <si>
    <t>Column5520</t>
  </si>
  <si>
    <t>Column5521</t>
  </si>
  <si>
    <t>Column5522</t>
  </si>
  <si>
    <t>Column5523</t>
  </si>
  <si>
    <t>Column5524</t>
  </si>
  <si>
    <t>Column5525</t>
  </si>
  <si>
    <t>Column5526</t>
  </si>
  <si>
    <t>Column5527</t>
  </si>
  <si>
    <t>Column5528</t>
  </si>
  <si>
    <t>Column5529</t>
  </si>
  <si>
    <t>Column5530</t>
  </si>
  <si>
    <t>Column5531</t>
  </si>
  <si>
    <t>Column5532</t>
  </si>
  <si>
    <t>Column5533</t>
  </si>
  <si>
    <t>Column5534</t>
  </si>
  <si>
    <t>Column5535</t>
  </si>
  <si>
    <t>Column5536</t>
  </si>
  <si>
    <t>Column5537</t>
  </si>
  <si>
    <t>Column5538</t>
  </si>
  <si>
    <t>Column5539</t>
  </si>
  <si>
    <t>Column5540</t>
  </si>
  <si>
    <t>Column5541</t>
  </si>
  <si>
    <t>Column5542</t>
  </si>
  <si>
    <t>Column5543</t>
  </si>
  <si>
    <t>Column5544</t>
  </si>
  <si>
    <t>Column5545</t>
  </si>
  <si>
    <t>Column5546</t>
  </si>
  <si>
    <t>Column5547</t>
  </si>
  <si>
    <t>Column5548</t>
  </si>
  <si>
    <t>Column5549</t>
  </si>
  <si>
    <t>Column5550</t>
  </si>
  <si>
    <t>Column5551</t>
  </si>
  <si>
    <t>Column5552</t>
  </si>
  <si>
    <t>Column5553</t>
  </si>
  <si>
    <t>Column5554</t>
  </si>
  <si>
    <t>Column5555</t>
  </si>
  <si>
    <t>Column5556</t>
  </si>
  <si>
    <t>Column5557</t>
  </si>
  <si>
    <t>Column5558</t>
  </si>
  <si>
    <t>Column5559</t>
  </si>
  <si>
    <t>Column5560</t>
  </si>
  <si>
    <t>Column5561</t>
  </si>
  <si>
    <t>Column5562</t>
  </si>
  <si>
    <t>Column5563</t>
  </si>
  <si>
    <t>Column5564</t>
  </si>
  <si>
    <t>Column5565</t>
  </si>
  <si>
    <t>Column5566</t>
  </si>
  <si>
    <t>Column5567</t>
  </si>
  <si>
    <t>Column5568</t>
  </si>
  <si>
    <t>Column5569</t>
  </si>
  <si>
    <t>Column5570</t>
  </si>
  <si>
    <t>Column5571</t>
  </si>
  <si>
    <t>Column5572</t>
  </si>
  <si>
    <t>Column5573</t>
  </si>
  <si>
    <t>Column5574</t>
  </si>
  <si>
    <t>Column5575</t>
  </si>
  <si>
    <t>Column5576</t>
  </si>
  <si>
    <t>Column5577</t>
  </si>
  <si>
    <t>Column5578</t>
  </si>
  <si>
    <t>Column5579</t>
  </si>
  <si>
    <t>Column5580</t>
  </si>
  <si>
    <t>Column5581</t>
  </si>
  <si>
    <t>Column5582</t>
  </si>
  <si>
    <t>Column5583</t>
  </si>
  <si>
    <t>Column5584</t>
  </si>
  <si>
    <t>Column5585</t>
  </si>
  <si>
    <t>Column5586</t>
  </si>
  <si>
    <t>Column5587</t>
  </si>
  <si>
    <t>Column5588</t>
  </si>
  <si>
    <t>Column5589</t>
  </si>
  <si>
    <t>Column5590</t>
  </si>
  <si>
    <t>Column5591</t>
  </si>
  <si>
    <t>Column5592</t>
  </si>
  <si>
    <t>Column5593</t>
  </si>
  <si>
    <t>Column5594</t>
  </si>
  <si>
    <t>Column5595</t>
  </si>
  <si>
    <t>Column5596</t>
  </si>
  <si>
    <t>Column5597</t>
  </si>
  <si>
    <t>Column5598</t>
  </si>
  <si>
    <t>Column5599</t>
  </si>
  <si>
    <t>Column5600</t>
  </si>
  <si>
    <t>Column5601</t>
  </si>
  <si>
    <t>Column5602</t>
  </si>
  <si>
    <t>Column5603</t>
  </si>
  <si>
    <t>Column5604</t>
  </si>
  <si>
    <t>Column5605</t>
  </si>
  <si>
    <t>Column5606</t>
  </si>
  <si>
    <t>Column5607</t>
  </si>
  <si>
    <t>Column5608</t>
  </si>
  <si>
    <t>Column5609</t>
  </si>
  <si>
    <t>Column5610</t>
  </si>
  <si>
    <t>Column5611</t>
  </si>
  <si>
    <t>Column5612</t>
  </si>
  <si>
    <t>Column5613</t>
  </si>
  <si>
    <t>Column5614</t>
  </si>
  <si>
    <t>Column5615</t>
  </si>
  <si>
    <t>Column5616</t>
  </si>
  <si>
    <t>Column5617</t>
  </si>
  <si>
    <t>Column5618</t>
  </si>
  <si>
    <t>Column5619</t>
  </si>
  <si>
    <t>Column5620</t>
  </si>
  <si>
    <t>Column5621</t>
  </si>
  <si>
    <t>Column5622</t>
  </si>
  <si>
    <t>Column5623</t>
  </si>
  <si>
    <t>Column5624</t>
  </si>
  <si>
    <t>Column5625</t>
  </si>
  <si>
    <t>Column5626</t>
  </si>
  <si>
    <t>Column5627</t>
  </si>
  <si>
    <t>Column5628</t>
  </si>
  <si>
    <t>Column5629</t>
  </si>
  <si>
    <t>Column5630</t>
  </si>
  <si>
    <t>Column5631</t>
  </si>
  <si>
    <t>Column5632</t>
  </si>
  <si>
    <t>Column5633</t>
  </si>
  <si>
    <t>Column5634</t>
  </si>
  <si>
    <t>Column5635</t>
  </si>
  <si>
    <t>Column5636</t>
  </si>
  <si>
    <t>Column5637</t>
  </si>
  <si>
    <t>Column5638</t>
  </si>
  <si>
    <t>Column5639</t>
  </si>
  <si>
    <t>Column5640</t>
  </si>
  <si>
    <t>Column5641</t>
  </si>
  <si>
    <t>Column5642</t>
  </si>
  <si>
    <t>Column5643</t>
  </si>
  <si>
    <t>Column5644</t>
  </si>
  <si>
    <t>Column5645</t>
  </si>
  <si>
    <t>Column5646</t>
  </si>
  <si>
    <t>Column5647</t>
  </si>
  <si>
    <t>Column5648</t>
  </si>
  <si>
    <t>Column5649</t>
  </si>
  <si>
    <t>Column5650</t>
  </si>
  <si>
    <t>Column5651</t>
  </si>
  <si>
    <t>Column5652</t>
  </si>
  <si>
    <t>Column5653</t>
  </si>
  <si>
    <t>Column5654</t>
  </si>
  <si>
    <t>Column5655</t>
  </si>
  <si>
    <t>Column5656</t>
  </si>
  <si>
    <t>Column5657</t>
  </si>
  <si>
    <t>Column5658</t>
  </si>
  <si>
    <t>Column5659</t>
  </si>
  <si>
    <t>Column5660</t>
  </si>
  <si>
    <t>Column5661</t>
  </si>
  <si>
    <t>Column5662</t>
  </si>
  <si>
    <t>Column5663</t>
  </si>
  <si>
    <t>Column5664</t>
  </si>
  <si>
    <t>Column5665</t>
  </si>
  <si>
    <t>Column5666</t>
  </si>
  <si>
    <t>Column5667</t>
  </si>
  <si>
    <t>Column5668</t>
  </si>
  <si>
    <t>Column5669</t>
  </si>
  <si>
    <t>Column5670</t>
  </si>
  <si>
    <t>Column5671</t>
  </si>
  <si>
    <t>Column5672</t>
  </si>
  <si>
    <t>Column5673</t>
  </si>
  <si>
    <t>Column5674</t>
  </si>
  <si>
    <t>Column5675</t>
  </si>
  <si>
    <t>Column5676</t>
  </si>
  <si>
    <t>Column5677</t>
  </si>
  <si>
    <t>Column5678</t>
  </si>
  <si>
    <t>Column5679</t>
  </si>
  <si>
    <t>Column5680</t>
  </si>
  <si>
    <t>Column5681</t>
  </si>
  <si>
    <t>Column5682</t>
  </si>
  <si>
    <t>Column5683</t>
  </si>
  <si>
    <t>Column5684</t>
  </si>
  <si>
    <t>Column5685</t>
  </si>
  <si>
    <t>Column5686</t>
  </si>
  <si>
    <t>Column5687</t>
  </si>
  <si>
    <t>Column5688</t>
  </si>
  <si>
    <t>Column5689</t>
  </si>
  <si>
    <t>Column5690</t>
  </si>
  <si>
    <t>Column5691</t>
  </si>
  <si>
    <t>Column5692</t>
  </si>
  <si>
    <t>Column5693</t>
  </si>
  <si>
    <t>Column5694</t>
  </si>
  <si>
    <t>Column5695</t>
  </si>
  <si>
    <t>Column5696</t>
  </si>
  <si>
    <t>Column5697</t>
  </si>
  <si>
    <t>Column5698</t>
  </si>
  <si>
    <t>Column5699</t>
  </si>
  <si>
    <t>Column5700</t>
  </si>
  <si>
    <t>Column5701</t>
  </si>
  <si>
    <t>Column5702</t>
  </si>
  <si>
    <t>Column5703</t>
  </si>
  <si>
    <t>Column5704</t>
  </si>
  <si>
    <t>Column5705</t>
  </si>
  <si>
    <t>Column5706</t>
  </si>
  <si>
    <t>Column5707</t>
  </si>
  <si>
    <t>Column5708</t>
  </si>
  <si>
    <t>Column5709</t>
  </si>
  <si>
    <t>Column5710</t>
  </si>
  <si>
    <t>Column5711</t>
  </si>
  <si>
    <t>Column5712</t>
  </si>
  <si>
    <t>Column5713</t>
  </si>
  <si>
    <t>Column5714</t>
  </si>
  <si>
    <t>Column5715</t>
  </si>
  <si>
    <t>Column5716</t>
  </si>
  <si>
    <t>Column5717</t>
  </si>
  <si>
    <t>Column5718</t>
  </si>
  <si>
    <t>Column5719</t>
  </si>
  <si>
    <t>Column5720</t>
  </si>
  <si>
    <t>Column5721</t>
  </si>
  <si>
    <t>Column5722</t>
  </si>
  <si>
    <t>Column5723</t>
  </si>
  <si>
    <t>Column5724</t>
  </si>
  <si>
    <t>Column5725</t>
  </si>
  <si>
    <t>Column5726</t>
  </si>
  <si>
    <t>Column5727</t>
  </si>
  <si>
    <t>Column5728</t>
  </si>
  <si>
    <t>Column5729</t>
  </si>
  <si>
    <t>Column5730</t>
  </si>
  <si>
    <t>Column5731</t>
  </si>
  <si>
    <t>Column5732</t>
  </si>
  <si>
    <t>Column5733</t>
  </si>
  <si>
    <t>Column5734</t>
  </si>
  <si>
    <t>Column5735</t>
  </si>
  <si>
    <t>Column5736</t>
  </si>
  <si>
    <t>Column5737</t>
  </si>
  <si>
    <t>Column5738</t>
  </si>
  <si>
    <t>Column5739</t>
  </si>
  <si>
    <t>Column5740</t>
  </si>
  <si>
    <t>Column5741</t>
  </si>
  <si>
    <t>Column5742</t>
  </si>
  <si>
    <t>Column5743</t>
  </si>
  <si>
    <t>Column5744</t>
  </si>
  <si>
    <t>Column5745</t>
  </si>
  <si>
    <t>Column5746</t>
  </si>
  <si>
    <t>Column5747</t>
  </si>
  <si>
    <t>Column5748</t>
  </si>
  <si>
    <t>Column5749</t>
  </si>
  <si>
    <t>Column5750</t>
  </si>
  <si>
    <t>Column5751</t>
  </si>
  <si>
    <t>Column5752</t>
  </si>
  <si>
    <t>Column5753</t>
  </si>
  <si>
    <t>Column5754</t>
  </si>
  <si>
    <t>Column5755</t>
  </si>
  <si>
    <t>Column5756</t>
  </si>
  <si>
    <t>Column5757</t>
  </si>
  <si>
    <t>Column5758</t>
  </si>
  <si>
    <t>Column5759</t>
  </si>
  <si>
    <t>Column5760</t>
  </si>
  <si>
    <t>Column5761</t>
  </si>
  <si>
    <t>Column5762</t>
  </si>
  <si>
    <t>Column5763</t>
  </si>
  <si>
    <t>Column5764</t>
  </si>
  <si>
    <t>Column5765</t>
  </si>
  <si>
    <t>Column5766</t>
  </si>
  <si>
    <t>Column5767</t>
  </si>
  <si>
    <t>Column5768</t>
  </si>
  <si>
    <t>Column5769</t>
  </si>
  <si>
    <t>Column5770</t>
  </si>
  <si>
    <t>Column5771</t>
  </si>
  <si>
    <t>Column5772</t>
  </si>
  <si>
    <t>Column5773</t>
  </si>
  <si>
    <t>Column5774</t>
  </si>
  <si>
    <t>Column5775</t>
  </si>
  <si>
    <t>Column5776</t>
  </si>
  <si>
    <t>Column5777</t>
  </si>
  <si>
    <t>Column5778</t>
  </si>
  <si>
    <t>Column5779</t>
  </si>
  <si>
    <t>Column5780</t>
  </si>
  <si>
    <t>Column5781</t>
  </si>
  <si>
    <t>Column5782</t>
  </si>
  <si>
    <t>Column5783</t>
  </si>
  <si>
    <t>Column5784</t>
  </si>
  <si>
    <t>Column5785</t>
  </si>
  <si>
    <t>Column5786</t>
  </si>
  <si>
    <t>Column5787</t>
  </si>
  <si>
    <t>Column5788</t>
  </si>
  <si>
    <t>Column5789</t>
  </si>
  <si>
    <t>Column5790</t>
  </si>
  <si>
    <t>Column5791</t>
  </si>
  <si>
    <t>Column5792</t>
  </si>
  <si>
    <t>Column5793</t>
  </si>
  <si>
    <t>Column5794</t>
  </si>
  <si>
    <t>Column5795</t>
  </si>
  <si>
    <t>Column5796</t>
  </si>
  <si>
    <t>Column5797</t>
  </si>
  <si>
    <t>Column5798</t>
  </si>
  <si>
    <t>Column5799</t>
  </si>
  <si>
    <t>Column5800</t>
  </si>
  <si>
    <t>Column5801</t>
  </si>
  <si>
    <t>Column5802</t>
  </si>
  <si>
    <t>Column5803</t>
  </si>
  <si>
    <t>Column5804</t>
  </si>
  <si>
    <t>Column5805</t>
  </si>
  <si>
    <t>Column5806</t>
  </si>
  <si>
    <t>Column5807</t>
  </si>
  <si>
    <t>Column5808</t>
  </si>
  <si>
    <t>Column5809</t>
  </si>
  <si>
    <t>Column5810</t>
  </si>
  <si>
    <t>Column5811</t>
  </si>
  <si>
    <t>Column5812</t>
  </si>
  <si>
    <t>Column5813</t>
  </si>
  <si>
    <t>Column5814</t>
  </si>
  <si>
    <t>Column5815</t>
  </si>
  <si>
    <t>Column5816</t>
  </si>
  <si>
    <t>Column5817</t>
  </si>
  <si>
    <t>Column5818</t>
  </si>
  <si>
    <t>Column5819</t>
  </si>
  <si>
    <t>Column5820</t>
  </si>
  <si>
    <t>Column5821</t>
  </si>
  <si>
    <t>Column5822</t>
  </si>
  <si>
    <t>Column5823</t>
  </si>
  <si>
    <t>Column5824</t>
  </si>
  <si>
    <t>Column5825</t>
  </si>
  <si>
    <t>Column5826</t>
  </si>
  <si>
    <t>Column5827</t>
  </si>
  <si>
    <t>Column5828</t>
  </si>
  <si>
    <t>Column5829</t>
  </si>
  <si>
    <t>Column5830</t>
  </si>
  <si>
    <t>Column5831</t>
  </si>
  <si>
    <t>Column5832</t>
  </si>
  <si>
    <t>Column5833</t>
  </si>
  <si>
    <t>Column5834</t>
  </si>
  <si>
    <t>Column5835</t>
  </si>
  <si>
    <t>Column5836</t>
  </si>
  <si>
    <t>Column5837</t>
  </si>
  <si>
    <t>Column5838</t>
  </si>
  <si>
    <t>Column5839</t>
  </si>
  <si>
    <t>Column5840</t>
  </si>
  <si>
    <t>Column5841</t>
  </si>
  <si>
    <t>Column5842</t>
  </si>
  <si>
    <t>Column5843</t>
  </si>
  <si>
    <t>Column5844</t>
  </si>
  <si>
    <t>Column5845</t>
  </si>
  <si>
    <t>Column5846</t>
  </si>
  <si>
    <t>Column5847</t>
  </si>
  <si>
    <t>Column5848</t>
  </si>
  <si>
    <t>Column5849</t>
  </si>
  <si>
    <t>Column5850</t>
  </si>
  <si>
    <t>Column5851</t>
  </si>
  <si>
    <t>Column5852</t>
  </si>
  <si>
    <t>Column5853</t>
  </si>
  <si>
    <t>Column5854</t>
  </si>
  <si>
    <t>Column5855</t>
  </si>
  <si>
    <t>Column5856</t>
  </si>
  <si>
    <t>Column5857</t>
  </si>
  <si>
    <t>Column5858</t>
  </si>
  <si>
    <t>Column5859</t>
  </si>
  <si>
    <t>Column5860</t>
  </si>
  <si>
    <t>Column5861</t>
  </si>
  <si>
    <t>Column5862</t>
  </si>
  <si>
    <t>Column5863</t>
  </si>
  <si>
    <t>Column5864</t>
  </si>
  <si>
    <t>Column5865</t>
  </si>
  <si>
    <t>Column5866</t>
  </si>
  <si>
    <t>Column5867</t>
  </si>
  <si>
    <t>Column5868</t>
  </si>
  <si>
    <t>Column5869</t>
  </si>
  <si>
    <t>Column5870</t>
  </si>
  <si>
    <t>Column5871</t>
  </si>
  <si>
    <t>Column5872</t>
  </si>
  <si>
    <t>Column5873</t>
  </si>
  <si>
    <t>Column5874</t>
  </si>
  <si>
    <t>Column5875</t>
  </si>
  <si>
    <t>Column5876</t>
  </si>
  <si>
    <t>Column5877</t>
  </si>
  <si>
    <t>Column5878</t>
  </si>
  <si>
    <t>Column5879</t>
  </si>
  <si>
    <t>Column5880</t>
  </si>
  <si>
    <t>Column5881</t>
  </si>
  <si>
    <t>Column5882</t>
  </si>
  <si>
    <t>Column5883</t>
  </si>
  <si>
    <t>Column5884</t>
  </si>
  <si>
    <t>Column5885</t>
  </si>
  <si>
    <t>Column5886</t>
  </si>
  <si>
    <t>Column5887</t>
  </si>
  <si>
    <t>Column5888</t>
  </si>
  <si>
    <t>Column5889</t>
  </si>
  <si>
    <t>Column5890</t>
  </si>
  <si>
    <t>Column5891</t>
  </si>
  <si>
    <t>Column5892</t>
  </si>
  <si>
    <t>Column5893</t>
  </si>
  <si>
    <t>Column5894</t>
  </si>
  <si>
    <t>Column5895</t>
  </si>
  <si>
    <t>Column5896</t>
  </si>
  <si>
    <t>Column5897</t>
  </si>
  <si>
    <t>Column5898</t>
  </si>
  <si>
    <t>Column5899</t>
  </si>
  <si>
    <t>Column5900</t>
  </si>
  <si>
    <t>Column5901</t>
  </si>
  <si>
    <t>Column5902</t>
  </si>
  <si>
    <t>Column5903</t>
  </si>
  <si>
    <t>Column5904</t>
  </si>
  <si>
    <t>Column5905</t>
  </si>
  <si>
    <t>Column5906</t>
  </si>
  <si>
    <t>Column5907</t>
  </si>
  <si>
    <t>Column5908</t>
  </si>
  <si>
    <t>Column5909</t>
  </si>
  <si>
    <t>Column5910</t>
  </si>
  <si>
    <t>Column5911</t>
  </si>
  <si>
    <t>Column5912</t>
  </si>
  <si>
    <t>Column5913</t>
  </si>
  <si>
    <t>Column5914</t>
  </si>
  <si>
    <t>Column5915</t>
  </si>
  <si>
    <t>Column5916</t>
  </si>
  <si>
    <t>Column5917</t>
  </si>
  <si>
    <t>Column5918</t>
  </si>
  <si>
    <t>Column5919</t>
  </si>
  <si>
    <t>Column5920</t>
  </si>
  <si>
    <t>Column5921</t>
  </si>
  <si>
    <t>Column5922</t>
  </si>
  <si>
    <t>Column5923</t>
  </si>
  <si>
    <t>Column5924</t>
  </si>
  <si>
    <t>Column5925</t>
  </si>
  <si>
    <t>Column5926</t>
  </si>
  <si>
    <t>Column5927</t>
  </si>
  <si>
    <t>Column5928</t>
  </si>
  <si>
    <t>Column5929</t>
  </si>
  <si>
    <t>Column5930</t>
  </si>
  <si>
    <t>Column5931</t>
  </si>
  <si>
    <t>Column5932</t>
  </si>
  <si>
    <t>Column5933</t>
  </si>
  <si>
    <t>Column5934</t>
  </si>
  <si>
    <t>Column5935</t>
  </si>
  <si>
    <t>Column5936</t>
  </si>
  <si>
    <t>Column5937</t>
  </si>
  <si>
    <t>Column5938</t>
  </si>
  <si>
    <t>Column5939</t>
  </si>
  <si>
    <t>Column5940</t>
  </si>
  <si>
    <t>Column5941</t>
  </si>
  <si>
    <t>Column5942</t>
  </si>
  <si>
    <t>Column5943</t>
  </si>
  <si>
    <t>Column5944</t>
  </si>
  <si>
    <t>Column5945</t>
  </si>
  <si>
    <t>Column5946</t>
  </si>
  <si>
    <t>Column5947</t>
  </si>
  <si>
    <t>Column5948</t>
  </si>
  <si>
    <t>Column5949</t>
  </si>
  <si>
    <t>Column5950</t>
  </si>
  <si>
    <t>Column5951</t>
  </si>
  <si>
    <t>Column5952</t>
  </si>
  <si>
    <t>Column5953</t>
  </si>
  <si>
    <t>Column5954</t>
  </si>
  <si>
    <t>Column5955</t>
  </si>
  <si>
    <t>Column5956</t>
  </si>
  <si>
    <t>Column5957</t>
  </si>
  <si>
    <t>Column5958</t>
  </si>
  <si>
    <t>Column5959</t>
  </si>
  <si>
    <t>Column5960</t>
  </si>
  <si>
    <t>Column5961</t>
  </si>
  <si>
    <t>Column5962</t>
  </si>
  <si>
    <t>Column5963</t>
  </si>
  <si>
    <t>Column5964</t>
  </si>
  <si>
    <t>Column5965</t>
  </si>
  <si>
    <t>Column5966</t>
  </si>
  <si>
    <t>Column5967</t>
  </si>
  <si>
    <t>Column5968</t>
  </si>
  <si>
    <t>Column5969</t>
  </si>
  <si>
    <t>Column5970</t>
  </si>
  <si>
    <t>Column5971</t>
  </si>
  <si>
    <t>Column5972</t>
  </si>
  <si>
    <t>Column5973</t>
  </si>
  <si>
    <t>Column5974</t>
  </si>
  <si>
    <t>Column5975</t>
  </si>
  <si>
    <t>Column5976</t>
  </si>
  <si>
    <t>Column5977</t>
  </si>
  <si>
    <t>Column5978</t>
  </si>
  <si>
    <t>Column5979</t>
  </si>
  <si>
    <t>Column5980</t>
  </si>
  <si>
    <t>Column5981</t>
  </si>
  <si>
    <t>Column5982</t>
  </si>
  <si>
    <t>Column5983</t>
  </si>
  <si>
    <t>Column5984</t>
  </si>
  <si>
    <t>Column5985</t>
  </si>
  <si>
    <t>Column5986</t>
  </si>
  <si>
    <t>Column5987</t>
  </si>
  <si>
    <t>Column5988</t>
  </si>
  <si>
    <t>Column5989</t>
  </si>
  <si>
    <t>Column5990</t>
  </si>
  <si>
    <t>Column5991</t>
  </si>
  <si>
    <t>Column5992</t>
  </si>
  <si>
    <t>Column5993</t>
  </si>
  <si>
    <t>Column5994</t>
  </si>
  <si>
    <t>Column5995</t>
  </si>
  <si>
    <t>Column5996</t>
  </si>
  <si>
    <t>Column5997</t>
  </si>
  <si>
    <t>Column5998</t>
  </si>
  <si>
    <t>Column5999</t>
  </si>
  <si>
    <t>Column6000</t>
  </si>
  <si>
    <t>Column6001</t>
  </si>
  <si>
    <t>Column6002</t>
  </si>
  <si>
    <t>Column6003</t>
  </si>
  <si>
    <t>Column6004</t>
  </si>
  <si>
    <t>Column6005</t>
  </si>
  <si>
    <t>Column6006</t>
  </si>
  <si>
    <t>Column6007</t>
  </si>
  <si>
    <t>Column6008</t>
  </si>
  <si>
    <t>Column6009</t>
  </si>
  <si>
    <t>Column6010</t>
  </si>
  <si>
    <t>Column6011</t>
  </si>
  <si>
    <t>Column6012</t>
  </si>
  <si>
    <t>Column6013</t>
  </si>
  <si>
    <t>Column6014</t>
  </si>
  <si>
    <t>Column6015</t>
  </si>
  <si>
    <t>Column6016</t>
  </si>
  <si>
    <t>Column6017</t>
  </si>
  <si>
    <t>Column6018</t>
  </si>
  <si>
    <t>Column6019</t>
  </si>
  <si>
    <t>Column6020</t>
  </si>
  <si>
    <t>Column6021</t>
  </si>
  <si>
    <t>Column6022</t>
  </si>
  <si>
    <t>Column6023</t>
  </si>
  <si>
    <t>Column6024</t>
  </si>
  <si>
    <t>Column6025</t>
  </si>
  <si>
    <t>Column6026</t>
  </si>
  <si>
    <t>Column6027</t>
  </si>
  <si>
    <t>Column6028</t>
  </si>
  <si>
    <t>Column6029</t>
  </si>
  <si>
    <t>Column6030</t>
  </si>
  <si>
    <t>Column6031</t>
  </si>
  <si>
    <t>Column6032</t>
  </si>
  <si>
    <t>Column6033</t>
  </si>
  <si>
    <t>Column6034</t>
  </si>
  <si>
    <t>Column6035</t>
  </si>
  <si>
    <t>Column6036</t>
  </si>
  <si>
    <t>Column6037</t>
  </si>
  <si>
    <t>Column6038</t>
  </si>
  <si>
    <t>Column6039</t>
  </si>
  <si>
    <t>Column6040</t>
  </si>
  <si>
    <t>Column6041</t>
  </si>
  <si>
    <t>Column6042</t>
  </si>
  <si>
    <t>Column6043</t>
  </si>
  <si>
    <t>Column6044</t>
  </si>
  <si>
    <t>Column6045</t>
  </si>
  <si>
    <t>Column6046</t>
  </si>
  <si>
    <t>Column6047</t>
  </si>
  <si>
    <t>Column6048</t>
  </si>
  <si>
    <t>Column6049</t>
  </si>
  <si>
    <t>Column6050</t>
  </si>
  <si>
    <t>Column6051</t>
  </si>
  <si>
    <t>Column6052</t>
  </si>
  <si>
    <t>Column6053</t>
  </si>
  <si>
    <t>Column6054</t>
  </si>
  <si>
    <t>Column6055</t>
  </si>
  <si>
    <t>Column6056</t>
  </si>
  <si>
    <t>Column6057</t>
  </si>
  <si>
    <t>Column6058</t>
  </si>
  <si>
    <t>Column6059</t>
  </si>
  <si>
    <t>Column6060</t>
  </si>
  <si>
    <t>Column6061</t>
  </si>
  <si>
    <t>Column6062</t>
  </si>
  <si>
    <t>Column6063</t>
  </si>
  <si>
    <t>Column6064</t>
  </si>
  <si>
    <t>Column6065</t>
  </si>
  <si>
    <t>Column6066</t>
  </si>
  <si>
    <t>Column6067</t>
  </si>
  <si>
    <t>Column6068</t>
  </si>
  <si>
    <t>Column6069</t>
  </si>
  <si>
    <t>Column6070</t>
  </si>
  <si>
    <t>Column6071</t>
  </si>
  <si>
    <t>Column6072</t>
  </si>
  <si>
    <t>Column6073</t>
  </si>
  <si>
    <t>Column6074</t>
  </si>
  <si>
    <t>Column6075</t>
  </si>
  <si>
    <t>Column6076</t>
  </si>
  <si>
    <t>Column6077</t>
  </si>
  <si>
    <t>Column6078</t>
  </si>
  <si>
    <t>Column6079</t>
  </si>
  <si>
    <t>Column6080</t>
  </si>
  <si>
    <t>Column6081</t>
  </si>
  <si>
    <t>Column6082</t>
  </si>
  <si>
    <t>Column6083</t>
  </si>
  <si>
    <t>Column6084</t>
  </si>
  <si>
    <t>Column6085</t>
  </si>
  <si>
    <t>Column6086</t>
  </si>
  <si>
    <t>Column6087</t>
  </si>
  <si>
    <t>Column6088</t>
  </si>
  <si>
    <t>Column6089</t>
  </si>
  <si>
    <t>Column6090</t>
  </si>
  <si>
    <t>Column6091</t>
  </si>
  <si>
    <t>Column6092</t>
  </si>
  <si>
    <t>Column6093</t>
  </si>
  <si>
    <t>Column6094</t>
  </si>
  <si>
    <t>Column6095</t>
  </si>
  <si>
    <t>Column6096</t>
  </si>
  <si>
    <t>Column6097</t>
  </si>
  <si>
    <t>Column6098</t>
  </si>
  <si>
    <t>Column6099</t>
  </si>
  <si>
    <t>Column6100</t>
  </si>
  <si>
    <t>Column6101</t>
  </si>
  <si>
    <t>Column6102</t>
  </si>
  <si>
    <t>Column6103</t>
  </si>
  <si>
    <t>Column6104</t>
  </si>
  <si>
    <t>Column6105</t>
  </si>
  <si>
    <t>Column6106</t>
  </si>
  <si>
    <t>Column6107</t>
  </si>
  <si>
    <t>Column6108</t>
  </si>
  <si>
    <t>Column6109</t>
  </si>
  <si>
    <t>Column6110</t>
  </si>
  <si>
    <t>Column6111</t>
  </si>
  <si>
    <t>Column6112</t>
  </si>
  <si>
    <t>Column6113</t>
  </si>
  <si>
    <t>Column6114</t>
  </si>
  <si>
    <t>Column6115</t>
  </si>
  <si>
    <t>Column6116</t>
  </si>
  <si>
    <t>Column6117</t>
  </si>
  <si>
    <t>Column6118</t>
  </si>
  <si>
    <t>Column6119</t>
  </si>
  <si>
    <t>Column6120</t>
  </si>
  <si>
    <t>Column6121</t>
  </si>
  <si>
    <t>Column6122</t>
  </si>
  <si>
    <t>Column6123</t>
  </si>
  <si>
    <t>Column6124</t>
  </si>
  <si>
    <t>Column6125</t>
  </si>
  <si>
    <t>Column6126</t>
  </si>
  <si>
    <t>Column6127</t>
  </si>
  <si>
    <t>Column6128</t>
  </si>
  <si>
    <t>Column6129</t>
  </si>
  <si>
    <t>Column6130</t>
  </si>
  <si>
    <t>Column6131</t>
  </si>
  <si>
    <t>Column6132</t>
  </si>
  <si>
    <t>Column6133</t>
  </si>
  <si>
    <t>Column6134</t>
  </si>
  <si>
    <t>Column6135</t>
  </si>
  <si>
    <t>Column6136</t>
  </si>
  <si>
    <t>Column6137</t>
  </si>
  <si>
    <t>Column6138</t>
  </si>
  <si>
    <t>Column6139</t>
  </si>
  <si>
    <t>Column6140</t>
  </si>
  <si>
    <t>Column6141</t>
  </si>
  <si>
    <t>Column6142</t>
  </si>
  <si>
    <t>Column6143</t>
  </si>
  <si>
    <t>Column6144</t>
  </si>
  <si>
    <t>Column6145</t>
  </si>
  <si>
    <t>Column6146</t>
  </si>
  <si>
    <t>Column6147</t>
  </si>
  <si>
    <t>Column6148</t>
  </si>
  <si>
    <t>Column6149</t>
  </si>
  <si>
    <t>Column6150</t>
  </si>
  <si>
    <t>Column6151</t>
  </si>
  <si>
    <t>Column6152</t>
  </si>
  <si>
    <t>Column6153</t>
  </si>
  <si>
    <t>Column6154</t>
  </si>
  <si>
    <t>Column6155</t>
  </si>
  <si>
    <t>Column6156</t>
  </si>
  <si>
    <t>Column6157</t>
  </si>
  <si>
    <t>Column6158</t>
  </si>
  <si>
    <t>Column6159</t>
  </si>
  <si>
    <t>Column6160</t>
  </si>
  <si>
    <t>Column6161</t>
  </si>
  <si>
    <t>Column6162</t>
  </si>
  <si>
    <t>Column6163</t>
  </si>
  <si>
    <t>Column6164</t>
  </si>
  <si>
    <t>Column6165</t>
  </si>
  <si>
    <t>Column6166</t>
  </si>
  <si>
    <t>Column6167</t>
  </si>
  <si>
    <t>Column6168</t>
  </si>
  <si>
    <t>Column6169</t>
  </si>
  <si>
    <t>Column6170</t>
  </si>
  <si>
    <t>Column6171</t>
  </si>
  <si>
    <t>Column6172</t>
  </si>
  <si>
    <t>Column6173</t>
  </si>
  <si>
    <t>Column6174</t>
  </si>
  <si>
    <t>Column6175</t>
  </si>
  <si>
    <t>Column6176</t>
  </si>
  <si>
    <t>Column6177</t>
  </si>
  <si>
    <t>Column6178</t>
  </si>
  <si>
    <t>Column6179</t>
  </si>
  <si>
    <t>Column6180</t>
  </si>
  <si>
    <t>Column6181</t>
  </si>
  <si>
    <t>Column6182</t>
  </si>
  <si>
    <t>Column6183</t>
  </si>
  <si>
    <t>Column6184</t>
  </si>
  <si>
    <t>Column6185</t>
  </si>
  <si>
    <t>Column6186</t>
  </si>
  <si>
    <t>Column6187</t>
  </si>
  <si>
    <t>Column6188</t>
  </si>
  <si>
    <t>Column6189</t>
  </si>
  <si>
    <t>Column6190</t>
  </si>
  <si>
    <t>Column6191</t>
  </si>
  <si>
    <t>Column6192</t>
  </si>
  <si>
    <t>Column6193</t>
  </si>
  <si>
    <t>Column6194</t>
  </si>
  <si>
    <t>Column6195</t>
  </si>
  <si>
    <t>Column6196</t>
  </si>
  <si>
    <t>Column6197</t>
  </si>
  <si>
    <t>Column6198</t>
  </si>
  <si>
    <t>Column6199</t>
  </si>
  <si>
    <t>Column6200</t>
  </si>
  <si>
    <t>Column6201</t>
  </si>
  <si>
    <t>Column6202</t>
  </si>
  <si>
    <t>Column6203</t>
  </si>
  <si>
    <t>Column6204</t>
  </si>
  <si>
    <t>Column6205</t>
  </si>
  <si>
    <t>Column6206</t>
  </si>
  <si>
    <t>Column6207</t>
  </si>
  <si>
    <t>Column6208</t>
  </si>
  <si>
    <t>Column6209</t>
  </si>
  <si>
    <t>Column6210</t>
  </si>
  <si>
    <t>Column6211</t>
  </si>
  <si>
    <t>Column6212</t>
  </si>
  <si>
    <t>Column6213</t>
  </si>
  <si>
    <t>Column6214</t>
  </si>
  <si>
    <t>Column6215</t>
  </si>
  <si>
    <t>Column6216</t>
  </si>
  <si>
    <t>Column6217</t>
  </si>
  <si>
    <t>Column6218</t>
  </si>
  <si>
    <t>Column6219</t>
  </si>
  <si>
    <t>Column6220</t>
  </si>
  <si>
    <t>Column6221</t>
  </si>
  <si>
    <t>Column6222</t>
  </si>
  <si>
    <t>Column6223</t>
  </si>
  <si>
    <t>Column6224</t>
  </si>
  <si>
    <t>Column6225</t>
  </si>
  <si>
    <t>Column6226</t>
  </si>
  <si>
    <t>Column6227</t>
  </si>
  <si>
    <t>Column6228</t>
  </si>
  <si>
    <t>Column6229</t>
  </si>
  <si>
    <t>Column6230</t>
  </si>
  <si>
    <t>Column6231</t>
  </si>
  <si>
    <t>Column6232</t>
  </si>
  <si>
    <t>Column6233</t>
  </si>
  <si>
    <t>Column6234</t>
  </si>
  <si>
    <t>Column6235</t>
  </si>
  <si>
    <t>Column6236</t>
  </si>
  <si>
    <t>Column6237</t>
  </si>
  <si>
    <t>Column6238</t>
  </si>
  <si>
    <t>Column6239</t>
  </si>
  <si>
    <t>Column6240</t>
  </si>
  <si>
    <t>Column6241</t>
  </si>
  <si>
    <t>Column6242</t>
  </si>
  <si>
    <t>Column6243</t>
  </si>
  <si>
    <t>Column6244</t>
  </si>
  <si>
    <t>Column6245</t>
  </si>
  <si>
    <t>Column6246</t>
  </si>
  <si>
    <t>Column6247</t>
  </si>
  <si>
    <t>Column6248</t>
  </si>
  <si>
    <t>Column6249</t>
  </si>
  <si>
    <t>Column6250</t>
  </si>
  <si>
    <t>Column6251</t>
  </si>
  <si>
    <t>Column6252</t>
  </si>
  <si>
    <t>Column6253</t>
  </si>
  <si>
    <t>Column6254</t>
  </si>
  <si>
    <t>Column6255</t>
  </si>
  <si>
    <t>Column6256</t>
  </si>
  <si>
    <t>Column6257</t>
  </si>
  <si>
    <t>Column6258</t>
  </si>
  <si>
    <t>Column6259</t>
  </si>
  <si>
    <t>Column6260</t>
  </si>
  <si>
    <t>Column6261</t>
  </si>
  <si>
    <t>Column6262</t>
  </si>
  <si>
    <t>Column6263</t>
  </si>
  <si>
    <t>Column6264</t>
  </si>
  <si>
    <t>Column6265</t>
  </si>
  <si>
    <t>Column6266</t>
  </si>
  <si>
    <t>Column6267</t>
  </si>
  <si>
    <t>Column6268</t>
  </si>
  <si>
    <t>Column6269</t>
  </si>
  <si>
    <t>Column6270</t>
  </si>
  <si>
    <t>Column6271</t>
  </si>
  <si>
    <t>Column6272</t>
  </si>
  <si>
    <t>Column6273</t>
  </si>
  <si>
    <t>Column6274</t>
  </si>
  <si>
    <t>Column6275</t>
  </si>
  <si>
    <t>Column6276</t>
  </si>
  <si>
    <t>Column6277</t>
  </si>
  <si>
    <t>Column6278</t>
  </si>
  <si>
    <t>Column6279</t>
  </si>
  <si>
    <t>Column6280</t>
  </si>
  <si>
    <t>Column6281</t>
  </si>
  <si>
    <t>Column6282</t>
  </si>
  <si>
    <t>Column6283</t>
  </si>
  <si>
    <t>Column6284</t>
  </si>
  <si>
    <t>Column6285</t>
  </si>
  <si>
    <t>Column6286</t>
  </si>
  <si>
    <t>Column6287</t>
  </si>
  <si>
    <t>Column6288</t>
  </si>
  <si>
    <t>Column6289</t>
  </si>
  <si>
    <t>Column6290</t>
  </si>
  <si>
    <t>Column6291</t>
  </si>
  <si>
    <t>Column6292</t>
  </si>
  <si>
    <t>Column6293</t>
  </si>
  <si>
    <t>Column6294</t>
  </si>
  <si>
    <t>Column6295</t>
  </si>
  <si>
    <t>Column6296</t>
  </si>
  <si>
    <t>Column6297</t>
  </si>
  <si>
    <t>Column6298</t>
  </si>
  <si>
    <t>Column6299</t>
  </si>
  <si>
    <t>Column6300</t>
  </si>
  <si>
    <t>Column6301</t>
  </si>
  <si>
    <t>Column6302</t>
  </si>
  <si>
    <t>Column6303</t>
  </si>
  <si>
    <t>Column6304</t>
  </si>
  <si>
    <t>Column6305</t>
  </si>
  <si>
    <t>Column6306</t>
  </si>
  <si>
    <t>Column6307</t>
  </si>
  <si>
    <t>Column6308</t>
  </si>
  <si>
    <t>Column6309</t>
  </si>
  <si>
    <t>Column6310</t>
  </si>
  <si>
    <t>Column6311</t>
  </si>
  <si>
    <t>Column6312</t>
  </si>
  <si>
    <t>Column6313</t>
  </si>
  <si>
    <t>Column6314</t>
  </si>
  <si>
    <t>Column6315</t>
  </si>
  <si>
    <t>Column6316</t>
  </si>
  <si>
    <t>Column6317</t>
  </si>
  <si>
    <t>Column6318</t>
  </si>
  <si>
    <t>Column6319</t>
  </si>
  <si>
    <t>Column6320</t>
  </si>
  <si>
    <t>Column6321</t>
  </si>
  <si>
    <t>Column6322</t>
  </si>
  <si>
    <t>Column6323</t>
  </si>
  <si>
    <t>Column6324</t>
  </si>
  <si>
    <t>Column6325</t>
  </si>
  <si>
    <t>Column6326</t>
  </si>
  <si>
    <t>Column6327</t>
  </si>
  <si>
    <t>Column6328</t>
  </si>
  <si>
    <t>Column6329</t>
  </si>
  <si>
    <t>Column6330</t>
  </si>
  <si>
    <t>Column6331</t>
  </si>
  <si>
    <t>Column6332</t>
  </si>
  <si>
    <t>Column6333</t>
  </si>
  <si>
    <t>Column6334</t>
  </si>
  <si>
    <t>Column6335</t>
  </si>
  <si>
    <t>Column6336</t>
  </si>
  <si>
    <t>Column6337</t>
  </si>
  <si>
    <t>Column6338</t>
  </si>
  <si>
    <t>Column6339</t>
  </si>
  <si>
    <t>Column6340</t>
  </si>
  <si>
    <t>Column6341</t>
  </si>
  <si>
    <t>Column6342</t>
  </si>
  <si>
    <t>Column6343</t>
  </si>
  <si>
    <t>Column6344</t>
  </si>
  <si>
    <t>Column6345</t>
  </si>
  <si>
    <t>Column6346</t>
  </si>
  <si>
    <t>Column6347</t>
  </si>
  <si>
    <t>Column6348</t>
  </si>
  <si>
    <t>Column6349</t>
  </si>
  <si>
    <t>Column6350</t>
  </si>
  <si>
    <t>Column6351</t>
  </si>
  <si>
    <t>Column6352</t>
  </si>
  <si>
    <t>Column6353</t>
  </si>
  <si>
    <t>Column6354</t>
  </si>
  <si>
    <t>Column6355</t>
  </si>
  <si>
    <t>Column6356</t>
  </si>
  <si>
    <t>Column6357</t>
  </si>
  <si>
    <t>Column6358</t>
  </si>
  <si>
    <t>Column6359</t>
  </si>
  <si>
    <t>Column6360</t>
  </si>
  <si>
    <t>Column6361</t>
  </si>
  <si>
    <t>Column6362</t>
  </si>
  <si>
    <t>Column6363</t>
  </si>
  <si>
    <t>Column6364</t>
  </si>
  <si>
    <t>Column6365</t>
  </si>
  <si>
    <t>Column6366</t>
  </si>
  <si>
    <t>Column6367</t>
  </si>
  <si>
    <t>Column6368</t>
  </si>
  <si>
    <t>Column6369</t>
  </si>
  <si>
    <t>Column6370</t>
  </si>
  <si>
    <t>Column6371</t>
  </si>
  <si>
    <t>Column6372</t>
  </si>
  <si>
    <t>Column6373</t>
  </si>
  <si>
    <t>Column6374</t>
  </si>
  <si>
    <t>Column6375</t>
  </si>
  <si>
    <t>Column6376</t>
  </si>
  <si>
    <t>Column6377</t>
  </si>
  <si>
    <t>Column6378</t>
  </si>
  <si>
    <t>Column6379</t>
  </si>
  <si>
    <t>Column6380</t>
  </si>
  <si>
    <t>Column6381</t>
  </si>
  <si>
    <t>Column6382</t>
  </si>
  <si>
    <t>Column6383</t>
  </si>
  <si>
    <t>Column6384</t>
  </si>
  <si>
    <t>Column6385</t>
  </si>
  <si>
    <t>Column6386</t>
  </si>
  <si>
    <t>Column6387</t>
  </si>
  <si>
    <t>Column6388</t>
  </si>
  <si>
    <t>Column6389</t>
  </si>
  <si>
    <t>Column6390</t>
  </si>
  <si>
    <t>Column6391</t>
  </si>
  <si>
    <t>Column6392</t>
  </si>
  <si>
    <t>Column6393</t>
  </si>
  <si>
    <t>Column6394</t>
  </si>
  <si>
    <t>Column6395</t>
  </si>
  <si>
    <t>Column6396</t>
  </si>
  <si>
    <t>Column6397</t>
  </si>
  <si>
    <t>Column6398</t>
  </si>
  <si>
    <t>Column6399</t>
  </si>
  <si>
    <t>Column6400</t>
  </si>
  <si>
    <t>Column6401</t>
  </si>
  <si>
    <t>Column6402</t>
  </si>
  <si>
    <t>Column6403</t>
  </si>
  <si>
    <t>Column6404</t>
  </si>
  <si>
    <t>Column6405</t>
  </si>
  <si>
    <t>Column6406</t>
  </si>
  <si>
    <t>Column6407</t>
  </si>
  <si>
    <t>Column6408</t>
  </si>
  <si>
    <t>Column6409</t>
  </si>
  <si>
    <t>Column6410</t>
  </si>
  <si>
    <t>Column6411</t>
  </si>
  <si>
    <t>Column6412</t>
  </si>
  <si>
    <t>Column6413</t>
  </si>
  <si>
    <t>Column6414</t>
  </si>
  <si>
    <t>Column6415</t>
  </si>
  <si>
    <t>Column6416</t>
  </si>
  <si>
    <t>Column6417</t>
  </si>
  <si>
    <t>Column6418</t>
  </si>
  <si>
    <t>Column6419</t>
  </si>
  <si>
    <t>Column6420</t>
  </si>
  <si>
    <t>Column6421</t>
  </si>
  <si>
    <t>Column6422</t>
  </si>
  <si>
    <t>Column6423</t>
  </si>
  <si>
    <t>Column6424</t>
  </si>
  <si>
    <t>Column6425</t>
  </si>
  <si>
    <t>Column6426</t>
  </si>
  <si>
    <t>Column6427</t>
  </si>
  <si>
    <t>Column6428</t>
  </si>
  <si>
    <t>Column6429</t>
  </si>
  <si>
    <t>Column6430</t>
  </si>
  <si>
    <t>Column6431</t>
  </si>
  <si>
    <t>Column6432</t>
  </si>
  <si>
    <t>Column6433</t>
  </si>
  <si>
    <t>Column6434</t>
  </si>
  <si>
    <t>Column6435</t>
  </si>
  <si>
    <t>Column6436</t>
  </si>
  <si>
    <t>Column6437</t>
  </si>
  <si>
    <t>Column6438</t>
  </si>
  <si>
    <t>Column6439</t>
  </si>
  <si>
    <t>Column6440</t>
  </si>
  <si>
    <t>Column6441</t>
  </si>
  <si>
    <t>Column6442</t>
  </si>
  <si>
    <t>Column6443</t>
  </si>
  <si>
    <t>Column6444</t>
  </si>
  <si>
    <t>Column6445</t>
  </si>
  <si>
    <t>Column6446</t>
  </si>
  <si>
    <t>Column6447</t>
  </si>
  <si>
    <t>Column6448</t>
  </si>
  <si>
    <t>Column6449</t>
  </si>
  <si>
    <t>Column6450</t>
  </si>
  <si>
    <t>Column6451</t>
  </si>
  <si>
    <t>Column6452</t>
  </si>
  <si>
    <t>Column6453</t>
  </si>
  <si>
    <t>Column6454</t>
  </si>
  <si>
    <t>Column6455</t>
  </si>
  <si>
    <t>Column6456</t>
  </si>
  <si>
    <t>Column6457</t>
  </si>
  <si>
    <t>Column6458</t>
  </si>
  <si>
    <t>Column6459</t>
  </si>
  <si>
    <t>Column6460</t>
  </si>
  <si>
    <t>Column6461</t>
  </si>
  <si>
    <t>Column6462</t>
  </si>
  <si>
    <t>Column6463</t>
  </si>
  <si>
    <t>Column6464</t>
  </si>
  <si>
    <t>Column6465</t>
  </si>
  <si>
    <t>Column6466</t>
  </si>
  <si>
    <t>Column6467</t>
  </si>
  <si>
    <t>Column6468</t>
  </si>
  <si>
    <t>Column6469</t>
  </si>
  <si>
    <t>Column6470</t>
  </si>
  <si>
    <t>Column6471</t>
  </si>
  <si>
    <t>Column6472</t>
  </si>
  <si>
    <t>Column6473</t>
  </si>
  <si>
    <t>Column6474</t>
  </si>
  <si>
    <t>Column6475</t>
  </si>
  <si>
    <t>Column6476</t>
  </si>
  <si>
    <t>Column6477</t>
  </si>
  <si>
    <t>Column6478</t>
  </si>
  <si>
    <t>Column6479</t>
  </si>
  <si>
    <t>Column6480</t>
  </si>
  <si>
    <t>Column6481</t>
  </si>
  <si>
    <t>Column6482</t>
  </si>
  <si>
    <t>Column6483</t>
  </si>
  <si>
    <t>Column6484</t>
  </si>
  <si>
    <t>Column6485</t>
  </si>
  <si>
    <t>Column6486</t>
  </si>
  <si>
    <t>Column6487</t>
  </si>
  <si>
    <t>Column6488</t>
  </si>
  <si>
    <t>Column6489</t>
  </si>
  <si>
    <t>Column6490</t>
  </si>
  <si>
    <t>Column6491</t>
  </si>
  <si>
    <t>Column6492</t>
  </si>
  <si>
    <t>Column6493</t>
  </si>
  <si>
    <t>Column6494</t>
  </si>
  <si>
    <t>Column6495</t>
  </si>
  <si>
    <t>Column6496</t>
  </si>
  <si>
    <t>Column6497</t>
  </si>
  <si>
    <t>Column6498</t>
  </si>
  <si>
    <t>Column6499</t>
  </si>
  <si>
    <t>Column6500</t>
  </si>
  <si>
    <t>Column6501</t>
  </si>
  <si>
    <t>Column6502</t>
  </si>
  <si>
    <t>Column6503</t>
  </si>
  <si>
    <t>Column6504</t>
  </si>
  <si>
    <t>Column6505</t>
  </si>
  <si>
    <t>Column6506</t>
  </si>
  <si>
    <t>Column6507</t>
  </si>
  <si>
    <t>Column6508</t>
  </si>
  <si>
    <t>Column6509</t>
  </si>
  <si>
    <t>Column6510</t>
  </si>
  <si>
    <t>Column6511</t>
  </si>
  <si>
    <t>Column6512</t>
  </si>
  <si>
    <t>Column6513</t>
  </si>
  <si>
    <t>Column6514</t>
  </si>
  <si>
    <t>Column6515</t>
  </si>
  <si>
    <t>Column6516</t>
  </si>
  <si>
    <t>Column6517</t>
  </si>
  <si>
    <t>Column6518</t>
  </si>
  <si>
    <t>Column6519</t>
  </si>
  <si>
    <t>Column6520</t>
  </si>
  <si>
    <t>Column6521</t>
  </si>
  <si>
    <t>Column6522</t>
  </si>
  <si>
    <t>Column6523</t>
  </si>
  <si>
    <t>Column6524</t>
  </si>
  <si>
    <t>Column6525</t>
  </si>
  <si>
    <t>Column6526</t>
  </si>
  <si>
    <t>Column6527</t>
  </si>
  <si>
    <t>Column6528</t>
  </si>
  <si>
    <t>Column6529</t>
  </si>
  <si>
    <t>Column6530</t>
  </si>
  <si>
    <t>Column6531</t>
  </si>
  <si>
    <t>Column6532</t>
  </si>
  <si>
    <t>Column6533</t>
  </si>
  <si>
    <t>Column6534</t>
  </si>
  <si>
    <t>Column6535</t>
  </si>
  <si>
    <t>Column6536</t>
  </si>
  <si>
    <t>Column6537</t>
  </si>
  <si>
    <t>Column6538</t>
  </si>
  <si>
    <t>Column6539</t>
  </si>
  <si>
    <t>Column6540</t>
  </si>
  <si>
    <t>Column6541</t>
  </si>
  <si>
    <t>Column6542</t>
  </si>
  <si>
    <t>Column6543</t>
  </si>
  <si>
    <t>Column6544</t>
  </si>
  <si>
    <t>Column6545</t>
  </si>
  <si>
    <t>Column6546</t>
  </si>
  <si>
    <t>Column6547</t>
  </si>
  <si>
    <t>Column6548</t>
  </si>
  <si>
    <t>Column6549</t>
  </si>
  <si>
    <t>Column6550</t>
  </si>
  <si>
    <t>Column6551</t>
  </si>
  <si>
    <t>Column6552</t>
  </si>
  <si>
    <t>Column6553</t>
  </si>
  <si>
    <t>Column6554</t>
  </si>
  <si>
    <t>Column6555</t>
  </si>
  <si>
    <t>Column6556</t>
  </si>
  <si>
    <t>Column6557</t>
  </si>
  <si>
    <t>Column6558</t>
  </si>
  <si>
    <t>Column6559</t>
  </si>
  <si>
    <t>Column6560</t>
  </si>
  <si>
    <t>Column6561</t>
  </si>
  <si>
    <t>Column6562</t>
  </si>
  <si>
    <t>Column6563</t>
  </si>
  <si>
    <t>Column6564</t>
  </si>
  <si>
    <t>Column6565</t>
  </si>
  <si>
    <t>Column6566</t>
  </si>
  <si>
    <t>Column6567</t>
  </si>
  <si>
    <t>Column6568</t>
  </si>
  <si>
    <t>Column6569</t>
  </si>
  <si>
    <t>Column6570</t>
  </si>
  <si>
    <t>Column6571</t>
  </si>
  <si>
    <t>Column6572</t>
  </si>
  <si>
    <t>Column6573</t>
  </si>
  <si>
    <t>Column6574</t>
  </si>
  <si>
    <t>Column6575</t>
  </si>
  <si>
    <t>Column6576</t>
  </si>
  <si>
    <t>Column6577</t>
  </si>
  <si>
    <t>Column6578</t>
  </si>
  <si>
    <t>Column6579</t>
  </si>
  <si>
    <t>Column6580</t>
  </si>
  <si>
    <t>Column6581</t>
  </si>
  <si>
    <t>Column6582</t>
  </si>
  <si>
    <t>Column6583</t>
  </si>
  <si>
    <t>Column6584</t>
  </si>
  <si>
    <t>Column6585</t>
  </si>
  <si>
    <t>Column6586</t>
  </si>
  <si>
    <t>Column6587</t>
  </si>
  <si>
    <t>Column6588</t>
  </si>
  <si>
    <t>Column6589</t>
  </si>
  <si>
    <t>Column6590</t>
  </si>
  <si>
    <t>Column6591</t>
  </si>
  <si>
    <t>Column6592</t>
  </si>
  <si>
    <t>Column6593</t>
  </si>
  <si>
    <t>Column6594</t>
  </si>
  <si>
    <t>Column6595</t>
  </si>
  <si>
    <t>Column6596</t>
  </si>
  <si>
    <t>Column6597</t>
  </si>
  <si>
    <t>Column6598</t>
  </si>
  <si>
    <t>Column6599</t>
  </si>
  <si>
    <t>Column6600</t>
  </si>
  <si>
    <t>Column6601</t>
  </si>
  <si>
    <t>Column6602</t>
  </si>
  <si>
    <t>Column6603</t>
  </si>
  <si>
    <t>Column6604</t>
  </si>
  <si>
    <t>Column6605</t>
  </si>
  <si>
    <t>Column6606</t>
  </si>
  <si>
    <t>Column6607</t>
  </si>
  <si>
    <t>Column6608</t>
  </si>
  <si>
    <t>Column6609</t>
  </si>
  <si>
    <t>Column6610</t>
  </si>
  <si>
    <t>Column6611</t>
  </si>
  <si>
    <t>Column6612</t>
  </si>
  <si>
    <t>Column6613</t>
  </si>
  <si>
    <t>Column6614</t>
  </si>
  <si>
    <t>Column6615</t>
  </si>
  <si>
    <t>Column6616</t>
  </si>
  <si>
    <t>Column6617</t>
  </si>
  <si>
    <t>Column6618</t>
  </si>
  <si>
    <t>Column6619</t>
  </si>
  <si>
    <t>Column6620</t>
  </si>
  <si>
    <t>Column6621</t>
  </si>
  <si>
    <t>Column6622</t>
  </si>
  <si>
    <t>Column6623</t>
  </si>
  <si>
    <t>Column6624</t>
  </si>
  <si>
    <t>Column6625</t>
  </si>
  <si>
    <t>Column6626</t>
  </si>
  <si>
    <t>Column6627</t>
  </si>
  <si>
    <t>Column6628</t>
  </si>
  <si>
    <t>Column6629</t>
  </si>
  <si>
    <t>Column6630</t>
  </si>
  <si>
    <t>Column6631</t>
  </si>
  <si>
    <t>Column6632</t>
  </si>
  <si>
    <t>Column6633</t>
  </si>
  <si>
    <t>Column6634</t>
  </si>
  <si>
    <t>Column6635</t>
  </si>
  <si>
    <t>Column6636</t>
  </si>
  <si>
    <t>Column6637</t>
  </si>
  <si>
    <t>Column6638</t>
  </si>
  <si>
    <t>Column6639</t>
  </si>
  <si>
    <t>Column6640</t>
  </si>
  <si>
    <t>Column6641</t>
  </si>
  <si>
    <t>Column6642</t>
  </si>
  <si>
    <t>Column6643</t>
  </si>
  <si>
    <t>Column6644</t>
  </si>
  <si>
    <t>Column6645</t>
  </si>
  <si>
    <t>Column6646</t>
  </si>
  <si>
    <t>Column6647</t>
  </si>
  <si>
    <t>Column6648</t>
  </si>
  <si>
    <t>Column6649</t>
  </si>
  <si>
    <t>Column6650</t>
  </si>
  <si>
    <t>Column6651</t>
  </si>
  <si>
    <t>Column6652</t>
  </si>
  <si>
    <t>Column6653</t>
  </si>
  <si>
    <t>Column6654</t>
  </si>
  <si>
    <t>Column6655</t>
  </si>
  <si>
    <t>Column6656</t>
  </si>
  <si>
    <t>Column6657</t>
  </si>
  <si>
    <t>Column6658</t>
  </si>
  <si>
    <t>Column6659</t>
  </si>
  <si>
    <t>Column6660</t>
  </si>
  <si>
    <t>Column6661</t>
  </si>
  <si>
    <t>Column6662</t>
  </si>
  <si>
    <t>Column6663</t>
  </si>
  <si>
    <t>Column6664</t>
  </si>
  <si>
    <t>Column6665</t>
  </si>
  <si>
    <t>Column6666</t>
  </si>
  <si>
    <t>Column6667</t>
  </si>
  <si>
    <t>Column6668</t>
  </si>
  <si>
    <t>Column6669</t>
  </si>
  <si>
    <t>Column6670</t>
  </si>
  <si>
    <t>Column6671</t>
  </si>
  <si>
    <t>Column6672</t>
  </si>
  <si>
    <t>Column6673</t>
  </si>
  <si>
    <t>Column6674</t>
  </si>
  <si>
    <t>Column6675</t>
  </si>
  <si>
    <t>Column6676</t>
  </si>
  <si>
    <t>Column6677</t>
  </si>
  <si>
    <t>Column6678</t>
  </si>
  <si>
    <t>Column6679</t>
  </si>
  <si>
    <t>Column6680</t>
  </si>
  <si>
    <t>Column6681</t>
  </si>
  <si>
    <t>Column6682</t>
  </si>
  <si>
    <t>Column6683</t>
  </si>
  <si>
    <t>Column6684</t>
  </si>
  <si>
    <t>Column6685</t>
  </si>
  <si>
    <t>Column6686</t>
  </si>
  <si>
    <t>Column6687</t>
  </si>
  <si>
    <t>Column6688</t>
  </si>
  <si>
    <t>Column6689</t>
  </si>
  <si>
    <t>Column6690</t>
  </si>
  <si>
    <t>Column6691</t>
  </si>
  <si>
    <t>Column6692</t>
  </si>
  <si>
    <t>Column6693</t>
  </si>
  <si>
    <t>Column6694</t>
  </si>
  <si>
    <t>Column6695</t>
  </si>
  <si>
    <t>Column6696</t>
  </si>
  <si>
    <t>Column6697</t>
  </si>
  <si>
    <t>Column6698</t>
  </si>
  <si>
    <t>Column6699</t>
  </si>
  <si>
    <t>Column6700</t>
  </si>
  <si>
    <t>Column6701</t>
  </si>
  <si>
    <t>Column6702</t>
  </si>
  <si>
    <t>Column6703</t>
  </si>
  <si>
    <t>Column6704</t>
  </si>
  <si>
    <t>Column6705</t>
  </si>
  <si>
    <t>Column6706</t>
  </si>
  <si>
    <t>Column6707</t>
  </si>
  <si>
    <t>Column6708</t>
  </si>
  <si>
    <t>Column6709</t>
  </si>
  <si>
    <t>Column6710</t>
  </si>
  <si>
    <t>Column6711</t>
  </si>
  <si>
    <t>Column6712</t>
  </si>
  <si>
    <t>Column6713</t>
  </si>
  <si>
    <t>Column6714</t>
  </si>
  <si>
    <t>Column6715</t>
  </si>
  <si>
    <t>Column6716</t>
  </si>
  <si>
    <t>Column6717</t>
  </si>
  <si>
    <t>Column6718</t>
  </si>
  <si>
    <t>Column6719</t>
  </si>
  <si>
    <t>Column6720</t>
  </si>
  <si>
    <t>Column6721</t>
  </si>
  <si>
    <t>Column6722</t>
  </si>
  <si>
    <t>Column6723</t>
  </si>
  <si>
    <t>Column6724</t>
  </si>
  <si>
    <t>Column6725</t>
  </si>
  <si>
    <t>Column6726</t>
  </si>
  <si>
    <t>Column6727</t>
  </si>
  <si>
    <t>Column6728</t>
  </si>
  <si>
    <t>Column6729</t>
  </si>
  <si>
    <t>Column6730</t>
  </si>
  <si>
    <t>Column6731</t>
  </si>
  <si>
    <t>Column6732</t>
  </si>
  <si>
    <t>Column6733</t>
  </si>
  <si>
    <t>Column6734</t>
  </si>
  <si>
    <t>Column6735</t>
  </si>
  <si>
    <t>Column6736</t>
  </si>
  <si>
    <t>Column6737</t>
  </si>
  <si>
    <t>Column6738</t>
  </si>
  <si>
    <t>Column6739</t>
  </si>
  <si>
    <t>Column6740</t>
  </si>
  <si>
    <t>Column6741</t>
  </si>
  <si>
    <t>Column6742</t>
  </si>
  <si>
    <t>Column6743</t>
  </si>
  <si>
    <t>Column6744</t>
  </si>
  <si>
    <t>Column6745</t>
  </si>
  <si>
    <t>Column6746</t>
  </si>
  <si>
    <t>Column6747</t>
  </si>
  <si>
    <t>Column6748</t>
  </si>
  <si>
    <t>Column6749</t>
  </si>
  <si>
    <t>Column6750</t>
  </si>
  <si>
    <t>Column6751</t>
  </si>
  <si>
    <t>Column6752</t>
  </si>
  <si>
    <t>Column6753</t>
  </si>
  <si>
    <t>Column6754</t>
  </si>
  <si>
    <t>Column6755</t>
  </si>
  <si>
    <t>Column6756</t>
  </si>
  <si>
    <t>Column6757</t>
  </si>
  <si>
    <t>Column6758</t>
  </si>
  <si>
    <t>Column6759</t>
  </si>
  <si>
    <t>Column6760</t>
  </si>
  <si>
    <t>Column6761</t>
  </si>
  <si>
    <t>Column6762</t>
  </si>
  <si>
    <t>Column6763</t>
  </si>
  <si>
    <t>Column6764</t>
  </si>
  <si>
    <t>Column6765</t>
  </si>
  <si>
    <t>Column6766</t>
  </si>
  <si>
    <t>Column6767</t>
  </si>
  <si>
    <t>Column6768</t>
  </si>
  <si>
    <t>Column6769</t>
  </si>
  <si>
    <t>Column6770</t>
  </si>
  <si>
    <t>Column6771</t>
  </si>
  <si>
    <t>Column6772</t>
  </si>
  <si>
    <t>Column6773</t>
  </si>
  <si>
    <t>Column6774</t>
  </si>
  <si>
    <t>Column6775</t>
  </si>
  <si>
    <t>Column6776</t>
  </si>
  <si>
    <t>Column6777</t>
  </si>
  <si>
    <t>Column6778</t>
  </si>
  <si>
    <t>Column6779</t>
  </si>
  <si>
    <t>Column6780</t>
  </si>
  <si>
    <t>Column6781</t>
  </si>
  <si>
    <t>Column6782</t>
  </si>
  <si>
    <t>Column6783</t>
  </si>
  <si>
    <t>Column6784</t>
  </si>
  <si>
    <t>Column6785</t>
  </si>
  <si>
    <t>Column6786</t>
  </si>
  <si>
    <t>Column6787</t>
  </si>
  <si>
    <t>Column6788</t>
  </si>
  <si>
    <t>Column6789</t>
  </si>
  <si>
    <t>Column6790</t>
  </si>
  <si>
    <t>Column6791</t>
  </si>
  <si>
    <t>Column6792</t>
  </si>
  <si>
    <t>Column6793</t>
  </si>
  <si>
    <t>Column6794</t>
  </si>
  <si>
    <t>Column6795</t>
  </si>
  <si>
    <t>Column6796</t>
  </si>
  <si>
    <t>Column6797</t>
  </si>
  <si>
    <t>Column6798</t>
  </si>
  <si>
    <t>Column6799</t>
  </si>
  <si>
    <t>Column6800</t>
  </si>
  <si>
    <t>Column6801</t>
  </si>
  <si>
    <t>Column6802</t>
  </si>
  <si>
    <t>Column6803</t>
  </si>
  <si>
    <t>Column6804</t>
  </si>
  <si>
    <t>Column6805</t>
  </si>
  <si>
    <t>Column6806</t>
  </si>
  <si>
    <t>Column6807</t>
  </si>
  <si>
    <t>Column6808</t>
  </si>
  <si>
    <t>Column6809</t>
  </si>
  <si>
    <t>Column6810</t>
  </si>
  <si>
    <t>Column6811</t>
  </si>
  <si>
    <t>Column6812</t>
  </si>
  <si>
    <t>Column6813</t>
  </si>
  <si>
    <t>Column6814</t>
  </si>
  <si>
    <t>Column6815</t>
  </si>
  <si>
    <t>Column6816</t>
  </si>
  <si>
    <t>Column6817</t>
  </si>
  <si>
    <t>Column6818</t>
  </si>
  <si>
    <t>Column6819</t>
  </si>
  <si>
    <t>Column6820</t>
  </si>
  <si>
    <t>Column6821</t>
  </si>
  <si>
    <t>Column6822</t>
  </si>
  <si>
    <t>Column6823</t>
  </si>
  <si>
    <t>Column6824</t>
  </si>
  <si>
    <t>Column6825</t>
  </si>
  <si>
    <t>Column6826</t>
  </si>
  <si>
    <t>Column6827</t>
  </si>
  <si>
    <t>Column6828</t>
  </si>
  <si>
    <t>Column6829</t>
  </si>
  <si>
    <t>Column6830</t>
  </si>
  <si>
    <t>Column6831</t>
  </si>
  <si>
    <t>Column6832</t>
  </si>
  <si>
    <t>Column6833</t>
  </si>
  <si>
    <t>Column6834</t>
  </si>
  <si>
    <t>Column6835</t>
  </si>
  <si>
    <t>Column6836</t>
  </si>
  <si>
    <t>Column6837</t>
  </si>
  <si>
    <t>Column6838</t>
  </si>
  <si>
    <t>Column6839</t>
  </si>
  <si>
    <t>Column6840</t>
  </si>
  <si>
    <t>Column6841</t>
  </si>
  <si>
    <t>Column6842</t>
  </si>
  <si>
    <t>Column6843</t>
  </si>
  <si>
    <t>Column6844</t>
  </si>
  <si>
    <t>Column6845</t>
  </si>
  <si>
    <t>Column6846</t>
  </si>
  <si>
    <t>Column6847</t>
  </si>
  <si>
    <t>Column6848</t>
  </si>
  <si>
    <t>Column6849</t>
  </si>
  <si>
    <t>Column6850</t>
  </si>
  <si>
    <t>Column6851</t>
  </si>
  <si>
    <t>Column6852</t>
  </si>
  <si>
    <t>Column6853</t>
  </si>
  <si>
    <t>Column6854</t>
  </si>
  <si>
    <t>Column6855</t>
  </si>
  <si>
    <t>Column6856</t>
  </si>
  <si>
    <t>Column6857</t>
  </si>
  <si>
    <t>Column6858</t>
  </si>
  <si>
    <t>Column6859</t>
  </si>
  <si>
    <t>Column6860</t>
  </si>
  <si>
    <t>Column6861</t>
  </si>
  <si>
    <t>Column6862</t>
  </si>
  <si>
    <t>Column6863</t>
  </si>
  <si>
    <t>Column6864</t>
  </si>
  <si>
    <t>Column6865</t>
  </si>
  <si>
    <t>Column6866</t>
  </si>
  <si>
    <t>Column6867</t>
  </si>
  <si>
    <t>Column6868</t>
  </si>
  <si>
    <t>Column6869</t>
  </si>
  <si>
    <t>Column6870</t>
  </si>
  <si>
    <t>Column6871</t>
  </si>
  <si>
    <t>Column6872</t>
  </si>
  <si>
    <t>Column6873</t>
  </si>
  <si>
    <t>Column6874</t>
  </si>
  <si>
    <t>Column6875</t>
  </si>
  <si>
    <t>Column6876</t>
  </si>
  <si>
    <t>Column6877</t>
  </si>
  <si>
    <t>Column6878</t>
  </si>
  <si>
    <t>Column6879</t>
  </si>
  <si>
    <t>Column6880</t>
  </si>
  <si>
    <t>Column6881</t>
  </si>
  <si>
    <t>Column6882</t>
  </si>
  <si>
    <t>Column6883</t>
  </si>
  <si>
    <t>Column6884</t>
  </si>
  <si>
    <t>Column6885</t>
  </si>
  <si>
    <t>Column6886</t>
  </si>
  <si>
    <t>Column6887</t>
  </si>
  <si>
    <t>Column6888</t>
  </si>
  <si>
    <t>Column6889</t>
  </si>
  <si>
    <t>Column6890</t>
  </si>
  <si>
    <t>Column6891</t>
  </si>
  <si>
    <t>Column6892</t>
  </si>
  <si>
    <t>Column6893</t>
  </si>
  <si>
    <t>Column6894</t>
  </si>
  <si>
    <t>Column6895</t>
  </si>
  <si>
    <t>Column6896</t>
  </si>
  <si>
    <t>Column6897</t>
  </si>
  <si>
    <t>Column6898</t>
  </si>
  <si>
    <t>Column6899</t>
  </si>
  <si>
    <t>Column6900</t>
  </si>
  <si>
    <t>Column6901</t>
  </si>
  <si>
    <t>Column6902</t>
  </si>
  <si>
    <t>Column6903</t>
  </si>
  <si>
    <t>Column6904</t>
  </si>
  <si>
    <t>Column6905</t>
  </si>
  <si>
    <t>Column6906</t>
  </si>
  <si>
    <t>Column6907</t>
  </si>
  <si>
    <t>Column6908</t>
  </si>
  <si>
    <t>Column6909</t>
  </si>
  <si>
    <t>Column6910</t>
  </si>
  <si>
    <t>Column6911</t>
  </si>
  <si>
    <t>Column6912</t>
  </si>
  <si>
    <t>Column6913</t>
  </si>
  <si>
    <t>Column6914</t>
  </si>
  <si>
    <t>Column6915</t>
  </si>
  <si>
    <t>Column6916</t>
  </si>
  <si>
    <t>Column6917</t>
  </si>
  <si>
    <t>Column6918</t>
  </si>
  <si>
    <t>Column6919</t>
  </si>
  <si>
    <t>Column6920</t>
  </si>
  <si>
    <t>Column6921</t>
  </si>
  <si>
    <t>Column6922</t>
  </si>
  <si>
    <t>Column6923</t>
  </si>
  <si>
    <t>Column6924</t>
  </si>
  <si>
    <t>Column6925</t>
  </si>
  <si>
    <t>Column6926</t>
  </si>
  <si>
    <t>Column6927</t>
  </si>
  <si>
    <t>Column6928</t>
  </si>
  <si>
    <t>Column6929</t>
  </si>
  <si>
    <t>Column6930</t>
  </si>
  <si>
    <t>Column6931</t>
  </si>
  <si>
    <t>Column6932</t>
  </si>
  <si>
    <t>Column6933</t>
  </si>
  <si>
    <t>Column6934</t>
  </si>
  <si>
    <t>Column6935</t>
  </si>
  <si>
    <t>Column6936</t>
  </si>
  <si>
    <t>Column6937</t>
  </si>
  <si>
    <t>Column6938</t>
  </si>
  <si>
    <t>Column6939</t>
  </si>
  <si>
    <t>Column6940</t>
  </si>
  <si>
    <t>Column6941</t>
  </si>
  <si>
    <t>Column6942</t>
  </si>
  <si>
    <t>Column6943</t>
  </si>
  <si>
    <t>Column6944</t>
  </si>
  <si>
    <t>Column6945</t>
  </si>
  <si>
    <t>Column6946</t>
  </si>
  <si>
    <t>Column6947</t>
  </si>
  <si>
    <t>Column6948</t>
  </si>
  <si>
    <t>Column6949</t>
  </si>
  <si>
    <t>Column6950</t>
  </si>
  <si>
    <t>Column6951</t>
  </si>
  <si>
    <t>Column6952</t>
  </si>
  <si>
    <t>Column6953</t>
  </si>
  <si>
    <t>Column6954</t>
  </si>
  <si>
    <t>Column6955</t>
  </si>
  <si>
    <t>Column6956</t>
  </si>
  <si>
    <t>Column6957</t>
  </si>
  <si>
    <t>Column6958</t>
  </si>
  <si>
    <t>Column6959</t>
  </si>
  <si>
    <t>Column6960</t>
  </si>
  <si>
    <t>Column6961</t>
  </si>
  <si>
    <t>Column6962</t>
  </si>
  <si>
    <t>Column6963</t>
  </si>
  <si>
    <t>Column6964</t>
  </si>
  <si>
    <t>Column6965</t>
  </si>
  <si>
    <t>Column6966</t>
  </si>
  <si>
    <t>Column6967</t>
  </si>
  <si>
    <t>Column6968</t>
  </si>
  <si>
    <t>Column6969</t>
  </si>
  <si>
    <t>Column6970</t>
  </si>
  <si>
    <t>Column6971</t>
  </si>
  <si>
    <t>Column6972</t>
  </si>
  <si>
    <t>Column6973</t>
  </si>
  <si>
    <t>Column6974</t>
  </si>
  <si>
    <t>Column6975</t>
  </si>
  <si>
    <t>Column6976</t>
  </si>
  <si>
    <t>Column6977</t>
  </si>
  <si>
    <t>Column6978</t>
  </si>
  <si>
    <t>Column6979</t>
  </si>
  <si>
    <t>Column6980</t>
  </si>
  <si>
    <t>Column6981</t>
  </si>
  <si>
    <t>Column6982</t>
  </si>
  <si>
    <t>Column6983</t>
  </si>
  <si>
    <t>Column6984</t>
  </si>
  <si>
    <t>Column6985</t>
  </si>
  <si>
    <t>Column6986</t>
  </si>
  <si>
    <t>Column6987</t>
  </si>
  <si>
    <t>Column6988</t>
  </si>
  <si>
    <t>Column6989</t>
  </si>
  <si>
    <t>Column6990</t>
  </si>
  <si>
    <t>Column6991</t>
  </si>
  <si>
    <t>Column6992</t>
  </si>
  <si>
    <t>Column6993</t>
  </si>
  <si>
    <t>Column6994</t>
  </si>
  <si>
    <t>Column6995</t>
  </si>
  <si>
    <t>Column6996</t>
  </si>
  <si>
    <t>Column6997</t>
  </si>
  <si>
    <t>Column6998</t>
  </si>
  <si>
    <t>Column6999</t>
  </si>
  <si>
    <t>Column7000</t>
  </si>
  <si>
    <t>Column7001</t>
  </si>
  <si>
    <t>Column7002</t>
  </si>
  <si>
    <t>Column7003</t>
  </si>
  <si>
    <t>Column7004</t>
  </si>
  <si>
    <t>Column7005</t>
  </si>
  <si>
    <t>Column7006</t>
  </si>
  <si>
    <t>Column7007</t>
  </si>
  <si>
    <t>Column7008</t>
  </si>
  <si>
    <t>Column7009</t>
  </si>
  <si>
    <t>Column7010</t>
  </si>
  <si>
    <t>Column7011</t>
  </si>
  <si>
    <t>Column7012</t>
  </si>
  <si>
    <t>Column7013</t>
  </si>
  <si>
    <t>Column7014</t>
  </si>
  <si>
    <t>Column7015</t>
  </si>
  <si>
    <t>Column7016</t>
  </si>
  <si>
    <t>Column7017</t>
  </si>
  <si>
    <t>Column7018</t>
  </si>
  <si>
    <t>Column7019</t>
  </si>
  <si>
    <t>Column7020</t>
  </si>
  <si>
    <t>Column7021</t>
  </si>
  <si>
    <t>Column7022</t>
  </si>
  <si>
    <t>Column7023</t>
  </si>
  <si>
    <t>Column7024</t>
  </si>
  <si>
    <t>Column7025</t>
  </si>
  <si>
    <t>Column7026</t>
  </si>
  <si>
    <t>Column7027</t>
  </si>
  <si>
    <t>Column7028</t>
  </si>
  <si>
    <t>Column7029</t>
  </si>
  <si>
    <t>Column7030</t>
  </si>
  <si>
    <t>Column7031</t>
  </si>
  <si>
    <t>Column7032</t>
  </si>
  <si>
    <t>Column7033</t>
  </si>
  <si>
    <t>Column7034</t>
  </si>
  <si>
    <t>Column7035</t>
  </si>
  <si>
    <t>Column7036</t>
  </si>
  <si>
    <t>Column7037</t>
  </si>
  <si>
    <t>Column7038</t>
  </si>
  <si>
    <t>Column7039</t>
  </si>
  <si>
    <t>Column7040</t>
  </si>
  <si>
    <t>Column7041</t>
  </si>
  <si>
    <t>Column7042</t>
  </si>
  <si>
    <t>Column7043</t>
  </si>
  <si>
    <t>Column7044</t>
  </si>
  <si>
    <t>Column7045</t>
  </si>
  <si>
    <t>Column7046</t>
  </si>
  <si>
    <t>Column7047</t>
  </si>
  <si>
    <t>Column7048</t>
  </si>
  <si>
    <t>Column7049</t>
  </si>
  <si>
    <t>Column7050</t>
  </si>
  <si>
    <t>Column7051</t>
  </si>
  <si>
    <t>Column7052</t>
  </si>
  <si>
    <t>Column7053</t>
  </si>
  <si>
    <t>Column7054</t>
  </si>
  <si>
    <t>Column7055</t>
  </si>
  <si>
    <t>Column7056</t>
  </si>
  <si>
    <t>Column7057</t>
  </si>
  <si>
    <t>Column7058</t>
  </si>
  <si>
    <t>Column7059</t>
  </si>
  <si>
    <t>Column7060</t>
  </si>
  <si>
    <t>Column7061</t>
  </si>
  <si>
    <t>Column7062</t>
  </si>
  <si>
    <t>Column7063</t>
  </si>
  <si>
    <t>Column7064</t>
  </si>
  <si>
    <t>Column7065</t>
  </si>
  <si>
    <t>Column7066</t>
  </si>
  <si>
    <t>Column7067</t>
  </si>
  <si>
    <t>Column7068</t>
  </si>
  <si>
    <t>Column7069</t>
  </si>
  <si>
    <t>Column7070</t>
  </si>
  <si>
    <t>Column7071</t>
  </si>
  <si>
    <t>Column7072</t>
  </si>
  <si>
    <t>Column7073</t>
  </si>
  <si>
    <t>Column7074</t>
  </si>
  <si>
    <t>Column7075</t>
  </si>
  <si>
    <t>Column7076</t>
  </si>
  <si>
    <t>Column7077</t>
  </si>
  <si>
    <t>Column7078</t>
  </si>
  <si>
    <t>Column7079</t>
  </si>
  <si>
    <t>Column7080</t>
  </si>
  <si>
    <t>Column7081</t>
  </si>
  <si>
    <t>Column7082</t>
  </si>
  <si>
    <t>Column7083</t>
  </si>
  <si>
    <t>Column7084</t>
  </si>
  <si>
    <t>Column7085</t>
  </si>
  <si>
    <t>Column7086</t>
  </si>
  <si>
    <t>Column7087</t>
  </si>
  <si>
    <t>Column7088</t>
  </si>
  <si>
    <t>Column7089</t>
  </si>
  <si>
    <t>Column7090</t>
  </si>
  <si>
    <t>Column7091</t>
  </si>
  <si>
    <t>Column7092</t>
  </si>
  <si>
    <t>Column7093</t>
  </si>
  <si>
    <t>Column7094</t>
  </si>
  <si>
    <t>Column7095</t>
  </si>
  <si>
    <t>Column7096</t>
  </si>
  <si>
    <t>Column7097</t>
  </si>
  <si>
    <t>Column7098</t>
  </si>
  <si>
    <t>Column7099</t>
  </si>
  <si>
    <t>Column7100</t>
  </si>
  <si>
    <t>Column7101</t>
  </si>
  <si>
    <t>Column7102</t>
  </si>
  <si>
    <t>Column7103</t>
  </si>
  <si>
    <t>Column7104</t>
  </si>
  <si>
    <t>Column7105</t>
  </si>
  <si>
    <t>Column7106</t>
  </si>
  <si>
    <t>Column7107</t>
  </si>
  <si>
    <t>Column7108</t>
  </si>
  <si>
    <t>Column7109</t>
  </si>
  <si>
    <t>Column7110</t>
  </si>
  <si>
    <t>Column7111</t>
  </si>
  <si>
    <t>Column7112</t>
  </si>
  <si>
    <t>Column7113</t>
  </si>
  <si>
    <t>Column7114</t>
  </si>
  <si>
    <t>Column7115</t>
  </si>
  <si>
    <t>Column7116</t>
  </si>
  <si>
    <t>Column7117</t>
  </si>
  <si>
    <t>Column7118</t>
  </si>
  <si>
    <t>Column7119</t>
  </si>
  <si>
    <t>Column7120</t>
  </si>
  <si>
    <t>Column7121</t>
  </si>
  <si>
    <t>Column7122</t>
  </si>
  <si>
    <t>Column7123</t>
  </si>
  <si>
    <t>Column7124</t>
  </si>
  <si>
    <t>Column7125</t>
  </si>
  <si>
    <t>Column7126</t>
  </si>
  <si>
    <t>Column7127</t>
  </si>
  <si>
    <t>Column7128</t>
  </si>
  <si>
    <t>Column7129</t>
  </si>
  <si>
    <t>Column7130</t>
  </si>
  <si>
    <t>Column7131</t>
  </si>
  <si>
    <t>Column7132</t>
  </si>
  <si>
    <t>Column7133</t>
  </si>
  <si>
    <t>Column7134</t>
  </si>
  <si>
    <t>Column7135</t>
  </si>
  <si>
    <t>Column7136</t>
  </si>
  <si>
    <t>Column7137</t>
  </si>
  <si>
    <t>Column7138</t>
  </si>
  <si>
    <t>Column7139</t>
  </si>
  <si>
    <t>Column7140</t>
  </si>
  <si>
    <t>Column7141</t>
  </si>
  <si>
    <t>Column7142</t>
  </si>
  <si>
    <t>Column7143</t>
  </si>
  <si>
    <t>Column7144</t>
  </si>
  <si>
    <t>Column7145</t>
  </si>
  <si>
    <t>Column7146</t>
  </si>
  <si>
    <t>Column7147</t>
  </si>
  <si>
    <t>Column7148</t>
  </si>
  <si>
    <t>Column7149</t>
  </si>
  <si>
    <t>Column7150</t>
  </si>
  <si>
    <t>Column7151</t>
  </si>
  <si>
    <t>Column7152</t>
  </si>
  <si>
    <t>Column7153</t>
  </si>
  <si>
    <t>Column7154</t>
  </si>
  <si>
    <t>Column7155</t>
  </si>
  <si>
    <t>Column7156</t>
  </si>
  <si>
    <t>Column7157</t>
  </si>
  <si>
    <t>Column7158</t>
  </si>
  <si>
    <t>Column7159</t>
  </si>
  <si>
    <t>Column7160</t>
  </si>
  <si>
    <t>Column7161</t>
  </si>
  <si>
    <t>Column7162</t>
  </si>
  <si>
    <t>Column7163</t>
  </si>
  <si>
    <t>Column7164</t>
  </si>
  <si>
    <t>Column7165</t>
  </si>
  <si>
    <t>Column7166</t>
  </si>
  <si>
    <t>Column7167</t>
  </si>
  <si>
    <t>Column7168</t>
  </si>
  <si>
    <t>Column7169</t>
  </si>
  <si>
    <t>Column7170</t>
  </si>
  <si>
    <t>Column7171</t>
  </si>
  <si>
    <t>Column7172</t>
  </si>
  <si>
    <t>Column7173</t>
  </si>
  <si>
    <t>Column7174</t>
  </si>
  <si>
    <t>Column7175</t>
  </si>
  <si>
    <t>Column7176</t>
  </si>
  <si>
    <t>Column7177</t>
  </si>
  <si>
    <t>Column7178</t>
  </si>
  <si>
    <t>Column7179</t>
  </si>
  <si>
    <t>Column7180</t>
  </si>
  <si>
    <t>Column7181</t>
  </si>
  <si>
    <t>Column7182</t>
  </si>
  <si>
    <t>Column7183</t>
  </si>
  <si>
    <t>Column7184</t>
  </si>
  <si>
    <t>Column7185</t>
  </si>
  <si>
    <t>Column7186</t>
  </si>
  <si>
    <t>Column7187</t>
  </si>
  <si>
    <t>Column7188</t>
  </si>
  <si>
    <t>Column7189</t>
  </si>
  <si>
    <t>Column7190</t>
  </si>
  <si>
    <t>Column7191</t>
  </si>
  <si>
    <t>Column7192</t>
  </si>
  <si>
    <t>Column7193</t>
  </si>
  <si>
    <t>Column7194</t>
  </si>
  <si>
    <t>Column7195</t>
  </si>
  <si>
    <t>Column7196</t>
  </si>
  <si>
    <t>Column7197</t>
  </si>
  <si>
    <t>Column7198</t>
  </si>
  <si>
    <t>Column7199</t>
  </si>
  <si>
    <t>Column7200</t>
  </si>
  <si>
    <t>Column7201</t>
  </si>
  <si>
    <t>Column7202</t>
  </si>
  <si>
    <t>Column7203</t>
  </si>
  <si>
    <t>Column7204</t>
  </si>
  <si>
    <t>Column7205</t>
  </si>
  <si>
    <t>Column7206</t>
  </si>
  <si>
    <t>Column7207</t>
  </si>
  <si>
    <t>Column7208</t>
  </si>
  <si>
    <t>Column7209</t>
  </si>
  <si>
    <t>Column7210</t>
  </si>
  <si>
    <t>Column7211</t>
  </si>
  <si>
    <t>Column7212</t>
  </si>
  <si>
    <t>Column7213</t>
  </si>
  <si>
    <t>Column7214</t>
  </si>
  <si>
    <t>Column7215</t>
  </si>
  <si>
    <t>Column7216</t>
  </si>
  <si>
    <t>Column7217</t>
  </si>
  <si>
    <t>Column7218</t>
  </si>
  <si>
    <t>Column7219</t>
  </si>
  <si>
    <t>Column7220</t>
  </si>
  <si>
    <t>Column7221</t>
  </si>
  <si>
    <t>Column7222</t>
  </si>
  <si>
    <t>Column7223</t>
  </si>
  <si>
    <t>Column7224</t>
  </si>
  <si>
    <t>Column7225</t>
  </si>
  <si>
    <t>Column7226</t>
  </si>
  <si>
    <t>Column7227</t>
  </si>
  <si>
    <t>Column7228</t>
  </si>
  <si>
    <t>Column7229</t>
  </si>
  <si>
    <t>Column7230</t>
  </si>
  <si>
    <t>Column7231</t>
  </si>
  <si>
    <t>Column7232</t>
  </si>
  <si>
    <t>Column7233</t>
  </si>
  <si>
    <t>Column7234</t>
  </si>
  <si>
    <t>Column7235</t>
  </si>
  <si>
    <t>Column7236</t>
  </si>
  <si>
    <t>Column7237</t>
  </si>
  <si>
    <t>Column7238</t>
  </si>
  <si>
    <t>Column7239</t>
  </si>
  <si>
    <t>Column7240</t>
  </si>
  <si>
    <t>Column7241</t>
  </si>
  <si>
    <t>Column7242</t>
  </si>
  <si>
    <t>Column7243</t>
  </si>
  <si>
    <t>Column7244</t>
  </si>
  <si>
    <t>Column7245</t>
  </si>
  <si>
    <t>Column7246</t>
  </si>
  <si>
    <t>Column7247</t>
  </si>
  <si>
    <t>Column7248</t>
  </si>
  <si>
    <t>Column7249</t>
  </si>
  <si>
    <t>Column7250</t>
  </si>
  <si>
    <t>Column7251</t>
  </si>
  <si>
    <t>Column7252</t>
  </si>
  <si>
    <t>Column7253</t>
  </si>
  <si>
    <t>Column7254</t>
  </si>
  <si>
    <t>Column7255</t>
  </si>
  <si>
    <t>Column7256</t>
  </si>
  <si>
    <t>Column7257</t>
  </si>
  <si>
    <t>Column7258</t>
  </si>
  <si>
    <t>Column7259</t>
  </si>
  <si>
    <t>Column7260</t>
  </si>
  <si>
    <t>Column7261</t>
  </si>
  <si>
    <t>Column7262</t>
  </si>
  <si>
    <t>Column7263</t>
  </si>
  <si>
    <t>Column7264</t>
  </si>
  <si>
    <t>Column7265</t>
  </si>
  <si>
    <t>Column7266</t>
  </si>
  <si>
    <t>Column7267</t>
  </si>
  <si>
    <t>Column7268</t>
  </si>
  <si>
    <t>Column7269</t>
  </si>
  <si>
    <t>Column7270</t>
  </si>
  <si>
    <t>Column7271</t>
  </si>
  <si>
    <t>Column7272</t>
  </si>
  <si>
    <t>Column7273</t>
  </si>
  <si>
    <t>Column7274</t>
  </si>
  <si>
    <t>Column7275</t>
  </si>
  <si>
    <t>Column7276</t>
  </si>
  <si>
    <t>Column7277</t>
  </si>
  <si>
    <t>Column7278</t>
  </si>
  <si>
    <t>Column7279</t>
  </si>
  <si>
    <t>Column7280</t>
  </si>
  <si>
    <t>Column7281</t>
  </si>
  <si>
    <t>Column7282</t>
  </si>
  <si>
    <t>Column7283</t>
  </si>
  <si>
    <t>Column7284</t>
  </si>
  <si>
    <t>Column7285</t>
  </si>
  <si>
    <t>Column7286</t>
  </si>
  <si>
    <t>Column7287</t>
  </si>
  <si>
    <t>Column7288</t>
  </si>
  <si>
    <t>Column7289</t>
  </si>
  <si>
    <t>Column7290</t>
  </si>
  <si>
    <t>Column7291</t>
  </si>
  <si>
    <t>Column7292</t>
  </si>
  <si>
    <t>Column7293</t>
  </si>
  <si>
    <t>Column7294</t>
  </si>
  <si>
    <t>Column7295</t>
  </si>
  <si>
    <t>Column7296</t>
  </si>
  <si>
    <t>Column7297</t>
  </si>
  <si>
    <t>Column7298</t>
  </si>
  <si>
    <t>Column7299</t>
  </si>
  <si>
    <t>Column7300</t>
  </si>
  <si>
    <t>Column7301</t>
  </si>
  <si>
    <t>Column7302</t>
  </si>
  <si>
    <t>Column7303</t>
  </si>
  <si>
    <t>Column7304</t>
  </si>
  <si>
    <t>Column7305</t>
  </si>
  <si>
    <t>Column7306</t>
  </si>
  <si>
    <t>Column7307</t>
  </si>
  <si>
    <t>Column7308</t>
  </si>
  <si>
    <t>Column7309</t>
  </si>
  <si>
    <t>Column7310</t>
  </si>
  <si>
    <t>Column7311</t>
  </si>
  <si>
    <t>Column7312</t>
  </si>
  <si>
    <t>Column7313</t>
  </si>
  <si>
    <t>Column7314</t>
  </si>
  <si>
    <t>Column7315</t>
  </si>
  <si>
    <t>Column7316</t>
  </si>
  <si>
    <t>Column7317</t>
  </si>
  <si>
    <t>Column7318</t>
  </si>
  <si>
    <t>Column7319</t>
  </si>
  <si>
    <t>Column7320</t>
  </si>
  <si>
    <t>Column7321</t>
  </si>
  <si>
    <t>Column7322</t>
  </si>
  <si>
    <t>Column7323</t>
  </si>
  <si>
    <t>Column7324</t>
  </si>
  <si>
    <t>Column7325</t>
  </si>
  <si>
    <t>Column7326</t>
  </si>
  <si>
    <t>Column7327</t>
  </si>
  <si>
    <t>Column7328</t>
  </si>
  <si>
    <t>Column7329</t>
  </si>
  <si>
    <t>Column7330</t>
  </si>
  <si>
    <t>Column7331</t>
  </si>
  <si>
    <t>Column7332</t>
  </si>
  <si>
    <t>Column7333</t>
  </si>
  <si>
    <t>Column7334</t>
  </si>
  <si>
    <t>Column7335</t>
  </si>
  <si>
    <t>Column7336</t>
  </si>
  <si>
    <t>Column7337</t>
  </si>
  <si>
    <t>Column7338</t>
  </si>
  <si>
    <t>Column7339</t>
  </si>
  <si>
    <t>Column7340</t>
  </si>
  <si>
    <t>Column7341</t>
  </si>
  <si>
    <t>Column7342</t>
  </si>
  <si>
    <t>Column7343</t>
  </si>
  <si>
    <t>Column7344</t>
  </si>
  <si>
    <t>Column7345</t>
  </si>
  <si>
    <t>Column7346</t>
  </si>
  <si>
    <t>Column7347</t>
  </si>
  <si>
    <t>Column7348</t>
  </si>
  <si>
    <t>Column7349</t>
  </si>
  <si>
    <t>Column7350</t>
  </si>
  <si>
    <t>Column7351</t>
  </si>
  <si>
    <t>Column7352</t>
  </si>
  <si>
    <t>Column7353</t>
  </si>
  <si>
    <t>Column7354</t>
  </si>
  <si>
    <t>Column7355</t>
  </si>
  <si>
    <t>Column7356</t>
  </si>
  <si>
    <t>Column7357</t>
  </si>
  <si>
    <t>Column7358</t>
  </si>
  <si>
    <t>Column7359</t>
  </si>
  <si>
    <t>Column7360</t>
  </si>
  <si>
    <t>Column7361</t>
  </si>
  <si>
    <t>Column7362</t>
  </si>
  <si>
    <t>Column7363</t>
  </si>
  <si>
    <t>Column7364</t>
  </si>
  <si>
    <t>Column7365</t>
  </si>
  <si>
    <t>Column7366</t>
  </si>
  <si>
    <t>Column7367</t>
  </si>
  <si>
    <t>Column7368</t>
  </si>
  <si>
    <t>Column7369</t>
  </si>
  <si>
    <t>Column7370</t>
  </si>
  <si>
    <t>Column7371</t>
  </si>
  <si>
    <t>Column7372</t>
  </si>
  <si>
    <t>Column7373</t>
  </si>
  <si>
    <t>Column7374</t>
  </si>
  <si>
    <t>Column7375</t>
  </si>
  <si>
    <t>Column7376</t>
  </si>
  <si>
    <t>Column7377</t>
  </si>
  <si>
    <t>Column7378</t>
  </si>
  <si>
    <t>Column7379</t>
  </si>
  <si>
    <t>Column7380</t>
  </si>
  <si>
    <t>Column7381</t>
  </si>
  <si>
    <t>Column7382</t>
  </si>
  <si>
    <t>Column7383</t>
  </si>
  <si>
    <t>Column7384</t>
  </si>
  <si>
    <t>Column7385</t>
  </si>
  <si>
    <t>Column7386</t>
  </si>
  <si>
    <t>Column7387</t>
  </si>
  <si>
    <t>Column7388</t>
  </si>
  <si>
    <t>Column7389</t>
  </si>
  <si>
    <t>Column7390</t>
  </si>
  <si>
    <t>Column7391</t>
  </si>
  <si>
    <t>Column7392</t>
  </si>
  <si>
    <t>Column7393</t>
  </si>
  <si>
    <t>Column7394</t>
  </si>
  <si>
    <t>Column7395</t>
  </si>
  <si>
    <t>Column7396</t>
  </si>
  <si>
    <t>Column7397</t>
  </si>
  <si>
    <t>Column7398</t>
  </si>
  <si>
    <t>Column7399</t>
  </si>
  <si>
    <t>Column7400</t>
  </si>
  <si>
    <t>Column7401</t>
  </si>
  <si>
    <t>Column7402</t>
  </si>
  <si>
    <t>Column7403</t>
  </si>
  <si>
    <t>Column7404</t>
  </si>
  <si>
    <t>Column7405</t>
  </si>
  <si>
    <t>Column7406</t>
  </si>
  <si>
    <t>Column7407</t>
  </si>
  <si>
    <t>Column7408</t>
  </si>
  <si>
    <t>Column7409</t>
  </si>
  <si>
    <t>Column7410</t>
  </si>
  <si>
    <t>Column7411</t>
  </si>
  <si>
    <t>Column7412</t>
  </si>
  <si>
    <t>Column7413</t>
  </si>
  <si>
    <t>Column7414</t>
  </si>
  <si>
    <t>Column7415</t>
  </si>
  <si>
    <t>Column7416</t>
  </si>
  <si>
    <t>Column7417</t>
  </si>
  <si>
    <t>Column7418</t>
  </si>
  <si>
    <t>Column7419</t>
  </si>
  <si>
    <t>Column7420</t>
  </si>
  <si>
    <t>Column7421</t>
  </si>
  <si>
    <t>Column7422</t>
  </si>
  <si>
    <t>Column7423</t>
  </si>
  <si>
    <t>Column7424</t>
  </si>
  <si>
    <t>Column7425</t>
  </si>
  <si>
    <t>Column7426</t>
  </si>
  <si>
    <t>Column7427</t>
  </si>
  <si>
    <t>Column7428</t>
  </si>
  <si>
    <t>Column7429</t>
  </si>
  <si>
    <t>Column7430</t>
  </si>
  <si>
    <t>Column7431</t>
  </si>
  <si>
    <t>Column7432</t>
  </si>
  <si>
    <t>Column7433</t>
  </si>
  <si>
    <t>Column7434</t>
  </si>
  <si>
    <t>Column7435</t>
  </si>
  <si>
    <t>Column7436</t>
  </si>
  <si>
    <t>Column7437</t>
  </si>
  <si>
    <t>Column7438</t>
  </si>
  <si>
    <t>Column7439</t>
  </si>
  <si>
    <t>Column7440</t>
  </si>
  <si>
    <t>Column7441</t>
  </si>
  <si>
    <t>Column7442</t>
  </si>
  <si>
    <t>Column7443</t>
  </si>
  <si>
    <t>Column7444</t>
  </si>
  <si>
    <t>Column7445</t>
  </si>
  <si>
    <t>Column7446</t>
  </si>
  <si>
    <t>Column7447</t>
  </si>
  <si>
    <t>Column7448</t>
  </si>
  <si>
    <t>Column7449</t>
  </si>
  <si>
    <t>Column7450</t>
  </si>
  <si>
    <t>Column7451</t>
  </si>
  <si>
    <t>Column7452</t>
  </si>
  <si>
    <t>Column7453</t>
  </si>
  <si>
    <t>Column7454</t>
  </si>
  <si>
    <t>Column7455</t>
  </si>
  <si>
    <t>Column7456</t>
  </si>
  <si>
    <t>Column7457</t>
  </si>
  <si>
    <t>Column7458</t>
  </si>
  <si>
    <t>Column7459</t>
  </si>
  <si>
    <t>Column7460</t>
  </si>
  <si>
    <t>Column7461</t>
  </si>
  <si>
    <t>Column7462</t>
  </si>
  <si>
    <t>Column7463</t>
  </si>
  <si>
    <t>Column7464</t>
  </si>
  <si>
    <t>Column7465</t>
  </si>
  <si>
    <t>Column7466</t>
  </si>
  <si>
    <t>Column7467</t>
  </si>
  <si>
    <t>Column7468</t>
  </si>
  <si>
    <t>Column7469</t>
  </si>
  <si>
    <t>Column7470</t>
  </si>
  <si>
    <t>Column7471</t>
  </si>
  <si>
    <t>Column7472</t>
  </si>
  <si>
    <t>Column7473</t>
  </si>
  <si>
    <t>Column7474</t>
  </si>
  <si>
    <t>Column7475</t>
  </si>
  <si>
    <t>Column7476</t>
  </si>
  <si>
    <t>Column7477</t>
  </si>
  <si>
    <t>Column7478</t>
  </si>
  <si>
    <t>Column7479</t>
  </si>
  <si>
    <t>Column7480</t>
  </si>
  <si>
    <t>Column7481</t>
  </si>
  <si>
    <t>Column7482</t>
  </si>
  <si>
    <t>Column7483</t>
  </si>
  <si>
    <t>Column7484</t>
  </si>
  <si>
    <t>Column7485</t>
  </si>
  <si>
    <t>Column7486</t>
  </si>
  <si>
    <t>Column7487</t>
  </si>
  <si>
    <t>Column7488</t>
  </si>
  <si>
    <t>Column7489</t>
  </si>
  <si>
    <t>Column7490</t>
  </si>
  <si>
    <t>Column7491</t>
  </si>
  <si>
    <t>Column7492</t>
  </si>
  <si>
    <t>Column7493</t>
  </si>
  <si>
    <t>Column7494</t>
  </si>
  <si>
    <t>Column7495</t>
  </si>
  <si>
    <t>Column7496</t>
  </si>
  <si>
    <t>Column7497</t>
  </si>
  <si>
    <t>Column7498</t>
  </si>
  <si>
    <t>Column7499</t>
  </si>
  <si>
    <t>Column7500</t>
  </si>
  <si>
    <t>Column7501</t>
  </si>
  <si>
    <t>Column7502</t>
  </si>
  <si>
    <t>Column7503</t>
  </si>
  <si>
    <t>Column7504</t>
  </si>
  <si>
    <t>Column7505</t>
  </si>
  <si>
    <t>Column7506</t>
  </si>
  <si>
    <t>Column7507</t>
  </si>
  <si>
    <t>Column7508</t>
  </si>
  <si>
    <t>Column7509</t>
  </si>
  <si>
    <t>Column7510</t>
  </si>
  <si>
    <t>Column7511</t>
  </si>
  <si>
    <t>Column7512</t>
  </si>
  <si>
    <t>Column7513</t>
  </si>
  <si>
    <t>Column7514</t>
  </si>
  <si>
    <t>Column7515</t>
  </si>
  <si>
    <t>Column7516</t>
  </si>
  <si>
    <t>Column7517</t>
  </si>
  <si>
    <t>Column7518</t>
  </si>
  <si>
    <t>Column7519</t>
  </si>
  <si>
    <t>Column7520</t>
  </si>
  <si>
    <t>Column7521</t>
  </si>
  <si>
    <t>Column7522</t>
  </si>
  <si>
    <t>Column7523</t>
  </si>
  <si>
    <t>Column7524</t>
  </si>
  <si>
    <t>Column7525</t>
  </si>
  <si>
    <t>Column7526</t>
  </si>
  <si>
    <t>Column7527</t>
  </si>
  <si>
    <t>Column7528</t>
  </si>
  <si>
    <t>Column7529</t>
  </si>
  <si>
    <t>Column7530</t>
  </si>
  <si>
    <t>Column7531</t>
  </si>
  <si>
    <t>Column7532</t>
  </si>
  <si>
    <t>Column7533</t>
  </si>
  <si>
    <t>Column7534</t>
  </si>
  <si>
    <t>Column7535</t>
  </si>
  <si>
    <t>Column7536</t>
  </si>
  <si>
    <t>Column7537</t>
  </si>
  <si>
    <t>Column7538</t>
  </si>
  <si>
    <t>Column7539</t>
  </si>
  <si>
    <t>Column7540</t>
  </si>
  <si>
    <t>Column7541</t>
  </si>
  <si>
    <t>Column7542</t>
  </si>
  <si>
    <t>Column7543</t>
  </si>
  <si>
    <t>Column7544</t>
  </si>
  <si>
    <t>Column7545</t>
  </si>
  <si>
    <t>Column7546</t>
  </si>
  <si>
    <t>Column7547</t>
  </si>
  <si>
    <t>Column7548</t>
  </si>
  <si>
    <t>Column7549</t>
  </si>
  <si>
    <t>Column7550</t>
  </si>
  <si>
    <t>Column7551</t>
  </si>
  <si>
    <t>Column7552</t>
  </si>
  <si>
    <t>Column7553</t>
  </si>
  <si>
    <t>Column7554</t>
  </si>
  <si>
    <t>Column7555</t>
  </si>
  <si>
    <t>Column7556</t>
  </si>
  <si>
    <t>Column7557</t>
  </si>
  <si>
    <t>Column7558</t>
  </si>
  <si>
    <t>Column7559</t>
  </si>
  <si>
    <t>Column7560</t>
  </si>
  <si>
    <t>Column7561</t>
  </si>
  <si>
    <t>Column7562</t>
  </si>
  <si>
    <t>Column7563</t>
  </si>
  <si>
    <t>Column7564</t>
  </si>
  <si>
    <t>Column7565</t>
  </si>
  <si>
    <t>Column7566</t>
  </si>
  <si>
    <t>Column7567</t>
  </si>
  <si>
    <t>Column7568</t>
  </si>
  <si>
    <t>Column7569</t>
  </si>
  <si>
    <t>Column7570</t>
  </si>
  <si>
    <t>Column7571</t>
  </si>
  <si>
    <t>Column7572</t>
  </si>
  <si>
    <t>Column7573</t>
  </si>
  <si>
    <t>Column7574</t>
  </si>
  <si>
    <t>Column7575</t>
  </si>
  <si>
    <t>Column7576</t>
  </si>
  <si>
    <t>Column7577</t>
  </si>
  <si>
    <t>Column7578</t>
  </si>
  <si>
    <t>Column7579</t>
  </si>
  <si>
    <t>Column7580</t>
  </si>
  <si>
    <t>Column7581</t>
  </si>
  <si>
    <t>Column7582</t>
  </si>
  <si>
    <t>Column7583</t>
  </si>
  <si>
    <t>Column7584</t>
  </si>
  <si>
    <t>Column7585</t>
  </si>
  <si>
    <t>Column7586</t>
  </si>
  <si>
    <t>Column7587</t>
  </si>
  <si>
    <t>Column7588</t>
  </si>
  <si>
    <t>Column7589</t>
  </si>
  <si>
    <t>Column7590</t>
  </si>
  <si>
    <t>Column7591</t>
  </si>
  <si>
    <t>Column7592</t>
  </si>
  <si>
    <t>Column7593</t>
  </si>
  <si>
    <t>Column7594</t>
  </si>
  <si>
    <t>Column7595</t>
  </si>
  <si>
    <t>Column7596</t>
  </si>
  <si>
    <t>Column7597</t>
  </si>
  <si>
    <t>Column7598</t>
  </si>
  <si>
    <t>Column7599</t>
  </si>
  <si>
    <t>Column7600</t>
  </si>
  <si>
    <t>Column7601</t>
  </si>
  <si>
    <t>Column7602</t>
  </si>
  <si>
    <t>Column7603</t>
  </si>
  <si>
    <t>Column7604</t>
  </si>
  <si>
    <t>Column7605</t>
  </si>
  <si>
    <t>Column7606</t>
  </si>
  <si>
    <t>Column7607</t>
  </si>
  <si>
    <t>Column7608</t>
  </si>
  <si>
    <t>Column7609</t>
  </si>
  <si>
    <t>Column7610</t>
  </si>
  <si>
    <t>Column7611</t>
  </si>
  <si>
    <t>Column7612</t>
  </si>
  <si>
    <t>Column7613</t>
  </si>
  <si>
    <t>Column7614</t>
  </si>
  <si>
    <t>Column7615</t>
  </si>
  <si>
    <t>Column7616</t>
  </si>
  <si>
    <t>Column7617</t>
  </si>
  <si>
    <t>Column7618</t>
  </si>
  <si>
    <t>Column7619</t>
  </si>
  <si>
    <t>Column7620</t>
  </si>
  <si>
    <t>Column7621</t>
  </si>
  <si>
    <t>Column7622</t>
  </si>
  <si>
    <t>Column7623</t>
  </si>
  <si>
    <t>Column7624</t>
  </si>
  <si>
    <t>Column7625</t>
  </si>
  <si>
    <t>Column7626</t>
  </si>
  <si>
    <t>Column7627</t>
  </si>
  <si>
    <t>Column7628</t>
  </si>
  <si>
    <t>Column7629</t>
  </si>
  <si>
    <t>Column7630</t>
  </si>
  <si>
    <t>Column7631</t>
  </si>
  <si>
    <t>Column7632</t>
  </si>
  <si>
    <t>Column7633</t>
  </si>
  <si>
    <t>Column7634</t>
  </si>
  <si>
    <t>Column7635</t>
  </si>
  <si>
    <t>Column7636</t>
  </si>
  <si>
    <t>Column7637</t>
  </si>
  <si>
    <t>Column7638</t>
  </si>
  <si>
    <t>Column7639</t>
  </si>
  <si>
    <t>Column7640</t>
  </si>
  <si>
    <t>Column7641</t>
  </si>
  <si>
    <t>Column7642</t>
  </si>
  <si>
    <t>Column7643</t>
  </si>
  <si>
    <t>Column7644</t>
  </si>
  <si>
    <t>Column7645</t>
  </si>
  <si>
    <t>Column7646</t>
  </si>
  <si>
    <t>Column7647</t>
  </si>
  <si>
    <t>Column7648</t>
  </si>
  <si>
    <t>Column7649</t>
  </si>
  <si>
    <t>Column7650</t>
  </si>
  <si>
    <t>Column7651</t>
  </si>
  <si>
    <t>Column7652</t>
  </si>
  <si>
    <t>Column7653</t>
  </si>
  <si>
    <t>Column7654</t>
  </si>
  <si>
    <t>Column7655</t>
  </si>
  <si>
    <t>Column7656</t>
  </si>
  <si>
    <t>Column7657</t>
  </si>
  <si>
    <t>Column7658</t>
  </si>
  <si>
    <t>Column7659</t>
  </si>
  <si>
    <t>Column7660</t>
  </si>
  <si>
    <t>Column7661</t>
  </si>
  <si>
    <t>Column7662</t>
  </si>
  <si>
    <t>Column7663</t>
  </si>
  <si>
    <t>Column7664</t>
  </si>
  <si>
    <t>Column7665</t>
  </si>
  <si>
    <t>Column7666</t>
  </si>
  <si>
    <t>Column7667</t>
  </si>
  <si>
    <t>Column7668</t>
  </si>
  <si>
    <t>Column7669</t>
  </si>
  <si>
    <t>Column7670</t>
  </si>
  <si>
    <t>Column7671</t>
  </si>
  <si>
    <t>Column7672</t>
  </si>
  <si>
    <t>Column7673</t>
  </si>
  <si>
    <t>Column7674</t>
  </si>
  <si>
    <t>Column7675</t>
  </si>
  <si>
    <t>Column7676</t>
  </si>
  <si>
    <t>Column7677</t>
  </si>
  <si>
    <t>Column7678</t>
  </si>
  <si>
    <t>Column7679</t>
  </si>
  <si>
    <t>Column7680</t>
  </si>
  <si>
    <t>Column7681</t>
  </si>
  <si>
    <t>Column7682</t>
  </si>
  <si>
    <t>Column7683</t>
  </si>
  <si>
    <t>Column7684</t>
  </si>
  <si>
    <t>Column7685</t>
  </si>
  <si>
    <t>Column7686</t>
  </si>
  <si>
    <t>Column7687</t>
  </si>
  <si>
    <t>Column7688</t>
  </si>
  <si>
    <t>Column7689</t>
  </si>
  <si>
    <t>Column7690</t>
  </si>
  <si>
    <t>Column7691</t>
  </si>
  <si>
    <t>Column7692</t>
  </si>
  <si>
    <t>Column7693</t>
  </si>
  <si>
    <t>Column7694</t>
  </si>
  <si>
    <t>Column7695</t>
  </si>
  <si>
    <t>Column7696</t>
  </si>
  <si>
    <t>Column7697</t>
  </si>
  <si>
    <t>Column7698</t>
  </si>
  <si>
    <t>Column7699</t>
  </si>
  <si>
    <t>Column7700</t>
  </si>
  <si>
    <t>Column7701</t>
  </si>
  <si>
    <t>Column7702</t>
  </si>
  <si>
    <t>Column7703</t>
  </si>
  <si>
    <t>Column7704</t>
  </si>
  <si>
    <t>Column7705</t>
  </si>
  <si>
    <t>Column7706</t>
  </si>
  <si>
    <t>Column7707</t>
  </si>
  <si>
    <t>Column7708</t>
  </si>
  <si>
    <t>Column7709</t>
  </si>
  <si>
    <t>Column7710</t>
  </si>
  <si>
    <t>Column7711</t>
  </si>
  <si>
    <t>Column7712</t>
  </si>
  <si>
    <t>Column7713</t>
  </si>
  <si>
    <t>Column7714</t>
  </si>
  <si>
    <t>Column7715</t>
  </si>
  <si>
    <t>Column7716</t>
  </si>
  <si>
    <t>Column7717</t>
  </si>
  <si>
    <t>Column7718</t>
  </si>
  <si>
    <t>Column7719</t>
  </si>
  <si>
    <t>Column7720</t>
  </si>
  <si>
    <t>Column7721</t>
  </si>
  <si>
    <t>Column7722</t>
  </si>
  <si>
    <t>Column7723</t>
  </si>
  <si>
    <t>Column7724</t>
  </si>
  <si>
    <t>Column7725</t>
  </si>
  <si>
    <t>Column7726</t>
  </si>
  <si>
    <t>Column7727</t>
  </si>
  <si>
    <t>Column7728</t>
  </si>
  <si>
    <t>Column7729</t>
  </si>
  <si>
    <t>Column7730</t>
  </si>
  <si>
    <t>Column7731</t>
  </si>
  <si>
    <t>Column7732</t>
  </si>
  <si>
    <t>Column7733</t>
  </si>
  <si>
    <t>Column7734</t>
  </si>
  <si>
    <t>Column7735</t>
  </si>
  <si>
    <t>Column7736</t>
  </si>
  <si>
    <t>Column7737</t>
  </si>
  <si>
    <t>Column7738</t>
  </si>
  <si>
    <t>Column7739</t>
  </si>
  <si>
    <t>Column7740</t>
  </si>
  <si>
    <t>Column7741</t>
  </si>
  <si>
    <t>Column7742</t>
  </si>
  <si>
    <t>Column7743</t>
  </si>
  <si>
    <t>Column7744</t>
  </si>
  <si>
    <t>Column7745</t>
  </si>
  <si>
    <t>Column7746</t>
  </si>
  <si>
    <t>Column7747</t>
  </si>
  <si>
    <t>Column7748</t>
  </si>
  <si>
    <t>Column7749</t>
  </si>
  <si>
    <t>Column7750</t>
  </si>
  <si>
    <t>Column7751</t>
  </si>
  <si>
    <t>Column7752</t>
  </si>
  <si>
    <t>Column7753</t>
  </si>
  <si>
    <t>Column7754</t>
  </si>
  <si>
    <t>Column7755</t>
  </si>
  <si>
    <t>Column7756</t>
  </si>
  <si>
    <t>Column7757</t>
  </si>
  <si>
    <t>Column7758</t>
  </si>
  <si>
    <t>Column7759</t>
  </si>
  <si>
    <t>Column7760</t>
  </si>
  <si>
    <t>Column7761</t>
  </si>
  <si>
    <t>Column7762</t>
  </si>
  <si>
    <t>Column7763</t>
  </si>
  <si>
    <t>Column7764</t>
  </si>
  <si>
    <t>Column7765</t>
  </si>
  <si>
    <t>Column7766</t>
  </si>
  <si>
    <t>Column7767</t>
  </si>
  <si>
    <t>Column7768</t>
  </si>
  <si>
    <t>Column7769</t>
  </si>
  <si>
    <t>Column7770</t>
  </si>
  <si>
    <t>Column7771</t>
  </si>
  <si>
    <t>Column7772</t>
  </si>
  <si>
    <t>Column7773</t>
  </si>
  <si>
    <t>Column7774</t>
  </si>
  <si>
    <t>Column7775</t>
  </si>
  <si>
    <t>Column7776</t>
  </si>
  <si>
    <t>Column7777</t>
  </si>
  <si>
    <t>Column7778</t>
  </si>
  <si>
    <t>Column7779</t>
  </si>
  <si>
    <t>Column7780</t>
  </si>
  <si>
    <t>Column7781</t>
  </si>
  <si>
    <t>Column7782</t>
  </si>
  <si>
    <t>Column7783</t>
  </si>
  <si>
    <t>Column7784</t>
  </si>
  <si>
    <t>Column7785</t>
  </si>
  <si>
    <t>Column7786</t>
  </si>
  <si>
    <t>Column7787</t>
  </si>
  <si>
    <t>Column7788</t>
  </si>
  <si>
    <t>Column7789</t>
  </si>
  <si>
    <t>Column7790</t>
  </si>
  <si>
    <t>Column7791</t>
  </si>
  <si>
    <t>Column7792</t>
  </si>
  <si>
    <t>Column7793</t>
  </si>
  <si>
    <t>Column7794</t>
  </si>
  <si>
    <t>Column7795</t>
  </si>
  <si>
    <t>Column7796</t>
  </si>
  <si>
    <t>Column7797</t>
  </si>
  <si>
    <t>Column7798</t>
  </si>
  <si>
    <t>Column7799</t>
  </si>
  <si>
    <t>Column7800</t>
  </si>
  <si>
    <t>Column7801</t>
  </si>
  <si>
    <t>Column7802</t>
  </si>
  <si>
    <t>Column7803</t>
  </si>
  <si>
    <t>Column7804</t>
  </si>
  <si>
    <t>Column7805</t>
  </si>
  <si>
    <t>Column7806</t>
  </si>
  <si>
    <t>Column7807</t>
  </si>
  <si>
    <t>Column7808</t>
  </si>
  <si>
    <t>Column7809</t>
  </si>
  <si>
    <t>Column7810</t>
  </si>
  <si>
    <t>Column7811</t>
  </si>
  <si>
    <t>Column7812</t>
  </si>
  <si>
    <t>Column7813</t>
  </si>
  <si>
    <t>Column7814</t>
  </si>
  <si>
    <t>Column7815</t>
  </si>
  <si>
    <t>Column7816</t>
  </si>
  <si>
    <t>Column7817</t>
  </si>
  <si>
    <t>Column7818</t>
  </si>
  <si>
    <t>Column7819</t>
  </si>
  <si>
    <t>Column7820</t>
  </si>
  <si>
    <t>Column7821</t>
  </si>
  <si>
    <t>Column7822</t>
  </si>
  <si>
    <t>Column7823</t>
  </si>
  <si>
    <t>Column7824</t>
  </si>
  <si>
    <t>Column7825</t>
  </si>
  <si>
    <t>Column7826</t>
  </si>
  <si>
    <t>Column7827</t>
  </si>
  <si>
    <t>Column7828</t>
  </si>
  <si>
    <t>Column7829</t>
  </si>
  <si>
    <t>Column7830</t>
  </si>
  <si>
    <t>Column7831</t>
  </si>
  <si>
    <t>Column7832</t>
  </si>
  <si>
    <t>Column7833</t>
  </si>
  <si>
    <t>Column7834</t>
  </si>
  <si>
    <t>Column7835</t>
  </si>
  <si>
    <t>Column7836</t>
  </si>
  <si>
    <t>Column7837</t>
  </si>
  <si>
    <t>Column7838</t>
  </si>
  <si>
    <t>Column7839</t>
  </si>
  <si>
    <t>Column7840</t>
  </si>
  <si>
    <t>Column7841</t>
  </si>
  <si>
    <t>Column7842</t>
  </si>
  <si>
    <t>Column7843</t>
  </si>
  <si>
    <t>Column7844</t>
  </si>
  <si>
    <t>Column7845</t>
  </si>
  <si>
    <t>Column7846</t>
  </si>
  <si>
    <t>Column7847</t>
  </si>
  <si>
    <t>Column7848</t>
  </si>
  <si>
    <t>Column7849</t>
  </si>
  <si>
    <t>Column7850</t>
  </si>
  <si>
    <t>Column7851</t>
  </si>
  <si>
    <t>Column7852</t>
  </si>
  <si>
    <t>Column7853</t>
  </si>
  <si>
    <t>Column7854</t>
  </si>
  <si>
    <t>Column7855</t>
  </si>
  <si>
    <t>Column7856</t>
  </si>
  <si>
    <t>Column7857</t>
  </si>
  <si>
    <t>Column7858</t>
  </si>
  <si>
    <t>Column7859</t>
  </si>
  <si>
    <t>Column7860</t>
  </si>
  <si>
    <t>Column7861</t>
  </si>
  <si>
    <t>Column7862</t>
  </si>
  <si>
    <t>Column7863</t>
  </si>
  <si>
    <t>Column7864</t>
  </si>
  <si>
    <t>Column7865</t>
  </si>
  <si>
    <t>Column7866</t>
  </si>
  <si>
    <t>Column7867</t>
  </si>
  <si>
    <t>Column7868</t>
  </si>
  <si>
    <t>Column7869</t>
  </si>
  <si>
    <t>Column7870</t>
  </si>
  <si>
    <t>Column7871</t>
  </si>
  <si>
    <t>Column7872</t>
  </si>
  <si>
    <t>Column7873</t>
  </si>
  <si>
    <t>Column7874</t>
  </si>
  <si>
    <t>Column7875</t>
  </si>
  <si>
    <t>Column7876</t>
  </si>
  <si>
    <t>Column7877</t>
  </si>
  <si>
    <t>Column7878</t>
  </si>
  <si>
    <t>Column7879</t>
  </si>
  <si>
    <t>Column7880</t>
  </si>
  <si>
    <t>Column7881</t>
  </si>
  <si>
    <t>Column7882</t>
  </si>
  <si>
    <t>Column7883</t>
  </si>
  <si>
    <t>Column7884</t>
  </si>
  <si>
    <t>Column7885</t>
  </si>
  <si>
    <t>Column7886</t>
  </si>
  <si>
    <t>Column7887</t>
  </si>
  <si>
    <t>Column7888</t>
  </si>
  <si>
    <t>Column7889</t>
  </si>
  <si>
    <t>Column7890</t>
  </si>
  <si>
    <t>Column7891</t>
  </si>
  <si>
    <t>Column7892</t>
  </si>
  <si>
    <t>Column7893</t>
  </si>
  <si>
    <t>Column7894</t>
  </si>
  <si>
    <t>Column7895</t>
  </si>
  <si>
    <t>Column7896</t>
  </si>
  <si>
    <t>Column7897</t>
  </si>
  <si>
    <t>Column7898</t>
  </si>
  <si>
    <t>Column7899</t>
  </si>
  <si>
    <t>Column7900</t>
  </si>
  <si>
    <t>Column7901</t>
  </si>
  <si>
    <t>Column7902</t>
  </si>
  <si>
    <t>Column7903</t>
  </si>
  <si>
    <t>Column7904</t>
  </si>
  <si>
    <t>Column7905</t>
  </si>
  <si>
    <t>Column7906</t>
  </si>
  <si>
    <t>Column7907</t>
  </si>
  <si>
    <t>Column7908</t>
  </si>
  <si>
    <t>Column7909</t>
  </si>
  <si>
    <t>Column7910</t>
  </si>
  <si>
    <t>Column7911</t>
  </si>
  <si>
    <t>Column7912</t>
  </si>
  <si>
    <t>Column7913</t>
  </si>
  <si>
    <t>Column7914</t>
  </si>
  <si>
    <t>Column7915</t>
  </si>
  <si>
    <t>Column7916</t>
  </si>
  <si>
    <t>Column7917</t>
  </si>
  <si>
    <t>Column7918</t>
  </si>
  <si>
    <t>Column7919</t>
  </si>
  <si>
    <t>Column7920</t>
  </si>
  <si>
    <t>Column7921</t>
  </si>
  <si>
    <t>Column7922</t>
  </si>
  <si>
    <t>Column7923</t>
  </si>
  <si>
    <t>Column7924</t>
  </si>
  <si>
    <t>Column7925</t>
  </si>
  <si>
    <t>Column7926</t>
  </si>
  <si>
    <t>Column7927</t>
  </si>
  <si>
    <t>Column7928</t>
  </si>
  <si>
    <t>Column7929</t>
  </si>
  <si>
    <t>Column7930</t>
  </si>
  <si>
    <t>Column7931</t>
  </si>
  <si>
    <t>Column7932</t>
  </si>
  <si>
    <t>Column7933</t>
  </si>
  <si>
    <t>Column7934</t>
  </si>
  <si>
    <t>Column7935</t>
  </si>
  <si>
    <t>Column7936</t>
  </si>
  <si>
    <t>Column7937</t>
  </si>
  <si>
    <t>Column7938</t>
  </si>
  <si>
    <t>Column7939</t>
  </si>
  <si>
    <t>Column7940</t>
  </si>
  <si>
    <t>Column7941</t>
  </si>
  <si>
    <t>Column7942</t>
  </si>
  <si>
    <t>Column7943</t>
  </si>
  <si>
    <t>Column7944</t>
  </si>
  <si>
    <t>Column7945</t>
  </si>
  <si>
    <t>Column7946</t>
  </si>
  <si>
    <t>Column7947</t>
  </si>
  <si>
    <t>Column7948</t>
  </si>
  <si>
    <t>Column7949</t>
  </si>
  <si>
    <t>Column7950</t>
  </si>
  <si>
    <t>Column7951</t>
  </si>
  <si>
    <t>Column7952</t>
  </si>
  <si>
    <t>Column7953</t>
  </si>
  <si>
    <t>Column7954</t>
  </si>
  <si>
    <t>Column7955</t>
  </si>
  <si>
    <t>Column7956</t>
  </si>
  <si>
    <t>Column7957</t>
  </si>
  <si>
    <t>Column7958</t>
  </si>
  <si>
    <t>Column7959</t>
  </si>
  <si>
    <t>Column7960</t>
  </si>
  <si>
    <t>Column7961</t>
  </si>
  <si>
    <t>Column7962</t>
  </si>
  <si>
    <t>Column7963</t>
  </si>
  <si>
    <t>Column7964</t>
  </si>
  <si>
    <t>Column7965</t>
  </si>
  <si>
    <t>Column7966</t>
  </si>
  <si>
    <t>Column7967</t>
  </si>
  <si>
    <t>Column7968</t>
  </si>
  <si>
    <t>Column7969</t>
  </si>
  <si>
    <t>Column7970</t>
  </si>
  <si>
    <t>Column7971</t>
  </si>
  <si>
    <t>Column7972</t>
  </si>
  <si>
    <t>Column7973</t>
  </si>
  <si>
    <t>Column7974</t>
  </si>
  <si>
    <t>Column7975</t>
  </si>
  <si>
    <t>Column7976</t>
  </si>
  <si>
    <t>Column7977</t>
  </si>
  <si>
    <t>Column7978</t>
  </si>
  <si>
    <t>Column7979</t>
  </si>
  <si>
    <t>Column7980</t>
  </si>
  <si>
    <t>Column7981</t>
  </si>
  <si>
    <t>Column7982</t>
  </si>
  <si>
    <t>Column7983</t>
  </si>
  <si>
    <t>Column7984</t>
  </si>
  <si>
    <t>Column7985</t>
  </si>
  <si>
    <t>Column7986</t>
  </si>
  <si>
    <t>Column7987</t>
  </si>
  <si>
    <t>Column7988</t>
  </si>
  <si>
    <t>Column7989</t>
  </si>
  <si>
    <t>Column7990</t>
  </si>
  <si>
    <t>Column7991</t>
  </si>
  <si>
    <t>Column7992</t>
  </si>
  <si>
    <t>Column7993</t>
  </si>
  <si>
    <t>Column7994</t>
  </si>
  <si>
    <t>Column7995</t>
  </si>
  <si>
    <t>Column7996</t>
  </si>
  <si>
    <t>Column7997</t>
  </si>
  <si>
    <t>Column7998</t>
  </si>
  <si>
    <t>Column7999</t>
  </si>
  <si>
    <t>Column8000</t>
  </si>
  <si>
    <t>Column8001</t>
  </si>
  <si>
    <t>Column8002</t>
  </si>
  <si>
    <t>Column8003</t>
  </si>
  <si>
    <t>Column8004</t>
  </si>
  <si>
    <t>Column8005</t>
  </si>
  <si>
    <t>Column8006</t>
  </si>
  <si>
    <t>Column8007</t>
  </si>
  <si>
    <t>Column8008</t>
  </si>
  <si>
    <t>Column8009</t>
  </si>
  <si>
    <t>Column8010</t>
  </si>
  <si>
    <t>Column8011</t>
  </si>
  <si>
    <t>Column8012</t>
  </si>
  <si>
    <t>Column8013</t>
  </si>
  <si>
    <t>Column8014</t>
  </si>
  <si>
    <t>Column8015</t>
  </si>
  <si>
    <t>Column8016</t>
  </si>
  <si>
    <t>Column8017</t>
  </si>
  <si>
    <t>Column8018</t>
  </si>
  <si>
    <t>Column8019</t>
  </si>
  <si>
    <t>Column8020</t>
  </si>
  <si>
    <t>Column8021</t>
  </si>
  <si>
    <t>Column8022</t>
  </si>
  <si>
    <t>Column8023</t>
  </si>
  <si>
    <t>Column8024</t>
  </si>
  <si>
    <t>Column8025</t>
  </si>
  <si>
    <t>Column8026</t>
  </si>
  <si>
    <t>Column8027</t>
  </si>
  <si>
    <t>Column8028</t>
  </si>
  <si>
    <t>Column8029</t>
  </si>
  <si>
    <t>Column8030</t>
  </si>
  <si>
    <t>Column8031</t>
  </si>
  <si>
    <t>Column8032</t>
  </si>
  <si>
    <t>Column8033</t>
  </si>
  <si>
    <t>Column8034</t>
  </si>
  <si>
    <t>Column8035</t>
  </si>
  <si>
    <t>Column8036</t>
  </si>
  <si>
    <t>Column8037</t>
  </si>
  <si>
    <t>Column8038</t>
  </si>
  <si>
    <t>Column8039</t>
  </si>
  <si>
    <t>Column8040</t>
  </si>
  <si>
    <t>Column8041</t>
  </si>
  <si>
    <t>Column8042</t>
  </si>
  <si>
    <t>Column8043</t>
  </si>
  <si>
    <t>Column8044</t>
  </si>
  <si>
    <t>Column8045</t>
  </si>
  <si>
    <t>Column8046</t>
  </si>
  <si>
    <t>Column8047</t>
  </si>
  <si>
    <t>Column8048</t>
  </si>
  <si>
    <t>Column8049</t>
  </si>
  <si>
    <t>Column8050</t>
  </si>
  <si>
    <t>Column8051</t>
  </si>
  <si>
    <t>Column8052</t>
  </si>
  <si>
    <t>Column8053</t>
  </si>
  <si>
    <t>Column8054</t>
  </si>
  <si>
    <t>Column8055</t>
  </si>
  <si>
    <t>Column8056</t>
  </si>
  <si>
    <t>Column8057</t>
  </si>
  <si>
    <t>Column8058</t>
  </si>
  <si>
    <t>Column8059</t>
  </si>
  <si>
    <t>Column8060</t>
  </si>
  <si>
    <t>Column8061</t>
  </si>
  <si>
    <t>Column8062</t>
  </si>
  <si>
    <t>Column8063</t>
  </si>
  <si>
    <t>Column8064</t>
  </si>
  <si>
    <t>Column8065</t>
  </si>
  <si>
    <t>Column8066</t>
  </si>
  <si>
    <t>Column8067</t>
  </si>
  <si>
    <t>Column8068</t>
  </si>
  <si>
    <t>Column8069</t>
  </si>
  <si>
    <t>Column8070</t>
  </si>
  <si>
    <t>Column8071</t>
  </si>
  <si>
    <t>Column8072</t>
  </si>
  <si>
    <t>Column8073</t>
  </si>
  <si>
    <t>Column8074</t>
  </si>
  <si>
    <t>Column8075</t>
  </si>
  <si>
    <t>Column8076</t>
  </si>
  <si>
    <t>Column8077</t>
  </si>
  <si>
    <t>Column8078</t>
  </si>
  <si>
    <t>Column8079</t>
  </si>
  <si>
    <t>Column8080</t>
  </si>
  <si>
    <t>Column8081</t>
  </si>
  <si>
    <t>Column8082</t>
  </si>
  <si>
    <t>Column8083</t>
  </si>
  <si>
    <t>Column8084</t>
  </si>
  <si>
    <t>Column8085</t>
  </si>
  <si>
    <t>Column8086</t>
  </si>
  <si>
    <t>Column8087</t>
  </si>
  <si>
    <t>Column8088</t>
  </si>
  <si>
    <t>Column8089</t>
  </si>
  <si>
    <t>Column8090</t>
  </si>
  <si>
    <t>Column8091</t>
  </si>
  <si>
    <t>Column8092</t>
  </si>
  <si>
    <t>Column8093</t>
  </si>
  <si>
    <t>Column8094</t>
  </si>
  <si>
    <t>Column8095</t>
  </si>
  <si>
    <t>Column8096</t>
  </si>
  <si>
    <t>Column8097</t>
  </si>
  <si>
    <t>Column8098</t>
  </si>
  <si>
    <t>Column8099</t>
  </si>
  <si>
    <t>Column8100</t>
  </si>
  <si>
    <t>Column8101</t>
  </si>
  <si>
    <t>Column8102</t>
  </si>
  <si>
    <t>Column8103</t>
  </si>
  <si>
    <t>Column8104</t>
  </si>
  <si>
    <t>Column8105</t>
  </si>
  <si>
    <t>Column8106</t>
  </si>
  <si>
    <t>Column8107</t>
  </si>
  <si>
    <t>Column8108</t>
  </si>
  <si>
    <t>Column8109</t>
  </si>
  <si>
    <t>Column8110</t>
  </si>
  <si>
    <t>Column8111</t>
  </si>
  <si>
    <t>Column8112</t>
  </si>
  <si>
    <t>Column8113</t>
  </si>
  <si>
    <t>Column8114</t>
  </si>
  <si>
    <t>Column8115</t>
  </si>
  <si>
    <t>Column8116</t>
  </si>
  <si>
    <t>Column8117</t>
  </si>
  <si>
    <t>Column8118</t>
  </si>
  <si>
    <t>Column8119</t>
  </si>
  <si>
    <t>Column8120</t>
  </si>
  <si>
    <t>Column8121</t>
  </si>
  <si>
    <t>Column8122</t>
  </si>
  <si>
    <t>Column8123</t>
  </si>
  <si>
    <t>Column8124</t>
  </si>
  <si>
    <t>Column8125</t>
  </si>
  <si>
    <t>Column8126</t>
  </si>
  <si>
    <t>Column8127</t>
  </si>
  <si>
    <t>Column8128</t>
  </si>
  <si>
    <t>Column8129</t>
  </si>
  <si>
    <t>Column8130</t>
  </si>
  <si>
    <t>Column8131</t>
  </si>
  <si>
    <t>Column8132</t>
  </si>
  <si>
    <t>Column8133</t>
  </si>
  <si>
    <t>Column8134</t>
  </si>
  <si>
    <t>Column8135</t>
  </si>
  <si>
    <t>Column8136</t>
  </si>
  <si>
    <t>Column8137</t>
  </si>
  <si>
    <t>Column8138</t>
  </si>
  <si>
    <t>Column8139</t>
  </si>
  <si>
    <t>Column8140</t>
  </si>
  <si>
    <t>Column8141</t>
  </si>
  <si>
    <t>Column8142</t>
  </si>
  <si>
    <t>Column8143</t>
  </si>
  <si>
    <t>Column8144</t>
  </si>
  <si>
    <t>Column8145</t>
  </si>
  <si>
    <t>Column8146</t>
  </si>
  <si>
    <t>Column8147</t>
  </si>
  <si>
    <t>Column8148</t>
  </si>
  <si>
    <t>Column8149</t>
  </si>
  <si>
    <t>Column8150</t>
  </si>
  <si>
    <t>Column8151</t>
  </si>
  <si>
    <t>Column8152</t>
  </si>
  <si>
    <t>Column8153</t>
  </si>
  <si>
    <t>Column8154</t>
  </si>
  <si>
    <t>Column8155</t>
  </si>
  <si>
    <t>Column8156</t>
  </si>
  <si>
    <t>Column8157</t>
  </si>
  <si>
    <t>Column8158</t>
  </si>
  <si>
    <t>Column8159</t>
  </si>
  <si>
    <t>Column8160</t>
  </si>
  <si>
    <t>Column8161</t>
  </si>
  <si>
    <t>Column8162</t>
  </si>
  <si>
    <t>Column8163</t>
  </si>
  <si>
    <t>Column8164</t>
  </si>
  <si>
    <t>Column8165</t>
  </si>
  <si>
    <t>Column8166</t>
  </si>
  <si>
    <t>Column8167</t>
  </si>
  <si>
    <t>Column8168</t>
  </si>
  <si>
    <t>Column8169</t>
  </si>
  <si>
    <t>Column8170</t>
  </si>
  <si>
    <t>Column8171</t>
  </si>
  <si>
    <t>Column8172</t>
  </si>
  <si>
    <t>Column8173</t>
  </si>
  <si>
    <t>Column8174</t>
  </si>
  <si>
    <t>Column8175</t>
  </si>
  <si>
    <t>Column8176</t>
  </si>
  <si>
    <t>Column8177</t>
  </si>
  <si>
    <t>Column8178</t>
  </si>
  <si>
    <t>Column8179</t>
  </si>
  <si>
    <t>Column8180</t>
  </si>
  <si>
    <t>Column8181</t>
  </si>
  <si>
    <t>Column8182</t>
  </si>
  <si>
    <t>Column8183</t>
  </si>
  <si>
    <t>Column8184</t>
  </si>
  <si>
    <t>Column8185</t>
  </si>
  <si>
    <t>Column8186</t>
  </si>
  <si>
    <t>Column8187</t>
  </si>
  <si>
    <t>Column8188</t>
  </si>
  <si>
    <t>Column8189</t>
  </si>
  <si>
    <t>Column8190</t>
  </si>
  <si>
    <t>Column8191</t>
  </si>
  <si>
    <t>Column8192</t>
  </si>
  <si>
    <t>Column8193</t>
  </si>
  <si>
    <t>Column8194</t>
  </si>
  <si>
    <t>Column8195</t>
  </si>
  <si>
    <t>Column8196</t>
  </si>
  <si>
    <t>Column8197</t>
  </si>
  <si>
    <t>Column8198</t>
  </si>
  <si>
    <t>Column8199</t>
  </si>
  <si>
    <t>Column8200</t>
  </si>
  <si>
    <t>Column8201</t>
  </si>
  <si>
    <t>Column8202</t>
  </si>
  <si>
    <t>Column8203</t>
  </si>
  <si>
    <t>Column8204</t>
  </si>
  <si>
    <t>Column8205</t>
  </si>
  <si>
    <t>Column8206</t>
  </si>
  <si>
    <t>Column8207</t>
  </si>
  <si>
    <t>Column8208</t>
  </si>
  <si>
    <t>Column8209</t>
  </si>
  <si>
    <t>Column8210</t>
  </si>
  <si>
    <t>Column8211</t>
  </si>
  <si>
    <t>Column8212</t>
  </si>
  <si>
    <t>Column8213</t>
  </si>
  <si>
    <t>Column8214</t>
  </si>
  <si>
    <t>Column8215</t>
  </si>
  <si>
    <t>Column8216</t>
  </si>
  <si>
    <t>Column8217</t>
  </si>
  <si>
    <t>Column8218</t>
  </si>
  <si>
    <t>Column8219</t>
  </si>
  <si>
    <t>Column8220</t>
  </si>
  <si>
    <t>Column8221</t>
  </si>
  <si>
    <t>Column8222</t>
  </si>
  <si>
    <t>Column8223</t>
  </si>
  <si>
    <t>Column8224</t>
  </si>
  <si>
    <t>Column8225</t>
  </si>
  <si>
    <t>Column8226</t>
  </si>
  <si>
    <t>Column8227</t>
  </si>
  <si>
    <t>Column8228</t>
  </si>
  <si>
    <t>Column8229</t>
  </si>
  <si>
    <t>Column8230</t>
  </si>
  <si>
    <t>Column8231</t>
  </si>
  <si>
    <t>Column8232</t>
  </si>
  <si>
    <t>Column8233</t>
  </si>
  <si>
    <t>Column8234</t>
  </si>
  <si>
    <t>Column8235</t>
  </si>
  <si>
    <t>Column8236</t>
  </si>
  <si>
    <t>Column8237</t>
  </si>
  <si>
    <t>Column8238</t>
  </si>
  <si>
    <t>Column8239</t>
  </si>
  <si>
    <t>Column8240</t>
  </si>
  <si>
    <t>Column8241</t>
  </si>
  <si>
    <t>Column8242</t>
  </si>
  <si>
    <t>Column8243</t>
  </si>
  <si>
    <t>Column8244</t>
  </si>
  <si>
    <t>Column8245</t>
  </si>
  <si>
    <t>Column8246</t>
  </si>
  <si>
    <t>Column8247</t>
  </si>
  <si>
    <t>Column8248</t>
  </si>
  <si>
    <t>Column8249</t>
  </si>
  <si>
    <t>Column8250</t>
  </si>
  <si>
    <t>Column8251</t>
  </si>
  <si>
    <t>Column8252</t>
  </si>
  <si>
    <t>Column8253</t>
  </si>
  <si>
    <t>Column8254</t>
  </si>
  <si>
    <t>Column8255</t>
  </si>
  <si>
    <t>Column8256</t>
  </si>
  <si>
    <t>Column8257</t>
  </si>
  <si>
    <t>Column8258</t>
  </si>
  <si>
    <t>Column8259</t>
  </si>
  <si>
    <t>Column8260</t>
  </si>
  <si>
    <t>Column8261</t>
  </si>
  <si>
    <t>Column8262</t>
  </si>
  <si>
    <t>Column8263</t>
  </si>
  <si>
    <t>Column8264</t>
  </si>
  <si>
    <t>Column8265</t>
  </si>
  <si>
    <t>Column8266</t>
  </si>
  <si>
    <t>Column8267</t>
  </si>
  <si>
    <t>Column8268</t>
  </si>
  <si>
    <t>Column8269</t>
  </si>
  <si>
    <t>Column8270</t>
  </si>
  <si>
    <t>Column8271</t>
  </si>
  <si>
    <t>Column8272</t>
  </si>
  <si>
    <t>Column8273</t>
  </si>
  <si>
    <t>Column8274</t>
  </si>
  <si>
    <t>Column8275</t>
  </si>
  <si>
    <t>Column8276</t>
  </si>
  <si>
    <t>Column8277</t>
  </si>
  <si>
    <t>Column8278</t>
  </si>
  <si>
    <t>Column8279</t>
  </si>
  <si>
    <t>Column8280</t>
  </si>
  <si>
    <t>Column8281</t>
  </si>
  <si>
    <t>Column8282</t>
  </si>
  <si>
    <t>Column8283</t>
  </si>
  <si>
    <t>Column8284</t>
  </si>
  <si>
    <t>Column8285</t>
  </si>
  <si>
    <t>Column8286</t>
  </si>
  <si>
    <t>Column8287</t>
  </si>
  <si>
    <t>Column8288</t>
  </si>
  <si>
    <t>Column8289</t>
  </si>
  <si>
    <t>Column8290</t>
  </si>
  <si>
    <t>Column8291</t>
  </si>
  <si>
    <t>Column8292</t>
  </si>
  <si>
    <t>Column8293</t>
  </si>
  <si>
    <t>Column8294</t>
  </si>
  <si>
    <t>Column8295</t>
  </si>
  <si>
    <t>Column8296</t>
  </si>
  <si>
    <t>Column8297</t>
  </si>
  <si>
    <t>Column8298</t>
  </si>
  <si>
    <t>Column8299</t>
  </si>
  <si>
    <t>Column8300</t>
  </si>
  <si>
    <t>Column8301</t>
  </si>
  <si>
    <t>Column8302</t>
  </si>
  <si>
    <t>Column8303</t>
  </si>
  <si>
    <t>Column8304</t>
  </si>
  <si>
    <t>Column8305</t>
  </si>
  <si>
    <t>Column8306</t>
  </si>
  <si>
    <t>Column8307</t>
  </si>
  <si>
    <t>Column8308</t>
  </si>
  <si>
    <t>Column8309</t>
  </si>
  <si>
    <t>Column8310</t>
  </si>
  <si>
    <t>Column8311</t>
  </si>
  <si>
    <t>Column8312</t>
  </si>
  <si>
    <t>Column8313</t>
  </si>
  <si>
    <t>Column8314</t>
  </si>
  <si>
    <t>Column8315</t>
  </si>
  <si>
    <t>Column8316</t>
  </si>
  <si>
    <t>Column8317</t>
  </si>
  <si>
    <t>Column8318</t>
  </si>
  <si>
    <t>Column8319</t>
  </si>
  <si>
    <t>Column8320</t>
  </si>
  <si>
    <t>Column8321</t>
  </si>
  <si>
    <t>Column8322</t>
  </si>
  <si>
    <t>Column8323</t>
  </si>
  <si>
    <t>Column8324</t>
  </si>
  <si>
    <t>Column8325</t>
  </si>
  <si>
    <t>Column8326</t>
  </si>
  <si>
    <t>Column8327</t>
  </si>
  <si>
    <t>Column8328</t>
  </si>
  <si>
    <t>Column8329</t>
  </si>
  <si>
    <t>Column8330</t>
  </si>
  <si>
    <t>Column8331</t>
  </si>
  <si>
    <t>Column8332</t>
  </si>
  <si>
    <t>Column8333</t>
  </si>
  <si>
    <t>Column8334</t>
  </si>
  <si>
    <t>Column8335</t>
  </si>
  <si>
    <t>Column8336</t>
  </si>
  <si>
    <t>Column8337</t>
  </si>
  <si>
    <t>Column8338</t>
  </si>
  <si>
    <t>Column8339</t>
  </si>
  <si>
    <t>Column8340</t>
  </si>
  <si>
    <t>Column8341</t>
  </si>
  <si>
    <t>Column8342</t>
  </si>
  <si>
    <t>Column8343</t>
  </si>
  <si>
    <t>Column8344</t>
  </si>
  <si>
    <t>Column8345</t>
  </si>
  <si>
    <t>Column8346</t>
  </si>
  <si>
    <t>Column8347</t>
  </si>
  <si>
    <t>Column8348</t>
  </si>
  <si>
    <t>Column8349</t>
  </si>
  <si>
    <t>Column8350</t>
  </si>
  <si>
    <t>Column8351</t>
  </si>
  <si>
    <t>Column8352</t>
  </si>
  <si>
    <t>Column8353</t>
  </si>
  <si>
    <t>Column8354</t>
  </si>
  <si>
    <t>Column8355</t>
  </si>
  <si>
    <t>Column8356</t>
  </si>
  <si>
    <t>Column8357</t>
  </si>
  <si>
    <t>Column8358</t>
  </si>
  <si>
    <t>Column8359</t>
  </si>
  <si>
    <t>Column8360</t>
  </si>
  <si>
    <t>Column8361</t>
  </si>
  <si>
    <t>Column8362</t>
  </si>
  <si>
    <t>Column8363</t>
  </si>
  <si>
    <t>Column8364</t>
  </si>
  <si>
    <t>Column8365</t>
  </si>
  <si>
    <t>Column8366</t>
  </si>
  <si>
    <t>Column8367</t>
  </si>
  <si>
    <t>Column8368</t>
  </si>
  <si>
    <t>Column8369</t>
  </si>
  <si>
    <t>Column8370</t>
  </si>
  <si>
    <t>Column8371</t>
  </si>
  <si>
    <t>Column8372</t>
  </si>
  <si>
    <t>Column8373</t>
  </si>
  <si>
    <t>Column8374</t>
  </si>
  <si>
    <t>Column8375</t>
  </si>
  <si>
    <t>Column8376</t>
  </si>
  <si>
    <t>Column8377</t>
  </si>
  <si>
    <t>Column8378</t>
  </si>
  <si>
    <t>Column8379</t>
  </si>
  <si>
    <t>Column8380</t>
  </si>
  <si>
    <t>Column8381</t>
  </si>
  <si>
    <t>Column8382</t>
  </si>
  <si>
    <t>Column8383</t>
  </si>
  <si>
    <t>Column8384</t>
  </si>
  <si>
    <t>Column8385</t>
  </si>
  <si>
    <t>Column8386</t>
  </si>
  <si>
    <t>Column8387</t>
  </si>
  <si>
    <t>Column8388</t>
  </si>
  <si>
    <t>Column8389</t>
  </si>
  <si>
    <t>Column8390</t>
  </si>
  <si>
    <t>Column8391</t>
  </si>
  <si>
    <t>Column8392</t>
  </si>
  <si>
    <t>Column8393</t>
  </si>
  <si>
    <t>Column8394</t>
  </si>
  <si>
    <t>Column8395</t>
  </si>
  <si>
    <t>Column8396</t>
  </si>
  <si>
    <t>Column8397</t>
  </si>
  <si>
    <t>Column8398</t>
  </si>
  <si>
    <t>Column8399</t>
  </si>
  <si>
    <t>Column8400</t>
  </si>
  <si>
    <t>Column8401</t>
  </si>
  <si>
    <t>Column8402</t>
  </si>
  <si>
    <t>Column8403</t>
  </si>
  <si>
    <t>Column8404</t>
  </si>
  <si>
    <t>Column8405</t>
  </si>
  <si>
    <t>Column8406</t>
  </si>
  <si>
    <t>Column8407</t>
  </si>
  <si>
    <t>Column8408</t>
  </si>
  <si>
    <t>Column8409</t>
  </si>
  <si>
    <t>Column8410</t>
  </si>
  <si>
    <t>Column8411</t>
  </si>
  <si>
    <t>Column8412</t>
  </si>
  <si>
    <t>Column8413</t>
  </si>
  <si>
    <t>Column8414</t>
  </si>
  <si>
    <t>Column8415</t>
  </si>
  <si>
    <t>Column8416</t>
  </si>
  <si>
    <t>Column8417</t>
  </si>
  <si>
    <t>Column8418</t>
  </si>
  <si>
    <t>Column8419</t>
  </si>
  <si>
    <t>Column8420</t>
  </si>
  <si>
    <t>Column8421</t>
  </si>
  <si>
    <t>Column8422</t>
  </si>
  <si>
    <t>Column8423</t>
  </si>
  <si>
    <t>Column8424</t>
  </si>
  <si>
    <t>Column8425</t>
  </si>
  <si>
    <t>Column8426</t>
  </si>
  <si>
    <t>Column8427</t>
  </si>
  <si>
    <t>Column8428</t>
  </si>
  <si>
    <t>Column8429</t>
  </si>
  <si>
    <t>Column8430</t>
  </si>
  <si>
    <t>Column8431</t>
  </si>
  <si>
    <t>Column8432</t>
  </si>
  <si>
    <t>Column8433</t>
  </si>
  <si>
    <t>Column8434</t>
  </si>
  <si>
    <t>Column8435</t>
  </si>
  <si>
    <t>Column8436</t>
  </si>
  <si>
    <t>Column8437</t>
  </si>
  <si>
    <t>Column8438</t>
  </si>
  <si>
    <t>Column8439</t>
  </si>
  <si>
    <t>Column8440</t>
  </si>
  <si>
    <t>Column8441</t>
  </si>
  <si>
    <t>Column8442</t>
  </si>
  <si>
    <t>Column8443</t>
  </si>
  <si>
    <t>Column8444</t>
  </si>
  <si>
    <t>Column8445</t>
  </si>
  <si>
    <t>Column8446</t>
  </si>
  <si>
    <t>Column8447</t>
  </si>
  <si>
    <t>Column8448</t>
  </si>
  <si>
    <t>Column8449</t>
  </si>
  <si>
    <t>Column8450</t>
  </si>
  <si>
    <t>Column8451</t>
  </si>
  <si>
    <t>Column8452</t>
  </si>
  <si>
    <t>Column8453</t>
  </si>
  <si>
    <t>Column8454</t>
  </si>
  <si>
    <t>Column8455</t>
  </si>
  <si>
    <t>Column8456</t>
  </si>
  <si>
    <t>Column8457</t>
  </si>
  <si>
    <t>Column8458</t>
  </si>
  <si>
    <t>Column8459</t>
  </si>
  <si>
    <t>Column8460</t>
  </si>
  <si>
    <t>Column8461</t>
  </si>
  <si>
    <t>Column8462</t>
  </si>
  <si>
    <t>Column8463</t>
  </si>
  <si>
    <t>Column8464</t>
  </si>
  <si>
    <t>Column8465</t>
  </si>
  <si>
    <t>Column8466</t>
  </si>
  <si>
    <t>Column8467</t>
  </si>
  <si>
    <t>Column8468</t>
  </si>
  <si>
    <t>Column8469</t>
  </si>
  <si>
    <t>Column8470</t>
  </si>
  <si>
    <t>Column8471</t>
  </si>
  <si>
    <t>Column8472</t>
  </si>
  <si>
    <t>Column8473</t>
  </si>
  <si>
    <t>Column8474</t>
  </si>
  <si>
    <t>Column8475</t>
  </si>
  <si>
    <t>Column8476</t>
  </si>
  <si>
    <t>Column8477</t>
  </si>
  <si>
    <t>Column8478</t>
  </si>
  <si>
    <t>Column8479</t>
  </si>
  <si>
    <t>Column8480</t>
  </si>
  <si>
    <t>Column8481</t>
  </si>
  <si>
    <t>Column8482</t>
  </si>
  <si>
    <t>Column8483</t>
  </si>
  <si>
    <t>Column8484</t>
  </si>
  <si>
    <t>Column8485</t>
  </si>
  <si>
    <t>Column8486</t>
  </si>
  <si>
    <t>Column8487</t>
  </si>
  <si>
    <t>Column8488</t>
  </si>
  <si>
    <t>Column8489</t>
  </si>
  <si>
    <t>Column8490</t>
  </si>
  <si>
    <t>Column8491</t>
  </si>
  <si>
    <t>Column8492</t>
  </si>
  <si>
    <t>Column8493</t>
  </si>
  <si>
    <t>Column8494</t>
  </si>
  <si>
    <t>Column8495</t>
  </si>
  <si>
    <t>Column8496</t>
  </si>
  <si>
    <t>Column8497</t>
  </si>
  <si>
    <t>Column8498</t>
  </si>
  <si>
    <t>Column8499</t>
  </si>
  <si>
    <t>Column8500</t>
  </si>
  <si>
    <t>Column8501</t>
  </si>
  <si>
    <t>Column8502</t>
  </si>
  <si>
    <t>Column8503</t>
  </si>
  <si>
    <t>Column8504</t>
  </si>
  <si>
    <t>Column8505</t>
  </si>
  <si>
    <t>Column8506</t>
  </si>
  <si>
    <t>Column8507</t>
  </si>
  <si>
    <t>Column8508</t>
  </si>
  <si>
    <t>Column8509</t>
  </si>
  <si>
    <t>Column8510</t>
  </si>
  <si>
    <t>Column8511</t>
  </si>
  <si>
    <t>Column8512</t>
  </si>
  <si>
    <t>Column8513</t>
  </si>
  <si>
    <t>Column8514</t>
  </si>
  <si>
    <t>Column8515</t>
  </si>
  <si>
    <t>Column8516</t>
  </si>
  <si>
    <t>Column8517</t>
  </si>
  <si>
    <t>Column8518</t>
  </si>
  <si>
    <t>Column8519</t>
  </si>
  <si>
    <t>Column8520</t>
  </si>
  <si>
    <t>Column8521</t>
  </si>
  <si>
    <t>Column8522</t>
  </si>
  <si>
    <t>Column8523</t>
  </si>
  <si>
    <t>Column8524</t>
  </si>
  <si>
    <t>Column8525</t>
  </si>
  <si>
    <t>Column8526</t>
  </si>
  <si>
    <t>Column8527</t>
  </si>
  <si>
    <t>Column8528</t>
  </si>
  <si>
    <t>Column8529</t>
  </si>
  <si>
    <t>Column8530</t>
  </si>
  <si>
    <t>Column8531</t>
  </si>
  <si>
    <t>Column8532</t>
  </si>
  <si>
    <t>Column8533</t>
  </si>
  <si>
    <t>Column8534</t>
  </si>
  <si>
    <t>Column8535</t>
  </si>
  <si>
    <t>Column8536</t>
  </si>
  <si>
    <t>Column8537</t>
  </si>
  <si>
    <t>Column8538</t>
  </si>
  <si>
    <t>Column8539</t>
  </si>
  <si>
    <t>Column8540</t>
  </si>
  <si>
    <t>Column8541</t>
  </si>
  <si>
    <t>Column8542</t>
  </si>
  <si>
    <t>Column8543</t>
  </si>
  <si>
    <t>Column8544</t>
  </si>
  <si>
    <t>Column8545</t>
  </si>
  <si>
    <t>Column8546</t>
  </si>
  <si>
    <t>Column8547</t>
  </si>
  <si>
    <t>Column8548</t>
  </si>
  <si>
    <t>Column8549</t>
  </si>
  <si>
    <t>Column8550</t>
  </si>
  <si>
    <t>Column8551</t>
  </si>
  <si>
    <t>Column8552</t>
  </si>
  <si>
    <t>Column8553</t>
  </si>
  <si>
    <t>Column8554</t>
  </si>
  <si>
    <t>Column8555</t>
  </si>
  <si>
    <t>Column8556</t>
  </si>
  <si>
    <t>Column8557</t>
  </si>
  <si>
    <t>Column8558</t>
  </si>
  <si>
    <t>Column8559</t>
  </si>
  <si>
    <t>Column8560</t>
  </si>
  <si>
    <t>Column8561</t>
  </si>
  <si>
    <t>Column8562</t>
  </si>
  <si>
    <t>Column8563</t>
  </si>
  <si>
    <t>Column8564</t>
  </si>
  <si>
    <t>Column8565</t>
  </si>
  <si>
    <t>Column8566</t>
  </si>
  <si>
    <t>Column8567</t>
  </si>
  <si>
    <t>Column8568</t>
  </si>
  <si>
    <t>Column8569</t>
  </si>
  <si>
    <t>Column8570</t>
  </si>
  <si>
    <t>Column8571</t>
  </si>
  <si>
    <t>Column8572</t>
  </si>
  <si>
    <t>Column8573</t>
  </si>
  <si>
    <t>Column8574</t>
  </si>
  <si>
    <t>Column8575</t>
  </si>
  <si>
    <t>Column8576</t>
  </si>
  <si>
    <t>Column8577</t>
  </si>
  <si>
    <t>Column8578</t>
  </si>
  <si>
    <t>Column8579</t>
  </si>
  <si>
    <t>Column8580</t>
  </si>
  <si>
    <t>Column8581</t>
  </si>
  <si>
    <t>Column8582</t>
  </si>
  <si>
    <t>Column8583</t>
  </si>
  <si>
    <t>Column8584</t>
  </si>
  <si>
    <t>Column8585</t>
  </si>
  <si>
    <t>Column8586</t>
  </si>
  <si>
    <t>Column8587</t>
  </si>
  <si>
    <t>Column8588</t>
  </si>
  <si>
    <t>Column8589</t>
  </si>
  <si>
    <t>Column8590</t>
  </si>
  <si>
    <t>Column8591</t>
  </si>
  <si>
    <t>Column8592</t>
  </si>
  <si>
    <t>Column8593</t>
  </si>
  <si>
    <t>Column8594</t>
  </si>
  <si>
    <t>Column8595</t>
  </si>
  <si>
    <t>Column8596</t>
  </si>
  <si>
    <t>Column8597</t>
  </si>
  <si>
    <t>Column8598</t>
  </si>
  <si>
    <t>Column8599</t>
  </si>
  <si>
    <t>Column8600</t>
  </si>
  <si>
    <t>Column8601</t>
  </si>
  <si>
    <t>Column8602</t>
  </si>
  <si>
    <t>Column8603</t>
  </si>
  <si>
    <t>Column8604</t>
  </si>
  <si>
    <t>Column8605</t>
  </si>
  <si>
    <t>Column8606</t>
  </si>
  <si>
    <t>Column8607</t>
  </si>
  <si>
    <t>Column8608</t>
  </si>
  <si>
    <t>Column8609</t>
  </si>
  <si>
    <t>Column8610</t>
  </si>
  <si>
    <t>Column8611</t>
  </si>
  <si>
    <t>Column8612</t>
  </si>
  <si>
    <t>Column8613</t>
  </si>
  <si>
    <t>Column8614</t>
  </si>
  <si>
    <t>Column8615</t>
  </si>
  <si>
    <t>Column8616</t>
  </si>
  <si>
    <t>Column8617</t>
  </si>
  <si>
    <t>Column8618</t>
  </si>
  <si>
    <t>Column8619</t>
  </si>
  <si>
    <t>Column8620</t>
  </si>
  <si>
    <t>Column8621</t>
  </si>
  <si>
    <t>Column8622</t>
  </si>
  <si>
    <t>Column8623</t>
  </si>
  <si>
    <t>Column8624</t>
  </si>
  <si>
    <t>Column8625</t>
  </si>
  <si>
    <t>Column8626</t>
  </si>
  <si>
    <t>Column8627</t>
  </si>
  <si>
    <t>Column8628</t>
  </si>
  <si>
    <t>Column8629</t>
  </si>
  <si>
    <t>Column8630</t>
  </si>
  <si>
    <t>Column8631</t>
  </si>
  <si>
    <t>Column8632</t>
  </si>
  <si>
    <t>Column8633</t>
  </si>
  <si>
    <t>Column8634</t>
  </si>
  <si>
    <t>Column8635</t>
  </si>
  <si>
    <t>Column8636</t>
  </si>
  <si>
    <t>Column8637</t>
  </si>
  <si>
    <t>Column8638</t>
  </si>
  <si>
    <t>Column8639</t>
  </si>
  <si>
    <t>Column8640</t>
  </si>
  <si>
    <t>Column8641</t>
  </si>
  <si>
    <t>Column8642</t>
  </si>
  <si>
    <t>Column8643</t>
  </si>
  <si>
    <t>Column8644</t>
  </si>
  <si>
    <t>Column8645</t>
  </si>
  <si>
    <t>Column8646</t>
  </si>
  <si>
    <t>Column8647</t>
  </si>
  <si>
    <t>Column8648</t>
  </si>
  <si>
    <t>Column8649</t>
  </si>
  <si>
    <t>Column8650</t>
  </si>
  <si>
    <t>Column8651</t>
  </si>
  <si>
    <t>Column8652</t>
  </si>
  <si>
    <t>Column8653</t>
  </si>
  <si>
    <t>Column8654</t>
  </si>
  <si>
    <t>Column8655</t>
  </si>
  <si>
    <t>Column8656</t>
  </si>
  <si>
    <t>Column8657</t>
  </si>
  <si>
    <t>Column8658</t>
  </si>
  <si>
    <t>Column8659</t>
  </si>
  <si>
    <t>Column8660</t>
  </si>
  <si>
    <t>Column8661</t>
  </si>
  <si>
    <t>Column8662</t>
  </si>
  <si>
    <t>Column8663</t>
  </si>
  <si>
    <t>Column8664</t>
  </si>
  <si>
    <t>Column8665</t>
  </si>
  <si>
    <t>Column8666</t>
  </si>
  <si>
    <t>Column8667</t>
  </si>
  <si>
    <t>Column8668</t>
  </si>
  <si>
    <t>Column8669</t>
  </si>
  <si>
    <t>Column8670</t>
  </si>
  <si>
    <t>Column8671</t>
  </si>
  <si>
    <t>Column8672</t>
  </si>
  <si>
    <t>Column8673</t>
  </si>
  <si>
    <t>Column8674</t>
  </si>
  <si>
    <t>Column8675</t>
  </si>
  <si>
    <t>Column8676</t>
  </si>
  <si>
    <t>Column8677</t>
  </si>
  <si>
    <t>Column8678</t>
  </si>
  <si>
    <t>Column8679</t>
  </si>
  <si>
    <t>Column8680</t>
  </si>
  <si>
    <t>Column8681</t>
  </si>
  <si>
    <t>Column8682</t>
  </si>
  <si>
    <t>Column8683</t>
  </si>
  <si>
    <t>Column8684</t>
  </si>
  <si>
    <t>Column8685</t>
  </si>
  <si>
    <t>Column8686</t>
  </si>
  <si>
    <t>Column8687</t>
  </si>
  <si>
    <t>Column8688</t>
  </si>
  <si>
    <t>Column8689</t>
  </si>
  <si>
    <t>Column8690</t>
  </si>
  <si>
    <t>Column8691</t>
  </si>
  <si>
    <t>Column8692</t>
  </si>
  <si>
    <t>Column8693</t>
  </si>
  <si>
    <t>Column8694</t>
  </si>
  <si>
    <t>Column8695</t>
  </si>
  <si>
    <t>Column8696</t>
  </si>
  <si>
    <t>Column8697</t>
  </si>
  <si>
    <t>Column8698</t>
  </si>
  <si>
    <t>Column8699</t>
  </si>
  <si>
    <t>Column8700</t>
  </si>
  <si>
    <t>Column8701</t>
  </si>
  <si>
    <t>Column8702</t>
  </si>
  <si>
    <t>Column8703</t>
  </si>
  <si>
    <t>Column8704</t>
  </si>
  <si>
    <t>Column8705</t>
  </si>
  <si>
    <t>Column8706</t>
  </si>
  <si>
    <t>Column8707</t>
  </si>
  <si>
    <t>Column8708</t>
  </si>
  <si>
    <t>Column8709</t>
  </si>
  <si>
    <t>Column8710</t>
  </si>
  <si>
    <t>Column8711</t>
  </si>
  <si>
    <t>Column8712</t>
  </si>
  <si>
    <t>Column8713</t>
  </si>
  <si>
    <t>Column8714</t>
  </si>
  <si>
    <t>Column8715</t>
  </si>
  <si>
    <t>Column8716</t>
  </si>
  <si>
    <t>Column8717</t>
  </si>
  <si>
    <t>Column8718</t>
  </si>
  <si>
    <t>Column8719</t>
  </si>
  <si>
    <t>Column8720</t>
  </si>
  <si>
    <t>Column8721</t>
  </si>
  <si>
    <t>Column8722</t>
  </si>
  <si>
    <t>Column8723</t>
  </si>
  <si>
    <t>Column8724</t>
  </si>
  <si>
    <t>Column8725</t>
  </si>
  <si>
    <t>Column8726</t>
  </si>
  <si>
    <t>Column8727</t>
  </si>
  <si>
    <t>Column8728</t>
  </si>
  <si>
    <t>Column8729</t>
  </si>
  <si>
    <t>Column8730</t>
  </si>
  <si>
    <t>Column8731</t>
  </si>
  <si>
    <t>Column8732</t>
  </si>
  <si>
    <t>Column8733</t>
  </si>
  <si>
    <t>Column8734</t>
  </si>
  <si>
    <t>Column8735</t>
  </si>
  <si>
    <t>Column8736</t>
  </si>
  <si>
    <t>Column8737</t>
  </si>
  <si>
    <t>Column8738</t>
  </si>
  <si>
    <t>Column8739</t>
  </si>
  <si>
    <t>Column8740</t>
  </si>
  <si>
    <t>Column8741</t>
  </si>
  <si>
    <t>Column8742</t>
  </si>
  <si>
    <t>Column8743</t>
  </si>
  <si>
    <t>Column8744</t>
  </si>
  <si>
    <t>Column8745</t>
  </si>
  <si>
    <t>Column8746</t>
  </si>
  <si>
    <t>Column8747</t>
  </si>
  <si>
    <t>Column8748</t>
  </si>
  <si>
    <t>Column8749</t>
  </si>
  <si>
    <t>Column8750</t>
  </si>
  <si>
    <t>Column8751</t>
  </si>
  <si>
    <t>Column8752</t>
  </si>
  <si>
    <t>Column8753</t>
  </si>
  <si>
    <t>Column8754</t>
  </si>
  <si>
    <t>Column8755</t>
  </si>
  <si>
    <t>Column8756</t>
  </si>
  <si>
    <t>Column8757</t>
  </si>
  <si>
    <t>Column8758</t>
  </si>
  <si>
    <t>Column8759</t>
  </si>
  <si>
    <t>Column8760</t>
  </si>
  <si>
    <t>Column8761</t>
  </si>
  <si>
    <t>Column8762</t>
  </si>
  <si>
    <t>Column8763</t>
  </si>
  <si>
    <t>Column8764</t>
  </si>
  <si>
    <t>Column8765</t>
  </si>
  <si>
    <t>Column8766</t>
  </si>
  <si>
    <t>Column8767</t>
  </si>
  <si>
    <t>Column8768</t>
  </si>
  <si>
    <t>Column8769</t>
  </si>
  <si>
    <t>Column8770</t>
  </si>
  <si>
    <t>Column8771</t>
  </si>
  <si>
    <t>Column8772</t>
  </si>
  <si>
    <t>Column8773</t>
  </si>
  <si>
    <t>Column8774</t>
  </si>
  <si>
    <t>Column8775</t>
  </si>
  <si>
    <t>Column8776</t>
  </si>
  <si>
    <t>Column8777</t>
  </si>
  <si>
    <t>Column8778</t>
  </si>
  <si>
    <t>Column8779</t>
  </si>
  <si>
    <t>Column8780</t>
  </si>
  <si>
    <t>Column8781</t>
  </si>
  <si>
    <t>Column8782</t>
  </si>
  <si>
    <t>Column8783</t>
  </si>
  <si>
    <t>Column8784</t>
  </si>
  <si>
    <t>Column8785</t>
  </si>
  <si>
    <t>Column8786</t>
  </si>
  <si>
    <t>Column8787</t>
  </si>
  <si>
    <t>Column8788</t>
  </si>
  <si>
    <t>Column8789</t>
  </si>
  <si>
    <t>Column8790</t>
  </si>
  <si>
    <t>Column8791</t>
  </si>
  <si>
    <t>Column8792</t>
  </si>
  <si>
    <t>Column8793</t>
  </si>
  <si>
    <t>Column8794</t>
  </si>
  <si>
    <t>Column8795</t>
  </si>
  <si>
    <t>Column8796</t>
  </si>
  <si>
    <t>Column8797</t>
  </si>
  <si>
    <t>Column8798</t>
  </si>
  <si>
    <t>Column8799</t>
  </si>
  <si>
    <t>Column8800</t>
  </si>
  <si>
    <t>Column8801</t>
  </si>
  <si>
    <t>Column8802</t>
  </si>
  <si>
    <t>Column8803</t>
  </si>
  <si>
    <t>Column8804</t>
  </si>
  <si>
    <t>Column8805</t>
  </si>
  <si>
    <t>Column8806</t>
  </si>
  <si>
    <t>Column8807</t>
  </si>
  <si>
    <t>Column8808</t>
  </si>
  <si>
    <t>Column8809</t>
  </si>
  <si>
    <t>Column8810</t>
  </si>
  <si>
    <t>Column8811</t>
  </si>
  <si>
    <t>Column8812</t>
  </si>
  <si>
    <t>Column8813</t>
  </si>
  <si>
    <t>Column8814</t>
  </si>
  <si>
    <t>Column8815</t>
  </si>
  <si>
    <t>Column8816</t>
  </si>
  <si>
    <t>Column8817</t>
  </si>
  <si>
    <t>Column8818</t>
  </si>
  <si>
    <t>Column8819</t>
  </si>
  <si>
    <t>Column8820</t>
  </si>
  <si>
    <t>Column8821</t>
  </si>
  <si>
    <t>Column8822</t>
  </si>
  <si>
    <t>Column8823</t>
  </si>
  <si>
    <t>Column8824</t>
  </si>
  <si>
    <t>Column8825</t>
  </si>
  <si>
    <t>Column8826</t>
  </si>
  <si>
    <t>Column8827</t>
  </si>
  <si>
    <t>Column8828</t>
  </si>
  <si>
    <t>Column8829</t>
  </si>
  <si>
    <t>Column8830</t>
  </si>
  <si>
    <t>Column8831</t>
  </si>
  <si>
    <t>Column8832</t>
  </si>
  <si>
    <t>Column8833</t>
  </si>
  <si>
    <t>Column8834</t>
  </si>
  <si>
    <t>Column8835</t>
  </si>
  <si>
    <t>Column8836</t>
  </si>
  <si>
    <t>Column8837</t>
  </si>
  <si>
    <t>Column8838</t>
  </si>
  <si>
    <t>Column8839</t>
  </si>
  <si>
    <t>Column8840</t>
  </si>
  <si>
    <t>Column8841</t>
  </si>
  <si>
    <t>Column8842</t>
  </si>
  <si>
    <t>Column8843</t>
  </si>
  <si>
    <t>Column8844</t>
  </si>
  <si>
    <t>Column8845</t>
  </si>
  <si>
    <t>Column8846</t>
  </si>
  <si>
    <t>Column8847</t>
  </si>
  <si>
    <t>Column8848</t>
  </si>
  <si>
    <t>Column8849</t>
  </si>
  <si>
    <t>Column8850</t>
  </si>
  <si>
    <t>Column8851</t>
  </si>
  <si>
    <t>Column8852</t>
  </si>
  <si>
    <t>Column8853</t>
  </si>
  <si>
    <t>Column8854</t>
  </si>
  <si>
    <t>Column8855</t>
  </si>
  <si>
    <t>Column8856</t>
  </si>
  <si>
    <t>Column8857</t>
  </si>
  <si>
    <t>Column8858</t>
  </si>
  <si>
    <t>Column8859</t>
  </si>
  <si>
    <t>Column8860</t>
  </si>
  <si>
    <t>Column8861</t>
  </si>
  <si>
    <t>Column8862</t>
  </si>
  <si>
    <t>Column8863</t>
  </si>
  <si>
    <t>Column8864</t>
  </si>
  <si>
    <t>Column8865</t>
  </si>
  <si>
    <t>Column8866</t>
  </si>
  <si>
    <t>Column8867</t>
  </si>
  <si>
    <t>Column8868</t>
  </si>
  <si>
    <t>Column8869</t>
  </si>
  <si>
    <t>Column8870</t>
  </si>
  <si>
    <t>Column8871</t>
  </si>
  <si>
    <t>Column8872</t>
  </si>
  <si>
    <t>Column8873</t>
  </si>
  <si>
    <t>Column8874</t>
  </si>
  <si>
    <t>Column8875</t>
  </si>
  <si>
    <t>Column8876</t>
  </si>
  <si>
    <t>Column8877</t>
  </si>
  <si>
    <t>Column8878</t>
  </si>
  <si>
    <t>Column8879</t>
  </si>
  <si>
    <t>Column8880</t>
  </si>
  <si>
    <t>Column8881</t>
  </si>
  <si>
    <t>Column8882</t>
  </si>
  <si>
    <t>Column8883</t>
  </si>
  <si>
    <t>Column8884</t>
  </si>
  <si>
    <t>Column8885</t>
  </si>
  <si>
    <t>Column8886</t>
  </si>
  <si>
    <t>Column8887</t>
  </si>
  <si>
    <t>Column8888</t>
  </si>
  <si>
    <t>Column8889</t>
  </si>
  <si>
    <t>Column8890</t>
  </si>
  <si>
    <t>Column8891</t>
  </si>
  <si>
    <t>Column8892</t>
  </si>
  <si>
    <t>Column8893</t>
  </si>
  <si>
    <t>Column8894</t>
  </si>
  <si>
    <t>Column8895</t>
  </si>
  <si>
    <t>Column8896</t>
  </si>
  <si>
    <t>Column8897</t>
  </si>
  <si>
    <t>Column8898</t>
  </si>
  <si>
    <t>Column8899</t>
  </si>
  <si>
    <t>Column8900</t>
  </si>
  <si>
    <t>Column8901</t>
  </si>
  <si>
    <t>Column8902</t>
  </si>
  <si>
    <t>Column8903</t>
  </si>
  <si>
    <t>Column8904</t>
  </si>
  <si>
    <t>Column8905</t>
  </si>
  <si>
    <t>Column8906</t>
  </si>
  <si>
    <t>Column8907</t>
  </si>
  <si>
    <t>Column8908</t>
  </si>
  <si>
    <t>Column8909</t>
  </si>
  <si>
    <t>Column8910</t>
  </si>
  <si>
    <t>Column8911</t>
  </si>
  <si>
    <t>Column8912</t>
  </si>
  <si>
    <t>Column8913</t>
  </si>
  <si>
    <t>Column8914</t>
  </si>
  <si>
    <t>Column8915</t>
  </si>
  <si>
    <t>Column8916</t>
  </si>
  <si>
    <t>Column8917</t>
  </si>
  <si>
    <t>Column8918</t>
  </si>
  <si>
    <t>Column8919</t>
  </si>
  <si>
    <t>Column8920</t>
  </si>
  <si>
    <t>Column8921</t>
  </si>
  <si>
    <t>Column8922</t>
  </si>
  <si>
    <t>Column8923</t>
  </si>
  <si>
    <t>Column8924</t>
  </si>
  <si>
    <t>Column8925</t>
  </si>
  <si>
    <t>Column8926</t>
  </si>
  <si>
    <t>Column8927</t>
  </si>
  <si>
    <t>Column8928</t>
  </si>
  <si>
    <t>Column8929</t>
  </si>
  <si>
    <t>Column8930</t>
  </si>
  <si>
    <t>Column8931</t>
  </si>
  <si>
    <t>Column8932</t>
  </si>
  <si>
    <t>Column8933</t>
  </si>
  <si>
    <t>Column8934</t>
  </si>
  <si>
    <t>Column8935</t>
  </si>
  <si>
    <t>Column8936</t>
  </si>
  <si>
    <t>Column8937</t>
  </si>
  <si>
    <t>Column8938</t>
  </si>
  <si>
    <t>Column8939</t>
  </si>
  <si>
    <t>Column8940</t>
  </si>
  <si>
    <t>Column8941</t>
  </si>
  <si>
    <t>Column8942</t>
  </si>
  <si>
    <t>Column8943</t>
  </si>
  <si>
    <t>Column8944</t>
  </si>
  <si>
    <t>Column8945</t>
  </si>
  <si>
    <t>Column8946</t>
  </si>
  <si>
    <t>Column8947</t>
  </si>
  <si>
    <t>Column8948</t>
  </si>
  <si>
    <t>Column8949</t>
  </si>
  <si>
    <t>Column8950</t>
  </si>
  <si>
    <t>Column8951</t>
  </si>
  <si>
    <t>Column8952</t>
  </si>
  <si>
    <t>Column8953</t>
  </si>
  <si>
    <t>Column8954</t>
  </si>
  <si>
    <t>Column8955</t>
  </si>
  <si>
    <t>Column8956</t>
  </si>
  <si>
    <t>Column8957</t>
  </si>
  <si>
    <t>Column8958</t>
  </si>
  <si>
    <t>Column8959</t>
  </si>
  <si>
    <t>Column8960</t>
  </si>
  <si>
    <t>Column8961</t>
  </si>
  <si>
    <t>Column8962</t>
  </si>
  <si>
    <t>Column8963</t>
  </si>
  <si>
    <t>Column8964</t>
  </si>
  <si>
    <t>Column8965</t>
  </si>
  <si>
    <t>Column8966</t>
  </si>
  <si>
    <t>Column8967</t>
  </si>
  <si>
    <t>Column8968</t>
  </si>
  <si>
    <t>Column8969</t>
  </si>
  <si>
    <t>Column8970</t>
  </si>
  <si>
    <t>Column8971</t>
  </si>
  <si>
    <t>Column8972</t>
  </si>
  <si>
    <t>Column8973</t>
  </si>
  <si>
    <t>Column8974</t>
  </si>
  <si>
    <t>Column8975</t>
  </si>
  <si>
    <t>Column8976</t>
  </si>
  <si>
    <t>Column8977</t>
  </si>
  <si>
    <t>Column8978</t>
  </si>
  <si>
    <t>Column8979</t>
  </si>
  <si>
    <t>Column8980</t>
  </si>
  <si>
    <t>Column8981</t>
  </si>
  <si>
    <t>Column8982</t>
  </si>
  <si>
    <t>Column8983</t>
  </si>
  <si>
    <t>Column8984</t>
  </si>
  <si>
    <t>Column8985</t>
  </si>
  <si>
    <t>Column8986</t>
  </si>
  <si>
    <t>Column8987</t>
  </si>
  <si>
    <t>Column8988</t>
  </si>
  <si>
    <t>Column8989</t>
  </si>
  <si>
    <t>Column8990</t>
  </si>
  <si>
    <t>Column8991</t>
  </si>
  <si>
    <t>Column8992</t>
  </si>
  <si>
    <t>Column8993</t>
  </si>
  <si>
    <t>Column8994</t>
  </si>
  <si>
    <t>Column8995</t>
  </si>
  <si>
    <t>Column8996</t>
  </si>
  <si>
    <t>Column8997</t>
  </si>
  <si>
    <t>Column8998</t>
  </si>
  <si>
    <t>Column8999</t>
  </si>
  <si>
    <t>Column9000</t>
  </si>
  <si>
    <t>Column9001</t>
  </si>
  <si>
    <t>Column9002</t>
  </si>
  <si>
    <t>Column9003</t>
  </si>
  <si>
    <t>Column9004</t>
  </si>
  <si>
    <t>Column9005</t>
  </si>
  <si>
    <t>Column9006</t>
  </si>
  <si>
    <t>Column9007</t>
  </si>
  <si>
    <t>Column9008</t>
  </si>
  <si>
    <t>Column9009</t>
  </si>
  <si>
    <t>Column9010</t>
  </si>
  <si>
    <t>Column9011</t>
  </si>
  <si>
    <t>Column9012</t>
  </si>
  <si>
    <t>Column9013</t>
  </si>
  <si>
    <t>Column9014</t>
  </si>
  <si>
    <t>Column9015</t>
  </si>
  <si>
    <t>Column9016</t>
  </si>
  <si>
    <t>Column9017</t>
  </si>
  <si>
    <t>Column9018</t>
  </si>
  <si>
    <t>Column9019</t>
  </si>
  <si>
    <t>Column9020</t>
  </si>
  <si>
    <t>Column9021</t>
  </si>
  <si>
    <t>Column9022</t>
  </si>
  <si>
    <t>Column9023</t>
  </si>
  <si>
    <t>Column9024</t>
  </si>
  <si>
    <t>Column9025</t>
  </si>
  <si>
    <t>Column9026</t>
  </si>
  <si>
    <t>Column9027</t>
  </si>
  <si>
    <t>Column9028</t>
  </si>
  <si>
    <t>Column9029</t>
  </si>
  <si>
    <t>Column9030</t>
  </si>
  <si>
    <t>Column9031</t>
  </si>
  <si>
    <t>Column9032</t>
  </si>
  <si>
    <t>Column9033</t>
  </si>
  <si>
    <t>Column9034</t>
  </si>
  <si>
    <t>Column9035</t>
  </si>
  <si>
    <t>Column9036</t>
  </si>
  <si>
    <t>Column9037</t>
  </si>
  <si>
    <t>Column9038</t>
  </si>
  <si>
    <t>Column9039</t>
  </si>
  <si>
    <t>Column9040</t>
  </si>
  <si>
    <t>Column9041</t>
  </si>
  <si>
    <t>Column9042</t>
  </si>
  <si>
    <t>Column9043</t>
  </si>
  <si>
    <t>Column9044</t>
  </si>
  <si>
    <t>Column9045</t>
  </si>
  <si>
    <t>Column9046</t>
  </si>
  <si>
    <t>Column9047</t>
  </si>
  <si>
    <t>Column9048</t>
  </si>
  <si>
    <t>Column9049</t>
  </si>
  <si>
    <t>Column9050</t>
  </si>
  <si>
    <t>Column9051</t>
  </si>
  <si>
    <t>Column9052</t>
  </si>
  <si>
    <t>Column9053</t>
  </si>
  <si>
    <t>Column9054</t>
  </si>
  <si>
    <t>Column9055</t>
  </si>
  <si>
    <t>Column9056</t>
  </si>
  <si>
    <t>Column9057</t>
  </si>
  <si>
    <t>Column9058</t>
  </si>
  <si>
    <t>Column9059</t>
  </si>
  <si>
    <t>Column9060</t>
  </si>
  <si>
    <t>Column9061</t>
  </si>
  <si>
    <t>Column9062</t>
  </si>
  <si>
    <t>Column9063</t>
  </si>
  <si>
    <t>Column9064</t>
  </si>
  <si>
    <t>Column9065</t>
  </si>
  <si>
    <t>Column9066</t>
  </si>
  <si>
    <t>Column9067</t>
  </si>
  <si>
    <t>Column9068</t>
  </si>
  <si>
    <t>Column9069</t>
  </si>
  <si>
    <t>Column9070</t>
  </si>
  <si>
    <t>Column9071</t>
  </si>
  <si>
    <t>Column9072</t>
  </si>
  <si>
    <t>Column9073</t>
  </si>
  <si>
    <t>Column9074</t>
  </si>
  <si>
    <t>Column9075</t>
  </si>
  <si>
    <t>Column9076</t>
  </si>
  <si>
    <t>Column9077</t>
  </si>
  <si>
    <t>Column9078</t>
  </si>
  <si>
    <t>Column9079</t>
  </si>
  <si>
    <t>Column9080</t>
  </si>
  <si>
    <t>Column9081</t>
  </si>
  <si>
    <t>Column9082</t>
  </si>
  <si>
    <t>Column9083</t>
  </si>
  <si>
    <t>Column9084</t>
  </si>
  <si>
    <t>Column9085</t>
  </si>
  <si>
    <t>Column9086</t>
  </si>
  <si>
    <t>Column9087</t>
  </si>
  <si>
    <t>Column9088</t>
  </si>
  <si>
    <t>Column9089</t>
  </si>
  <si>
    <t>Column9090</t>
  </si>
  <si>
    <t>Column9091</t>
  </si>
  <si>
    <t>Column9092</t>
  </si>
  <si>
    <t>Column9093</t>
  </si>
  <si>
    <t>Column9094</t>
  </si>
  <si>
    <t>Column9095</t>
  </si>
  <si>
    <t>Column9096</t>
  </si>
  <si>
    <t>Column9097</t>
  </si>
  <si>
    <t>Column9098</t>
  </si>
  <si>
    <t>Column9099</t>
  </si>
  <si>
    <t>Column9100</t>
  </si>
  <si>
    <t>Column9101</t>
  </si>
  <si>
    <t>Column9102</t>
  </si>
  <si>
    <t>Column9103</t>
  </si>
  <si>
    <t>Column9104</t>
  </si>
  <si>
    <t>Column9105</t>
  </si>
  <si>
    <t>Column9106</t>
  </si>
  <si>
    <t>Column9107</t>
  </si>
  <si>
    <t>Column9108</t>
  </si>
  <si>
    <t>Column9109</t>
  </si>
  <si>
    <t>Column9110</t>
  </si>
  <si>
    <t>Column9111</t>
  </si>
  <si>
    <t>Column9112</t>
  </si>
  <si>
    <t>Column9113</t>
  </si>
  <si>
    <t>Column9114</t>
  </si>
  <si>
    <t>Column9115</t>
  </si>
  <si>
    <t>Column9116</t>
  </si>
  <si>
    <t>Column9117</t>
  </si>
  <si>
    <t>Column9118</t>
  </si>
  <si>
    <t>Column9119</t>
  </si>
  <si>
    <t>Column9120</t>
  </si>
  <si>
    <t>Column9121</t>
  </si>
  <si>
    <t>Column9122</t>
  </si>
  <si>
    <t>Column9123</t>
  </si>
  <si>
    <t>Column9124</t>
  </si>
  <si>
    <t>Column9125</t>
  </si>
  <si>
    <t>Column9126</t>
  </si>
  <si>
    <t>Column9127</t>
  </si>
  <si>
    <t>Column9128</t>
  </si>
  <si>
    <t>Column9129</t>
  </si>
  <si>
    <t>Column9130</t>
  </si>
  <si>
    <t>Column9131</t>
  </si>
  <si>
    <t>Column9132</t>
  </si>
  <si>
    <t>Column9133</t>
  </si>
  <si>
    <t>Column9134</t>
  </si>
  <si>
    <t>Column9135</t>
  </si>
  <si>
    <t>Column9136</t>
  </si>
  <si>
    <t>Column9137</t>
  </si>
  <si>
    <t>Column9138</t>
  </si>
  <si>
    <t>Column9139</t>
  </si>
  <si>
    <t>Column9140</t>
  </si>
  <si>
    <t>Column9141</t>
  </si>
  <si>
    <t>Column9142</t>
  </si>
  <si>
    <t>Column9143</t>
  </si>
  <si>
    <t>Column9144</t>
  </si>
  <si>
    <t>Column9145</t>
  </si>
  <si>
    <t>Column9146</t>
  </si>
  <si>
    <t>Column9147</t>
  </si>
  <si>
    <t>Column9148</t>
  </si>
  <si>
    <t>Column9149</t>
  </si>
  <si>
    <t>Column9150</t>
  </si>
  <si>
    <t>Column9151</t>
  </si>
  <si>
    <t>Column9152</t>
  </si>
  <si>
    <t>Column9153</t>
  </si>
  <si>
    <t>Column9154</t>
  </si>
  <si>
    <t>Column9155</t>
  </si>
  <si>
    <t>Column9156</t>
  </si>
  <si>
    <t>Column9157</t>
  </si>
  <si>
    <t>Column9158</t>
  </si>
  <si>
    <t>Column9159</t>
  </si>
  <si>
    <t>Column9160</t>
  </si>
  <si>
    <t>Column9161</t>
  </si>
  <si>
    <t>Column9162</t>
  </si>
  <si>
    <t>Column9163</t>
  </si>
  <si>
    <t>Column9164</t>
  </si>
  <si>
    <t>Column9165</t>
  </si>
  <si>
    <t>Column9166</t>
  </si>
  <si>
    <t>Column9167</t>
  </si>
  <si>
    <t>Column9168</t>
  </si>
  <si>
    <t>Column9169</t>
  </si>
  <si>
    <t>Column9170</t>
  </si>
  <si>
    <t>Column9171</t>
  </si>
  <si>
    <t>Column9172</t>
  </si>
  <si>
    <t>Column9173</t>
  </si>
  <si>
    <t>Column9174</t>
  </si>
  <si>
    <t>Column9175</t>
  </si>
  <si>
    <t>Column9176</t>
  </si>
  <si>
    <t>Column9177</t>
  </si>
  <si>
    <t>Column9178</t>
  </si>
  <si>
    <t>Column9179</t>
  </si>
  <si>
    <t>Column9180</t>
  </si>
  <si>
    <t>Column9181</t>
  </si>
  <si>
    <t>Column9182</t>
  </si>
  <si>
    <t>Column9183</t>
  </si>
  <si>
    <t>Column9184</t>
  </si>
  <si>
    <t>Column9185</t>
  </si>
  <si>
    <t>Column9186</t>
  </si>
  <si>
    <t>Column9187</t>
  </si>
  <si>
    <t>Column9188</t>
  </si>
  <si>
    <t>Column9189</t>
  </si>
  <si>
    <t>Column9190</t>
  </si>
  <si>
    <t>Column9191</t>
  </si>
  <si>
    <t>Column9192</t>
  </si>
  <si>
    <t>Column9193</t>
  </si>
  <si>
    <t>Column9194</t>
  </si>
  <si>
    <t>Column9195</t>
  </si>
  <si>
    <t>Column9196</t>
  </si>
  <si>
    <t>Column9197</t>
  </si>
  <si>
    <t>Column9198</t>
  </si>
  <si>
    <t>Column9199</t>
  </si>
  <si>
    <t>Column9200</t>
  </si>
  <si>
    <t>Column9201</t>
  </si>
  <si>
    <t>Column9202</t>
  </si>
  <si>
    <t>Column9203</t>
  </si>
  <si>
    <t>Column9204</t>
  </si>
  <si>
    <t>Column9205</t>
  </si>
  <si>
    <t>Column9206</t>
  </si>
  <si>
    <t>Column9207</t>
  </si>
  <si>
    <t>Column9208</t>
  </si>
  <si>
    <t>Column9209</t>
  </si>
  <si>
    <t>Column9210</t>
  </si>
  <si>
    <t>Column9211</t>
  </si>
  <si>
    <t>Column9212</t>
  </si>
  <si>
    <t>Column9213</t>
  </si>
  <si>
    <t>Column9214</t>
  </si>
  <si>
    <t>Column9215</t>
  </si>
  <si>
    <t>Column9216</t>
  </si>
  <si>
    <t>Column9217</t>
  </si>
  <si>
    <t>Column9218</t>
  </si>
  <si>
    <t>Column9219</t>
  </si>
  <si>
    <t>Column9220</t>
  </si>
  <si>
    <t>Column9221</t>
  </si>
  <si>
    <t>Column9222</t>
  </si>
  <si>
    <t>Column9223</t>
  </si>
  <si>
    <t>Column9224</t>
  </si>
  <si>
    <t>Column9225</t>
  </si>
  <si>
    <t>Column9226</t>
  </si>
  <si>
    <t>Column9227</t>
  </si>
  <si>
    <t>Column9228</t>
  </si>
  <si>
    <t>Column9229</t>
  </si>
  <si>
    <t>Column9230</t>
  </si>
  <si>
    <t>Column9231</t>
  </si>
  <si>
    <t>Column9232</t>
  </si>
  <si>
    <t>Column9233</t>
  </si>
  <si>
    <t>Column9234</t>
  </si>
  <si>
    <t>Column9235</t>
  </si>
  <si>
    <t>Column9236</t>
  </si>
  <si>
    <t>Column9237</t>
  </si>
  <si>
    <t>Column9238</t>
  </si>
  <si>
    <t>Column9239</t>
  </si>
  <si>
    <t>Column9240</t>
  </si>
  <si>
    <t>Column9241</t>
  </si>
  <si>
    <t>Column9242</t>
  </si>
  <si>
    <t>Column9243</t>
  </si>
  <si>
    <t>Column9244</t>
  </si>
  <si>
    <t>Column9245</t>
  </si>
  <si>
    <t>Column9246</t>
  </si>
  <si>
    <t>Column9247</t>
  </si>
  <si>
    <t>Column9248</t>
  </si>
  <si>
    <t>Column9249</t>
  </si>
  <si>
    <t>Column9250</t>
  </si>
  <si>
    <t>Column9251</t>
  </si>
  <si>
    <t>Column9252</t>
  </si>
  <si>
    <t>Column9253</t>
  </si>
  <si>
    <t>Column9254</t>
  </si>
  <si>
    <t>Column9255</t>
  </si>
  <si>
    <t>Column9256</t>
  </si>
  <si>
    <t>Column9257</t>
  </si>
  <si>
    <t>Column9258</t>
  </si>
  <si>
    <t>Column9259</t>
  </si>
  <si>
    <t>Column9260</t>
  </si>
  <si>
    <t>Column9261</t>
  </si>
  <si>
    <t>Column9262</t>
  </si>
  <si>
    <t>Column9263</t>
  </si>
  <si>
    <t>Column9264</t>
  </si>
  <si>
    <t>Column9265</t>
  </si>
  <si>
    <t>Column9266</t>
  </si>
  <si>
    <t>Column9267</t>
  </si>
  <si>
    <t>Column9268</t>
  </si>
  <si>
    <t>Column9269</t>
  </si>
  <si>
    <t>Column9270</t>
  </si>
  <si>
    <t>Column9271</t>
  </si>
  <si>
    <t>Column9272</t>
  </si>
  <si>
    <t>Column9273</t>
  </si>
  <si>
    <t>Column9274</t>
  </si>
  <si>
    <t>Column9275</t>
  </si>
  <si>
    <t>Column9276</t>
  </si>
  <si>
    <t>Column9277</t>
  </si>
  <si>
    <t>Column9278</t>
  </si>
  <si>
    <t>Column9279</t>
  </si>
  <si>
    <t>Column9280</t>
  </si>
  <si>
    <t>Column9281</t>
  </si>
  <si>
    <t>Column9282</t>
  </si>
  <si>
    <t>Column9283</t>
  </si>
  <si>
    <t>Column9284</t>
  </si>
  <si>
    <t>Column9285</t>
  </si>
  <si>
    <t>Column9286</t>
  </si>
  <si>
    <t>Column9287</t>
  </si>
  <si>
    <t>Column9288</t>
  </si>
  <si>
    <t>Column9289</t>
  </si>
  <si>
    <t>Column9290</t>
  </si>
  <si>
    <t>Column9291</t>
  </si>
  <si>
    <t>Column9292</t>
  </si>
  <si>
    <t>Column9293</t>
  </si>
  <si>
    <t>Column9294</t>
  </si>
  <si>
    <t>Column9295</t>
  </si>
  <si>
    <t>Column9296</t>
  </si>
  <si>
    <t>Column9297</t>
  </si>
  <si>
    <t>Column9298</t>
  </si>
  <si>
    <t>Column9299</t>
  </si>
  <si>
    <t>Column9300</t>
  </si>
  <si>
    <t>Column9301</t>
  </si>
  <si>
    <t>Column9302</t>
  </si>
  <si>
    <t>Column9303</t>
  </si>
  <si>
    <t>Column9304</t>
  </si>
  <si>
    <t>Column9305</t>
  </si>
  <si>
    <t>Column9306</t>
  </si>
  <si>
    <t>Column9307</t>
  </si>
  <si>
    <t>Column9308</t>
  </si>
  <si>
    <t>Column9309</t>
  </si>
  <si>
    <t>Column9310</t>
  </si>
  <si>
    <t>Column9311</t>
  </si>
  <si>
    <t>Column9312</t>
  </si>
  <si>
    <t>Column9313</t>
  </si>
  <si>
    <t>Column9314</t>
  </si>
  <si>
    <t>Column9315</t>
  </si>
  <si>
    <t>Column9316</t>
  </si>
  <si>
    <t>Column9317</t>
  </si>
  <si>
    <t>Column9318</t>
  </si>
  <si>
    <t>Column9319</t>
  </si>
  <si>
    <t>Column9320</t>
  </si>
  <si>
    <t>Column9321</t>
  </si>
  <si>
    <t>Column9322</t>
  </si>
  <si>
    <t>Column9323</t>
  </si>
  <si>
    <t>Column9324</t>
  </si>
  <si>
    <t>Column9325</t>
  </si>
  <si>
    <t>Column9326</t>
  </si>
  <si>
    <t>Column9327</t>
  </si>
  <si>
    <t>Column9328</t>
  </si>
  <si>
    <t>Column9329</t>
  </si>
  <si>
    <t>Column9330</t>
  </si>
  <si>
    <t>Column9331</t>
  </si>
  <si>
    <t>Column9332</t>
  </si>
  <si>
    <t>Column9333</t>
  </si>
  <si>
    <t>Column9334</t>
  </si>
  <si>
    <t>Column9335</t>
  </si>
  <si>
    <t>Column9336</t>
  </si>
  <si>
    <t>Column9337</t>
  </si>
  <si>
    <t>Column9338</t>
  </si>
  <si>
    <t>Column9339</t>
  </si>
  <si>
    <t>Column9340</t>
  </si>
  <si>
    <t>Column9341</t>
  </si>
  <si>
    <t>Column9342</t>
  </si>
  <si>
    <t>Column9343</t>
  </si>
  <si>
    <t>Column9344</t>
  </si>
  <si>
    <t>Column9345</t>
  </si>
  <si>
    <t>Column9346</t>
  </si>
  <si>
    <t>Column9347</t>
  </si>
  <si>
    <t>Column9348</t>
  </si>
  <si>
    <t>Column9349</t>
  </si>
  <si>
    <t>Column9350</t>
  </si>
  <si>
    <t>Column9351</t>
  </si>
  <si>
    <t>Column9352</t>
  </si>
  <si>
    <t>Column9353</t>
  </si>
  <si>
    <t>Column9354</t>
  </si>
  <si>
    <t>Column9355</t>
  </si>
  <si>
    <t>Column9356</t>
  </si>
  <si>
    <t>Column9357</t>
  </si>
  <si>
    <t>Column9358</t>
  </si>
  <si>
    <t>Column9359</t>
  </si>
  <si>
    <t>Column9360</t>
  </si>
  <si>
    <t>Column9361</t>
  </si>
  <si>
    <t>Column9362</t>
  </si>
  <si>
    <t>Column9363</t>
  </si>
  <si>
    <t>Column9364</t>
  </si>
  <si>
    <t>Column9365</t>
  </si>
  <si>
    <t>Column9366</t>
  </si>
  <si>
    <t>Column9367</t>
  </si>
  <si>
    <t>Column9368</t>
  </si>
  <si>
    <t>Column9369</t>
  </si>
  <si>
    <t>Column9370</t>
  </si>
  <si>
    <t>Column9371</t>
  </si>
  <si>
    <t>Column9372</t>
  </si>
  <si>
    <t>Column9373</t>
  </si>
  <si>
    <t>Column9374</t>
  </si>
  <si>
    <t>Column9375</t>
  </si>
  <si>
    <t>Column9376</t>
  </si>
  <si>
    <t>Column9377</t>
  </si>
  <si>
    <t>Column9378</t>
  </si>
  <si>
    <t>Column9379</t>
  </si>
  <si>
    <t>Column9380</t>
  </si>
  <si>
    <t>Column9381</t>
  </si>
  <si>
    <t>Column9382</t>
  </si>
  <si>
    <t>Column9383</t>
  </si>
  <si>
    <t>Column9384</t>
  </si>
  <si>
    <t>Column9385</t>
  </si>
  <si>
    <t>Column9386</t>
  </si>
  <si>
    <t>Column9387</t>
  </si>
  <si>
    <t>Column9388</t>
  </si>
  <si>
    <t>Column9389</t>
  </si>
  <si>
    <t>Column9390</t>
  </si>
  <si>
    <t>Column9391</t>
  </si>
  <si>
    <t>Column9392</t>
  </si>
  <si>
    <t>Column9393</t>
  </si>
  <si>
    <t>Column9394</t>
  </si>
  <si>
    <t>Column9395</t>
  </si>
  <si>
    <t>Column9396</t>
  </si>
  <si>
    <t>Column9397</t>
  </si>
  <si>
    <t>Column9398</t>
  </si>
  <si>
    <t>Column9399</t>
  </si>
  <si>
    <t>Column9400</t>
  </si>
  <si>
    <t>Column9401</t>
  </si>
  <si>
    <t>Column9402</t>
  </si>
  <si>
    <t>Column9403</t>
  </si>
  <si>
    <t>Column9404</t>
  </si>
  <si>
    <t>Column9405</t>
  </si>
  <si>
    <t>Column9406</t>
  </si>
  <si>
    <t>Column9407</t>
  </si>
  <si>
    <t>Column9408</t>
  </si>
  <si>
    <t>Column9409</t>
  </si>
  <si>
    <t>Column9410</t>
  </si>
  <si>
    <t>Column9411</t>
  </si>
  <si>
    <t>Column9412</t>
  </si>
  <si>
    <t>Column9413</t>
  </si>
  <si>
    <t>Column9414</t>
  </si>
  <si>
    <t>Column9415</t>
  </si>
  <si>
    <t>Column9416</t>
  </si>
  <si>
    <t>Column9417</t>
  </si>
  <si>
    <t>Column9418</t>
  </si>
  <si>
    <t>Column9419</t>
  </si>
  <si>
    <t>Column9420</t>
  </si>
  <si>
    <t>Column9421</t>
  </si>
  <si>
    <t>Column9422</t>
  </si>
  <si>
    <t>Column9423</t>
  </si>
  <si>
    <t>Column9424</t>
  </si>
  <si>
    <t>Column9425</t>
  </si>
  <si>
    <t>Column9426</t>
  </si>
  <si>
    <t>Column9427</t>
  </si>
  <si>
    <t>Column9428</t>
  </si>
  <si>
    <t>Column9429</t>
  </si>
  <si>
    <t>Column9430</t>
  </si>
  <si>
    <t>Column9431</t>
  </si>
  <si>
    <t>Column9432</t>
  </si>
  <si>
    <t>Column9433</t>
  </si>
  <si>
    <t>Column9434</t>
  </si>
  <si>
    <t>Column9435</t>
  </si>
  <si>
    <t>Column9436</t>
  </si>
  <si>
    <t>Column9437</t>
  </si>
  <si>
    <t>Column9438</t>
  </si>
  <si>
    <t>Column9439</t>
  </si>
  <si>
    <t>Column9440</t>
  </si>
  <si>
    <t>Column9441</t>
  </si>
  <si>
    <t>Column9442</t>
  </si>
  <si>
    <t>Column9443</t>
  </si>
  <si>
    <t>Column9444</t>
  </si>
  <si>
    <t>Column9445</t>
  </si>
  <si>
    <t>Column9446</t>
  </si>
  <si>
    <t>Column9447</t>
  </si>
  <si>
    <t>Column9448</t>
  </si>
  <si>
    <t>Column9449</t>
  </si>
  <si>
    <t>Column9450</t>
  </si>
  <si>
    <t>Column9451</t>
  </si>
  <si>
    <t>Column9452</t>
  </si>
  <si>
    <t>Column9453</t>
  </si>
  <si>
    <t>Column9454</t>
  </si>
  <si>
    <t>Column9455</t>
  </si>
  <si>
    <t>Column9456</t>
  </si>
  <si>
    <t>Column9457</t>
  </si>
  <si>
    <t>Column9458</t>
  </si>
  <si>
    <t>Column9459</t>
  </si>
  <si>
    <t>Column9460</t>
  </si>
  <si>
    <t>Column9461</t>
  </si>
  <si>
    <t>Column9462</t>
  </si>
  <si>
    <t>Column9463</t>
  </si>
  <si>
    <t>Column9464</t>
  </si>
  <si>
    <t>Column9465</t>
  </si>
  <si>
    <t>Column9466</t>
  </si>
  <si>
    <t>Column9467</t>
  </si>
  <si>
    <t>Column9468</t>
  </si>
  <si>
    <t>Column9469</t>
  </si>
  <si>
    <t>Column9470</t>
  </si>
  <si>
    <t>Column9471</t>
  </si>
  <si>
    <t>Column9472</t>
  </si>
  <si>
    <t>Column9473</t>
  </si>
  <si>
    <t>Column9474</t>
  </si>
  <si>
    <t>Column9475</t>
  </si>
  <si>
    <t>Column9476</t>
  </si>
  <si>
    <t>Column9477</t>
  </si>
  <si>
    <t>Column9478</t>
  </si>
  <si>
    <t>Column9479</t>
  </si>
  <si>
    <t>Column9480</t>
  </si>
  <si>
    <t>Column9481</t>
  </si>
  <si>
    <t>Column9482</t>
  </si>
  <si>
    <t>Column9483</t>
  </si>
  <si>
    <t>Column9484</t>
  </si>
  <si>
    <t>Column9485</t>
  </si>
  <si>
    <t>Column9486</t>
  </si>
  <si>
    <t>Column9487</t>
  </si>
  <si>
    <t>Column9488</t>
  </si>
  <si>
    <t>Column9489</t>
  </si>
  <si>
    <t>Column9490</t>
  </si>
  <si>
    <t>Column9491</t>
  </si>
  <si>
    <t>Column9492</t>
  </si>
  <si>
    <t>Column9493</t>
  </si>
  <si>
    <t>Column9494</t>
  </si>
  <si>
    <t>Column9495</t>
  </si>
  <si>
    <t>Column9496</t>
  </si>
  <si>
    <t>Column9497</t>
  </si>
  <si>
    <t>Column9498</t>
  </si>
  <si>
    <t>Column9499</t>
  </si>
  <si>
    <t>Column9500</t>
  </si>
  <si>
    <t>Column9501</t>
  </si>
  <si>
    <t>Column9502</t>
  </si>
  <si>
    <t>Column9503</t>
  </si>
  <si>
    <t>Column9504</t>
  </si>
  <si>
    <t>Column9505</t>
  </si>
  <si>
    <t>Column9506</t>
  </si>
  <si>
    <t>Column9507</t>
  </si>
  <si>
    <t>Column9508</t>
  </si>
  <si>
    <t>Column9509</t>
  </si>
  <si>
    <t>Column9510</t>
  </si>
  <si>
    <t>Column9511</t>
  </si>
  <si>
    <t>Column9512</t>
  </si>
  <si>
    <t>Column9513</t>
  </si>
  <si>
    <t>Column9514</t>
  </si>
  <si>
    <t>Column9515</t>
  </si>
  <si>
    <t>Column9516</t>
  </si>
  <si>
    <t>Column9517</t>
  </si>
  <si>
    <t>Column9518</t>
  </si>
  <si>
    <t>Column9519</t>
  </si>
  <si>
    <t>Column9520</t>
  </si>
  <si>
    <t>Column9521</t>
  </si>
  <si>
    <t>Column9522</t>
  </si>
  <si>
    <t>Column9523</t>
  </si>
  <si>
    <t>Column9524</t>
  </si>
  <si>
    <t>Column9525</t>
  </si>
  <si>
    <t>Column9526</t>
  </si>
  <si>
    <t>Column9527</t>
  </si>
  <si>
    <t>Column9528</t>
  </si>
  <si>
    <t>Column9529</t>
  </si>
  <si>
    <t>Column9530</t>
  </si>
  <si>
    <t>Column9531</t>
  </si>
  <si>
    <t>Column9532</t>
  </si>
  <si>
    <t>Column9533</t>
  </si>
  <si>
    <t>Column9534</t>
  </si>
  <si>
    <t>Column9535</t>
  </si>
  <si>
    <t>Column9536</t>
  </si>
  <si>
    <t>Column9537</t>
  </si>
  <si>
    <t>Column9538</t>
  </si>
  <si>
    <t>Column9539</t>
  </si>
  <si>
    <t>Column9540</t>
  </si>
  <si>
    <t>Column9541</t>
  </si>
  <si>
    <t>Column9542</t>
  </si>
  <si>
    <t>Column9543</t>
  </si>
  <si>
    <t>Column9544</t>
  </si>
  <si>
    <t>Column9545</t>
  </si>
  <si>
    <t>Column9546</t>
  </si>
  <si>
    <t>Column9547</t>
  </si>
  <si>
    <t>Column9548</t>
  </si>
  <si>
    <t>Column9549</t>
  </si>
  <si>
    <t>Column9550</t>
  </si>
  <si>
    <t>Column9551</t>
  </si>
  <si>
    <t>Column9552</t>
  </si>
  <si>
    <t>Column9553</t>
  </si>
  <si>
    <t>Column9554</t>
  </si>
  <si>
    <t>Column9555</t>
  </si>
  <si>
    <t>Column9556</t>
  </si>
  <si>
    <t>Column9557</t>
  </si>
  <si>
    <t>Column9558</t>
  </si>
  <si>
    <t>Column9559</t>
  </si>
  <si>
    <t>Column9560</t>
  </si>
  <si>
    <t>Column9561</t>
  </si>
  <si>
    <t>Column9562</t>
  </si>
  <si>
    <t>Column9563</t>
  </si>
  <si>
    <t>Column9564</t>
  </si>
  <si>
    <t>Column9565</t>
  </si>
  <si>
    <t>Column9566</t>
  </si>
  <si>
    <t>Column9567</t>
  </si>
  <si>
    <t>Column9568</t>
  </si>
  <si>
    <t>Column9569</t>
  </si>
  <si>
    <t>Column9570</t>
  </si>
  <si>
    <t>Column9571</t>
  </si>
  <si>
    <t>Column9572</t>
  </si>
  <si>
    <t>Column9573</t>
  </si>
  <si>
    <t>Column9574</t>
  </si>
  <si>
    <t>Column9575</t>
  </si>
  <si>
    <t>Column9576</t>
  </si>
  <si>
    <t>Column9577</t>
  </si>
  <si>
    <t>Column9578</t>
  </si>
  <si>
    <t>Column9579</t>
  </si>
  <si>
    <t>Column9580</t>
  </si>
  <si>
    <t>Column9581</t>
  </si>
  <si>
    <t>Column9582</t>
  </si>
  <si>
    <t>Column9583</t>
  </si>
  <si>
    <t>Column9584</t>
  </si>
  <si>
    <t>Column9585</t>
  </si>
  <si>
    <t>Column9586</t>
  </si>
  <si>
    <t>Column9587</t>
  </si>
  <si>
    <t>Column9588</t>
  </si>
  <si>
    <t>Column9589</t>
  </si>
  <si>
    <t>Column9590</t>
  </si>
  <si>
    <t>Column9591</t>
  </si>
  <si>
    <t>Column9592</t>
  </si>
  <si>
    <t>Column9593</t>
  </si>
  <si>
    <t>Column9594</t>
  </si>
  <si>
    <t>Column9595</t>
  </si>
  <si>
    <t>Column9596</t>
  </si>
  <si>
    <t>Column9597</t>
  </si>
  <si>
    <t>Column9598</t>
  </si>
  <si>
    <t>Column9599</t>
  </si>
  <si>
    <t>Column9600</t>
  </si>
  <si>
    <t>Column9601</t>
  </si>
  <si>
    <t>Column9602</t>
  </si>
  <si>
    <t>Column9603</t>
  </si>
  <si>
    <t>Column9604</t>
  </si>
  <si>
    <t>Column9605</t>
  </si>
  <si>
    <t>Column9606</t>
  </si>
  <si>
    <t>Column9607</t>
  </si>
  <si>
    <t>Column9608</t>
  </si>
  <si>
    <t>Column9609</t>
  </si>
  <si>
    <t>Column9610</t>
  </si>
  <si>
    <t>Column9611</t>
  </si>
  <si>
    <t>Column9612</t>
  </si>
  <si>
    <t>Column9613</t>
  </si>
  <si>
    <t>Column9614</t>
  </si>
  <si>
    <t>Column9615</t>
  </si>
  <si>
    <t>Column9616</t>
  </si>
  <si>
    <t>Column9617</t>
  </si>
  <si>
    <t>Column9618</t>
  </si>
  <si>
    <t>Column9619</t>
  </si>
  <si>
    <t>Column9620</t>
  </si>
  <si>
    <t>Column9621</t>
  </si>
  <si>
    <t>Column9622</t>
  </si>
  <si>
    <t>Column9623</t>
  </si>
  <si>
    <t>Column9624</t>
  </si>
  <si>
    <t>Column9625</t>
  </si>
  <si>
    <t>Column9626</t>
  </si>
  <si>
    <t>Column9627</t>
  </si>
  <si>
    <t>Column9628</t>
  </si>
  <si>
    <t>Column9629</t>
  </si>
  <si>
    <t>Column9630</t>
  </si>
  <si>
    <t>Column9631</t>
  </si>
  <si>
    <t>Column9632</t>
  </si>
  <si>
    <t>Column9633</t>
  </si>
  <si>
    <t>Column9634</t>
  </si>
  <si>
    <t>Column9635</t>
  </si>
  <si>
    <t>Column9636</t>
  </si>
  <si>
    <t>Column9637</t>
  </si>
  <si>
    <t>Column9638</t>
  </si>
  <si>
    <t>Column9639</t>
  </si>
  <si>
    <t>Column9640</t>
  </si>
  <si>
    <t>Column9641</t>
  </si>
  <si>
    <t>Column9642</t>
  </si>
  <si>
    <t>Column9643</t>
  </si>
  <si>
    <t>Column9644</t>
  </si>
  <si>
    <t>Column9645</t>
  </si>
  <si>
    <t>Column9646</t>
  </si>
  <si>
    <t>Column9647</t>
  </si>
  <si>
    <t>Column9648</t>
  </si>
  <si>
    <t>Column9649</t>
  </si>
  <si>
    <t>Column9650</t>
  </si>
  <si>
    <t>Column9651</t>
  </si>
  <si>
    <t>Column9652</t>
  </si>
  <si>
    <t>Column9653</t>
  </si>
  <si>
    <t>Column9654</t>
  </si>
  <si>
    <t>Column9655</t>
  </si>
  <si>
    <t>Column9656</t>
  </si>
  <si>
    <t>Column9657</t>
  </si>
  <si>
    <t>Column9658</t>
  </si>
  <si>
    <t>Column9659</t>
  </si>
  <si>
    <t>Column9660</t>
  </si>
  <si>
    <t>Column9661</t>
  </si>
  <si>
    <t>Column9662</t>
  </si>
  <si>
    <t>Column9663</t>
  </si>
  <si>
    <t>Column9664</t>
  </si>
  <si>
    <t>Column9665</t>
  </si>
  <si>
    <t>Column9666</t>
  </si>
  <si>
    <t>Column9667</t>
  </si>
  <si>
    <t>Column9668</t>
  </si>
  <si>
    <t>Column9669</t>
  </si>
  <si>
    <t>Column9670</t>
  </si>
  <si>
    <t>Column9671</t>
  </si>
  <si>
    <t>Column9672</t>
  </si>
  <si>
    <t>Column9673</t>
  </si>
  <si>
    <t>Column9674</t>
  </si>
  <si>
    <t>Column9675</t>
  </si>
  <si>
    <t>Column9676</t>
  </si>
  <si>
    <t>Column9677</t>
  </si>
  <si>
    <t>Column9678</t>
  </si>
  <si>
    <t>Column9679</t>
  </si>
  <si>
    <t>Column9680</t>
  </si>
  <si>
    <t>Column9681</t>
  </si>
  <si>
    <t>Column9682</t>
  </si>
  <si>
    <t>Column9683</t>
  </si>
  <si>
    <t>Column9684</t>
  </si>
  <si>
    <t>Column9685</t>
  </si>
  <si>
    <t>Column9686</t>
  </si>
  <si>
    <t>Column9687</t>
  </si>
  <si>
    <t>Column9688</t>
  </si>
  <si>
    <t>Column9689</t>
  </si>
  <si>
    <t>Column9690</t>
  </si>
  <si>
    <t>Column9691</t>
  </si>
  <si>
    <t>Column9692</t>
  </si>
  <si>
    <t>Column9693</t>
  </si>
  <si>
    <t>Column9694</t>
  </si>
  <si>
    <t>Column9695</t>
  </si>
  <si>
    <t>Column9696</t>
  </si>
  <si>
    <t>Column9697</t>
  </si>
  <si>
    <t>Column9698</t>
  </si>
  <si>
    <t>Column9699</t>
  </si>
  <si>
    <t>Column9700</t>
  </si>
  <si>
    <t>Column9701</t>
  </si>
  <si>
    <t>Column9702</t>
  </si>
  <si>
    <t>Column9703</t>
  </si>
  <si>
    <t>Column9704</t>
  </si>
  <si>
    <t>Column9705</t>
  </si>
  <si>
    <t>Column9706</t>
  </si>
  <si>
    <t>Column9707</t>
  </si>
  <si>
    <t>Column9708</t>
  </si>
  <si>
    <t>Column9709</t>
  </si>
  <si>
    <t>Column9710</t>
  </si>
  <si>
    <t>Column9711</t>
  </si>
  <si>
    <t>Column9712</t>
  </si>
  <si>
    <t>Column9713</t>
  </si>
  <si>
    <t>Column9714</t>
  </si>
  <si>
    <t>Column9715</t>
  </si>
  <si>
    <t>Column9716</t>
  </si>
  <si>
    <t>Column9717</t>
  </si>
  <si>
    <t>Column9718</t>
  </si>
  <si>
    <t>Column9719</t>
  </si>
  <si>
    <t>Column9720</t>
  </si>
  <si>
    <t>Column9721</t>
  </si>
  <si>
    <t>Column9722</t>
  </si>
  <si>
    <t>Column9723</t>
  </si>
  <si>
    <t>Column9724</t>
  </si>
  <si>
    <t>Column9725</t>
  </si>
  <si>
    <t>Column9726</t>
  </si>
  <si>
    <t>Column9727</t>
  </si>
  <si>
    <t>Column9728</t>
  </si>
  <si>
    <t>Column9729</t>
  </si>
  <si>
    <t>Column9730</t>
  </si>
  <si>
    <t>Column9731</t>
  </si>
  <si>
    <t>Column9732</t>
  </si>
  <si>
    <t>Column9733</t>
  </si>
  <si>
    <t>Column9734</t>
  </si>
  <si>
    <t>Column9735</t>
  </si>
  <si>
    <t>Column9736</t>
  </si>
  <si>
    <t>Column9737</t>
  </si>
  <si>
    <t>Column9738</t>
  </si>
  <si>
    <t>Column9739</t>
  </si>
  <si>
    <t>Column9740</t>
  </si>
  <si>
    <t>Column9741</t>
  </si>
  <si>
    <t>Column9742</t>
  </si>
  <si>
    <t>Column9743</t>
  </si>
  <si>
    <t>Column9744</t>
  </si>
  <si>
    <t>Column9745</t>
  </si>
  <si>
    <t>Column9746</t>
  </si>
  <si>
    <t>Column9747</t>
  </si>
  <si>
    <t>Column9748</t>
  </si>
  <si>
    <t>Column9749</t>
  </si>
  <si>
    <t>Column9750</t>
  </si>
  <si>
    <t>Column9751</t>
  </si>
  <si>
    <t>Column9752</t>
  </si>
  <si>
    <t>Column9753</t>
  </si>
  <si>
    <t>Column9754</t>
  </si>
  <si>
    <t>Column9755</t>
  </si>
  <si>
    <t>Column9756</t>
  </si>
  <si>
    <t>Column9757</t>
  </si>
  <si>
    <t>Column9758</t>
  </si>
  <si>
    <t>Column9759</t>
  </si>
  <si>
    <t>Column9760</t>
  </si>
  <si>
    <t>Column9761</t>
  </si>
  <si>
    <t>Column9762</t>
  </si>
  <si>
    <t>Column9763</t>
  </si>
  <si>
    <t>Column9764</t>
  </si>
  <si>
    <t>Column9765</t>
  </si>
  <si>
    <t>Column9766</t>
  </si>
  <si>
    <t>Column9767</t>
  </si>
  <si>
    <t>Column9768</t>
  </si>
  <si>
    <t>Column9769</t>
  </si>
  <si>
    <t>Column9770</t>
  </si>
  <si>
    <t>Column9771</t>
  </si>
  <si>
    <t>Column9772</t>
  </si>
  <si>
    <t>Column9773</t>
  </si>
  <si>
    <t>Column9774</t>
  </si>
  <si>
    <t>Column9775</t>
  </si>
  <si>
    <t>Column9776</t>
  </si>
  <si>
    <t>Column9777</t>
  </si>
  <si>
    <t>Column9778</t>
  </si>
  <si>
    <t>Column9779</t>
  </si>
  <si>
    <t>Column9780</t>
  </si>
  <si>
    <t>Column9781</t>
  </si>
  <si>
    <t>Column9782</t>
  </si>
  <si>
    <t>Column9783</t>
  </si>
  <si>
    <t>Column9784</t>
  </si>
  <si>
    <t>Column9785</t>
  </si>
  <si>
    <t>Column9786</t>
  </si>
  <si>
    <t>Column9787</t>
  </si>
  <si>
    <t>Column9788</t>
  </si>
  <si>
    <t>Column9789</t>
  </si>
  <si>
    <t>Column9790</t>
  </si>
  <si>
    <t>Column9791</t>
  </si>
  <si>
    <t>Column9792</t>
  </si>
  <si>
    <t>Column9793</t>
  </si>
  <si>
    <t>Column9794</t>
  </si>
  <si>
    <t>Column9795</t>
  </si>
  <si>
    <t>Column9796</t>
  </si>
  <si>
    <t>Column9797</t>
  </si>
  <si>
    <t>Column9798</t>
  </si>
  <si>
    <t>Column9799</t>
  </si>
  <si>
    <t>Column9800</t>
  </si>
  <si>
    <t>Column9801</t>
  </si>
  <si>
    <t>Column9802</t>
  </si>
  <si>
    <t>Column9803</t>
  </si>
  <si>
    <t>Column9804</t>
  </si>
  <si>
    <t>Column9805</t>
  </si>
  <si>
    <t>Column9806</t>
  </si>
  <si>
    <t>Column9807</t>
  </si>
  <si>
    <t>Column9808</t>
  </si>
  <si>
    <t>Column9809</t>
  </si>
  <si>
    <t>Column9810</t>
  </si>
  <si>
    <t>Column9811</t>
  </si>
  <si>
    <t>Column9812</t>
  </si>
  <si>
    <t>Column9813</t>
  </si>
  <si>
    <t>Column9814</t>
  </si>
  <si>
    <t>Column9815</t>
  </si>
  <si>
    <t>Column9816</t>
  </si>
  <si>
    <t>Column9817</t>
  </si>
  <si>
    <t>Column9818</t>
  </si>
  <si>
    <t>Column9819</t>
  </si>
  <si>
    <t>Column9820</t>
  </si>
  <si>
    <t>Column9821</t>
  </si>
  <si>
    <t>Column9822</t>
  </si>
  <si>
    <t>Column9823</t>
  </si>
  <si>
    <t>Column9824</t>
  </si>
  <si>
    <t>Column9825</t>
  </si>
  <si>
    <t>Column9826</t>
  </si>
  <si>
    <t>Column9827</t>
  </si>
  <si>
    <t>Column9828</t>
  </si>
  <si>
    <t>Column9829</t>
  </si>
  <si>
    <t>Column9830</t>
  </si>
  <si>
    <t>Column9831</t>
  </si>
  <si>
    <t>Column9832</t>
  </si>
  <si>
    <t>Column9833</t>
  </si>
  <si>
    <t>Column9834</t>
  </si>
  <si>
    <t>Column9835</t>
  </si>
  <si>
    <t>Column9836</t>
  </si>
  <si>
    <t>Column9837</t>
  </si>
  <si>
    <t>Column9838</t>
  </si>
  <si>
    <t>Column9839</t>
  </si>
  <si>
    <t>Column9840</t>
  </si>
  <si>
    <t>Column9841</t>
  </si>
  <si>
    <t>Column9842</t>
  </si>
  <si>
    <t>Column9843</t>
  </si>
  <si>
    <t>Column9844</t>
  </si>
  <si>
    <t>Column9845</t>
  </si>
  <si>
    <t>Column9846</t>
  </si>
  <si>
    <t>Column9847</t>
  </si>
  <si>
    <t>Column9848</t>
  </si>
  <si>
    <t>Column9849</t>
  </si>
  <si>
    <t>Column9850</t>
  </si>
  <si>
    <t>Column9851</t>
  </si>
  <si>
    <t>Column9852</t>
  </si>
  <si>
    <t>Column9853</t>
  </si>
  <si>
    <t>Column9854</t>
  </si>
  <si>
    <t>Column9855</t>
  </si>
  <si>
    <t>Column9856</t>
  </si>
  <si>
    <t>Column9857</t>
  </si>
  <si>
    <t>Column9858</t>
  </si>
  <si>
    <t>Column9859</t>
  </si>
  <si>
    <t>Column9860</t>
  </si>
  <si>
    <t>Column9861</t>
  </si>
  <si>
    <t>Column9862</t>
  </si>
  <si>
    <t>Column9863</t>
  </si>
  <si>
    <t>Column9864</t>
  </si>
  <si>
    <t>Column9865</t>
  </si>
  <si>
    <t>Column9866</t>
  </si>
  <si>
    <t>Column9867</t>
  </si>
  <si>
    <t>Column9868</t>
  </si>
  <si>
    <t>Column9869</t>
  </si>
  <si>
    <t>Column9870</t>
  </si>
  <si>
    <t>Column9871</t>
  </si>
  <si>
    <t>Column9872</t>
  </si>
  <si>
    <t>Column9873</t>
  </si>
  <si>
    <t>Column9874</t>
  </si>
  <si>
    <t>Column9875</t>
  </si>
  <si>
    <t>Column9876</t>
  </si>
  <si>
    <t>Column9877</t>
  </si>
  <si>
    <t>Column9878</t>
  </si>
  <si>
    <t>Column9879</t>
  </si>
  <si>
    <t>Column9880</t>
  </si>
  <si>
    <t>Column9881</t>
  </si>
  <si>
    <t>Column9882</t>
  </si>
  <si>
    <t>Column9883</t>
  </si>
  <si>
    <t>Column9884</t>
  </si>
  <si>
    <t>Column9885</t>
  </si>
  <si>
    <t>Column9886</t>
  </si>
  <si>
    <t>Column9887</t>
  </si>
  <si>
    <t>Column9888</t>
  </si>
  <si>
    <t>Column9889</t>
  </si>
  <si>
    <t>Column9890</t>
  </si>
  <si>
    <t>Column9891</t>
  </si>
  <si>
    <t>Column9892</t>
  </si>
  <si>
    <t>Column9893</t>
  </si>
  <si>
    <t>Column9894</t>
  </si>
  <si>
    <t>Column9895</t>
  </si>
  <si>
    <t>Column9896</t>
  </si>
  <si>
    <t>Column9897</t>
  </si>
  <si>
    <t>Column9898</t>
  </si>
  <si>
    <t>Column9899</t>
  </si>
  <si>
    <t>Column9900</t>
  </si>
  <si>
    <t>Column9901</t>
  </si>
  <si>
    <t>Column9902</t>
  </si>
  <si>
    <t>Column9903</t>
  </si>
  <si>
    <t>Column9904</t>
  </si>
  <si>
    <t>Column9905</t>
  </si>
  <si>
    <t>Column9906</t>
  </si>
  <si>
    <t>Column9907</t>
  </si>
  <si>
    <t>Column9908</t>
  </si>
  <si>
    <t>Column9909</t>
  </si>
  <si>
    <t>Column9910</t>
  </si>
  <si>
    <t>Column9911</t>
  </si>
  <si>
    <t>Column9912</t>
  </si>
  <si>
    <t>Column9913</t>
  </si>
  <si>
    <t>Column9914</t>
  </si>
  <si>
    <t>Column9915</t>
  </si>
  <si>
    <t>Column9916</t>
  </si>
  <si>
    <t>Column9917</t>
  </si>
  <si>
    <t>Column9918</t>
  </si>
  <si>
    <t>Column9919</t>
  </si>
  <si>
    <t>Column9920</t>
  </si>
  <si>
    <t>Column9921</t>
  </si>
  <si>
    <t>Column9922</t>
  </si>
  <si>
    <t>Column9923</t>
  </si>
  <si>
    <t>Column9924</t>
  </si>
  <si>
    <t>Column9925</t>
  </si>
  <si>
    <t>Column9926</t>
  </si>
  <si>
    <t>Column9927</t>
  </si>
  <si>
    <t>Column9928</t>
  </si>
  <si>
    <t>Column9929</t>
  </si>
  <si>
    <t>Column9930</t>
  </si>
  <si>
    <t>Column9931</t>
  </si>
  <si>
    <t>Column9932</t>
  </si>
  <si>
    <t>Column9933</t>
  </si>
  <si>
    <t>Column9934</t>
  </si>
  <si>
    <t>Column9935</t>
  </si>
  <si>
    <t>Column9936</t>
  </si>
  <si>
    <t>Column9937</t>
  </si>
  <si>
    <t>Column9938</t>
  </si>
  <si>
    <t>Column9939</t>
  </si>
  <si>
    <t>Column9940</t>
  </si>
  <si>
    <t>Column9941</t>
  </si>
  <si>
    <t>Column9942</t>
  </si>
  <si>
    <t>Column9943</t>
  </si>
  <si>
    <t>Column9944</t>
  </si>
  <si>
    <t>Column9945</t>
  </si>
  <si>
    <t>Column9946</t>
  </si>
  <si>
    <t>Column9947</t>
  </si>
  <si>
    <t>Column9948</t>
  </si>
  <si>
    <t>Column9949</t>
  </si>
  <si>
    <t>Column9950</t>
  </si>
  <si>
    <t>Column9951</t>
  </si>
  <si>
    <t>Column9952</t>
  </si>
  <si>
    <t>Column9953</t>
  </si>
  <si>
    <t>Column9954</t>
  </si>
  <si>
    <t>Column9955</t>
  </si>
  <si>
    <t>Column9956</t>
  </si>
  <si>
    <t>Column9957</t>
  </si>
  <si>
    <t>Column9958</t>
  </si>
  <si>
    <t>Column9959</t>
  </si>
  <si>
    <t>Column9960</t>
  </si>
  <si>
    <t>Column9961</t>
  </si>
  <si>
    <t>Column9962</t>
  </si>
  <si>
    <t>Column9963</t>
  </si>
  <si>
    <t>Column9964</t>
  </si>
  <si>
    <t>Column9965</t>
  </si>
  <si>
    <t>Column9966</t>
  </si>
  <si>
    <t>Column9967</t>
  </si>
  <si>
    <t>Column9968</t>
  </si>
  <si>
    <t>Column9969</t>
  </si>
  <si>
    <t>Column9970</t>
  </si>
  <si>
    <t>Column9971</t>
  </si>
  <si>
    <t>Column9972</t>
  </si>
  <si>
    <t>Column9973</t>
  </si>
  <si>
    <t>Column9974</t>
  </si>
  <si>
    <t>Column9975</t>
  </si>
  <si>
    <t>Column9976</t>
  </si>
  <si>
    <t>Column9977</t>
  </si>
  <si>
    <t>Column9978</t>
  </si>
  <si>
    <t>Column9979</t>
  </si>
  <si>
    <t>Column9980</t>
  </si>
  <si>
    <t>Column9981</t>
  </si>
  <si>
    <t>Column9982</t>
  </si>
  <si>
    <t>Column9983</t>
  </si>
  <si>
    <t>Column9984</t>
  </si>
  <si>
    <t>Column9985</t>
  </si>
  <si>
    <t>Column9986</t>
  </si>
  <si>
    <t>Column9987</t>
  </si>
  <si>
    <t>Column9988</t>
  </si>
  <si>
    <t>Column9989</t>
  </si>
  <si>
    <t>Column9990</t>
  </si>
  <si>
    <t>Column9991</t>
  </si>
  <si>
    <t>Column9992</t>
  </si>
  <si>
    <t>Column9993</t>
  </si>
  <si>
    <t>Column9994</t>
  </si>
  <si>
    <t>Column9995</t>
  </si>
  <si>
    <t>Column9996</t>
  </si>
  <si>
    <t>Column9997</t>
  </si>
  <si>
    <t>Column9998</t>
  </si>
  <si>
    <t>Column9999</t>
  </si>
  <si>
    <t>Column10000</t>
  </si>
  <si>
    <t>Column10001</t>
  </si>
  <si>
    <t>Column10002</t>
  </si>
  <si>
    <t>Column10003</t>
  </si>
  <si>
    <t>Column10004</t>
  </si>
  <si>
    <t>Column10005</t>
  </si>
  <si>
    <t>Column10006</t>
  </si>
  <si>
    <t>Column10007</t>
  </si>
  <si>
    <t>Column10008</t>
  </si>
  <si>
    <t>Column10009</t>
  </si>
  <si>
    <t>Column10010</t>
  </si>
  <si>
    <t>Column10011</t>
  </si>
  <si>
    <t>Column10012</t>
  </si>
  <si>
    <t>Column10013</t>
  </si>
  <si>
    <t>Column10014</t>
  </si>
  <si>
    <t>Column10015</t>
  </si>
  <si>
    <t>Column10016</t>
  </si>
  <si>
    <t>Column10017</t>
  </si>
  <si>
    <t>Column10018</t>
  </si>
  <si>
    <t>Column10019</t>
  </si>
  <si>
    <t>Column10020</t>
  </si>
  <si>
    <t>Column10021</t>
  </si>
  <si>
    <t>Column10022</t>
  </si>
  <si>
    <t>Column10023</t>
  </si>
  <si>
    <t>Column10024</t>
  </si>
  <si>
    <t>Column10025</t>
  </si>
  <si>
    <t>Column10026</t>
  </si>
  <si>
    <t>Column10027</t>
  </si>
  <si>
    <t>Column10028</t>
  </si>
  <si>
    <t>Column10029</t>
  </si>
  <si>
    <t>Column10030</t>
  </si>
  <si>
    <t>Column10031</t>
  </si>
  <si>
    <t>Column10032</t>
  </si>
  <si>
    <t>Column10033</t>
  </si>
  <si>
    <t>Column10034</t>
  </si>
  <si>
    <t>Column10035</t>
  </si>
  <si>
    <t>Column10036</t>
  </si>
  <si>
    <t>Column10037</t>
  </si>
  <si>
    <t>Column10038</t>
  </si>
  <si>
    <t>Column10039</t>
  </si>
  <si>
    <t>Column10040</t>
  </si>
  <si>
    <t>Column10041</t>
  </si>
  <si>
    <t>Column10042</t>
  </si>
  <si>
    <t>Column10043</t>
  </si>
  <si>
    <t>Column10044</t>
  </si>
  <si>
    <t>Column10045</t>
  </si>
  <si>
    <t>Column10046</t>
  </si>
  <si>
    <t>Column10047</t>
  </si>
  <si>
    <t>Column10048</t>
  </si>
  <si>
    <t>Column10049</t>
  </si>
  <si>
    <t>Column10050</t>
  </si>
  <si>
    <t>Column10051</t>
  </si>
  <si>
    <t>Column10052</t>
  </si>
  <si>
    <t>Column10053</t>
  </si>
  <si>
    <t>Column10054</t>
  </si>
  <si>
    <t>Column10055</t>
  </si>
  <si>
    <t>Column10056</t>
  </si>
  <si>
    <t>Column10057</t>
  </si>
  <si>
    <t>Column10058</t>
  </si>
  <si>
    <t>Column10059</t>
  </si>
  <si>
    <t>Column10060</t>
  </si>
  <si>
    <t>Column10061</t>
  </si>
  <si>
    <t>Column10062</t>
  </si>
  <si>
    <t>Column10063</t>
  </si>
  <si>
    <t>Column10064</t>
  </si>
  <si>
    <t>Column10065</t>
  </si>
  <si>
    <t>Column10066</t>
  </si>
  <si>
    <t>Column10067</t>
  </si>
  <si>
    <t>Column10068</t>
  </si>
  <si>
    <t>Column10069</t>
  </si>
  <si>
    <t>Column10070</t>
  </si>
  <si>
    <t>Column10071</t>
  </si>
  <si>
    <t>Column10072</t>
  </si>
  <si>
    <t>Column10073</t>
  </si>
  <si>
    <t>Column10074</t>
  </si>
  <si>
    <t>Column10075</t>
  </si>
  <si>
    <t>Column10076</t>
  </si>
  <si>
    <t>Column10077</t>
  </si>
  <si>
    <t>Column10078</t>
  </si>
  <si>
    <t>Column10079</t>
  </si>
  <si>
    <t>Column10080</t>
  </si>
  <si>
    <t>Column10081</t>
  </si>
  <si>
    <t>Column10082</t>
  </si>
  <si>
    <t>Column10083</t>
  </si>
  <si>
    <t>Column10084</t>
  </si>
  <si>
    <t>Column10085</t>
  </si>
  <si>
    <t>Column10086</t>
  </si>
  <si>
    <t>Column10087</t>
  </si>
  <si>
    <t>Column10088</t>
  </si>
  <si>
    <t>Column10089</t>
  </si>
  <si>
    <t>Column10090</t>
  </si>
  <si>
    <t>Column10091</t>
  </si>
  <si>
    <t>Column10092</t>
  </si>
  <si>
    <t>Column10093</t>
  </si>
  <si>
    <t>Column10094</t>
  </si>
  <si>
    <t>Column10095</t>
  </si>
  <si>
    <t>Column10096</t>
  </si>
  <si>
    <t>Column10097</t>
  </si>
  <si>
    <t>Column10098</t>
  </si>
  <si>
    <t>Column10099</t>
  </si>
  <si>
    <t>Column10100</t>
  </si>
  <si>
    <t>Column10101</t>
  </si>
  <si>
    <t>Column10102</t>
  </si>
  <si>
    <t>Column10103</t>
  </si>
  <si>
    <t>Column10104</t>
  </si>
  <si>
    <t>Column10105</t>
  </si>
  <si>
    <t>Column10106</t>
  </si>
  <si>
    <t>Column10107</t>
  </si>
  <si>
    <t>Column10108</t>
  </si>
  <si>
    <t>Column10109</t>
  </si>
  <si>
    <t>Column10110</t>
  </si>
  <si>
    <t>Column10111</t>
  </si>
  <si>
    <t>Column10112</t>
  </si>
  <si>
    <t>Column10113</t>
  </si>
  <si>
    <t>Column10114</t>
  </si>
  <si>
    <t>Column10115</t>
  </si>
  <si>
    <t>Column10116</t>
  </si>
  <si>
    <t>Column10117</t>
  </si>
  <si>
    <t>Column10118</t>
  </si>
  <si>
    <t>Column10119</t>
  </si>
  <si>
    <t>Column10120</t>
  </si>
  <si>
    <t>Column10121</t>
  </si>
  <si>
    <t>Column10122</t>
  </si>
  <si>
    <t>Column10123</t>
  </si>
  <si>
    <t>Column10124</t>
  </si>
  <si>
    <t>Column10125</t>
  </si>
  <si>
    <t>Column10126</t>
  </si>
  <si>
    <t>Column10127</t>
  </si>
  <si>
    <t>Column10128</t>
  </si>
  <si>
    <t>Column10129</t>
  </si>
  <si>
    <t>Column10130</t>
  </si>
  <si>
    <t>Column10131</t>
  </si>
  <si>
    <t>Column10132</t>
  </si>
  <si>
    <t>Column10133</t>
  </si>
  <si>
    <t>Column10134</t>
  </si>
  <si>
    <t>Column10135</t>
  </si>
  <si>
    <t>Column10136</t>
  </si>
  <si>
    <t>Column10137</t>
  </si>
  <si>
    <t>Column10138</t>
  </si>
  <si>
    <t>Column10139</t>
  </si>
  <si>
    <t>Column10140</t>
  </si>
  <si>
    <t>Column10141</t>
  </si>
  <si>
    <t>Column10142</t>
  </si>
  <si>
    <t>Column10143</t>
  </si>
  <si>
    <t>Column10144</t>
  </si>
  <si>
    <t>Column10145</t>
  </si>
  <si>
    <t>Column10146</t>
  </si>
  <si>
    <t>Column10147</t>
  </si>
  <si>
    <t>Column10148</t>
  </si>
  <si>
    <t>Column10149</t>
  </si>
  <si>
    <t>Column10150</t>
  </si>
  <si>
    <t>Column10151</t>
  </si>
  <si>
    <t>Column10152</t>
  </si>
  <si>
    <t>Column10153</t>
  </si>
  <si>
    <t>Column10154</t>
  </si>
  <si>
    <t>Column10155</t>
  </si>
  <si>
    <t>Column10156</t>
  </si>
  <si>
    <t>Column10157</t>
  </si>
  <si>
    <t>Column10158</t>
  </si>
  <si>
    <t>Column10159</t>
  </si>
  <si>
    <t>Column10160</t>
  </si>
  <si>
    <t>Column10161</t>
  </si>
  <si>
    <t>Column10162</t>
  </si>
  <si>
    <t>Column10163</t>
  </si>
  <si>
    <t>Column10164</t>
  </si>
  <si>
    <t>Column10165</t>
  </si>
  <si>
    <t>Column10166</t>
  </si>
  <si>
    <t>Column10167</t>
  </si>
  <si>
    <t>Column10168</t>
  </si>
  <si>
    <t>Column10169</t>
  </si>
  <si>
    <t>Column10170</t>
  </si>
  <si>
    <t>Column10171</t>
  </si>
  <si>
    <t>Column10172</t>
  </si>
  <si>
    <t>Column10173</t>
  </si>
  <si>
    <t>Column10174</t>
  </si>
  <si>
    <t>Column10175</t>
  </si>
  <si>
    <t>Column10176</t>
  </si>
  <si>
    <t>Column10177</t>
  </si>
  <si>
    <t>Column10178</t>
  </si>
  <si>
    <t>Column10179</t>
  </si>
  <si>
    <t>Column10180</t>
  </si>
  <si>
    <t>Column10181</t>
  </si>
  <si>
    <t>Column10182</t>
  </si>
  <si>
    <t>Column10183</t>
  </si>
  <si>
    <t>Column10184</t>
  </si>
  <si>
    <t>Column10185</t>
  </si>
  <si>
    <t>Column10186</t>
  </si>
  <si>
    <t>Column10187</t>
  </si>
  <si>
    <t>Column10188</t>
  </si>
  <si>
    <t>Column10189</t>
  </si>
  <si>
    <t>Column10190</t>
  </si>
  <si>
    <t>Column10191</t>
  </si>
  <si>
    <t>Column10192</t>
  </si>
  <si>
    <t>Column10193</t>
  </si>
  <si>
    <t>Column10194</t>
  </si>
  <si>
    <t>Column10195</t>
  </si>
  <si>
    <t>Column10196</t>
  </si>
  <si>
    <t>Column10197</t>
  </si>
  <si>
    <t>Column10198</t>
  </si>
  <si>
    <t>Column10199</t>
  </si>
  <si>
    <t>Column10200</t>
  </si>
  <si>
    <t>Column10201</t>
  </si>
  <si>
    <t>Column10202</t>
  </si>
  <si>
    <t>Column10203</t>
  </si>
  <si>
    <t>Column10204</t>
  </si>
  <si>
    <t>Column10205</t>
  </si>
  <si>
    <t>Column10206</t>
  </si>
  <si>
    <t>Column10207</t>
  </si>
  <si>
    <t>Column10208</t>
  </si>
  <si>
    <t>Column10209</t>
  </si>
  <si>
    <t>Column10210</t>
  </si>
  <si>
    <t>Column10211</t>
  </si>
  <si>
    <t>Column10212</t>
  </si>
  <si>
    <t>Column10213</t>
  </si>
  <si>
    <t>Column10214</t>
  </si>
  <si>
    <t>Column10215</t>
  </si>
  <si>
    <t>Column10216</t>
  </si>
  <si>
    <t>Column10217</t>
  </si>
  <si>
    <t>Column10218</t>
  </si>
  <si>
    <t>Column10219</t>
  </si>
  <si>
    <t>Column10220</t>
  </si>
  <si>
    <t>Column10221</t>
  </si>
  <si>
    <t>Column10222</t>
  </si>
  <si>
    <t>Column10223</t>
  </si>
  <si>
    <t>Column10224</t>
  </si>
  <si>
    <t>Column10225</t>
  </si>
  <si>
    <t>Column10226</t>
  </si>
  <si>
    <t>Column10227</t>
  </si>
  <si>
    <t>Column10228</t>
  </si>
  <si>
    <t>Column10229</t>
  </si>
  <si>
    <t>Column10230</t>
  </si>
  <si>
    <t>Column10231</t>
  </si>
  <si>
    <t>Column10232</t>
  </si>
  <si>
    <t>Column10233</t>
  </si>
  <si>
    <t>Column10234</t>
  </si>
  <si>
    <t>Column10235</t>
  </si>
  <si>
    <t>Column10236</t>
  </si>
  <si>
    <t>Column10237</t>
  </si>
  <si>
    <t>Column10238</t>
  </si>
  <si>
    <t>Column10239</t>
  </si>
  <si>
    <t>Column10240</t>
  </si>
  <si>
    <t>Column10241</t>
  </si>
  <si>
    <t>Column10242</t>
  </si>
  <si>
    <t>Column10243</t>
  </si>
  <si>
    <t>Column10244</t>
  </si>
  <si>
    <t>Column10245</t>
  </si>
  <si>
    <t>Column10246</t>
  </si>
  <si>
    <t>Column10247</t>
  </si>
  <si>
    <t>Column10248</t>
  </si>
  <si>
    <t>Column10249</t>
  </si>
  <si>
    <t>Column10250</t>
  </si>
  <si>
    <t>Column10251</t>
  </si>
  <si>
    <t>Column10252</t>
  </si>
  <si>
    <t>Column10253</t>
  </si>
  <si>
    <t>Column10254</t>
  </si>
  <si>
    <t>Column10255</t>
  </si>
  <si>
    <t>Column10256</t>
  </si>
  <si>
    <t>Column10257</t>
  </si>
  <si>
    <t>Column10258</t>
  </si>
  <si>
    <t>Column10259</t>
  </si>
  <si>
    <t>Column10260</t>
  </si>
  <si>
    <t>Column10261</t>
  </si>
  <si>
    <t>Column10262</t>
  </si>
  <si>
    <t>Column10263</t>
  </si>
  <si>
    <t>Column10264</t>
  </si>
  <si>
    <t>Column10265</t>
  </si>
  <si>
    <t>Column10266</t>
  </si>
  <si>
    <t>Column10267</t>
  </si>
  <si>
    <t>Column10268</t>
  </si>
  <si>
    <t>Column10269</t>
  </si>
  <si>
    <t>Column10270</t>
  </si>
  <si>
    <t>Column10271</t>
  </si>
  <si>
    <t>Column10272</t>
  </si>
  <si>
    <t>Column10273</t>
  </si>
  <si>
    <t>Column10274</t>
  </si>
  <si>
    <t>Column10275</t>
  </si>
  <si>
    <t>Column10276</t>
  </si>
  <si>
    <t>Column10277</t>
  </si>
  <si>
    <t>Column10278</t>
  </si>
  <si>
    <t>Column10279</t>
  </si>
  <si>
    <t>Column10280</t>
  </si>
  <si>
    <t>Column10281</t>
  </si>
  <si>
    <t>Column10282</t>
  </si>
  <si>
    <t>Column10283</t>
  </si>
  <si>
    <t>Column10284</t>
  </si>
  <si>
    <t>Column10285</t>
  </si>
  <si>
    <t>Column10286</t>
  </si>
  <si>
    <t>Column10287</t>
  </si>
  <si>
    <t>Column10288</t>
  </si>
  <si>
    <t>Column10289</t>
  </si>
  <si>
    <t>Column10290</t>
  </si>
  <si>
    <t>Column10291</t>
  </si>
  <si>
    <t>Column10292</t>
  </si>
  <si>
    <t>Column10293</t>
  </si>
  <si>
    <t>Column10294</t>
  </si>
  <si>
    <t>Column10295</t>
  </si>
  <si>
    <t>Column10296</t>
  </si>
  <si>
    <t>Column10297</t>
  </si>
  <si>
    <t>Column10298</t>
  </si>
  <si>
    <t>Column10299</t>
  </si>
  <si>
    <t>Column10300</t>
  </si>
  <si>
    <t>Column10301</t>
  </si>
  <si>
    <t>Column10302</t>
  </si>
  <si>
    <t>Column10303</t>
  </si>
  <si>
    <t>Column10304</t>
  </si>
  <si>
    <t>Column10305</t>
  </si>
  <si>
    <t>Column10306</t>
  </si>
  <si>
    <t>Column10307</t>
  </si>
  <si>
    <t>Column10308</t>
  </si>
  <si>
    <t>Column10309</t>
  </si>
  <si>
    <t>Column10310</t>
  </si>
  <si>
    <t>Column10311</t>
  </si>
  <si>
    <t>Column10312</t>
  </si>
  <si>
    <t>Column10313</t>
  </si>
  <si>
    <t>Column10314</t>
  </si>
  <si>
    <t>Column10315</t>
  </si>
  <si>
    <t>Column10316</t>
  </si>
  <si>
    <t>Column10317</t>
  </si>
  <si>
    <t>Column10318</t>
  </si>
  <si>
    <t>Column10319</t>
  </si>
  <si>
    <t>Column10320</t>
  </si>
  <si>
    <t>Column10321</t>
  </si>
  <si>
    <t>Column10322</t>
  </si>
  <si>
    <t>Column10323</t>
  </si>
  <si>
    <t>Column10324</t>
  </si>
  <si>
    <t>Column10325</t>
  </si>
  <si>
    <t>Column10326</t>
  </si>
  <si>
    <t>Column10327</t>
  </si>
  <si>
    <t>Column10328</t>
  </si>
  <si>
    <t>Column10329</t>
  </si>
  <si>
    <t>Column10330</t>
  </si>
  <si>
    <t>Column10331</t>
  </si>
  <si>
    <t>Column10332</t>
  </si>
  <si>
    <t>Column10333</t>
  </si>
  <si>
    <t>Column10334</t>
  </si>
  <si>
    <t>Column10335</t>
  </si>
  <si>
    <t>Column10336</t>
  </si>
  <si>
    <t>Column10337</t>
  </si>
  <si>
    <t>Column10338</t>
  </si>
  <si>
    <t>Column10339</t>
  </si>
  <si>
    <t>Column10340</t>
  </si>
  <si>
    <t>Column10341</t>
  </si>
  <si>
    <t>Column10342</t>
  </si>
  <si>
    <t>Column10343</t>
  </si>
  <si>
    <t>Column10344</t>
  </si>
  <si>
    <t>Column10345</t>
  </si>
  <si>
    <t>Column10346</t>
  </si>
  <si>
    <t>Column10347</t>
  </si>
  <si>
    <t>Column10348</t>
  </si>
  <si>
    <t>Column10349</t>
  </si>
  <si>
    <t>Column10350</t>
  </si>
  <si>
    <t>Column10351</t>
  </si>
  <si>
    <t>Column10352</t>
  </si>
  <si>
    <t>Column10353</t>
  </si>
  <si>
    <t>Column10354</t>
  </si>
  <si>
    <t>Column10355</t>
  </si>
  <si>
    <t>Column10356</t>
  </si>
  <si>
    <t>Column10357</t>
  </si>
  <si>
    <t>Column10358</t>
  </si>
  <si>
    <t>Column10359</t>
  </si>
  <si>
    <t>Column10360</t>
  </si>
  <si>
    <t>Column10361</t>
  </si>
  <si>
    <t>Column10362</t>
  </si>
  <si>
    <t>Column10363</t>
  </si>
  <si>
    <t>Column10364</t>
  </si>
  <si>
    <t>Column10365</t>
  </si>
  <si>
    <t>Column10366</t>
  </si>
  <si>
    <t>Column10367</t>
  </si>
  <si>
    <t>Column10368</t>
  </si>
  <si>
    <t>Column10369</t>
  </si>
  <si>
    <t>Column10370</t>
  </si>
  <si>
    <t>Column10371</t>
  </si>
  <si>
    <t>Column10372</t>
  </si>
  <si>
    <t>Column10373</t>
  </si>
  <si>
    <t>Column10374</t>
  </si>
  <si>
    <t>Column10375</t>
  </si>
  <si>
    <t>Column10376</t>
  </si>
  <si>
    <t>Column10377</t>
  </si>
  <si>
    <t>Column10378</t>
  </si>
  <si>
    <t>Column10379</t>
  </si>
  <si>
    <t>Column10380</t>
  </si>
  <si>
    <t>Column10381</t>
  </si>
  <si>
    <t>Column10382</t>
  </si>
  <si>
    <t>Column10383</t>
  </si>
  <si>
    <t>Column10384</t>
  </si>
  <si>
    <t>Column10385</t>
  </si>
  <si>
    <t>Column10386</t>
  </si>
  <si>
    <t>Column10387</t>
  </si>
  <si>
    <t>Column10388</t>
  </si>
  <si>
    <t>Column10389</t>
  </si>
  <si>
    <t>Column10390</t>
  </si>
  <si>
    <t>Column10391</t>
  </si>
  <si>
    <t>Column10392</t>
  </si>
  <si>
    <t>Column10393</t>
  </si>
  <si>
    <t>Column10394</t>
  </si>
  <si>
    <t>Column10395</t>
  </si>
  <si>
    <t>Column10396</t>
  </si>
  <si>
    <t>Column10397</t>
  </si>
  <si>
    <t>Column10398</t>
  </si>
  <si>
    <t>Column10399</t>
  </si>
  <si>
    <t>Column10400</t>
  </si>
  <si>
    <t>Column10401</t>
  </si>
  <si>
    <t>Column10402</t>
  </si>
  <si>
    <t>Column10403</t>
  </si>
  <si>
    <t>Column10404</t>
  </si>
  <si>
    <t>Column10405</t>
  </si>
  <si>
    <t>Column10406</t>
  </si>
  <si>
    <t>Column10407</t>
  </si>
  <si>
    <t>Column10408</t>
  </si>
  <si>
    <t>Column10409</t>
  </si>
  <si>
    <t>Column10410</t>
  </si>
  <si>
    <t>Column10411</t>
  </si>
  <si>
    <t>Column10412</t>
  </si>
  <si>
    <t>Column10413</t>
  </si>
  <si>
    <t>Column10414</t>
  </si>
  <si>
    <t>Column10415</t>
  </si>
  <si>
    <t>Column10416</t>
  </si>
  <si>
    <t>Column10417</t>
  </si>
  <si>
    <t>Column10418</t>
  </si>
  <si>
    <t>Column10419</t>
  </si>
  <si>
    <t>Column10420</t>
  </si>
  <si>
    <t>Column10421</t>
  </si>
  <si>
    <t>Column10422</t>
  </si>
  <si>
    <t>Column10423</t>
  </si>
  <si>
    <t>Column10424</t>
  </si>
  <si>
    <t>Column10425</t>
  </si>
  <si>
    <t>Column10426</t>
  </si>
  <si>
    <t>Column10427</t>
  </si>
  <si>
    <t>Column10428</t>
  </si>
  <si>
    <t>Column10429</t>
  </si>
  <si>
    <t>Column10430</t>
  </si>
  <si>
    <t>Column10431</t>
  </si>
  <si>
    <t>Column10432</t>
  </si>
  <si>
    <t>Column10433</t>
  </si>
  <si>
    <t>Column10434</t>
  </si>
  <si>
    <t>Column10435</t>
  </si>
  <si>
    <t>Column10436</t>
  </si>
  <si>
    <t>Column10437</t>
  </si>
  <si>
    <t>Column10438</t>
  </si>
  <si>
    <t>Column10439</t>
  </si>
  <si>
    <t>Column10440</t>
  </si>
  <si>
    <t>Column10441</t>
  </si>
  <si>
    <t>Column10442</t>
  </si>
  <si>
    <t>Column10443</t>
  </si>
  <si>
    <t>Column10444</t>
  </si>
  <si>
    <t>Column10445</t>
  </si>
  <si>
    <t>Column10446</t>
  </si>
  <si>
    <t>Column10447</t>
  </si>
  <si>
    <t>Column10448</t>
  </si>
  <si>
    <t>Column10449</t>
  </si>
  <si>
    <t>Column10450</t>
  </si>
  <si>
    <t>Column10451</t>
  </si>
  <si>
    <t>Column10452</t>
  </si>
  <si>
    <t>Column10453</t>
  </si>
  <si>
    <t>Column10454</t>
  </si>
  <si>
    <t>Column10455</t>
  </si>
  <si>
    <t>Column10456</t>
  </si>
  <si>
    <t>Column10457</t>
  </si>
  <si>
    <t>Column10458</t>
  </si>
  <si>
    <t>Column10459</t>
  </si>
  <si>
    <t>Column10460</t>
  </si>
  <si>
    <t>Column10461</t>
  </si>
  <si>
    <t>Column10462</t>
  </si>
  <si>
    <t>Column10463</t>
  </si>
  <si>
    <t>Column10464</t>
  </si>
  <si>
    <t>Column10465</t>
  </si>
  <si>
    <t>Column10466</t>
  </si>
  <si>
    <t>Column10467</t>
  </si>
  <si>
    <t>Column10468</t>
  </si>
  <si>
    <t>Column10469</t>
  </si>
  <si>
    <t>Column10470</t>
  </si>
  <si>
    <t>Column10471</t>
  </si>
  <si>
    <t>Column10472</t>
  </si>
  <si>
    <t>Column10473</t>
  </si>
  <si>
    <t>Column10474</t>
  </si>
  <si>
    <t>Column10475</t>
  </si>
  <si>
    <t>Column10476</t>
  </si>
  <si>
    <t>Column10477</t>
  </si>
  <si>
    <t>Column10478</t>
  </si>
  <si>
    <t>Column10479</t>
  </si>
  <si>
    <t>Column10480</t>
  </si>
  <si>
    <t>Column10481</t>
  </si>
  <si>
    <t>Column10482</t>
  </si>
  <si>
    <t>Column10483</t>
  </si>
  <si>
    <t>Column10484</t>
  </si>
  <si>
    <t>Column10485</t>
  </si>
  <si>
    <t>Column10486</t>
  </si>
  <si>
    <t>Column10487</t>
  </si>
  <si>
    <t>Column10488</t>
  </si>
  <si>
    <t>Column10489</t>
  </si>
  <si>
    <t>Column10490</t>
  </si>
  <si>
    <t>Column10491</t>
  </si>
  <si>
    <t>Column10492</t>
  </si>
  <si>
    <t>Column10493</t>
  </si>
  <si>
    <t>Column10494</t>
  </si>
  <si>
    <t>Column10495</t>
  </si>
  <si>
    <t>Column10496</t>
  </si>
  <si>
    <t>Column10497</t>
  </si>
  <si>
    <t>Column10498</t>
  </si>
  <si>
    <t>Column10499</t>
  </si>
  <si>
    <t>Column10500</t>
  </si>
  <si>
    <t>Column10501</t>
  </si>
  <si>
    <t>Column10502</t>
  </si>
  <si>
    <t>Column10503</t>
  </si>
  <si>
    <t>Column10504</t>
  </si>
  <si>
    <t>Column10505</t>
  </si>
  <si>
    <t>Column10506</t>
  </si>
  <si>
    <t>Column10507</t>
  </si>
  <si>
    <t>Column10508</t>
  </si>
  <si>
    <t>Column10509</t>
  </si>
  <si>
    <t>Column10510</t>
  </si>
  <si>
    <t>Column10511</t>
  </si>
  <si>
    <t>Column10512</t>
  </si>
  <si>
    <t>Column10513</t>
  </si>
  <si>
    <t>Column10514</t>
  </si>
  <si>
    <t>Column10515</t>
  </si>
  <si>
    <t>Column10516</t>
  </si>
  <si>
    <t>Column10517</t>
  </si>
  <si>
    <t>Column10518</t>
  </si>
  <si>
    <t>Column10519</t>
  </si>
  <si>
    <t>Column10520</t>
  </si>
  <si>
    <t>Column10521</t>
  </si>
  <si>
    <t>Column10522</t>
  </si>
  <si>
    <t>Column10523</t>
  </si>
  <si>
    <t>Column10524</t>
  </si>
  <si>
    <t>Column10525</t>
  </si>
  <si>
    <t>Column10526</t>
  </si>
  <si>
    <t>Column10527</t>
  </si>
  <si>
    <t>Column10528</t>
  </si>
  <si>
    <t>Column10529</t>
  </si>
  <si>
    <t>Column10530</t>
  </si>
  <si>
    <t>Column10531</t>
  </si>
  <si>
    <t>Column10532</t>
  </si>
  <si>
    <t>Column10533</t>
  </si>
  <si>
    <t>Column10534</t>
  </si>
  <si>
    <t>Column10535</t>
  </si>
  <si>
    <t>Column10536</t>
  </si>
  <si>
    <t>Column10537</t>
  </si>
  <si>
    <t>Column10538</t>
  </si>
  <si>
    <t>Column10539</t>
  </si>
  <si>
    <t>Column10540</t>
  </si>
  <si>
    <t>Column10541</t>
  </si>
  <si>
    <t>Column10542</t>
  </si>
  <si>
    <t>Column10543</t>
  </si>
  <si>
    <t>Column10544</t>
  </si>
  <si>
    <t>Column10545</t>
  </si>
  <si>
    <t>Column10546</t>
  </si>
  <si>
    <t>Column10547</t>
  </si>
  <si>
    <t>Column10548</t>
  </si>
  <si>
    <t>Column10549</t>
  </si>
  <si>
    <t>Column10550</t>
  </si>
  <si>
    <t>Column10551</t>
  </si>
  <si>
    <t>Column10552</t>
  </si>
  <si>
    <t>Column10553</t>
  </si>
  <si>
    <t>Column10554</t>
  </si>
  <si>
    <t>Column10555</t>
  </si>
  <si>
    <t>Column10556</t>
  </si>
  <si>
    <t>Column10557</t>
  </si>
  <si>
    <t>Column10558</t>
  </si>
  <si>
    <t>Column10559</t>
  </si>
  <si>
    <t>Column10560</t>
  </si>
  <si>
    <t>Column10561</t>
  </si>
  <si>
    <t>Column10562</t>
  </si>
  <si>
    <t>Column10563</t>
  </si>
  <si>
    <t>Column10564</t>
  </si>
  <si>
    <t>Column10565</t>
  </si>
  <si>
    <t>Column10566</t>
  </si>
  <si>
    <t>Column10567</t>
  </si>
  <si>
    <t>Column10568</t>
  </si>
  <si>
    <t>Column10569</t>
  </si>
  <si>
    <t>Column10570</t>
  </si>
  <si>
    <t>Column10571</t>
  </si>
  <si>
    <t>Column10572</t>
  </si>
  <si>
    <t>Column10573</t>
  </si>
  <si>
    <t>Column10574</t>
  </si>
  <si>
    <t>Column10575</t>
  </si>
  <si>
    <t>Column10576</t>
  </si>
  <si>
    <t>Column10577</t>
  </si>
  <si>
    <t>Column10578</t>
  </si>
  <si>
    <t>Column10579</t>
  </si>
  <si>
    <t>Column10580</t>
  </si>
  <si>
    <t>Column10581</t>
  </si>
  <si>
    <t>Column10582</t>
  </si>
  <si>
    <t>Column10583</t>
  </si>
  <si>
    <t>Column10584</t>
  </si>
  <si>
    <t>Column10585</t>
  </si>
  <si>
    <t>Column10586</t>
  </si>
  <si>
    <t>Column10587</t>
  </si>
  <si>
    <t>Column10588</t>
  </si>
  <si>
    <t>Column10589</t>
  </si>
  <si>
    <t>Column10590</t>
  </si>
  <si>
    <t>Column10591</t>
  </si>
  <si>
    <t>Column10592</t>
  </si>
  <si>
    <t>Column10593</t>
  </si>
  <si>
    <t>Column10594</t>
  </si>
  <si>
    <t>Column10595</t>
  </si>
  <si>
    <t>Column10596</t>
  </si>
  <si>
    <t>Column10597</t>
  </si>
  <si>
    <t>Column10598</t>
  </si>
  <si>
    <t>Column10599</t>
  </si>
  <si>
    <t>Column10600</t>
  </si>
  <si>
    <t>Column10601</t>
  </si>
  <si>
    <t>Column10602</t>
  </si>
  <si>
    <t>Column10603</t>
  </si>
  <si>
    <t>Column10604</t>
  </si>
  <si>
    <t>Column10605</t>
  </si>
  <si>
    <t>Column10606</t>
  </si>
  <si>
    <t>Column10607</t>
  </si>
  <si>
    <t>Column10608</t>
  </si>
  <si>
    <t>Column10609</t>
  </si>
  <si>
    <t>Column10610</t>
  </si>
  <si>
    <t>Column10611</t>
  </si>
  <si>
    <t>Column10612</t>
  </si>
  <si>
    <t>Column10613</t>
  </si>
  <si>
    <t>Column10614</t>
  </si>
  <si>
    <t>Column10615</t>
  </si>
  <si>
    <t>Column10616</t>
  </si>
  <si>
    <t>Column10617</t>
  </si>
  <si>
    <t>Column10618</t>
  </si>
  <si>
    <t>Column10619</t>
  </si>
  <si>
    <t>Column10620</t>
  </si>
  <si>
    <t>Column10621</t>
  </si>
  <si>
    <t>Column10622</t>
  </si>
  <si>
    <t>Column10623</t>
  </si>
  <si>
    <t>Column10624</t>
  </si>
  <si>
    <t>Column10625</t>
  </si>
  <si>
    <t>Column10626</t>
  </si>
  <si>
    <t>Column10627</t>
  </si>
  <si>
    <t>Column10628</t>
  </si>
  <si>
    <t>Column10629</t>
  </si>
  <si>
    <t>Column10630</t>
  </si>
  <si>
    <t>Column10631</t>
  </si>
  <si>
    <t>Column10632</t>
  </si>
  <si>
    <t>Column10633</t>
  </si>
  <si>
    <t>Column10634</t>
  </si>
  <si>
    <t>Column10635</t>
  </si>
  <si>
    <t>Column10636</t>
  </si>
  <si>
    <t>Column10637</t>
  </si>
  <si>
    <t>Column10638</t>
  </si>
  <si>
    <t>Column10639</t>
  </si>
  <si>
    <t>Column10640</t>
  </si>
  <si>
    <t>Column10641</t>
  </si>
  <si>
    <t>Column10642</t>
  </si>
  <si>
    <t>Column10643</t>
  </si>
  <si>
    <t>Column10644</t>
  </si>
  <si>
    <t>Column10645</t>
  </si>
  <si>
    <t>Column10646</t>
  </si>
  <si>
    <t>Column10647</t>
  </si>
  <si>
    <t>Column10648</t>
  </si>
  <si>
    <t>Column10649</t>
  </si>
  <si>
    <t>Column10650</t>
  </si>
  <si>
    <t>Column10651</t>
  </si>
  <si>
    <t>Column10652</t>
  </si>
  <si>
    <t>Column10653</t>
  </si>
  <si>
    <t>Column10654</t>
  </si>
  <si>
    <t>Column10655</t>
  </si>
  <si>
    <t>Column10656</t>
  </si>
  <si>
    <t>Column10657</t>
  </si>
  <si>
    <t>Column10658</t>
  </si>
  <si>
    <t>Column10659</t>
  </si>
  <si>
    <t>Column10660</t>
  </si>
  <si>
    <t>Column10661</t>
  </si>
  <si>
    <t>Column10662</t>
  </si>
  <si>
    <t>Column10663</t>
  </si>
  <si>
    <t>Column10664</t>
  </si>
  <si>
    <t>Column10665</t>
  </si>
  <si>
    <t>Column10666</t>
  </si>
  <si>
    <t>Column10667</t>
  </si>
  <si>
    <t>Column10668</t>
  </si>
  <si>
    <t>Column10669</t>
  </si>
  <si>
    <t>Column10670</t>
  </si>
  <si>
    <t>Column10671</t>
  </si>
  <si>
    <t>Column10672</t>
  </si>
  <si>
    <t>Column10673</t>
  </si>
  <si>
    <t>Column10674</t>
  </si>
  <si>
    <t>Column10675</t>
  </si>
  <si>
    <t>Column10676</t>
  </si>
  <si>
    <t>Column10677</t>
  </si>
  <si>
    <t>Column10678</t>
  </si>
  <si>
    <t>Column10679</t>
  </si>
  <si>
    <t>Column10680</t>
  </si>
  <si>
    <t>Column10681</t>
  </si>
  <si>
    <t>Column10682</t>
  </si>
  <si>
    <t>Column10683</t>
  </si>
  <si>
    <t>Column10684</t>
  </si>
  <si>
    <t>Column10685</t>
  </si>
  <si>
    <t>Column10686</t>
  </si>
  <si>
    <t>Column10687</t>
  </si>
  <si>
    <t>Column10688</t>
  </si>
  <si>
    <t>Column10689</t>
  </si>
  <si>
    <t>Column10690</t>
  </si>
  <si>
    <t>Column10691</t>
  </si>
  <si>
    <t>Column10692</t>
  </si>
  <si>
    <t>Column10693</t>
  </si>
  <si>
    <t>Column10694</t>
  </si>
  <si>
    <t>Column10695</t>
  </si>
  <si>
    <t>Column10696</t>
  </si>
  <si>
    <t>Column10697</t>
  </si>
  <si>
    <t>Column10698</t>
  </si>
  <si>
    <t>Column10699</t>
  </si>
  <si>
    <t>Column10700</t>
  </si>
  <si>
    <t>Column10701</t>
  </si>
  <si>
    <t>Column10702</t>
  </si>
  <si>
    <t>Column10703</t>
  </si>
  <si>
    <t>Column10704</t>
  </si>
  <si>
    <t>Column10705</t>
  </si>
  <si>
    <t>Column10706</t>
  </si>
  <si>
    <t>Column10707</t>
  </si>
  <si>
    <t>Column10708</t>
  </si>
  <si>
    <t>Column10709</t>
  </si>
  <si>
    <t>Column10710</t>
  </si>
  <si>
    <t>Column10711</t>
  </si>
  <si>
    <t>Column10712</t>
  </si>
  <si>
    <t>Column10713</t>
  </si>
  <si>
    <t>Column10714</t>
  </si>
  <si>
    <t>Column10715</t>
  </si>
  <si>
    <t>Column10716</t>
  </si>
  <si>
    <t>Column10717</t>
  </si>
  <si>
    <t>Column10718</t>
  </si>
  <si>
    <t>Column10719</t>
  </si>
  <si>
    <t>Column10720</t>
  </si>
  <si>
    <t>Column10721</t>
  </si>
  <si>
    <t>Column10722</t>
  </si>
  <si>
    <t>Column10723</t>
  </si>
  <si>
    <t>Column10724</t>
  </si>
  <si>
    <t>Column10725</t>
  </si>
  <si>
    <t>Column10726</t>
  </si>
  <si>
    <t>Column10727</t>
  </si>
  <si>
    <t>Column10728</t>
  </si>
  <si>
    <t>Column10729</t>
  </si>
  <si>
    <t>Column10730</t>
  </si>
  <si>
    <t>Column10731</t>
  </si>
  <si>
    <t>Column10732</t>
  </si>
  <si>
    <t>Column10733</t>
  </si>
  <si>
    <t>Column10734</t>
  </si>
  <si>
    <t>Column10735</t>
  </si>
  <si>
    <t>Column10736</t>
  </si>
  <si>
    <t>Column10737</t>
  </si>
  <si>
    <t>Column10738</t>
  </si>
  <si>
    <t>Column10739</t>
  </si>
  <si>
    <t>Column10740</t>
  </si>
  <si>
    <t>Column10741</t>
  </si>
  <si>
    <t>Column10742</t>
  </si>
  <si>
    <t>Column10743</t>
  </si>
  <si>
    <t>Column10744</t>
  </si>
  <si>
    <t>Column10745</t>
  </si>
  <si>
    <t>Column10746</t>
  </si>
  <si>
    <t>Column10747</t>
  </si>
  <si>
    <t>Column10748</t>
  </si>
  <si>
    <t>Column10749</t>
  </si>
  <si>
    <t>Column10750</t>
  </si>
  <si>
    <t>Column10751</t>
  </si>
  <si>
    <t>Column10752</t>
  </si>
  <si>
    <t>Column10753</t>
  </si>
  <si>
    <t>Column10754</t>
  </si>
  <si>
    <t>Column10755</t>
  </si>
  <si>
    <t>Column10756</t>
  </si>
  <si>
    <t>Column10757</t>
  </si>
  <si>
    <t>Column10758</t>
  </si>
  <si>
    <t>Column10759</t>
  </si>
  <si>
    <t>Column10760</t>
  </si>
  <si>
    <t>Column10761</t>
  </si>
  <si>
    <t>Column10762</t>
  </si>
  <si>
    <t>Column10763</t>
  </si>
  <si>
    <t>Column10764</t>
  </si>
  <si>
    <t>Column10765</t>
  </si>
  <si>
    <t>Column10766</t>
  </si>
  <si>
    <t>Column10767</t>
  </si>
  <si>
    <t>Column10768</t>
  </si>
  <si>
    <t>Column10769</t>
  </si>
  <si>
    <t>Column10770</t>
  </si>
  <si>
    <t>Column10771</t>
  </si>
  <si>
    <t>Column10772</t>
  </si>
  <si>
    <t>Column10773</t>
  </si>
  <si>
    <t>Column10774</t>
  </si>
  <si>
    <t>Column10775</t>
  </si>
  <si>
    <t>Column10776</t>
  </si>
  <si>
    <t>Column10777</t>
  </si>
  <si>
    <t>Column10778</t>
  </si>
  <si>
    <t>Column10779</t>
  </si>
  <si>
    <t>Column10780</t>
  </si>
  <si>
    <t>Column10781</t>
  </si>
  <si>
    <t>Column10782</t>
  </si>
  <si>
    <t>Column10783</t>
  </si>
  <si>
    <t>Column10784</t>
  </si>
  <si>
    <t>Column10785</t>
  </si>
  <si>
    <t>Column10786</t>
  </si>
  <si>
    <t>Column10787</t>
  </si>
  <si>
    <t>Column10788</t>
  </si>
  <si>
    <t>Column10789</t>
  </si>
  <si>
    <t>Column10790</t>
  </si>
  <si>
    <t>Column10791</t>
  </si>
  <si>
    <t>Column10792</t>
  </si>
  <si>
    <t>Column10793</t>
  </si>
  <si>
    <t>Column10794</t>
  </si>
  <si>
    <t>Column10795</t>
  </si>
  <si>
    <t>Column10796</t>
  </si>
  <si>
    <t>Column10797</t>
  </si>
  <si>
    <t>Column10798</t>
  </si>
  <si>
    <t>Column10799</t>
  </si>
  <si>
    <t>Column10800</t>
  </si>
  <si>
    <t>Column10801</t>
  </si>
  <si>
    <t>Column10802</t>
  </si>
  <si>
    <t>Column10803</t>
  </si>
  <si>
    <t>Column10804</t>
  </si>
  <si>
    <t>Column10805</t>
  </si>
  <si>
    <t>Column10806</t>
  </si>
  <si>
    <t>Column10807</t>
  </si>
  <si>
    <t>Column10808</t>
  </si>
  <si>
    <t>Column10809</t>
  </si>
  <si>
    <t>Column10810</t>
  </si>
  <si>
    <t>Column10811</t>
  </si>
  <si>
    <t>Column10812</t>
  </si>
  <si>
    <t>Column10813</t>
  </si>
  <si>
    <t>Column10814</t>
  </si>
  <si>
    <t>Column10815</t>
  </si>
  <si>
    <t>Column10816</t>
  </si>
  <si>
    <t>Column10817</t>
  </si>
  <si>
    <t>Column10818</t>
  </si>
  <si>
    <t>Column10819</t>
  </si>
  <si>
    <t>Column10820</t>
  </si>
  <si>
    <t>Column10821</t>
  </si>
  <si>
    <t>Column10822</t>
  </si>
  <si>
    <t>Column10823</t>
  </si>
  <si>
    <t>Column10824</t>
  </si>
  <si>
    <t>Column10825</t>
  </si>
  <si>
    <t>Column10826</t>
  </si>
  <si>
    <t>Column10827</t>
  </si>
  <si>
    <t>Column10828</t>
  </si>
  <si>
    <t>Column10829</t>
  </si>
  <si>
    <t>Column10830</t>
  </si>
  <si>
    <t>Column10831</t>
  </si>
  <si>
    <t>Column10832</t>
  </si>
  <si>
    <t>Column10833</t>
  </si>
  <si>
    <t>Column10834</t>
  </si>
  <si>
    <t>Column10835</t>
  </si>
  <si>
    <t>Column10836</t>
  </si>
  <si>
    <t>Column10837</t>
  </si>
  <si>
    <t>Column10838</t>
  </si>
  <si>
    <t>Column10839</t>
  </si>
  <si>
    <t>Column10840</t>
  </si>
  <si>
    <t>Column10841</t>
  </si>
  <si>
    <t>Column10842</t>
  </si>
  <si>
    <t>Column10843</t>
  </si>
  <si>
    <t>Column10844</t>
  </si>
  <si>
    <t>Column10845</t>
  </si>
  <si>
    <t>Column10846</t>
  </si>
  <si>
    <t>Column10847</t>
  </si>
  <si>
    <t>Column10848</t>
  </si>
  <si>
    <t>Column10849</t>
  </si>
  <si>
    <t>Column10850</t>
  </si>
  <si>
    <t>Column10851</t>
  </si>
  <si>
    <t>Column10852</t>
  </si>
  <si>
    <t>Column10853</t>
  </si>
  <si>
    <t>Column10854</t>
  </si>
  <si>
    <t>Column10855</t>
  </si>
  <si>
    <t>Column10856</t>
  </si>
  <si>
    <t>Column10857</t>
  </si>
  <si>
    <t>Column10858</t>
  </si>
  <si>
    <t>Column10859</t>
  </si>
  <si>
    <t>Column10860</t>
  </si>
  <si>
    <t>Column10861</t>
  </si>
  <si>
    <t>Column10862</t>
  </si>
  <si>
    <t>Column10863</t>
  </si>
  <si>
    <t>Column10864</t>
  </si>
  <si>
    <t>Column10865</t>
  </si>
  <si>
    <t>Column10866</t>
  </si>
  <si>
    <t>Column10867</t>
  </si>
  <si>
    <t>Column10868</t>
  </si>
  <si>
    <t>Column10869</t>
  </si>
  <si>
    <t>Column10870</t>
  </si>
  <si>
    <t>Column10871</t>
  </si>
  <si>
    <t>Column10872</t>
  </si>
  <si>
    <t>Column10873</t>
  </si>
  <si>
    <t>Column10874</t>
  </si>
  <si>
    <t>Column10875</t>
  </si>
  <si>
    <t>Column10876</t>
  </si>
  <si>
    <t>Column10877</t>
  </si>
  <si>
    <t>Column10878</t>
  </si>
  <si>
    <t>Column10879</t>
  </si>
  <si>
    <t>Column10880</t>
  </si>
  <si>
    <t>Column10881</t>
  </si>
  <si>
    <t>Column10882</t>
  </si>
  <si>
    <t>Column10883</t>
  </si>
  <si>
    <t>Column10884</t>
  </si>
  <si>
    <t>Column10885</t>
  </si>
  <si>
    <t>Column10886</t>
  </si>
  <si>
    <t>Column10887</t>
  </si>
  <si>
    <t>Column10888</t>
  </si>
  <si>
    <t>Column10889</t>
  </si>
  <si>
    <t>Column10890</t>
  </si>
  <si>
    <t>Column10891</t>
  </si>
  <si>
    <t>Column10892</t>
  </si>
  <si>
    <t>Column10893</t>
  </si>
  <si>
    <t>Column10894</t>
  </si>
  <si>
    <t>Column10895</t>
  </si>
  <si>
    <t>Column10896</t>
  </si>
  <si>
    <t>Column10897</t>
  </si>
  <si>
    <t>Column10898</t>
  </si>
  <si>
    <t>Column10899</t>
  </si>
  <si>
    <t>Column10900</t>
  </si>
  <si>
    <t>Column10901</t>
  </si>
  <si>
    <t>Column10902</t>
  </si>
  <si>
    <t>Column10903</t>
  </si>
  <si>
    <t>Column10904</t>
  </si>
  <si>
    <t>Column10905</t>
  </si>
  <si>
    <t>Column10906</t>
  </si>
  <si>
    <t>Column10907</t>
  </si>
  <si>
    <t>Column10908</t>
  </si>
  <si>
    <t>Column10909</t>
  </si>
  <si>
    <t>Column10910</t>
  </si>
  <si>
    <t>Column10911</t>
  </si>
  <si>
    <t>Column10912</t>
  </si>
  <si>
    <t>Column10913</t>
  </si>
  <si>
    <t>Column10914</t>
  </si>
  <si>
    <t>Column10915</t>
  </si>
  <si>
    <t>Column10916</t>
  </si>
  <si>
    <t>Column10917</t>
  </si>
  <si>
    <t>Column10918</t>
  </si>
  <si>
    <t>Column10919</t>
  </si>
  <si>
    <t>Column10920</t>
  </si>
  <si>
    <t>Column10921</t>
  </si>
  <si>
    <t>Column10922</t>
  </si>
  <si>
    <t>Column10923</t>
  </si>
  <si>
    <t>Column10924</t>
  </si>
  <si>
    <t>Column10925</t>
  </si>
  <si>
    <t>Column10926</t>
  </si>
  <si>
    <t>Column10927</t>
  </si>
  <si>
    <t>Column10928</t>
  </si>
  <si>
    <t>Column10929</t>
  </si>
  <si>
    <t>Column10930</t>
  </si>
  <si>
    <t>Column10931</t>
  </si>
  <si>
    <t>Column10932</t>
  </si>
  <si>
    <t>Column10933</t>
  </si>
  <si>
    <t>Column10934</t>
  </si>
  <si>
    <t>Column10935</t>
  </si>
  <si>
    <t>Column10936</t>
  </si>
  <si>
    <t>Column10937</t>
  </si>
  <si>
    <t>Column10938</t>
  </si>
  <si>
    <t>Column10939</t>
  </si>
  <si>
    <t>Column10940</t>
  </si>
  <si>
    <t>Column10941</t>
  </si>
  <si>
    <t>Column10942</t>
  </si>
  <si>
    <t>Column10943</t>
  </si>
  <si>
    <t>Column10944</t>
  </si>
  <si>
    <t>Column10945</t>
  </si>
  <si>
    <t>Column10946</t>
  </si>
  <si>
    <t>Column10947</t>
  </si>
  <si>
    <t>Column10948</t>
  </si>
  <si>
    <t>Column10949</t>
  </si>
  <si>
    <t>Column10950</t>
  </si>
  <si>
    <t>Column10951</t>
  </si>
  <si>
    <t>Column10952</t>
  </si>
  <si>
    <t>Column10953</t>
  </si>
  <si>
    <t>Column10954</t>
  </si>
  <si>
    <t>Column10955</t>
  </si>
  <si>
    <t>Column10956</t>
  </si>
  <si>
    <t>Column10957</t>
  </si>
  <si>
    <t>Column10958</t>
  </si>
  <si>
    <t>Column10959</t>
  </si>
  <si>
    <t>Column10960</t>
  </si>
  <si>
    <t>Column10961</t>
  </si>
  <si>
    <t>Column10962</t>
  </si>
  <si>
    <t>Column10963</t>
  </si>
  <si>
    <t>Column10964</t>
  </si>
  <si>
    <t>Column10965</t>
  </si>
  <si>
    <t>Column10966</t>
  </si>
  <si>
    <t>Column10967</t>
  </si>
  <si>
    <t>Column10968</t>
  </si>
  <si>
    <t>Column10969</t>
  </si>
  <si>
    <t>Column10970</t>
  </si>
  <si>
    <t>Column10971</t>
  </si>
  <si>
    <t>Column10972</t>
  </si>
  <si>
    <t>Column10973</t>
  </si>
  <si>
    <t>Column10974</t>
  </si>
  <si>
    <t>Column10975</t>
  </si>
  <si>
    <t>Column10976</t>
  </si>
  <si>
    <t>Column10977</t>
  </si>
  <si>
    <t>Column10978</t>
  </si>
  <si>
    <t>Column10979</t>
  </si>
  <si>
    <t>Column10980</t>
  </si>
  <si>
    <t>Column10981</t>
  </si>
  <si>
    <t>Column10982</t>
  </si>
  <si>
    <t>Column10983</t>
  </si>
  <si>
    <t>Column10984</t>
  </si>
  <si>
    <t>Column10985</t>
  </si>
  <si>
    <t>Column10986</t>
  </si>
  <si>
    <t>Column10987</t>
  </si>
  <si>
    <t>Column10988</t>
  </si>
  <si>
    <t>Column10989</t>
  </si>
  <si>
    <t>Column10990</t>
  </si>
  <si>
    <t>Column10991</t>
  </si>
  <si>
    <t>Column10992</t>
  </si>
  <si>
    <t>Column10993</t>
  </si>
  <si>
    <t>Column10994</t>
  </si>
  <si>
    <t>Column10995</t>
  </si>
  <si>
    <t>Column10996</t>
  </si>
  <si>
    <t>Column10997</t>
  </si>
  <si>
    <t>Column10998</t>
  </si>
  <si>
    <t>Column10999</t>
  </si>
  <si>
    <t>Column11000</t>
  </si>
  <si>
    <t>Column11001</t>
  </si>
  <si>
    <t>Column11002</t>
  </si>
  <si>
    <t>Column11003</t>
  </si>
  <si>
    <t>Column11004</t>
  </si>
  <si>
    <t>Column11005</t>
  </si>
  <si>
    <t>Column11006</t>
  </si>
  <si>
    <t>Column11007</t>
  </si>
  <si>
    <t>Column11008</t>
  </si>
  <si>
    <t>Column11009</t>
  </si>
  <si>
    <t>Column11010</t>
  </si>
  <si>
    <t>Column11011</t>
  </si>
  <si>
    <t>Column11012</t>
  </si>
  <si>
    <t>Column11013</t>
  </si>
  <si>
    <t>Column11014</t>
  </si>
  <si>
    <t>Column11015</t>
  </si>
  <si>
    <t>Column11016</t>
  </si>
  <si>
    <t>Column11017</t>
  </si>
  <si>
    <t>Column11018</t>
  </si>
  <si>
    <t>Column11019</t>
  </si>
  <si>
    <t>Column11020</t>
  </si>
  <si>
    <t>Column11021</t>
  </si>
  <si>
    <t>Column11022</t>
  </si>
  <si>
    <t>Column11023</t>
  </si>
  <si>
    <t>Column11024</t>
  </si>
  <si>
    <t>Column11025</t>
  </si>
  <si>
    <t>Column11026</t>
  </si>
  <si>
    <t>Column11027</t>
  </si>
  <si>
    <t>Column11028</t>
  </si>
  <si>
    <t>Column11029</t>
  </si>
  <si>
    <t>Column11030</t>
  </si>
  <si>
    <t>Column11031</t>
  </si>
  <si>
    <t>Column11032</t>
  </si>
  <si>
    <t>Column11033</t>
  </si>
  <si>
    <t>Column11034</t>
  </si>
  <si>
    <t>Column11035</t>
  </si>
  <si>
    <t>Column11036</t>
  </si>
  <si>
    <t>Column11037</t>
  </si>
  <si>
    <t>Column11038</t>
  </si>
  <si>
    <t>Column11039</t>
  </si>
  <si>
    <t>Column11040</t>
  </si>
  <si>
    <t>Column11041</t>
  </si>
  <si>
    <t>Column11042</t>
  </si>
  <si>
    <t>Column11043</t>
  </si>
  <si>
    <t>Column11044</t>
  </si>
  <si>
    <t>Column11045</t>
  </si>
  <si>
    <t>Column11046</t>
  </si>
  <si>
    <t>Column11047</t>
  </si>
  <si>
    <t>Column11048</t>
  </si>
  <si>
    <t>Column11049</t>
  </si>
  <si>
    <t>Column11050</t>
  </si>
  <si>
    <t>Column11051</t>
  </si>
  <si>
    <t>Column11052</t>
  </si>
  <si>
    <t>Column11053</t>
  </si>
  <si>
    <t>Column11054</t>
  </si>
  <si>
    <t>Column11055</t>
  </si>
  <si>
    <t>Column11056</t>
  </si>
  <si>
    <t>Column11057</t>
  </si>
  <si>
    <t>Column11058</t>
  </si>
  <si>
    <t>Column11059</t>
  </si>
  <si>
    <t>Column11060</t>
  </si>
  <si>
    <t>Column11061</t>
  </si>
  <si>
    <t>Column11062</t>
  </si>
  <si>
    <t>Column11063</t>
  </si>
  <si>
    <t>Column11064</t>
  </si>
  <si>
    <t>Column11065</t>
  </si>
  <si>
    <t>Column11066</t>
  </si>
  <si>
    <t>Column11067</t>
  </si>
  <si>
    <t>Column11068</t>
  </si>
  <si>
    <t>Column11069</t>
  </si>
  <si>
    <t>Column11070</t>
  </si>
  <si>
    <t>Column11071</t>
  </si>
  <si>
    <t>Column11072</t>
  </si>
  <si>
    <t>Column11073</t>
  </si>
  <si>
    <t>Column11074</t>
  </si>
  <si>
    <t>Column11075</t>
  </si>
  <si>
    <t>Column11076</t>
  </si>
  <si>
    <t>Column11077</t>
  </si>
  <si>
    <t>Column11078</t>
  </si>
  <si>
    <t>Column11079</t>
  </si>
  <si>
    <t>Column11080</t>
  </si>
  <si>
    <t>Column11081</t>
  </si>
  <si>
    <t>Column11082</t>
  </si>
  <si>
    <t>Column11083</t>
  </si>
  <si>
    <t>Column11084</t>
  </si>
  <si>
    <t>Column11085</t>
  </si>
  <si>
    <t>Column11086</t>
  </si>
  <si>
    <t>Column11087</t>
  </si>
  <si>
    <t>Column11088</t>
  </si>
  <si>
    <t>Column11089</t>
  </si>
  <si>
    <t>Column11090</t>
  </si>
  <si>
    <t>Column11091</t>
  </si>
  <si>
    <t>Column11092</t>
  </si>
  <si>
    <t>Column11093</t>
  </si>
  <si>
    <t>Column11094</t>
  </si>
  <si>
    <t>Column11095</t>
  </si>
  <si>
    <t>Column11096</t>
  </si>
  <si>
    <t>Column11097</t>
  </si>
  <si>
    <t>Column11098</t>
  </si>
  <si>
    <t>Column11099</t>
  </si>
  <si>
    <t>Column11100</t>
  </si>
  <si>
    <t>Column11101</t>
  </si>
  <si>
    <t>Column11102</t>
  </si>
  <si>
    <t>Column11103</t>
  </si>
  <si>
    <t>Column11104</t>
  </si>
  <si>
    <t>Column11105</t>
  </si>
  <si>
    <t>Column11106</t>
  </si>
  <si>
    <t>Column11107</t>
  </si>
  <si>
    <t>Column11108</t>
  </si>
  <si>
    <t>Column11109</t>
  </si>
  <si>
    <t>Column11110</t>
  </si>
  <si>
    <t>Column11111</t>
  </si>
  <si>
    <t>Column11112</t>
  </si>
  <si>
    <t>Column11113</t>
  </si>
  <si>
    <t>Column11114</t>
  </si>
  <si>
    <t>Column11115</t>
  </si>
  <si>
    <t>Column11116</t>
  </si>
  <si>
    <t>Column11117</t>
  </si>
  <si>
    <t>Column11118</t>
  </si>
  <si>
    <t>Column11119</t>
  </si>
  <si>
    <t>Column11120</t>
  </si>
  <si>
    <t>Column11121</t>
  </si>
  <si>
    <t>Column11122</t>
  </si>
  <si>
    <t>Column11123</t>
  </si>
  <si>
    <t>Column11124</t>
  </si>
  <si>
    <t>Column11125</t>
  </si>
  <si>
    <t>Column11126</t>
  </si>
  <si>
    <t>Column11127</t>
  </si>
  <si>
    <t>Column11128</t>
  </si>
  <si>
    <t>Column11129</t>
  </si>
  <si>
    <t>Column11130</t>
  </si>
  <si>
    <t>Column11131</t>
  </si>
  <si>
    <t>Column11132</t>
  </si>
  <si>
    <t>Column11133</t>
  </si>
  <si>
    <t>Column11134</t>
  </si>
  <si>
    <t>Column11135</t>
  </si>
  <si>
    <t>Column11136</t>
  </si>
  <si>
    <t>Column11137</t>
  </si>
  <si>
    <t>Column11138</t>
  </si>
  <si>
    <t>Column11139</t>
  </si>
  <si>
    <t>Column11140</t>
  </si>
  <si>
    <t>Column11141</t>
  </si>
  <si>
    <t>Column11142</t>
  </si>
  <si>
    <t>Column11143</t>
  </si>
  <si>
    <t>Column11144</t>
  </si>
  <si>
    <t>Column11145</t>
  </si>
  <si>
    <t>Column11146</t>
  </si>
  <si>
    <t>Column11147</t>
  </si>
  <si>
    <t>Column11148</t>
  </si>
  <si>
    <t>Column11149</t>
  </si>
  <si>
    <t>Column11150</t>
  </si>
  <si>
    <t>Column11151</t>
  </si>
  <si>
    <t>Column11152</t>
  </si>
  <si>
    <t>Column11153</t>
  </si>
  <si>
    <t>Column11154</t>
  </si>
  <si>
    <t>Column11155</t>
  </si>
  <si>
    <t>Column11156</t>
  </si>
  <si>
    <t>Column11157</t>
  </si>
  <si>
    <t>Column11158</t>
  </si>
  <si>
    <t>Column11159</t>
  </si>
  <si>
    <t>Column11160</t>
  </si>
  <si>
    <t>Column11161</t>
  </si>
  <si>
    <t>Column11162</t>
  </si>
  <si>
    <t>Column11163</t>
  </si>
  <si>
    <t>Column11164</t>
  </si>
  <si>
    <t>Column11165</t>
  </si>
  <si>
    <t>Column11166</t>
  </si>
  <si>
    <t>Column11167</t>
  </si>
  <si>
    <t>Column11168</t>
  </si>
  <si>
    <t>Column11169</t>
  </si>
  <si>
    <t>Column11170</t>
  </si>
  <si>
    <t>Column11171</t>
  </si>
  <si>
    <t>Column11172</t>
  </si>
  <si>
    <t>Column11173</t>
  </si>
  <si>
    <t>Column11174</t>
  </si>
  <si>
    <t>Column11175</t>
  </si>
  <si>
    <t>Column11176</t>
  </si>
  <si>
    <t>Column11177</t>
  </si>
  <si>
    <t>Column11178</t>
  </si>
  <si>
    <t>Column11179</t>
  </si>
  <si>
    <t>Column11180</t>
  </si>
  <si>
    <t>Column11181</t>
  </si>
  <si>
    <t>Column11182</t>
  </si>
  <si>
    <t>Column11183</t>
  </si>
  <si>
    <t>Column11184</t>
  </si>
  <si>
    <t>Column11185</t>
  </si>
  <si>
    <t>Column11186</t>
  </si>
  <si>
    <t>Column11187</t>
  </si>
  <si>
    <t>Column11188</t>
  </si>
  <si>
    <t>Column11189</t>
  </si>
  <si>
    <t>Column11190</t>
  </si>
  <si>
    <t>Column11191</t>
  </si>
  <si>
    <t>Column11192</t>
  </si>
  <si>
    <t>Column11193</t>
  </si>
  <si>
    <t>Column11194</t>
  </si>
  <si>
    <t>Column11195</t>
  </si>
  <si>
    <t>Column11196</t>
  </si>
  <si>
    <t>Column11197</t>
  </si>
  <si>
    <t>Column11198</t>
  </si>
  <si>
    <t>Column11199</t>
  </si>
  <si>
    <t>Column11200</t>
  </si>
  <si>
    <t>Column11201</t>
  </si>
  <si>
    <t>Column11202</t>
  </si>
  <si>
    <t>Column11203</t>
  </si>
  <si>
    <t>Column11204</t>
  </si>
  <si>
    <t>Column11205</t>
  </si>
  <si>
    <t>Column11206</t>
  </si>
  <si>
    <t>Column11207</t>
  </si>
  <si>
    <t>Column11208</t>
  </si>
  <si>
    <t>Column11209</t>
  </si>
  <si>
    <t>Column11210</t>
  </si>
  <si>
    <t>Column11211</t>
  </si>
  <si>
    <t>Column11212</t>
  </si>
  <si>
    <t>Column11213</t>
  </si>
  <si>
    <t>Column11214</t>
  </si>
  <si>
    <t>Column11215</t>
  </si>
  <si>
    <t>Column11216</t>
  </si>
  <si>
    <t>Column11217</t>
  </si>
  <si>
    <t>Column11218</t>
  </si>
  <si>
    <t>Column11219</t>
  </si>
  <si>
    <t>Column11220</t>
  </si>
  <si>
    <t>Column11221</t>
  </si>
  <si>
    <t>Column11222</t>
  </si>
  <si>
    <t>Column11223</t>
  </si>
  <si>
    <t>Column11224</t>
  </si>
  <si>
    <t>Column11225</t>
  </si>
  <si>
    <t>Column11226</t>
  </si>
  <si>
    <t>Column11227</t>
  </si>
  <si>
    <t>Column11228</t>
  </si>
  <si>
    <t>Column11229</t>
  </si>
  <si>
    <t>Column11230</t>
  </si>
  <si>
    <t>Column11231</t>
  </si>
  <si>
    <t>Column11232</t>
  </si>
  <si>
    <t>Column11233</t>
  </si>
  <si>
    <t>Column11234</t>
  </si>
  <si>
    <t>Column11235</t>
  </si>
  <si>
    <t>Column11236</t>
  </si>
  <si>
    <t>Column11237</t>
  </si>
  <si>
    <t>Column11238</t>
  </si>
  <si>
    <t>Column11239</t>
  </si>
  <si>
    <t>Column11240</t>
  </si>
  <si>
    <t>Column11241</t>
  </si>
  <si>
    <t>Column11242</t>
  </si>
  <si>
    <t>Column11243</t>
  </si>
  <si>
    <t>Column11244</t>
  </si>
  <si>
    <t>Column11245</t>
  </si>
  <si>
    <t>Column11246</t>
  </si>
  <si>
    <t>Column11247</t>
  </si>
  <si>
    <t>Column11248</t>
  </si>
  <si>
    <t>Column11249</t>
  </si>
  <si>
    <t>Column11250</t>
  </si>
  <si>
    <t>Column11251</t>
  </si>
  <si>
    <t>Column11252</t>
  </si>
  <si>
    <t>Column11253</t>
  </si>
  <si>
    <t>Column11254</t>
  </si>
  <si>
    <t>Column11255</t>
  </si>
  <si>
    <t>Column11256</t>
  </si>
  <si>
    <t>Column11257</t>
  </si>
  <si>
    <t>Column11258</t>
  </si>
  <si>
    <t>Column11259</t>
  </si>
  <si>
    <t>Column11260</t>
  </si>
  <si>
    <t>Column11261</t>
  </si>
  <si>
    <t>Column11262</t>
  </si>
  <si>
    <t>Column11263</t>
  </si>
  <si>
    <t>Column11264</t>
  </si>
  <si>
    <t>Column11265</t>
  </si>
  <si>
    <t>Column11266</t>
  </si>
  <si>
    <t>Column11267</t>
  </si>
  <si>
    <t>Column11268</t>
  </si>
  <si>
    <t>Column11269</t>
  </si>
  <si>
    <t>Column11270</t>
  </si>
  <si>
    <t>Column11271</t>
  </si>
  <si>
    <t>Column11272</t>
  </si>
  <si>
    <t>Column11273</t>
  </si>
  <si>
    <t>Column11274</t>
  </si>
  <si>
    <t>Column11275</t>
  </si>
  <si>
    <t>Column11276</t>
  </si>
  <si>
    <t>Column11277</t>
  </si>
  <si>
    <t>Column11278</t>
  </si>
  <si>
    <t>Column11279</t>
  </si>
  <si>
    <t>Column11280</t>
  </si>
  <si>
    <t>Column11281</t>
  </si>
  <si>
    <t>Column11282</t>
  </si>
  <si>
    <t>Column11283</t>
  </si>
  <si>
    <t>Column11284</t>
  </si>
  <si>
    <t>Column11285</t>
  </si>
  <si>
    <t>Column11286</t>
  </si>
  <si>
    <t>Column11287</t>
  </si>
  <si>
    <t>Column11288</t>
  </si>
  <si>
    <t>Column11289</t>
  </si>
  <si>
    <t>Column11290</t>
  </si>
  <si>
    <t>Column11291</t>
  </si>
  <si>
    <t>Column11292</t>
  </si>
  <si>
    <t>Column11293</t>
  </si>
  <si>
    <t>Column11294</t>
  </si>
  <si>
    <t>Column11295</t>
  </si>
  <si>
    <t>Column11296</t>
  </si>
  <si>
    <t>Column11297</t>
  </si>
  <si>
    <t>Column11298</t>
  </si>
  <si>
    <t>Column11299</t>
  </si>
  <si>
    <t>Column11300</t>
  </si>
  <si>
    <t>Column11301</t>
  </si>
  <si>
    <t>Column11302</t>
  </si>
  <si>
    <t>Column11303</t>
  </si>
  <si>
    <t>Column11304</t>
  </si>
  <si>
    <t>Column11305</t>
  </si>
  <si>
    <t>Column11306</t>
  </si>
  <si>
    <t>Column11307</t>
  </si>
  <si>
    <t>Column11308</t>
  </si>
  <si>
    <t>Column11309</t>
  </si>
  <si>
    <t>Column11310</t>
  </si>
  <si>
    <t>Column11311</t>
  </si>
  <si>
    <t>Column11312</t>
  </si>
  <si>
    <t>Column11313</t>
  </si>
  <si>
    <t>Column11314</t>
  </si>
  <si>
    <t>Column11315</t>
  </si>
  <si>
    <t>Column11316</t>
  </si>
  <si>
    <t>Column11317</t>
  </si>
  <si>
    <t>Column11318</t>
  </si>
  <si>
    <t>Column11319</t>
  </si>
  <si>
    <t>Column11320</t>
  </si>
  <si>
    <t>Column11321</t>
  </si>
  <si>
    <t>Column11322</t>
  </si>
  <si>
    <t>Column11323</t>
  </si>
  <si>
    <t>Column11324</t>
  </si>
  <si>
    <t>Column11325</t>
  </si>
  <si>
    <t>Column11326</t>
  </si>
  <si>
    <t>Column11327</t>
  </si>
  <si>
    <t>Column11328</t>
  </si>
  <si>
    <t>Column11329</t>
  </si>
  <si>
    <t>Column11330</t>
  </si>
  <si>
    <t>Column11331</t>
  </si>
  <si>
    <t>Column11332</t>
  </si>
  <si>
    <t>Column11333</t>
  </si>
  <si>
    <t>Column11334</t>
  </si>
  <si>
    <t>Column11335</t>
  </si>
  <si>
    <t>Column11336</t>
  </si>
  <si>
    <t>Column11337</t>
  </si>
  <si>
    <t>Column11338</t>
  </si>
  <si>
    <t>Column11339</t>
  </si>
  <si>
    <t>Column11340</t>
  </si>
  <si>
    <t>Column11341</t>
  </si>
  <si>
    <t>Column11342</t>
  </si>
  <si>
    <t>Column11343</t>
  </si>
  <si>
    <t>Column11344</t>
  </si>
  <si>
    <t>Column11345</t>
  </si>
  <si>
    <t>Column11346</t>
  </si>
  <si>
    <t>Column11347</t>
  </si>
  <si>
    <t>Column11348</t>
  </si>
  <si>
    <t>Column11349</t>
  </si>
  <si>
    <t>Column11350</t>
  </si>
  <si>
    <t>Column11351</t>
  </si>
  <si>
    <t>Column11352</t>
  </si>
  <si>
    <t>Column11353</t>
  </si>
  <si>
    <t>Column11354</t>
  </si>
  <si>
    <t>Column11355</t>
  </si>
  <si>
    <t>Column11356</t>
  </si>
  <si>
    <t>Column11357</t>
  </si>
  <si>
    <t>Column11358</t>
  </si>
  <si>
    <t>Column11359</t>
  </si>
  <si>
    <t>Column11360</t>
  </si>
  <si>
    <t>Column11361</t>
  </si>
  <si>
    <t>Column11362</t>
  </si>
  <si>
    <t>Column11363</t>
  </si>
  <si>
    <t>Column11364</t>
  </si>
  <si>
    <t>Column11365</t>
  </si>
  <si>
    <t>Column11366</t>
  </si>
  <si>
    <t>Column11367</t>
  </si>
  <si>
    <t>Column11368</t>
  </si>
  <si>
    <t>Column11369</t>
  </si>
  <si>
    <t>Column11370</t>
  </si>
  <si>
    <t>Column11371</t>
  </si>
  <si>
    <t>Column11372</t>
  </si>
  <si>
    <t>Column11373</t>
  </si>
  <si>
    <t>Column11374</t>
  </si>
  <si>
    <t>Column11375</t>
  </si>
  <si>
    <t>Column11376</t>
  </si>
  <si>
    <t>Column11377</t>
  </si>
  <si>
    <t>Column11378</t>
  </si>
  <si>
    <t>Column11379</t>
  </si>
  <si>
    <t>Column11380</t>
  </si>
  <si>
    <t>Column11381</t>
  </si>
  <si>
    <t>Column11382</t>
  </si>
  <si>
    <t>Column11383</t>
  </si>
  <si>
    <t>Column11384</t>
  </si>
  <si>
    <t>Column11385</t>
  </si>
  <si>
    <t>Column11386</t>
  </si>
  <si>
    <t>Column11387</t>
  </si>
  <si>
    <t>Column11388</t>
  </si>
  <si>
    <t>Column11389</t>
  </si>
  <si>
    <t>Column11390</t>
  </si>
  <si>
    <t>Column11391</t>
  </si>
  <si>
    <t>Column11392</t>
  </si>
  <si>
    <t>Column11393</t>
  </si>
  <si>
    <t>Column11394</t>
  </si>
  <si>
    <t>Column11395</t>
  </si>
  <si>
    <t>Column11396</t>
  </si>
  <si>
    <t>Column11397</t>
  </si>
  <si>
    <t>Column11398</t>
  </si>
  <si>
    <t>Column11399</t>
  </si>
  <si>
    <t>Column11400</t>
  </si>
  <si>
    <t>Column11401</t>
  </si>
  <si>
    <t>Column11402</t>
  </si>
  <si>
    <t>Column11403</t>
  </si>
  <si>
    <t>Column11404</t>
  </si>
  <si>
    <t>Column11405</t>
  </si>
  <si>
    <t>Column11406</t>
  </si>
  <si>
    <t>Column11407</t>
  </si>
  <si>
    <t>Column11408</t>
  </si>
  <si>
    <t>Column11409</t>
  </si>
  <si>
    <t>Column11410</t>
  </si>
  <si>
    <t>Column11411</t>
  </si>
  <si>
    <t>Column11412</t>
  </si>
  <si>
    <t>Column11413</t>
  </si>
  <si>
    <t>Column11414</t>
  </si>
  <si>
    <t>Column11415</t>
  </si>
  <si>
    <t>Column11416</t>
  </si>
  <si>
    <t>Column11417</t>
  </si>
  <si>
    <t>Column11418</t>
  </si>
  <si>
    <t>Column11419</t>
  </si>
  <si>
    <t>Column11420</t>
  </si>
  <si>
    <t>Column11421</t>
  </si>
  <si>
    <t>Column11422</t>
  </si>
  <si>
    <t>Column11423</t>
  </si>
  <si>
    <t>Column11424</t>
  </si>
  <si>
    <t>Column11425</t>
  </si>
  <si>
    <t>Column11426</t>
  </si>
  <si>
    <t>Column11427</t>
  </si>
  <si>
    <t>Column11428</t>
  </si>
  <si>
    <t>Column11429</t>
  </si>
  <si>
    <t>Column11430</t>
  </si>
  <si>
    <t>Column11431</t>
  </si>
  <si>
    <t>Column11432</t>
  </si>
  <si>
    <t>Column11433</t>
  </si>
  <si>
    <t>Column11434</t>
  </si>
  <si>
    <t>Column11435</t>
  </si>
  <si>
    <t>Column11436</t>
  </si>
  <si>
    <t>Column11437</t>
  </si>
  <si>
    <t>Column11438</t>
  </si>
  <si>
    <t>Column11439</t>
  </si>
  <si>
    <t>Column11440</t>
  </si>
  <si>
    <t>Column11441</t>
  </si>
  <si>
    <t>Column11442</t>
  </si>
  <si>
    <t>Column11443</t>
  </si>
  <si>
    <t>Column11444</t>
  </si>
  <si>
    <t>Column11445</t>
  </si>
  <si>
    <t>Column11446</t>
  </si>
  <si>
    <t>Column11447</t>
  </si>
  <si>
    <t>Column11448</t>
  </si>
  <si>
    <t>Column11449</t>
  </si>
  <si>
    <t>Column11450</t>
  </si>
  <si>
    <t>Column11451</t>
  </si>
  <si>
    <t>Column11452</t>
  </si>
  <si>
    <t>Column11453</t>
  </si>
  <si>
    <t>Column11454</t>
  </si>
  <si>
    <t>Column11455</t>
  </si>
  <si>
    <t>Column11456</t>
  </si>
  <si>
    <t>Column11457</t>
  </si>
  <si>
    <t>Column11458</t>
  </si>
  <si>
    <t>Column11459</t>
  </si>
  <si>
    <t>Column11460</t>
  </si>
  <si>
    <t>Column11461</t>
  </si>
  <si>
    <t>Column11462</t>
  </si>
  <si>
    <t>Column11463</t>
  </si>
  <si>
    <t>Column11464</t>
  </si>
  <si>
    <t>Column11465</t>
  </si>
  <si>
    <t>Column11466</t>
  </si>
  <si>
    <t>Column11467</t>
  </si>
  <si>
    <t>Column11468</t>
  </si>
  <si>
    <t>Column11469</t>
  </si>
  <si>
    <t>Column11470</t>
  </si>
  <si>
    <t>Column11471</t>
  </si>
  <si>
    <t>Column11472</t>
  </si>
  <si>
    <t>Column11473</t>
  </si>
  <si>
    <t>Column11474</t>
  </si>
  <si>
    <t>Column11475</t>
  </si>
  <si>
    <t>Column11476</t>
  </si>
  <si>
    <t>Column11477</t>
  </si>
  <si>
    <t>Column11478</t>
  </si>
  <si>
    <t>Column11479</t>
  </si>
  <si>
    <t>Column11480</t>
  </si>
  <si>
    <t>Column11481</t>
  </si>
  <si>
    <t>Column11482</t>
  </si>
  <si>
    <t>Column11483</t>
  </si>
  <si>
    <t>Column11484</t>
  </si>
  <si>
    <t>Column11485</t>
  </si>
  <si>
    <t>Column11486</t>
  </si>
  <si>
    <t>Column11487</t>
  </si>
  <si>
    <t>Column11488</t>
  </si>
  <si>
    <t>Column11489</t>
  </si>
  <si>
    <t>Column11490</t>
  </si>
  <si>
    <t>Column11491</t>
  </si>
  <si>
    <t>Column11492</t>
  </si>
  <si>
    <t>Column11493</t>
  </si>
  <si>
    <t>Column11494</t>
  </si>
  <si>
    <t>Column11495</t>
  </si>
  <si>
    <t>Column11496</t>
  </si>
  <si>
    <t>Column11497</t>
  </si>
  <si>
    <t>Column11498</t>
  </si>
  <si>
    <t>Column11499</t>
  </si>
  <si>
    <t>Column11500</t>
  </si>
  <si>
    <t>Column11501</t>
  </si>
  <si>
    <t>Column11502</t>
  </si>
  <si>
    <t>Column11503</t>
  </si>
  <si>
    <t>Column11504</t>
  </si>
  <si>
    <t>Column11505</t>
  </si>
  <si>
    <t>Column11506</t>
  </si>
  <si>
    <t>Column11507</t>
  </si>
  <si>
    <t>Column11508</t>
  </si>
  <si>
    <t>Column11509</t>
  </si>
  <si>
    <t>Column11510</t>
  </si>
  <si>
    <t>Column11511</t>
  </si>
  <si>
    <t>Column11512</t>
  </si>
  <si>
    <t>Column11513</t>
  </si>
  <si>
    <t>Column11514</t>
  </si>
  <si>
    <t>Column11515</t>
  </si>
  <si>
    <t>Column11516</t>
  </si>
  <si>
    <t>Column11517</t>
  </si>
  <si>
    <t>Column11518</t>
  </si>
  <si>
    <t>Column11519</t>
  </si>
  <si>
    <t>Column11520</t>
  </si>
  <si>
    <t>Column11521</t>
  </si>
  <si>
    <t>Column11522</t>
  </si>
  <si>
    <t>Column11523</t>
  </si>
  <si>
    <t>Column11524</t>
  </si>
  <si>
    <t>Column11525</t>
  </si>
  <si>
    <t>Column11526</t>
  </si>
  <si>
    <t>Column11527</t>
  </si>
  <si>
    <t>Column11528</t>
  </si>
  <si>
    <t>Column11529</t>
  </si>
  <si>
    <t>Column11530</t>
  </si>
  <si>
    <t>Column11531</t>
  </si>
  <si>
    <t>Column11532</t>
  </si>
  <si>
    <t>Column11533</t>
  </si>
  <si>
    <t>Column11534</t>
  </si>
  <si>
    <t>Column11535</t>
  </si>
  <si>
    <t>Column11536</t>
  </si>
  <si>
    <t>Column11537</t>
  </si>
  <si>
    <t>Column11538</t>
  </si>
  <si>
    <t>Column11539</t>
  </si>
  <si>
    <t>Column11540</t>
  </si>
  <si>
    <t>Column11541</t>
  </si>
  <si>
    <t>Column11542</t>
  </si>
  <si>
    <t>Column11543</t>
  </si>
  <si>
    <t>Column11544</t>
  </si>
  <si>
    <t>Column11545</t>
  </si>
  <si>
    <t>Column11546</t>
  </si>
  <si>
    <t>Column11547</t>
  </si>
  <si>
    <t>Column11548</t>
  </si>
  <si>
    <t>Column11549</t>
  </si>
  <si>
    <t>Column11550</t>
  </si>
  <si>
    <t>Column11551</t>
  </si>
  <si>
    <t>Column11552</t>
  </si>
  <si>
    <t>Column11553</t>
  </si>
  <si>
    <t>Column11554</t>
  </si>
  <si>
    <t>Column11555</t>
  </si>
  <si>
    <t>Column11556</t>
  </si>
  <si>
    <t>Column11557</t>
  </si>
  <si>
    <t>Column11558</t>
  </si>
  <si>
    <t>Column11559</t>
  </si>
  <si>
    <t>Column11560</t>
  </si>
  <si>
    <t>Column11561</t>
  </si>
  <si>
    <t>Column11562</t>
  </si>
  <si>
    <t>Column11563</t>
  </si>
  <si>
    <t>Column11564</t>
  </si>
  <si>
    <t>Column11565</t>
  </si>
  <si>
    <t>Column11566</t>
  </si>
  <si>
    <t>Column11567</t>
  </si>
  <si>
    <t>Column11568</t>
  </si>
  <si>
    <t>Column11569</t>
  </si>
  <si>
    <t>Column11570</t>
  </si>
  <si>
    <t>Column11571</t>
  </si>
  <si>
    <t>Column11572</t>
  </si>
  <si>
    <t>Column11573</t>
  </si>
  <si>
    <t>Column11574</t>
  </si>
  <si>
    <t>Column11575</t>
  </si>
  <si>
    <t>Column11576</t>
  </si>
  <si>
    <t>Column11577</t>
  </si>
  <si>
    <t>Column11578</t>
  </si>
  <si>
    <t>Column11579</t>
  </si>
  <si>
    <t>Column11580</t>
  </si>
  <si>
    <t>Column11581</t>
  </si>
  <si>
    <t>Column11582</t>
  </si>
  <si>
    <t>Column11583</t>
  </si>
  <si>
    <t>Column11584</t>
  </si>
  <si>
    <t>Column11585</t>
  </si>
  <si>
    <t>Column11586</t>
  </si>
  <si>
    <t>Column11587</t>
  </si>
  <si>
    <t>Column11588</t>
  </si>
  <si>
    <t>Column11589</t>
  </si>
  <si>
    <t>Column11590</t>
  </si>
  <si>
    <t>Column11591</t>
  </si>
  <si>
    <t>Column11592</t>
  </si>
  <si>
    <t>Column11593</t>
  </si>
  <si>
    <t>Column11594</t>
  </si>
  <si>
    <t>Column11595</t>
  </si>
  <si>
    <t>Column11596</t>
  </si>
  <si>
    <t>Column11597</t>
  </si>
  <si>
    <t>Column11598</t>
  </si>
  <si>
    <t>Column11599</t>
  </si>
  <si>
    <t>Column11600</t>
  </si>
  <si>
    <t>Column11601</t>
  </si>
  <si>
    <t>Column11602</t>
  </si>
  <si>
    <t>Column11603</t>
  </si>
  <si>
    <t>Column11604</t>
  </si>
  <si>
    <t>Column11605</t>
  </si>
  <si>
    <t>Column11606</t>
  </si>
  <si>
    <t>Column11607</t>
  </si>
  <si>
    <t>Column11608</t>
  </si>
  <si>
    <t>Column11609</t>
  </si>
  <si>
    <t>Column11610</t>
  </si>
  <si>
    <t>Column11611</t>
  </si>
  <si>
    <t>Column11612</t>
  </si>
  <si>
    <t>Column11613</t>
  </si>
  <si>
    <t>Column11614</t>
  </si>
  <si>
    <t>Column11615</t>
  </si>
  <si>
    <t>Column11616</t>
  </si>
  <si>
    <t>Column11617</t>
  </si>
  <si>
    <t>Column11618</t>
  </si>
  <si>
    <t>Column11619</t>
  </si>
  <si>
    <t>Column11620</t>
  </si>
  <si>
    <t>Column11621</t>
  </si>
  <si>
    <t>Column11622</t>
  </si>
  <si>
    <t>Column11623</t>
  </si>
  <si>
    <t>Column11624</t>
  </si>
  <si>
    <t>Column11625</t>
  </si>
  <si>
    <t>Column11626</t>
  </si>
  <si>
    <t>Column11627</t>
  </si>
  <si>
    <t>Column11628</t>
  </si>
  <si>
    <t>Column11629</t>
  </si>
  <si>
    <t>Column11630</t>
  </si>
  <si>
    <t>Column11631</t>
  </si>
  <si>
    <t>Column11632</t>
  </si>
  <si>
    <t>Column11633</t>
  </si>
  <si>
    <t>Column11634</t>
  </si>
  <si>
    <t>Column11635</t>
  </si>
  <si>
    <t>Column11636</t>
  </si>
  <si>
    <t>Column11637</t>
  </si>
  <si>
    <t>Column11638</t>
  </si>
  <si>
    <t>Column11639</t>
  </si>
  <si>
    <t>Column11640</t>
  </si>
  <si>
    <t>Column11641</t>
  </si>
  <si>
    <t>Column11642</t>
  </si>
  <si>
    <t>Column11643</t>
  </si>
  <si>
    <t>Column11644</t>
  </si>
  <si>
    <t>Column11645</t>
  </si>
  <si>
    <t>Column11646</t>
  </si>
  <si>
    <t>Column11647</t>
  </si>
  <si>
    <t>Column11648</t>
  </si>
  <si>
    <t>Column11649</t>
  </si>
  <si>
    <t>Column11650</t>
  </si>
  <si>
    <t>Column11651</t>
  </si>
  <si>
    <t>Column11652</t>
  </si>
  <si>
    <t>Column11653</t>
  </si>
  <si>
    <t>Column11654</t>
  </si>
  <si>
    <t>Column11655</t>
  </si>
  <si>
    <t>Column11656</t>
  </si>
  <si>
    <t>Column11657</t>
  </si>
  <si>
    <t>Column11658</t>
  </si>
  <si>
    <t>Column11659</t>
  </si>
  <si>
    <t>Column11660</t>
  </si>
  <si>
    <t>Column11661</t>
  </si>
  <si>
    <t>Column11662</t>
  </si>
  <si>
    <t>Column11663</t>
  </si>
  <si>
    <t>Column11664</t>
  </si>
  <si>
    <t>Column11665</t>
  </si>
  <si>
    <t>Column11666</t>
  </si>
  <si>
    <t>Column11667</t>
  </si>
  <si>
    <t>Column11668</t>
  </si>
  <si>
    <t>Column11669</t>
  </si>
  <si>
    <t>Column11670</t>
  </si>
  <si>
    <t>Column11671</t>
  </si>
  <si>
    <t>Column11672</t>
  </si>
  <si>
    <t>Column11673</t>
  </si>
  <si>
    <t>Column11674</t>
  </si>
  <si>
    <t>Column11675</t>
  </si>
  <si>
    <t>Column11676</t>
  </si>
  <si>
    <t>Column11677</t>
  </si>
  <si>
    <t>Column11678</t>
  </si>
  <si>
    <t>Column11679</t>
  </si>
  <si>
    <t>Column11680</t>
  </si>
  <si>
    <t>Column11681</t>
  </si>
  <si>
    <t>Column11682</t>
  </si>
  <si>
    <t>Column11683</t>
  </si>
  <si>
    <t>Column11684</t>
  </si>
  <si>
    <t>Column11685</t>
  </si>
  <si>
    <t>Column11686</t>
  </si>
  <si>
    <t>Column11687</t>
  </si>
  <si>
    <t>Column11688</t>
  </si>
  <si>
    <t>Column11689</t>
  </si>
  <si>
    <t>Column11690</t>
  </si>
  <si>
    <t>Column11691</t>
  </si>
  <si>
    <t>Column11692</t>
  </si>
  <si>
    <t>Column11693</t>
  </si>
  <si>
    <t>Column11694</t>
  </si>
  <si>
    <t>Column11695</t>
  </si>
  <si>
    <t>Column11696</t>
  </si>
  <si>
    <t>Column11697</t>
  </si>
  <si>
    <t>Column11698</t>
  </si>
  <si>
    <t>Column11699</t>
  </si>
  <si>
    <t>Column11700</t>
  </si>
  <si>
    <t>Column11701</t>
  </si>
  <si>
    <t>Column11702</t>
  </si>
  <si>
    <t>Column11703</t>
  </si>
  <si>
    <t>Column11704</t>
  </si>
  <si>
    <t>Column11705</t>
  </si>
  <si>
    <t>Column11706</t>
  </si>
  <si>
    <t>Column11707</t>
  </si>
  <si>
    <t>Column11708</t>
  </si>
  <si>
    <t>Column11709</t>
  </si>
  <si>
    <t>Column11710</t>
  </si>
  <si>
    <t>Column11711</t>
  </si>
  <si>
    <t>Column11712</t>
  </si>
  <si>
    <t>Column11713</t>
  </si>
  <si>
    <t>Column11714</t>
  </si>
  <si>
    <t>Column11715</t>
  </si>
  <si>
    <t>Column11716</t>
  </si>
  <si>
    <t>Column11717</t>
  </si>
  <si>
    <t>Column11718</t>
  </si>
  <si>
    <t>Column11719</t>
  </si>
  <si>
    <t>Column11720</t>
  </si>
  <si>
    <t>Column11721</t>
  </si>
  <si>
    <t>Column11722</t>
  </si>
  <si>
    <t>Column11723</t>
  </si>
  <si>
    <t>Column11724</t>
  </si>
  <si>
    <t>Column11725</t>
  </si>
  <si>
    <t>Column11726</t>
  </si>
  <si>
    <t>Column11727</t>
  </si>
  <si>
    <t>Column11728</t>
  </si>
  <si>
    <t>Column11729</t>
  </si>
  <si>
    <t>Column11730</t>
  </si>
  <si>
    <t>Column11731</t>
  </si>
  <si>
    <t>Column11732</t>
  </si>
  <si>
    <t>Column11733</t>
  </si>
  <si>
    <t>Column11734</t>
  </si>
  <si>
    <t>Column11735</t>
  </si>
  <si>
    <t>Column11736</t>
  </si>
  <si>
    <t>Column11737</t>
  </si>
  <si>
    <t>Column11738</t>
  </si>
  <si>
    <t>Column11739</t>
  </si>
  <si>
    <t>Column11740</t>
  </si>
  <si>
    <t>Column11741</t>
  </si>
  <si>
    <t>Column11742</t>
  </si>
  <si>
    <t>Column11743</t>
  </si>
  <si>
    <t>Column11744</t>
  </si>
  <si>
    <t>Column11745</t>
  </si>
  <si>
    <t>Column11746</t>
  </si>
  <si>
    <t>Column11747</t>
  </si>
  <si>
    <t>Column11748</t>
  </si>
  <si>
    <t>Column11749</t>
  </si>
  <si>
    <t>Column11750</t>
  </si>
  <si>
    <t>Column11751</t>
  </si>
  <si>
    <t>Column11752</t>
  </si>
  <si>
    <t>Column11753</t>
  </si>
  <si>
    <t>Column11754</t>
  </si>
  <si>
    <t>Column11755</t>
  </si>
  <si>
    <t>Column11756</t>
  </si>
  <si>
    <t>Column11757</t>
  </si>
  <si>
    <t>Column11758</t>
  </si>
  <si>
    <t>Column11759</t>
  </si>
  <si>
    <t>Column11760</t>
  </si>
  <si>
    <t>Column11761</t>
  </si>
  <si>
    <t>Column11762</t>
  </si>
  <si>
    <t>Column11763</t>
  </si>
  <si>
    <t>Column11764</t>
  </si>
  <si>
    <t>Column11765</t>
  </si>
  <si>
    <t>Column11766</t>
  </si>
  <si>
    <t>Column11767</t>
  </si>
  <si>
    <t>Column11768</t>
  </si>
  <si>
    <t>Column11769</t>
  </si>
  <si>
    <t>Column11770</t>
  </si>
  <si>
    <t>Column11771</t>
  </si>
  <si>
    <t>Column11772</t>
  </si>
  <si>
    <t>Column11773</t>
  </si>
  <si>
    <t>Column11774</t>
  </si>
  <si>
    <t>Column11775</t>
  </si>
  <si>
    <t>Column11776</t>
  </si>
  <si>
    <t>Column11777</t>
  </si>
  <si>
    <t>Column11778</t>
  </si>
  <si>
    <t>Column11779</t>
  </si>
  <si>
    <t>Column11780</t>
  </si>
  <si>
    <t>Column11781</t>
  </si>
  <si>
    <t>Column11782</t>
  </si>
  <si>
    <t>Column11783</t>
  </si>
  <si>
    <t>Column11784</t>
  </si>
  <si>
    <t>Column11785</t>
  </si>
  <si>
    <t>Column11786</t>
  </si>
  <si>
    <t>Column11787</t>
  </si>
  <si>
    <t>Column11788</t>
  </si>
  <si>
    <t>Column11789</t>
  </si>
  <si>
    <t>Column11790</t>
  </si>
  <si>
    <t>Column11791</t>
  </si>
  <si>
    <t>Column11792</t>
  </si>
  <si>
    <t>Column11793</t>
  </si>
  <si>
    <t>Column11794</t>
  </si>
  <si>
    <t>Column11795</t>
  </si>
  <si>
    <t>Column11796</t>
  </si>
  <si>
    <t>Column11797</t>
  </si>
  <si>
    <t>Column11798</t>
  </si>
  <si>
    <t>Column11799</t>
  </si>
  <si>
    <t>Column11800</t>
  </si>
  <si>
    <t>Column11801</t>
  </si>
  <si>
    <t>Column11802</t>
  </si>
  <si>
    <t>Column11803</t>
  </si>
  <si>
    <t>Column11804</t>
  </si>
  <si>
    <t>Column11805</t>
  </si>
  <si>
    <t>Column11806</t>
  </si>
  <si>
    <t>Column11807</t>
  </si>
  <si>
    <t>Column11808</t>
  </si>
  <si>
    <t>Column11809</t>
  </si>
  <si>
    <t>Column11810</t>
  </si>
  <si>
    <t>Column11811</t>
  </si>
  <si>
    <t>Column11812</t>
  </si>
  <si>
    <t>Column11813</t>
  </si>
  <si>
    <t>Column11814</t>
  </si>
  <si>
    <t>Column11815</t>
  </si>
  <si>
    <t>Column11816</t>
  </si>
  <si>
    <t>Column11817</t>
  </si>
  <si>
    <t>Column11818</t>
  </si>
  <si>
    <t>Column11819</t>
  </si>
  <si>
    <t>Column11820</t>
  </si>
  <si>
    <t>Column11821</t>
  </si>
  <si>
    <t>Column11822</t>
  </si>
  <si>
    <t>Column11823</t>
  </si>
  <si>
    <t>Column11824</t>
  </si>
  <si>
    <t>Column11825</t>
  </si>
  <si>
    <t>Column11826</t>
  </si>
  <si>
    <t>Column11827</t>
  </si>
  <si>
    <t>Column11828</t>
  </si>
  <si>
    <t>Column11829</t>
  </si>
  <si>
    <t>Column11830</t>
  </si>
  <si>
    <t>Column11831</t>
  </si>
  <si>
    <t>Column11832</t>
  </si>
  <si>
    <t>Column11833</t>
  </si>
  <si>
    <t>Column11834</t>
  </si>
  <si>
    <t>Column11835</t>
  </si>
  <si>
    <t>Column11836</t>
  </si>
  <si>
    <t>Column11837</t>
  </si>
  <si>
    <t>Column11838</t>
  </si>
  <si>
    <t>Column11839</t>
  </si>
  <si>
    <t>Column11840</t>
  </si>
  <si>
    <t>Column11841</t>
  </si>
  <si>
    <t>Column11842</t>
  </si>
  <si>
    <t>Column11843</t>
  </si>
  <si>
    <t>Column11844</t>
  </si>
  <si>
    <t>Column11845</t>
  </si>
  <si>
    <t>Column11846</t>
  </si>
  <si>
    <t>Column11847</t>
  </si>
  <si>
    <t>Column11848</t>
  </si>
  <si>
    <t>Column11849</t>
  </si>
  <si>
    <t>Column11850</t>
  </si>
  <si>
    <t>Column11851</t>
  </si>
  <si>
    <t>Column11852</t>
  </si>
  <si>
    <t>Column11853</t>
  </si>
  <si>
    <t>Column11854</t>
  </si>
  <si>
    <t>Column11855</t>
  </si>
  <si>
    <t>Column11856</t>
  </si>
  <si>
    <t>Column11857</t>
  </si>
  <si>
    <t>Column11858</t>
  </si>
  <si>
    <t>Column11859</t>
  </si>
  <si>
    <t>Column11860</t>
  </si>
  <si>
    <t>Column11861</t>
  </si>
  <si>
    <t>Column11862</t>
  </si>
  <si>
    <t>Column11863</t>
  </si>
  <si>
    <t>Column11864</t>
  </si>
  <si>
    <t>Column11865</t>
  </si>
  <si>
    <t>Column11866</t>
  </si>
  <si>
    <t>Column11867</t>
  </si>
  <si>
    <t>Column11868</t>
  </si>
  <si>
    <t>Column11869</t>
  </si>
  <si>
    <t>Column11870</t>
  </si>
  <si>
    <t>Column11871</t>
  </si>
  <si>
    <t>Column11872</t>
  </si>
  <si>
    <t>Column11873</t>
  </si>
  <si>
    <t>Column11874</t>
  </si>
  <si>
    <t>Column11875</t>
  </si>
  <si>
    <t>Column11876</t>
  </si>
  <si>
    <t>Column11877</t>
  </si>
  <si>
    <t>Column11878</t>
  </si>
  <si>
    <t>Column11879</t>
  </si>
  <si>
    <t>Column11880</t>
  </si>
  <si>
    <t>Column11881</t>
  </si>
  <si>
    <t>Column11882</t>
  </si>
  <si>
    <t>Column11883</t>
  </si>
  <si>
    <t>Column11884</t>
  </si>
  <si>
    <t>Column11885</t>
  </si>
  <si>
    <t>Column11886</t>
  </si>
  <si>
    <t>Column11887</t>
  </si>
  <si>
    <t>Column11888</t>
  </si>
  <si>
    <t>Column11889</t>
  </si>
  <si>
    <t>Column11890</t>
  </si>
  <si>
    <t>Column11891</t>
  </si>
  <si>
    <t>Column11892</t>
  </si>
  <si>
    <t>Column11893</t>
  </si>
  <si>
    <t>Column11894</t>
  </si>
  <si>
    <t>Column11895</t>
  </si>
  <si>
    <t>Column11896</t>
  </si>
  <si>
    <t>Column11897</t>
  </si>
  <si>
    <t>Column11898</t>
  </si>
  <si>
    <t>Column11899</t>
  </si>
  <si>
    <t>Column11900</t>
  </si>
  <si>
    <t>Column11901</t>
  </si>
  <si>
    <t>Column11902</t>
  </si>
  <si>
    <t>Column11903</t>
  </si>
  <si>
    <t>Column11904</t>
  </si>
  <si>
    <t>Column11905</t>
  </si>
  <si>
    <t>Column11906</t>
  </si>
  <si>
    <t>Column11907</t>
  </si>
  <si>
    <t>Column11908</t>
  </si>
  <si>
    <t>Column11909</t>
  </si>
  <si>
    <t>Column11910</t>
  </si>
  <si>
    <t>Column11911</t>
  </si>
  <si>
    <t>Column11912</t>
  </si>
  <si>
    <t>Column11913</t>
  </si>
  <si>
    <t>Column11914</t>
  </si>
  <si>
    <t>Column11915</t>
  </si>
  <si>
    <t>Column11916</t>
  </si>
  <si>
    <t>Column11917</t>
  </si>
  <si>
    <t>Column11918</t>
  </si>
  <si>
    <t>Column11919</t>
  </si>
  <si>
    <t>Column11920</t>
  </si>
  <si>
    <t>Column11921</t>
  </si>
  <si>
    <t>Column11922</t>
  </si>
  <si>
    <t>Column11923</t>
  </si>
  <si>
    <t>Column11924</t>
  </si>
  <si>
    <t>Column11925</t>
  </si>
  <si>
    <t>Column11926</t>
  </si>
  <si>
    <t>Column11927</t>
  </si>
  <si>
    <t>Column11928</t>
  </si>
  <si>
    <t>Column11929</t>
  </si>
  <si>
    <t>Column11930</t>
  </si>
  <si>
    <t>Column11931</t>
  </si>
  <si>
    <t>Column11932</t>
  </si>
  <si>
    <t>Column11933</t>
  </si>
  <si>
    <t>Column11934</t>
  </si>
  <si>
    <t>Column11935</t>
  </si>
  <si>
    <t>Column11936</t>
  </si>
  <si>
    <t>Column11937</t>
  </si>
  <si>
    <t>Column11938</t>
  </si>
  <si>
    <t>Column11939</t>
  </si>
  <si>
    <t>Column11940</t>
  </si>
  <si>
    <t>Column11941</t>
  </si>
  <si>
    <t>Column11942</t>
  </si>
  <si>
    <t>Column11943</t>
  </si>
  <si>
    <t>Column11944</t>
  </si>
  <si>
    <t>Column11945</t>
  </si>
  <si>
    <t>Column11946</t>
  </si>
  <si>
    <t>Column11947</t>
  </si>
  <si>
    <t>Column11948</t>
  </si>
  <si>
    <t>Column11949</t>
  </si>
  <si>
    <t>Column11950</t>
  </si>
  <si>
    <t>Column11951</t>
  </si>
  <si>
    <t>Column11952</t>
  </si>
  <si>
    <t>Column11953</t>
  </si>
  <si>
    <t>Column11954</t>
  </si>
  <si>
    <t>Column11955</t>
  </si>
  <si>
    <t>Column11956</t>
  </si>
  <si>
    <t>Column11957</t>
  </si>
  <si>
    <t>Column11958</t>
  </si>
  <si>
    <t>Column11959</t>
  </si>
  <si>
    <t>Column11960</t>
  </si>
  <si>
    <t>Column11961</t>
  </si>
  <si>
    <t>Column11962</t>
  </si>
  <si>
    <t>Column11963</t>
  </si>
  <si>
    <t>Column11964</t>
  </si>
  <si>
    <t>Column11965</t>
  </si>
  <si>
    <t>Column11966</t>
  </si>
  <si>
    <t>Column11967</t>
  </si>
  <si>
    <t>Column11968</t>
  </si>
  <si>
    <t>Column11969</t>
  </si>
  <si>
    <t>Column11970</t>
  </si>
  <si>
    <t>Column11971</t>
  </si>
  <si>
    <t>Column11972</t>
  </si>
  <si>
    <t>Column11973</t>
  </si>
  <si>
    <t>Column11974</t>
  </si>
  <si>
    <t>Column11975</t>
  </si>
  <si>
    <t>Column11976</t>
  </si>
  <si>
    <t>Column11977</t>
  </si>
  <si>
    <t>Column11978</t>
  </si>
  <si>
    <t>Column11979</t>
  </si>
  <si>
    <t>Column11980</t>
  </si>
  <si>
    <t>Column11981</t>
  </si>
  <si>
    <t>Column11982</t>
  </si>
  <si>
    <t>Column11983</t>
  </si>
  <si>
    <t>Column11984</t>
  </si>
  <si>
    <t>Column11985</t>
  </si>
  <si>
    <t>Column11986</t>
  </si>
  <si>
    <t>Column11987</t>
  </si>
  <si>
    <t>Column11988</t>
  </si>
  <si>
    <t>Column11989</t>
  </si>
  <si>
    <t>Column11990</t>
  </si>
  <si>
    <t>Column11991</t>
  </si>
  <si>
    <t>Column11992</t>
  </si>
  <si>
    <t>Column11993</t>
  </si>
  <si>
    <t>Column11994</t>
  </si>
  <si>
    <t>Column11995</t>
  </si>
  <si>
    <t>Column11996</t>
  </si>
  <si>
    <t>Column11997</t>
  </si>
  <si>
    <t>Column11998</t>
  </si>
  <si>
    <t>Column11999</t>
  </si>
  <si>
    <t>Column12000</t>
  </si>
  <si>
    <t>Column12001</t>
  </si>
  <si>
    <t>Column12002</t>
  </si>
  <si>
    <t>Column12003</t>
  </si>
  <si>
    <t>Column12004</t>
  </si>
  <si>
    <t>Column12005</t>
  </si>
  <si>
    <t>Column12006</t>
  </si>
  <si>
    <t>Column12007</t>
  </si>
  <si>
    <t>Column12008</t>
  </si>
  <si>
    <t>Column12009</t>
  </si>
  <si>
    <t>Column12010</t>
  </si>
  <si>
    <t>Column12011</t>
  </si>
  <si>
    <t>Column12012</t>
  </si>
  <si>
    <t>Column12013</t>
  </si>
  <si>
    <t>Column12014</t>
  </si>
  <si>
    <t>Column12015</t>
  </si>
  <si>
    <t>Column12016</t>
  </si>
  <si>
    <t>Column12017</t>
  </si>
  <si>
    <t>Column12018</t>
  </si>
  <si>
    <t>Column12019</t>
  </si>
  <si>
    <t>Column12020</t>
  </si>
  <si>
    <t>Column12021</t>
  </si>
  <si>
    <t>Column12022</t>
  </si>
  <si>
    <t>Column12023</t>
  </si>
  <si>
    <t>Column12024</t>
  </si>
  <si>
    <t>Column12025</t>
  </si>
  <si>
    <t>Column12026</t>
  </si>
  <si>
    <t>Column12027</t>
  </si>
  <si>
    <t>Column12028</t>
  </si>
  <si>
    <t>Column12029</t>
  </si>
  <si>
    <t>Column12030</t>
  </si>
  <si>
    <t>Column12031</t>
  </si>
  <si>
    <t>Column12032</t>
  </si>
  <si>
    <t>Column12033</t>
  </si>
  <si>
    <t>Column12034</t>
  </si>
  <si>
    <t>Column12035</t>
  </si>
  <si>
    <t>Column12036</t>
  </si>
  <si>
    <t>Column12037</t>
  </si>
  <si>
    <t>Column12038</t>
  </si>
  <si>
    <t>Column12039</t>
  </si>
  <si>
    <t>Column12040</t>
  </si>
  <si>
    <t>Column12041</t>
  </si>
  <si>
    <t>Column12042</t>
  </si>
  <si>
    <t>Column12043</t>
  </si>
  <si>
    <t>Column12044</t>
  </si>
  <si>
    <t>Column12045</t>
  </si>
  <si>
    <t>Column12046</t>
  </si>
  <si>
    <t>Column12047</t>
  </si>
  <si>
    <t>Column12048</t>
  </si>
  <si>
    <t>Column12049</t>
  </si>
  <si>
    <t>Column12050</t>
  </si>
  <si>
    <t>Column12051</t>
  </si>
  <si>
    <t>Column12052</t>
  </si>
  <si>
    <t>Column12053</t>
  </si>
  <si>
    <t>Column12054</t>
  </si>
  <si>
    <t>Column12055</t>
  </si>
  <si>
    <t>Column12056</t>
  </si>
  <si>
    <t>Column12057</t>
  </si>
  <si>
    <t>Column12058</t>
  </si>
  <si>
    <t>Column12059</t>
  </si>
  <si>
    <t>Column12060</t>
  </si>
  <si>
    <t>Column12061</t>
  </si>
  <si>
    <t>Column12062</t>
  </si>
  <si>
    <t>Column12063</t>
  </si>
  <si>
    <t>Column12064</t>
  </si>
  <si>
    <t>Column12065</t>
  </si>
  <si>
    <t>Column12066</t>
  </si>
  <si>
    <t>Column12067</t>
  </si>
  <si>
    <t>Column12068</t>
  </si>
  <si>
    <t>Column12069</t>
  </si>
  <si>
    <t>Column12070</t>
  </si>
  <si>
    <t>Column12071</t>
  </si>
  <si>
    <t>Column12072</t>
  </si>
  <si>
    <t>Column12073</t>
  </si>
  <si>
    <t>Column12074</t>
  </si>
  <si>
    <t>Column12075</t>
  </si>
  <si>
    <t>Column12076</t>
  </si>
  <si>
    <t>Column12077</t>
  </si>
  <si>
    <t>Column12078</t>
  </si>
  <si>
    <t>Column12079</t>
  </si>
  <si>
    <t>Column12080</t>
  </si>
  <si>
    <t>Column12081</t>
  </si>
  <si>
    <t>Column12082</t>
  </si>
  <si>
    <t>Column12083</t>
  </si>
  <si>
    <t>Column12084</t>
  </si>
  <si>
    <t>Column12085</t>
  </si>
  <si>
    <t>Column12086</t>
  </si>
  <si>
    <t>Column12087</t>
  </si>
  <si>
    <t>Column12088</t>
  </si>
  <si>
    <t>Column12089</t>
  </si>
  <si>
    <t>Column12090</t>
  </si>
  <si>
    <t>Column12091</t>
  </si>
  <si>
    <t>Column12092</t>
  </si>
  <si>
    <t>Column12093</t>
  </si>
  <si>
    <t>Column12094</t>
  </si>
  <si>
    <t>Column12095</t>
  </si>
  <si>
    <t>Column12096</t>
  </si>
  <si>
    <t>Column12097</t>
  </si>
  <si>
    <t>Column12098</t>
  </si>
  <si>
    <t>Column12099</t>
  </si>
  <si>
    <t>Column12100</t>
  </si>
  <si>
    <t>Column12101</t>
  </si>
  <si>
    <t>Column12102</t>
  </si>
  <si>
    <t>Column12103</t>
  </si>
  <si>
    <t>Column12104</t>
  </si>
  <si>
    <t>Column12105</t>
  </si>
  <si>
    <t>Column12106</t>
  </si>
  <si>
    <t>Column12107</t>
  </si>
  <si>
    <t>Column12108</t>
  </si>
  <si>
    <t>Column12109</t>
  </si>
  <si>
    <t>Column12110</t>
  </si>
  <si>
    <t>Column12111</t>
  </si>
  <si>
    <t>Column12112</t>
  </si>
  <si>
    <t>Column12113</t>
  </si>
  <si>
    <t>Column12114</t>
  </si>
  <si>
    <t>Column12115</t>
  </si>
  <si>
    <t>Column12116</t>
  </si>
  <si>
    <t>Column12117</t>
  </si>
  <si>
    <t>Column12118</t>
  </si>
  <si>
    <t>Column12119</t>
  </si>
  <si>
    <t>Column12120</t>
  </si>
  <si>
    <t>Column12121</t>
  </si>
  <si>
    <t>Column12122</t>
  </si>
  <si>
    <t>Column12123</t>
  </si>
  <si>
    <t>Column12124</t>
  </si>
  <si>
    <t>Column12125</t>
  </si>
  <si>
    <t>Column12126</t>
  </si>
  <si>
    <t>Column12127</t>
  </si>
  <si>
    <t>Column12128</t>
  </si>
  <si>
    <t>Column12129</t>
  </si>
  <si>
    <t>Column12130</t>
  </si>
  <si>
    <t>Column12131</t>
  </si>
  <si>
    <t>Column12132</t>
  </si>
  <si>
    <t>Column12133</t>
  </si>
  <si>
    <t>Column12134</t>
  </si>
  <si>
    <t>Column12135</t>
  </si>
  <si>
    <t>Column12136</t>
  </si>
  <si>
    <t>Column12137</t>
  </si>
  <si>
    <t>Column12138</t>
  </si>
  <si>
    <t>Column12139</t>
  </si>
  <si>
    <t>Column12140</t>
  </si>
  <si>
    <t>Column12141</t>
  </si>
  <si>
    <t>Column12142</t>
  </si>
  <si>
    <t>Column12143</t>
  </si>
  <si>
    <t>Column12144</t>
  </si>
  <si>
    <t>Column12145</t>
  </si>
  <si>
    <t>Column12146</t>
  </si>
  <si>
    <t>Column12147</t>
  </si>
  <si>
    <t>Column12148</t>
  </si>
  <si>
    <t>Column12149</t>
  </si>
  <si>
    <t>Column12150</t>
  </si>
  <si>
    <t>Column12151</t>
  </si>
  <si>
    <t>Column12152</t>
  </si>
  <si>
    <t>Column12153</t>
  </si>
  <si>
    <t>Column12154</t>
  </si>
  <si>
    <t>Column12155</t>
  </si>
  <si>
    <t>Column12156</t>
  </si>
  <si>
    <t>Column12157</t>
  </si>
  <si>
    <t>Column12158</t>
  </si>
  <si>
    <t>Column12159</t>
  </si>
  <si>
    <t>Column12160</t>
  </si>
  <si>
    <t>Column12161</t>
  </si>
  <si>
    <t>Column12162</t>
  </si>
  <si>
    <t>Column12163</t>
  </si>
  <si>
    <t>Column12164</t>
  </si>
  <si>
    <t>Column12165</t>
  </si>
  <si>
    <t>Column12166</t>
  </si>
  <si>
    <t>Column12167</t>
  </si>
  <si>
    <t>Column12168</t>
  </si>
  <si>
    <t>Column12169</t>
  </si>
  <si>
    <t>Column12170</t>
  </si>
  <si>
    <t>Column12171</t>
  </si>
  <si>
    <t>Column12172</t>
  </si>
  <si>
    <t>Column12173</t>
  </si>
  <si>
    <t>Column12174</t>
  </si>
  <si>
    <t>Column12175</t>
  </si>
  <si>
    <t>Column12176</t>
  </si>
  <si>
    <t>Column12177</t>
  </si>
  <si>
    <t>Column12178</t>
  </si>
  <si>
    <t>Column12179</t>
  </si>
  <si>
    <t>Column12180</t>
  </si>
  <si>
    <t>Column12181</t>
  </si>
  <si>
    <t>Column12182</t>
  </si>
  <si>
    <t>Column12183</t>
  </si>
  <si>
    <t>Column12184</t>
  </si>
  <si>
    <t>Column12185</t>
  </si>
  <si>
    <t>Column12186</t>
  </si>
  <si>
    <t>Column12187</t>
  </si>
  <si>
    <t>Column12188</t>
  </si>
  <si>
    <t>Column12189</t>
  </si>
  <si>
    <t>Column12190</t>
  </si>
  <si>
    <t>Column12191</t>
  </si>
  <si>
    <t>Column12192</t>
  </si>
  <si>
    <t>Column12193</t>
  </si>
  <si>
    <t>Column12194</t>
  </si>
  <si>
    <t>Column12195</t>
  </si>
  <si>
    <t>Column12196</t>
  </si>
  <si>
    <t>Column12197</t>
  </si>
  <si>
    <t>Column12198</t>
  </si>
  <si>
    <t>Column12199</t>
  </si>
  <si>
    <t>Column12200</t>
  </si>
  <si>
    <t>Column12201</t>
  </si>
  <si>
    <t>Column12202</t>
  </si>
  <si>
    <t>Column12203</t>
  </si>
  <si>
    <t>Column12204</t>
  </si>
  <si>
    <t>Column12205</t>
  </si>
  <si>
    <t>Column12206</t>
  </si>
  <si>
    <t>Column12207</t>
  </si>
  <si>
    <t>Column12208</t>
  </si>
  <si>
    <t>Column12209</t>
  </si>
  <si>
    <t>Column12210</t>
  </si>
  <si>
    <t>Column12211</t>
  </si>
  <si>
    <t>Column12212</t>
  </si>
  <si>
    <t>Column12213</t>
  </si>
  <si>
    <t>Column12214</t>
  </si>
  <si>
    <t>Column12215</t>
  </si>
  <si>
    <t>Column12216</t>
  </si>
  <si>
    <t>Column12217</t>
  </si>
  <si>
    <t>Column12218</t>
  </si>
  <si>
    <t>Column12219</t>
  </si>
  <si>
    <t>Column12220</t>
  </si>
  <si>
    <t>Column12221</t>
  </si>
  <si>
    <t>Column12222</t>
  </si>
  <si>
    <t>Column12223</t>
  </si>
  <si>
    <t>Column12224</t>
  </si>
  <si>
    <t>Column12225</t>
  </si>
  <si>
    <t>Column12226</t>
  </si>
  <si>
    <t>Column12227</t>
  </si>
  <si>
    <t>Column12228</t>
  </si>
  <si>
    <t>Column12229</t>
  </si>
  <si>
    <t>Column12230</t>
  </si>
  <si>
    <t>Column12231</t>
  </si>
  <si>
    <t>Column12232</t>
  </si>
  <si>
    <t>Column12233</t>
  </si>
  <si>
    <t>Column12234</t>
  </si>
  <si>
    <t>Column12235</t>
  </si>
  <si>
    <t>Column12236</t>
  </si>
  <si>
    <t>Column12237</t>
  </si>
  <si>
    <t>Column12238</t>
  </si>
  <si>
    <t>Column12239</t>
  </si>
  <si>
    <t>Column12240</t>
  </si>
  <si>
    <t>Column12241</t>
  </si>
  <si>
    <t>Column12242</t>
  </si>
  <si>
    <t>Column12243</t>
  </si>
  <si>
    <t>Column12244</t>
  </si>
  <si>
    <t>Column12245</t>
  </si>
  <si>
    <t>Column12246</t>
  </si>
  <si>
    <t>Column12247</t>
  </si>
  <si>
    <t>Column12248</t>
  </si>
  <si>
    <t>Column12249</t>
  </si>
  <si>
    <t>Column12250</t>
  </si>
  <si>
    <t>Column12251</t>
  </si>
  <si>
    <t>Column12252</t>
  </si>
  <si>
    <t>Column12253</t>
  </si>
  <si>
    <t>Column12254</t>
  </si>
  <si>
    <t>Column12255</t>
  </si>
  <si>
    <t>Column12256</t>
  </si>
  <si>
    <t>Column12257</t>
  </si>
  <si>
    <t>Column12258</t>
  </si>
  <si>
    <t>Column12259</t>
  </si>
  <si>
    <t>Column12260</t>
  </si>
  <si>
    <t>Column12261</t>
  </si>
  <si>
    <t>Column12262</t>
  </si>
  <si>
    <t>Column12263</t>
  </si>
  <si>
    <t>Column12264</t>
  </si>
  <si>
    <t>Column12265</t>
  </si>
  <si>
    <t>Column12266</t>
  </si>
  <si>
    <t>Column12267</t>
  </si>
  <si>
    <t>Column12268</t>
  </si>
  <si>
    <t>Column12269</t>
  </si>
  <si>
    <t>Column12270</t>
  </si>
  <si>
    <t>Column12271</t>
  </si>
  <si>
    <t>Column12272</t>
  </si>
  <si>
    <t>Column12273</t>
  </si>
  <si>
    <t>Column12274</t>
  </si>
  <si>
    <t>Column12275</t>
  </si>
  <si>
    <t>Column12276</t>
  </si>
  <si>
    <t>Column12277</t>
  </si>
  <si>
    <t>Column12278</t>
  </si>
  <si>
    <t>Column12279</t>
  </si>
  <si>
    <t>Column12280</t>
  </si>
  <si>
    <t>Column12281</t>
  </si>
  <si>
    <t>Column12282</t>
  </si>
  <si>
    <t>Column12283</t>
  </si>
  <si>
    <t>Column12284</t>
  </si>
  <si>
    <t>Column12285</t>
  </si>
  <si>
    <t>Column12286</t>
  </si>
  <si>
    <t>Column12287</t>
  </si>
  <si>
    <t>Column12288</t>
  </si>
  <si>
    <t>Column12289</t>
  </si>
  <si>
    <t>Column12290</t>
  </si>
  <si>
    <t>Column12291</t>
  </si>
  <si>
    <t>Column12292</t>
  </si>
  <si>
    <t>Column12293</t>
  </si>
  <si>
    <t>Column12294</t>
  </si>
  <si>
    <t>Column12295</t>
  </si>
  <si>
    <t>Column12296</t>
  </si>
  <si>
    <t>Column12297</t>
  </si>
  <si>
    <t>Column12298</t>
  </si>
  <si>
    <t>Column12299</t>
  </si>
  <si>
    <t>Column12300</t>
  </si>
  <si>
    <t>Column12301</t>
  </si>
  <si>
    <t>Column12302</t>
  </si>
  <si>
    <t>Column12303</t>
  </si>
  <si>
    <t>Column12304</t>
  </si>
  <si>
    <t>Column12305</t>
  </si>
  <si>
    <t>Column12306</t>
  </si>
  <si>
    <t>Column12307</t>
  </si>
  <si>
    <t>Column12308</t>
  </si>
  <si>
    <t>Column12309</t>
  </si>
  <si>
    <t>Column12310</t>
  </si>
  <si>
    <t>Column12311</t>
  </si>
  <si>
    <t>Column12312</t>
  </si>
  <si>
    <t>Column12313</t>
  </si>
  <si>
    <t>Column12314</t>
  </si>
  <si>
    <t>Column12315</t>
  </si>
  <si>
    <t>Column12316</t>
  </si>
  <si>
    <t>Column12317</t>
  </si>
  <si>
    <t>Column12318</t>
  </si>
  <si>
    <t>Column12319</t>
  </si>
  <si>
    <t>Column12320</t>
  </si>
  <si>
    <t>Column12321</t>
  </si>
  <si>
    <t>Column12322</t>
  </si>
  <si>
    <t>Column12323</t>
  </si>
  <si>
    <t>Column12324</t>
  </si>
  <si>
    <t>Column12325</t>
  </si>
  <si>
    <t>Column12326</t>
  </si>
  <si>
    <t>Column12327</t>
  </si>
  <si>
    <t>Column12328</t>
  </si>
  <si>
    <t>Column12329</t>
  </si>
  <si>
    <t>Column12330</t>
  </si>
  <si>
    <t>Column12331</t>
  </si>
  <si>
    <t>Column12332</t>
  </si>
  <si>
    <t>Column12333</t>
  </si>
  <si>
    <t>Column12334</t>
  </si>
  <si>
    <t>Column12335</t>
  </si>
  <si>
    <t>Column12336</t>
  </si>
  <si>
    <t>Column12337</t>
  </si>
  <si>
    <t>Column12338</t>
  </si>
  <si>
    <t>Column12339</t>
  </si>
  <si>
    <t>Column12340</t>
  </si>
  <si>
    <t>Column12341</t>
  </si>
  <si>
    <t>Column12342</t>
  </si>
  <si>
    <t>Column12343</t>
  </si>
  <si>
    <t>Column12344</t>
  </si>
  <si>
    <t>Column12345</t>
  </si>
  <si>
    <t>Column12346</t>
  </si>
  <si>
    <t>Column12347</t>
  </si>
  <si>
    <t>Column12348</t>
  </si>
  <si>
    <t>Column12349</t>
  </si>
  <si>
    <t>Column12350</t>
  </si>
  <si>
    <t>Column12351</t>
  </si>
  <si>
    <t>Column12352</t>
  </si>
  <si>
    <t>Column12353</t>
  </si>
  <si>
    <t>Column12354</t>
  </si>
  <si>
    <t>Column12355</t>
  </si>
  <si>
    <t>Column12356</t>
  </si>
  <si>
    <t>Column12357</t>
  </si>
  <si>
    <t>Column12358</t>
  </si>
  <si>
    <t>Column12359</t>
  </si>
  <si>
    <t>Column12360</t>
  </si>
  <si>
    <t>Column12361</t>
  </si>
  <si>
    <t>Column12362</t>
  </si>
  <si>
    <t>Column12363</t>
  </si>
  <si>
    <t>Column12364</t>
  </si>
  <si>
    <t>Column12365</t>
  </si>
  <si>
    <t>Column12366</t>
  </si>
  <si>
    <t>Column12367</t>
  </si>
  <si>
    <t>Column12368</t>
  </si>
  <si>
    <t>Column12369</t>
  </si>
  <si>
    <t>Column12370</t>
  </si>
  <si>
    <t>Column12371</t>
  </si>
  <si>
    <t>Column12372</t>
  </si>
  <si>
    <t>Column12373</t>
  </si>
  <si>
    <t>Column12374</t>
  </si>
  <si>
    <t>Column12375</t>
  </si>
  <si>
    <t>Column12376</t>
  </si>
  <si>
    <t>Column12377</t>
  </si>
  <si>
    <t>Column12378</t>
  </si>
  <si>
    <t>Column12379</t>
  </si>
  <si>
    <t>Column12380</t>
  </si>
  <si>
    <t>Column12381</t>
  </si>
  <si>
    <t>Column12382</t>
  </si>
  <si>
    <t>Column12383</t>
  </si>
  <si>
    <t>Column12384</t>
  </si>
  <si>
    <t>Column12385</t>
  </si>
  <si>
    <t>Column12386</t>
  </si>
  <si>
    <t>Column12387</t>
  </si>
  <si>
    <t>Column12388</t>
  </si>
  <si>
    <t>Column12389</t>
  </si>
  <si>
    <t>Column12390</t>
  </si>
  <si>
    <t>Column12391</t>
  </si>
  <si>
    <t>Column12392</t>
  </si>
  <si>
    <t>Column12393</t>
  </si>
  <si>
    <t>Column12394</t>
  </si>
  <si>
    <t>Column12395</t>
  </si>
  <si>
    <t>Column12396</t>
  </si>
  <si>
    <t>Column12397</t>
  </si>
  <si>
    <t>Column12398</t>
  </si>
  <si>
    <t>Column12399</t>
  </si>
  <si>
    <t>Column12400</t>
  </si>
  <si>
    <t>Column12401</t>
  </si>
  <si>
    <t>Column12402</t>
  </si>
  <si>
    <t>Column12403</t>
  </si>
  <si>
    <t>Column12404</t>
  </si>
  <si>
    <t>Column12405</t>
  </si>
  <si>
    <t>Column12406</t>
  </si>
  <si>
    <t>Column12407</t>
  </si>
  <si>
    <t>Column12408</t>
  </si>
  <si>
    <t>Column12409</t>
  </si>
  <si>
    <t>Column12410</t>
  </si>
  <si>
    <t>Column12411</t>
  </si>
  <si>
    <t>Column12412</t>
  </si>
  <si>
    <t>Column12413</t>
  </si>
  <si>
    <t>Column12414</t>
  </si>
  <si>
    <t>Column12415</t>
  </si>
  <si>
    <t>Column12416</t>
  </si>
  <si>
    <t>Column12417</t>
  </si>
  <si>
    <t>Column12418</t>
  </si>
  <si>
    <t>Column12419</t>
  </si>
  <si>
    <t>Column12420</t>
  </si>
  <si>
    <t>Column12421</t>
  </si>
  <si>
    <t>Column12422</t>
  </si>
  <si>
    <t>Column12423</t>
  </si>
  <si>
    <t>Column12424</t>
  </si>
  <si>
    <t>Column12425</t>
  </si>
  <si>
    <t>Column12426</t>
  </si>
  <si>
    <t>Column12427</t>
  </si>
  <si>
    <t>Column12428</t>
  </si>
  <si>
    <t>Column12429</t>
  </si>
  <si>
    <t>Column12430</t>
  </si>
  <si>
    <t>Column12431</t>
  </si>
  <si>
    <t>Column12432</t>
  </si>
  <si>
    <t>Column12433</t>
  </si>
  <si>
    <t>Column12434</t>
  </si>
  <si>
    <t>Column12435</t>
  </si>
  <si>
    <t>Column12436</t>
  </si>
  <si>
    <t>Column12437</t>
  </si>
  <si>
    <t>Column12438</t>
  </si>
  <si>
    <t>Column12439</t>
  </si>
  <si>
    <t>Column12440</t>
  </si>
  <si>
    <t>Column12441</t>
  </si>
  <si>
    <t>Column12442</t>
  </si>
  <si>
    <t>Column12443</t>
  </si>
  <si>
    <t>Column12444</t>
  </si>
  <si>
    <t>Column12445</t>
  </si>
  <si>
    <t>Column12446</t>
  </si>
  <si>
    <t>Column12447</t>
  </si>
  <si>
    <t>Column12448</t>
  </si>
  <si>
    <t>Column12449</t>
  </si>
  <si>
    <t>Column12450</t>
  </si>
  <si>
    <t>Column12451</t>
  </si>
  <si>
    <t>Column12452</t>
  </si>
  <si>
    <t>Column12453</t>
  </si>
  <si>
    <t>Column12454</t>
  </si>
  <si>
    <t>Column12455</t>
  </si>
  <si>
    <t>Column12456</t>
  </si>
  <si>
    <t>Column12457</t>
  </si>
  <si>
    <t>Column12458</t>
  </si>
  <si>
    <t>Column12459</t>
  </si>
  <si>
    <t>Column12460</t>
  </si>
  <si>
    <t>Column12461</t>
  </si>
  <si>
    <t>Column12462</t>
  </si>
  <si>
    <t>Column12463</t>
  </si>
  <si>
    <t>Column12464</t>
  </si>
  <si>
    <t>Column12465</t>
  </si>
  <si>
    <t>Column12466</t>
  </si>
  <si>
    <t>Column12467</t>
  </si>
  <si>
    <t>Column12468</t>
  </si>
  <si>
    <t>Column12469</t>
  </si>
  <si>
    <t>Column12470</t>
  </si>
  <si>
    <t>Column12471</t>
  </si>
  <si>
    <t>Column12472</t>
  </si>
  <si>
    <t>Column12473</t>
  </si>
  <si>
    <t>Column12474</t>
  </si>
  <si>
    <t>Column12475</t>
  </si>
  <si>
    <t>Column12476</t>
  </si>
  <si>
    <t>Column12477</t>
  </si>
  <si>
    <t>Column12478</t>
  </si>
  <si>
    <t>Column12479</t>
  </si>
  <si>
    <t>Column12480</t>
  </si>
  <si>
    <t>Column12481</t>
  </si>
  <si>
    <t>Column12482</t>
  </si>
  <si>
    <t>Column12483</t>
  </si>
  <si>
    <t>Column12484</t>
  </si>
  <si>
    <t>Column12485</t>
  </si>
  <si>
    <t>Column12486</t>
  </si>
  <si>
    <t>Column12487</t>
  </si>
  <si>
    <t>Column12488</t>
  </si>
  <si>
    <t>Column12489</t>
  </si>
  <si>
    <t>Column12490</t>
  </si>
  <si>
    <t>Column12491</t>
  </si>
  <si>
    <t>Column12492</t>
  </si>
  <si>
    <t>Column12493</t>
  </si>
  <si>
    <t>Column12494</t>
  </si>
  <si>
    <t>Column12495</t>
  </si>
  <si>
    <t>Column12496</t>
  </si>
  <si>
    <t>Column12497</t>
  </si>
  <si>
    <t>Column12498</t>
  </si>
  <si>
    <t>Column12499</t>
  </si>
  <si>
    <t>Column12500</t>
  </si>
  <si>
    <t>Column12501</t>
  </si>
  <si>
    <t>Column12502</t>
  </si>
  <si>
    <t>Column12503</t>
  </si>
  <si>
    <t>Column12504</t>
  </si>
  <si>
    <t>Column12505</t>
  </si>
  <si>
    <t>Column12506</t>
  </si>
  <si>
    <t>Column12507</t>
  </si>
  <si>
    <t>Column12508</t>
  </si>
  <si>
    <t>Column12509</t>
  </si>
  <si>
    <t>Column12510</t>
  </si>
  <si>
    <t>Column12511</t>
  </si>
  <si>
    <t>Column12512</t>
  </si>
  <si>
    <t>Column12513</t>
  </si>
  <si>
    <t>Column12514</t>
  </si>
  <si>
    <t>Column12515</t>
  </si>
  <si>
    <t>Column12516</t>
  </si>
  <si>
    <t>Column12517</t>
  </si>
  <si>
    <t>Column12518</t>
  </si>
  <si>
    <t>Column12519</t>
  </si>
  <si>
    <t>Column12520</t>
  </si>
  <si>
    <t>Column12521</t>
  </si>
  <si>
    <t>Column12522</t>
  </si>
  <si>
    <t>Column12523</t>
  </si>
  <si>
    <t>Column12524</t>
  </si>
  <si>
    <t>Column12525</t>
  </si>
  <si>
    <t>Column12526</t>
  </si>
  <si>
    <t>Column12527</t>
  </si>
  <si>
    <t>Column12528</t>
  </si>
  <si>
    <t>Column12529</t>
  </si>
  <si>
    <t>Column12530</t>
  </si>
  <si>
    <t>Column12531</t>
  </si>
  <si>
    <t>Column12532</t>
  </si>
  <si>
    <t>Column12533</t>
  </si>
  <si>
    <t>Column12534</t>
  </si>
  <si>
    <t>Column12535</t>
  </si>
  <si>
    <t>Column12536</t>
  </si>
  <si>
    <t>Column12537</t>
  </si>
  <si>
    <t>Column12538</t>
  </si>
  <si>
    <t>Column12539</t>
  </si>
  <si>
    <t>Column12540</t>
  </si>
  <si>
    <t>Column12541</t>
  </si>
  <si>
    <t>Column12542</t>
  </si>
  <si>
    <t>Column12543</t>
  </si>
  <si>
    <t>Column12544</t>
  </si>
  <si>
    <t>Column12545</t>
  </si>
  <si>
    <t>Column12546</t>
  </si>
  <si>
    <t>Column12547</t>
  </si>
  <si>
    <t>Column12548</t>
  </si>
  <si>
    <t>Column12549</t>
  </si>
  <si>
    <t>Column12550</t>
  </si>
  <si>
    <t>Column12551</t>
  </si>
  <si>
    <t>Column12552</t>
  </si>
  <si>
    <t>Column12553</t>
  </si>
  <si>
    <t>Column12554</t>
  </si>
  <si>
    <t>Column12555</t>
  </si>
  <si>
    <t>Column12556</t>
  </si>
  <si>
    <t>Column12557</t>
  </si>
  <si>
    <t>Column12558</t>
  </si>
  <si>
    <t>Column12559</t>
  </si>
  <si>
    <t>Column12560</t>
  </si>
  <si>
    <t>Column12561</t>
  </si>
  <si>
    <t>Column12562</t>
  </si>
  <si>
    <t>Column12563</t>
  </si>
  <si>
    <t>Column12564</t>
  </si>
  <si>
    <t>Column12565</t>
  </si>
  <si>
    <t>Column12566</t>
  </si>
  <si>
    <t>Column12567</t>
  </si>
  <si>
    <t>Column12568</t>
  </si>
  <si>
    <t>Column12569</t>
  </si>
  <si>
    <t>Column12570</t>
  </si>
  <si>
    <t>Column12571</t>
  </si>
  <si>
    <t>Column12572</t>
  </si>
  <si>
    <t>Column12573</t>
  </si>
  <si>
    <t>Column12574</t>
  </si>
  <si>
    <t>Column12575</t>
  </si>
  <si>
    <t>Column12576</t>
  </si>
  <si>
    <t>Column12577</t>
  </si>
  <si>
    <t>Column12578</t>
  </si>
  <si>
    <t>Column12579</t>
  </si>
  <si>
    <t>Column12580</t>
  </si>
  <si>
    <t>Column12581</t>
  </si>
  <si>
    <t>Column12582</t>
  </si>
  <si>
    <t>Column12583</t>
  </si>
  <si>
    <t>Column12584</t>
  </si>
  <si>
    <t>Column12585</t>
  </si>
  <si>
    <t>Column12586</t>
  </si>
  <si>
    <t>Column12587</t>
  </si>
  <si>
    <t>Column12588</t>
  </si>
  <si>
    <t>Column12589</t>
  </si>
  <si>
    <t>Column12590</t>
  </si>
  <si>
    <t>Column12591</t>
  </si>
  <si>
    <t>Column12592</t>
  </si>
  <si>
    <t>Column12593</t>
  </si>
  <si>
    <t>Column12594</t>
  </si>
  <si>
    <t>Column12595</t>
  </si>
  <si>
    <t>Column12596</t>
  </si>
  <si>
    <t>Column12597</t>
  </si>
  <si>
    <t>Column12598</t>
  </si>
  <si>
    <t>Column12599</t>
  </si>
  <si>
    <t>Column12600</t>
  </si>
  <si>
    <t>Column12601</t>
  </si>
  <si>
    <t>Column12602</t>
  </si>
  <si>
    <t>Column12603</t>
  </si>
  <si>
    <t>Column12604</t>
  </si>
  <si>
    <t>Column12605</t>
  </si>
  <si>
    <t>Column12606</t>
  </si>
  <si>
    <t>Column12607</t>
  </si>
  <si>
    <t>Column12608</t>
  </si>
  <si>
    <t>Column12609</t>
  </si>
  <si>
    <t>Column12610</t>
  </si>
  <si>
    <t>Column12611</t>
  </si>
  <si>
    <t>Column12612</t>
  </si>
  <si>
    <t>Column12613</t>
  </si>
  <si>
    <t>Column12614</t>
  </si>
  <si>
    <t>Column12615</t>
  </si>
  <si>
    <t>Column12616</t>
  </si>
  <si>
    <t>Column12617</t>
  </si>
  <si>
    <t>Column12618</t>
  </si>
  <si>
    <t>Column12619</t>
  </si>
  <si>
    <t>Column12620</t>
  </si>
  <si>
    <t>Column12621</t>
  </si>
  <si>
    <t>Column12622</t>
  </si>
  <si>
    <t>Column12623</t>
  </si>
  <si>
    <t>Column12624</t>
  </si>
  <si>
    <t>Column12625</t>
  </si>
  <si>
    <t>Column12626</t>
  </si>
  <si>
    <t>Column12627</t>
  </si>
  <si>
    <t>Column12628</t>
  </si>
  <si>
    <t>Column12629</t>
  </si>
  <si>
    <t>Column12630</t>
  </si>
  <si>
    <t>Column12631</t>
  </si>
  <si>
    <t>Column12632</t>
  </si>
  <si>
    <t>Column12633</t>
  </si>
  <si>
    <t>Column12634</t>
  </si>
  <si>
    <t>Column12635</t>
  </si>
  <si>
    <t>Column12636</t>
  </si>
  <si>
    <t>Column12637</t>
  </si>
  <si>
    <t>Column12638</t>
  </si>
  <si>
    <t>Column12639</t>
  </si>
  <si>
    <t>Column12640</t>
  </si>
  <si>
    <t>Column12641</t>
  </si>
  <si>
    <t>Column12642</t>
  </si>
  <si>
    <t>Column12643</t>
  </si>
  <si>
    <t>Column12644</t>
  </si>
  <si>
    <t>Column12645</t>
  </si>
  <si>
    <t>Column12646</t>
  </si>
  <si>
    <t>Column12647</t>
  </si>
  <si>
    <t>Column12648</t>
  </si>
  <si>
    <t>Column12649</t>
  </si>
  <si>
    <t>Column12650</t>
  </si>
  <si>
    <t>Column12651</t>
  </si>
  <si>
    <t>Column12652</t>
  </si>
  <si>
    <t>Column12653</t>
  </si>
  <si>
    <t>Column12654</t>
  </si>
  <si>
    <t>Column12655</t>
  </si>
  <si>
    <t>Column12656</t>
  </si>
  <si>
    <t>Column12657</t>
  </si>
  <si>
    <t>Column12658</t>
  </si>
  <si>
    <t>Column12659</t>
  </si>
  <si>
    <t>Column12660</t>
  </si>
  <si>
    <t>Column12661</t>
  </si>
  <si>
    <t>Column12662</t>
  </si>
  <si>
    <t>Column12663</t>
  </si>
  <si>
    <t>Column12664</t>
  </si>
  <si>
    <t>Column12665</t>
  </si>
  <si>
    <t>Column12666</t>
  </si>
  <si>
    <t>Column12667</t>
  </si>
  <si>
    <t>Column12668</t>
  </si>
  <si>
    <t>Column12669</t>
  </si>
  <si>
    <t>Column12670</t>
  </si>
  <si>
    <t>Column12671</t>
  </si>
  <si>
    <t>Column12672</t>
  </si>
  <si>
    <t>Column12673</t>
  </si>
  <si>
    <t>Column12674</t>
  </si>
  <si>
    <t>Column12675</t>
  </si>
  <si>
    <t>Column12676</t>
  </si>
  <si>
    <t>Column12677</t>
  </si>
  <si>
    <t>Column12678</t>
  </si>
  <si>
    <t>Column12679</t>
  </si>
  <si>
    <t>Column12680</t>
  </si>
  <si>
    <t>Column12681</t>
  </si>
  <si>
    <t>Column12682</t>
  </si>
  <si>
    <t>Column12683</t>
  </si>
  <si>
    <t>Column12684</t>
  </si>
  <si>
    <t>Column12685</t>
  </si>
  <si>
    <t>Column12686</t>
  </si>
  <si>
    <t>Column12687</t>
  </si>
  <si>
    <t>Column12688</t>
  </si>
  <si>
    <t>Column12689</t>
  </si>
  <si>
    <t>Column12690</t>
  </si>
  <si>
    <t>Column12691</t>
  </si>
  <si>
    <t>Column12692</t>
  </si>
  <si>
    <t>Column12693</t>
  </si>
  <si>
    <t>Column12694</t>
  </si>
  <si>
    <t>Column12695</t>
  </si>
  <si>
    <t>Column12696</t>
  </si>
  <si>
    <t>Column12697</t>
  </si>
  <si>
    <t>Column12698</t>
  </si>
  <si>
    <t>Column12699</t>
  </si>
  <si>
    <t>Column12700</t>
  </si>
  <si>
    <t>Column12701</t>
  </si>
  <si>
    <t>Column12702</t>
  </si>
  <si>
    <t>Column12703</t>
  </si>
  <si>
    <t>Column12704</t>
  </si>
  <si>
    <t>Column12705</t>
  </si>
  <si>
    <t>Column12706</t>
  </si>
  <si>
    <t>Column12707</t>
  </si>
  <si>
    <t>Column12708</t>
  </si>
  <si>
    <t>Column12709</t>
  </si>
  <si>
    <t>Column12710</t>
  </si>
  <si>
    <t>Column12711</t>
  </si>
  <si>
    <t>Column12712</t>
  </si>
  <si>
    <t>Column12713</t>
  </si>
  <si>
    <t>Column12714</t>
  </si>
  <si>
    <t>Column12715</t>
  </si>
  <si>
    <t>Column12716</t>
  </si>
  <si>
    <t>Column12717</t>
  </si>
  <si>
    <t>Column12718</t>
  </si>
  <si>
    <t>Column12719</t>
  </si>
  <si>
    <t>Column12720</t>
  </si>
  <si>
    <t>Column12721</t>
  </si>
  <si>
    <t>Column12722</t>
  </si>
  <si>
    <t>Column12723</t>
  </si>
  <si>
    <t>Column12724</t>
  </si>
  <si>
    <t>Column12725</t>
  </si>
  <si>
    <t>Column12726</t>
  </si>
  <si>
    <t>Column12727</t>
  </si>
  <si>
    <t>Column12728</t>
  </si>
  <si>
    <t>Column12729</t>
  </si>
  <si>
    <t>Column12730</t>
  </si>
  <si>
    <t>Column12731</t>
  </si>
  <si>
    <t>Column12732</t>
  </si>
  <si>
    <t>Column12733</t>
  </si>
  <si>
    <t>Column12734</t>
  </si>
  <si>
    <t>Column12735</t>
  </si>
  <si>
    <t>Column12736</t>
  </si>
  <si>
    <t>Column12737</t>
  </si>
  <si>
    <t>Column12738</t>
  </si>
  <si>
    <t>Column12739</t>
  </si>
  <si>
    <t>Column12740</t>
  </si>
  <si>
    <t>Column12741</t>
  </si>
  <si>
    <t>Column12742</t>
  </si>
  <si>
    <t>Column12743</t>
  </si>
  <si>
    <t>Column12744</t>
  </si>
  <si>
    <t>Column12745</t>
  </si>
  <si>
    <t>Column12746</t>
  </si>
  <si>
    <t>Column12747</t>
  </si>
  <si>
    <t>Column12748</t>
  </si>
  <si>
    <t>Column12749</t>
  </si>
  <si>
    <t>Column12750</t>
  </si>
  <si>
    <t>Column12751</t>
  </si>
  <si>
    <t>Column12752</t>
  </si>
  <si>
    <t>Column12753</t>
  </si>
  <si>
    <t>Column12754</t>
  </si>
  <si>
    <t>Column12755</t>
  </si>
  <si>
    <t>Column12756</t>
  </si>
  <si>
    <t>Column12757</t>
  </si>
  <si>
    <t>Column12758</t>
  </si>
  <si>
    <t>Column12759</t>
  </si>
  <si>
    <t>Column12760</t>
  </si>
  <si>
    <t>Column12761</t>
  </si>
  <si>
    <t>Column12762</t>
  </si>
  <si>
    <t>Column12763</t>
  </si>
  <si>
    <t>Column12764</t>
  </si>
  <si>
    <t>Column12765</t>
  </si>
  <si>
    <t>Column12766</t>
  </si>
  <si>
    <t>Column12767</t>
  </si>
  <si>
    <t>Column12768</t>
  </si>
  <si>
    <t>Column12769</t>
  </si>
  <si>
    <t>Column12770</t>
  </si>
  <si>
    <t>Column12771</t>
  </si>
  <si>
    <t>Column12772</t>
  </si>
  <si>
    <t>Column12773</t>
  </si>
  <si>
    <t>Column12774</t>
  </si>
  <si>
    <t>Column12775</t>
  </si>
  <si>
    <t>Column12776</t>
  </si>
  <si>
    <t>Column12777</t>
  </si>
  <si>
    <t>Column12778</t>
  </si>
  <si>
    <t>Column12779</t>
  </si>
  <si>
    <t>Column12780</t>
  </si>
  <si>
    <t>Column12781</t>
  </si>
  <si>
    <t>Column12782</t>
  </si>
  <si>
    <t>Column12783</t>
  </si>
  <si>
    <t>Column12784</t>
  </si>
  <si>
    <t>Column12785</t>
  </si>
  <si>
    <t>Column12786</t>
  </si>
  <si>
    <t>Column12787</t>
  </si>
  <si>
    <t>Column12788</t>
  </si>
  <si>
    <t>Column12789</t>
  </si>
  <si>
    <t>Column12790</t>
  </si>
  <si>
    <t>Column12791</t>
  </si>
  <si>
    <t>Column12792</t>
  </si>
  <si>
    <t>Column12793</t>
  </si>
  <si>
    <t>Column12794</t>
  </si>
  <si>
    <t>Column12795</t>
  </si>
  <si>
    <t>Column12796</t>
  </si>
  <si>
    <t>Column12797</t>
  </si>
  <si>
    <t>Column12798</t>
  </si>
  <si>
    <t>Column12799</t>
  </si>
  <si>
    <t>Column12800</t>
  </si>
  <si>
    <t>Column12801</t>
  </si>
  <si>
    <t>Column12802</t>
  </si>
  <si>
    <t>Column12803</t>
  </si>
  <si>
    <t>Column12804</t>
  </si>
  <si>
    <t>Column12805</t>
  </si>
  <si>
    <t>Column12806</t>
  </si>
  <si>
    <t>Column12807</t>
  </si>
  <si>
    <t>Column12808</t>
  </si>
  <si>
    <t>Column12809</t>
  </si>
  <si>
    <t>Column12810</t>
  </si>
  <si>
    <t>Column12811</t>
  </si>
  <si>
    <t>Column12812</t>
  </si>
  <si>
    <t>Column12813</t>
  </si>
  <si>
    <t>Column12814</t>
  </si>
  <si>
    <t>Column12815</t>
  </si>
  <si>
    <t>Column12816</t>
  </si>
  <si>
    <t>Column12817</t>
  </si>
  <si>
    <t>Column12818</t>
  </si>
  <si>
    <t>Column12819</t>
  </si>
  <si>
    <t>Column12820</t>
  </si>
  <si>
    <t>Column12821</t>
  </si>
  <si>
    <t>Column12822</t>
  </si>
  <si>
    <t>Column12823</t>
  </si>
  <si>
    <t>Column12824</t>
  </si>
  <si>
    <t>Column12825</t>
  </si>
  <si>
    <t>Column12826</t>
  </si>
  <si>
    <t>Column12827</t>
  </si>
  <si>
    <t>Column12828</t>
  </si>
  <si>
    <t>Column12829</t>
  </si>
  <si>
    <t>Column12830</t>
  </si>
  <si>
    <t>Column12831</t>
  </si>
  <si>
    <t>Column12832</t>
  </si>
  <si>
    <t>Column12833</t>
  </si>
  <si>
    <t>Column12834</t>
  </si>
  <si>
    <t>Column12835</t>
  </si>
  <si>
    <t>Column12836</t>
  </si>
  <si>
    <t>Column12837</t>
  </si>
  <si>
    <t>Column12838</t>
  </si>
  <si>
    <t>Column12839</t>
  </si>
  <si>
    <t>Column12840</t>
  </si>
  <si>
    <t>Column12841</t>
  </si>
  <si>
    <t>Column12842</t>
  </si>
  <si>
    <t>Column12843</t>
  </si>
  <si>
    <t>Column12844</t>
  </si>
  <si>
    <t>Column12845</t>
  </si>
  <si>
    <t>Column12846</t>
  </si>
  <si>
    <t>Column12847</t>
  </si>
  <si>
    <t>Column12848</t>
  </si>
  <si>
    <t>Column12849</t>
  </si>
  <si>
    <t>Column12850</t>
  </si>
  <si>
    <t>Column12851</t>
  </si>
  <si>
    <t>Column12852</t>
  </si>
  <si>
    <t>Column12853</t>
  </si>
  <si>
    <t>Column12854</t>
  </si>
  <si>
    <t>Column12855</t>
  </si>
  <si>
    <t>Column12856</t>
  </si>
  <si>
    <t>Column12857</t>
  </si>
  <si>
    <t>Column12858</t>
  </si>
  <si>
    <t>Column12859</t>
  </si>
  <si>
    <t>Column12860</t>
  </si>
  <si>
    <t>Column12861</t>
  </si>
  <si>
    <t>Column12862</t>
  </si>
  <si>
    <t>Column12863</t>
  </si>
  <si>
    <t>Column12864</t>
  </si>
  <si>
    <t>Column12865</t>
  </si>
  <si>
    <t>Column12866</t>
  </si>
  <si>
    <t>Column12867</t>
  </si>
  <si>
    <t>Column12868</t>
  </si>
  <si>
    <t>Column12869</t>
  </si>
  <si>
    <t>Column12870</t>
  </si>
  <si>
    <t>Column12871</t>
  </si>
  <si>
    <t>Column12872</t>
  </si>
  <si>
    <t>Column12873</t>
  </si>
  <si>
    <t>Column12874</t>
  </si>
  <si>
    <t>Column12875</t>
  </si>
  <si>
    <t>Column12876</t>
  </si>
  <si>
    <t>Column12877</t>
  </si>
  <si>
    <t>Column12878</t>
  </si>
  <si>
    <t>Column12879</t>
  </si>
  <si>
    <t>Column12880</t>
  </si>
  <si>
    <t>Column12881</t>
  </si>
  <si>
    <t>Column12882</t>
  </si>
  <si>
    <t>Column12883</t>
  </si>
  <si>
    <t>Column12884</t>
  </si>
  <si>
    <t>Column12885</t>
  </si>
  <si>
    <t>Column12886</t>
  </si>
  <si>
    <t>Column12887</t>
  </si>
  <si>
    <t>Column12888</t>
  </si>
  <si>
    <t>Column12889</t>
  </si>
  <si>
    <t>Column12890</t>
  </si>
  <si>
    <t>Column12891</t>
  </si>
  <si>
    <t>Column12892</t>
  </si>
  <si>
    <t>Column12893</t>
  </si>
  <si>
    <t>Column12894</t>
  </si>
  <si>
    <t>Column12895</t>
  </si>
  <si>
    <t>Column12896</t>
  </si>
  <si>
    <t>Column12897</t>
  </si>
  <si>
    <t>Column12898</t>
  </si>
  <si>
    <t>Column12899</t>
  </si>
  <si>
    <t>Column12900</t>
  </si>
  <si>
    <t>Column12901</t>
  </si>
  <si>
    <t>Column12902</t>
  </si>
  <si>
    <t>Column12903</t>
  </si>
  <si>
    <t>Column12904</t>
  </si>
  <si>
    <t>Column12905</t>
  </si>
  <si>
    <t>Column12906</t>
  </si>
  <si>
    <t>Column12907</t>
  </si>
  <si>
    <t>Column12908</t>
  </si>
  <si>
    <t>Column12909</t>
  </si>
  <si>
    <t>Column12910</t>
  </si>
  <si>
    <t>Column12911</t>
  </si>
  <si>
    <t>Column12912</t>
  </si>
  <si>
    <t>Column12913</t>
  </si>
  <si>
    <t>Column12914</t>
  </si>
  <si>
    <t>Column12915</t>
  </si>
  <si>
    <t>Column12916</t>
  </si>
  <si>
    <t>Column12917</t>
  </si>
  <si>
    <t>Column12918</t>
  </si>
  <si>
    <t>Column12919</t>
  </si>
  <si>
    <t>Column12920</t>
  </si>
  <si>
    <t>Column12921</t>
  </si>
  <si>
    <t>Column12922</t>
  </si>
  <si>
    <t>Column12923</t>
  </si>
  <si>
    <t>Column12924</t>
  </si>
  <si>
    <t>Column12925</t>
  </si>
  <si>
    <t>Column12926</t>
  </si>
  <si>
    <t>Column12927</t>
  </si>
  <si>
    <t>Column12928</t>
  </si>
  <si>
    <t>Column12929</t>
  </si>
  <si>
    <t>Column12930</t>
  </si>
  <si>
    <t>Column12931</t>
  </si>
  <si>
    <t>Column12932</t>
  </si>
  <si>
    <t>Column12933</t>
  </si>
  <si>
    <t>Column12934</t>
  </si>
  <si>
    <t>Column12935</t>
  </si>
  <si>
    <t>Column12936</t>
  </si>
  <si>
    <t>Column12937</t>
  </si>
  <si>
    <t>Column12938</t>
  </si>
  <si>
    <t>Column12939</t>
  </si>
  <si>
    <t>Column12940</t>
  </si>
  <si>
    <t>Column12941</t>
  </si>
  <si>
    <t>Column12942</t>
  </si>
  <si>
    <t>Column12943</t>
  </si>
  <si>
    <t>Column12944</t>
  </si>
  <si>
    <t>Column12945</t>
  </si>
  <si>
    <t>Column12946</t>
  </si>
  <si>
    <t>Column12947</t>
  </si>
  <si>
    <t>Column12948</t>
  </si>
  <si>
    <t>Column12949</t>
  </si>
  <si>
    <t>Column12950</t>
  </si>
  <si>
    <t>Column12951</t>
  </si>
  <si>
    <t>Column12952</t>
  </si>
  <si>
    <t>Column12953</t>
  </si>
  <si>
    <t>Column12954</t>
  </si>
  <si>
    <t>Column12955</t>
  </si>
  <si>
    <t>Column12956</t>
  </si>
  <si>
    <t>Column12957</t>
  </si>
  <si>
    <t>Column12958</t>
  </si>
  <si>
    <t>Column12959</t>
  </si>
  <si>
    <t>Column12960</t>
  </si>
  <si>
    <t>Column12961</t>
  </si>
  <si>
    <t>Column12962</t>
  </si>
  <si>
    <t>Column12963</t>
  </si>
  <si>
    <t>Column12964</t>
  </si>
  <si>
    <t>Column12965</t>
  </si>
  <si>
    <t>Column12966</t>
  </si>
  <si>
    <t>Column12967</t>
  </si>
  <si>
    <t>Column12968</t>
  </si>
  <si>
    <t>Column12969</t>
  </si>
  <si>
    <t>Column12970</t>
  </si>
  <si>
    <t>Column12971</t>
  </si>
  <si>
    <t>Column12972</t>
  </si>
  <si>
    <t>Column12973</t>
  </si>
  <si>
    <t>Column12974</t>
  </si>
  <si>
    <t>Column12975</t>
  </si>
  <si>
    <t>Column12976</t>
  </si>
  <si>
    <t>Column12977</t>
  </si>
  <si>
    <t>Column12978</t>
  </si>
  <si>
    <t>Column12979</t>
  </si>
  <si>
    <t>Column12980</t>
  </si>
  <si>
    <t>Column12981</t>
  </si>
  <si>
    <t>Column12982</t>
  </si>
  <si>
    <t>Column12983</t>
  </si>
  <si>
    <t>Column12984</t>
  </si>
  <si>
    <t>Column12985</t>
  </si>
  <si>
    <t>Column12986</t>
  </si>
  <si>
    <t>Column12987</t>
  </si>
  <si>
    <t>Column12988</t>
  </si>
  <si>
    <t>Column12989</t>
  </si>
  <si>
    <t>Column12990</t>
  </si>
  <si>
    <t>Column12991</t>
  </si>
  <si>
    <t>Column12992</t>
  </si>
  <si>
    <t>Column12993</t>
  </si>
  <si>
    <t>Column12994</t>
  </si>
  <si>
    <t>Column12995</t>
  </si>
  <si>
    <t>Column12996</t>
  </si>
  <si>
    <t>Column12997</t>
  </si>
  <si>
    <t>Column12998</t>
  </si>
  <si>
    <t>Column12999</t>
  </si>
  <si>
    <t>Column13000</t>
  </si>
  <si>
    <t>Column13001</t>
  </si>
  <si>
    <t>Column13002</t>
  </si>
  <si>
    <t>Column13003</t>
  </si>
  <si>
    <t>Column13004</t>
  </si>
  <si>
    <t>Column13005</t>
  </si>
  <si>
    <t>Column13006</t>
  </si>
  <si>
    <t>Column13007</t>
  </si>
  <si>
    <t>Column13008</t>
  </si>
  <si>
    <t>Column13009</t>
  </si>
  <si>
    <t>Column13010</t>
  </si>
  <si>
    <t>Column13011</t>
  </si>
  <si>
    <t>Column13012</t>
  </si>
  <si>
    <t>Column13013</t>
  </si>
  <si>
    <t>Column13014</t>
  </si>
  <si>
    <t>Column13015</t>
  </si>
  <si>
    <t>Column13016</t>
  </si>
  <si>
    <t>Column13017</t>
  </si>
  <si>
    <t>Column13018</t>
  </si>
  <si>
    <t>Column13019</t>
  </si>
  <si>
    <t>Column13020</t>
  </si>
  <si>
    <t>Column13021</t>
  </si>
  <si>
    <t>Column13022</t>
  </si>
  <si>
    <t>Column13023</t>
  </si>
  <si>
    <t>Column13024</t>
  </si>
  <si>
    <t>Column13025</t>
  </si>
  <si>
    <t>Column13026</t>
  </si>
  <si>
    <t>Column13027</t>
  </si>
  <si>
    <t>Column13028</t>
  </si>
  <si>
    <t>Column13029</t>
  </si>
  <si>
    <t>Column13030</t>
  </si>
  <si>
    <t>Column13031</t>
  </si>
  <si>
    <t>Column13032</t>
  </si>
  <si>
    <t>Column13033</t>
  </si>
  <si>
    <t>Column13034</t>
  </si>
  <si>
    <t>Column13035</t>
  </si>
  <si>
    <t>Column13036</t>
  </si>
  <si>
    <t>Column13037</t>
  </si>
  <si>
    <t>Column13038</t>
  </si>
  <si>
    <t>Column13039</t>
  </si>
  <si>
    <t>Column13040</t>
  </si>
  <si>
    <t>Column13041</t>
  </si>
  <si>
    <t>Column13042</t>
  </si>
  <si>
    <t>Column13043</t>
  </si>
  <si>
    <t>Column13044</t>
  </si>
  <si>
    <t>Column13045</t>
  </si>
  <si>
    <t>Column13046</t>
  </si>
  <si>
    <t>Column13047</t>
  </si>
  <si>
    <t>Column13048</t>
  </si>
  <si>
    <t>Column13049</t>
  </si>
  <si>
    <t>Column13050</t>
  </si>
  <si>
    <t>Column13051</t>
  </si>
  <si>
    <t>Column13052</t>
  </si>
  <si>
    <t>Column13053</t>
  </si>
  <si>
    <t>Column13054</t>
  </si>
  <si>
    <t>Column13055</t>
  </si>
  <si>
    <t>Column13056</t>
  </si>
  <si>
    <t>Column13057</t>
  </si>
  <si>
    <t>Column13058</t>
  </si>
  <si>
    <t>Column13059</t>
  </si>
  <si>
    <t>Column13060</t>
  </si>
  <si>
    <t>Column13061</t>
  </si>
  <si>
    <t>Column13062</t>
  </si>
  <si>
    <t>Column13063</t>
  </si>
  <si>
    <t>Column13064</t>
  </si>
  <si>
    <t>Column13065</t>
  </si>
  <si>
    <t>Column13066</t>
  </si>
  <si>
    <t>Column13067</t>
  </si>
  <si>
    <t>Column13068</t>
  </si>
  <si>
    <t>Column13069</t>
  </si>
  <si>
    <t>Column13070</t>
  </si>
  <si>
    <t>Column13071</t>
  </si>
  <si>
    <t>Column13072</t>
  </si>
  <si>
    <t>Column13073</t>
  </si>
  <si>
    <t>Column13074</t>
  </si>
  <si>
    <t>Column13075</t>
  </si>
  <si>
    <t>Column13076</t>
  </si>
  <si>
    <t>Column13077</t>
  </si>
  <si>
    <t>Column13078</t>
  </si>
  <si>
    <t>Column13079</t>
  </si>
  <si>
    <t>Column13080</t>
  </si>
  <si>
    <t>Column13081</t>
  </si>
  <si>
    <t>Column13082</t>
  </si>
  <si>
    <t>Column13083</t>
  </si>
  <si>
    <t>Column13084</t>
  </si>
  <si>
    <t>Column13085</t>
  </si>
  <si>
    <t>Column13086</t>
  </si>
  <si>
    <t>Column13087</t>
  </si>
  <si>
    <t>Column13088</t>
  </si>
  <si>
    <t>Column13089</t>
  </si>
  <si>
    <t>Column13090</t>
  </si>
  <si>
    <t>Column13091</t>
  </si>
  <si>
    <t>Column13092</t>
  </si>
  <si>
    <t>Column13093</t>
  </si>
  <si>
    <t>Column13094</t>
  </si>
  <si>
    <t>Column13095</t>
  </si>
  <si>
    <t>Column13096</t>
  </si>
  <si>
    <t>Column13097</t>
  </si>
  <si>
    <t>Column13098</t>
  </si>
  <si>
    <t>Column13099</t>
  </si>
  <si>
    <t>Column13100</t>
  </si>
  <si>
    <t>Column13101</t>
  </si>
  <si>
    <t>Column13102</t>
  </si>
  <si>
    <t>Column13103</t>
  </si>
  <si>
    <t>Column13104</t>
  </si>
  <si>
    <t>Column13105</t>
  </si>
  <si>
    <t>Column13106</t>
  </si>
  <si>
    <t>Column13107</t>
  </si>
  <si>
    <t>Column13108</t>
  </si>
  <si>
    <t>Column13109</t>
  </si>
  <si>
    <t>Column13110</t>
  </si>
  <si>
    <t>Column13111</t>
  </si>
  <si>
    <t>Column13112</t>
  </si>
  <si>
    <t>Column13113</t>
  </si>
  <si>
    <t>Column13114</t>
  </si>
  <si>
    <t>Column13115</t>
  </si>
  <si>
    <t>Column13116</t>
  </si>
  <si>
    <t>Column13117</t>
  </si>
  <si>
    <t>Column13118</t>
  </si>
  <si>
    <t>Column13119</t>
  </si>
  <si>
    <t>Column13120</t>
  </si>
  <si>
    <t>Column13121</t>
  </si>
  <si>
    <t>Column13122</t>
  </si>
  <si>
    <t>Column13123</t>
  </si>
  <si>
    <t>Column13124</t>
  </si>
  <si>
    <t>Column13125</t>
  </si>
  <si>
    <t>Column13126</t>
  </si>
  <si>
    <t>Column13127</t>
  </si>
  <si>
    <t>Column13128</t>
  </si>
  <si>
    <t>Column13129</t>
  </si>
  <si>
    <t>Column13130</t>
  </si>
  <si>
    <t>Column13131</t>
  </si>
  <si>
    <t>Column13132</t>
  </si>
  <si>
    <t>Column13133</t>
  </si>
  <si>
    <t>Column13134</t>
  </si>
  <si>
    <t>Column13135</t>
  </si>
  <si>
    <t>Column13136</t>
  </si>
  <si>
    <t>Column13137</t>
  </si>
  <si>
    <t>Column13138</t>
  </si>
  <si>
    <t>Column13139</t>
  </si>
  <si>
    <t>Column13140</t>
  </si>
  <si>
    <t>Column13141</t>
  </si>
  <si>
    <t>Column13142</t>
  </si>
  <si>
    <t>Column13143</t>
  </si>
  <si>
    <t>Column13144</t>
  </si>
  <si>
    <t>Column13145</t>
  </si>
  <si>
    <t>Column13146</t>
  </si>
  <si>
    <t>Column13147</t>
  </si>
  <si>
    <t>Column13148</t>
  </si>
  <si>
    <t>Column13149</t>
  </si>
  <si>
    <t>Column13150</t>
  </si>
  <si>
    <t>Column13151</t>
  </si>
  <si>
    <t>Column13152</t>
  </si>
  <si>
    <t>Column13153</t>
  </si>
  <si>
    <t>Column13154</t>
  </si>
  <si>
    <t>Column13155</t>
  </si>
  <si>
    <t>Column13156</t>
  </si>
  <si>
    <t>Column13157</t>
  </si>
  <si>
    <t>Column13158</t>
  </si>
  <si>
    <t>Column13159</t>
  </si>
  <si>
    <t>Column13160</t>
  </si>
  <si>
    <t>Column13161</t>
  </si>
  <si>
    <t>Column13162</t>
  </si>
  <si>
    <t>Column13163</t>
  </si>
  <si>
    <t>Column13164</t>
  </si>
  <si>
    <t>Column13165</t>
  </si>
  <si>
    <t>Column13166</t>
  </si>
  <si>
    <t>Column13167</t>
  </si>
  <si>
    <t>Column13168</t>
  </si>
  <si>
    <t>Column13169</t>
  </si>
  <si>
    <t>Column13170</t>
  </si>
  <si>
    <t>Column13171</t>
  </si>
  <si>
    <t>Column13172</t>
  </si>
  <si>
    <t>Column13173</t>
  </si>
  <si>
    <t>Column13174</t>
  </si>
  <si>
    <t>Column13175</t>
  </si>
  <si>
    <t>Column13176</t>
  </si>
  <si>
    <t>Column13177</t>
  </si>
  <si>
    <t>Column13178</t>
  </si>
  <si>
    <t>Column13179</t>
  </si>
  <si>
    <t>Column13180</t>
  </si>
  <si>
    <t>Column13181</t>
  </si>
  <si>
    <t>Column13182</t>
  </si>
  <si>
    <t>Column13183</t>
  </si>
  <si>
    <t>Column13184</t>
  </si>
  <si>
    <t>Column13185</t>
  </si>
  <si>
    <t>Column13186</t>
  </si>
  <si>
    <t>Column13187</t>
  </si>
  <si>
    <t>Column13188</t>
  </si>
  <si>
    <t>Column13189</t>
  </si>
  <si>
    <t>Column13190</t>
  </si>
  <si>
    <t>Column13191</t>
  </si>
  <si>
    <t>Column13192</t>
  </si>
  <si>
    <t>Column13193</t>
  </si>
  <si>
    <t>Column13194</t>
  </si>
  <si>
    <t>Column13195</t>
  </si>
  <si>
    <t>Column13196</t>
  </si>
  <si>
    <t>Column13197</t>
  </si>
  <si>
    <t>Column13198</t>
  </si>
  <si>
    <t>Column13199</t>
  </si>
  <si>
    <t>Column13200</t>
  </si>
  <si>
    <t>Column13201</t>
  </si>
  <si>
    <t>Column13202</t>
  </si>
  <si>
    <t>Column13203</t>
  </si>
  <si>
    <t>Column13204</t>
  </si>
  <si>
    <t>Column13205</t>
  </si>
  <si>
    <t>Column13206</t>
  </si>
  <si>
    <t>Column13207</t>
  </si>
  <si>
    <t>Column13208</t>
  </si>
  <si>
    <t>Column13209</t>
  </si>
  <si>
    <t>Column13210</t>
  </si>
  <si>
    <t>Column13211</t>
  </si>
  <si>
    <t>Column13212</t>
  </si>
  <si>
    <t>Column13213</t>
  </si>
  <si>
    <t>Column13214</t>
  </si>
  <si>
    <t>Column13215</t>
  </si>
  <si>
    <t>Column13216</t>
  </si>
  <si>
    <t>Column13217</t>
  </si>
  <si>
    <t>Column13218</t>
  </si>
  <si>
    <t>Column13219</t>
  </si>
  <si>
    <t>Column13220</t>
  </si>
  <si>
    <t>Column13221</t>
  </si>
  <si>
    <t>Column13222</t>
  </si>
  <si>
    <t>Column13223</t>
  </si>
  <si>
    <t>Column13224</t>
  </si>
  <si>
    <t>Column13225</t>
  </si>
  <si>
    <t>Column13226</t>
  </si>
  <si>
    <t>Column13227</t>
  </si>
  <si>
    <t>Column13228</t>
  </si>
  <si>
    <t>Column13229</t>
  </si>
  <si>
    <t>Column13230</t>
  </si>
  <si>
    <t>Column13231</t>
  </si>
  <si>
    <t>Column13232</t>
  </si>
  <si>
    <t>Column13233</t>
  </si>
  <si>
    <t>Column13234</t>
  </si>
  <si>
    <t>Column13235</t>
  </si>
  <si>
    <t>Column13236</t>
  </si>
  <si>
    <t>Column13237</t>
  </si>
  <si>
    <t>Column13238</t>
  </si>
  <si>
    <t>Column13239</t>
  </si>
  <si>
    <t>Column13240</t>
  </si>
  <si>
    <t>Column13241</t>
  </si>
  <si>
    <t>Column13242</t>
  </si>
  <si>
    <t>Column13243</t>
  </si>
  <si>
    <t>Column13244</t>
  </si>
  <si>
    <t>Column13245</t>
  </si>
  <si>
    <t>Column13246</t>
  </si>
  <si>
    <t>Column13247</t>
  </si>
  <si>
    <t>Column13248</t>
  </si>
  <si>
    <t>Column13249</t>
  </si>
  <si>
    <t>Column13250</t>
  </si>
  <si>
    <t>Column13251</t>
  </si>
  <si>
    <t>Column13252</t>
  </si>
  <si>
    <t>Column13253</t>
  </si>
  <si>
    <t>Column13254</t>
  </si>
  <si>
    <t>Column13255</t>
  </si>
  <si>
    <t>Column13256</t>
  </si>
  <si>
    <t>Column13257</t>
  </si>
  <si>
    <t>Column13258</t>
  </si>
  <si>
    <t>Column13259</t>
  </si>
  <si>
    <t>Column13260</t>
  </si>
  <si>
    <t>Column13261</t>
  </si>
  <si>
    <t>Column13262</t>
  </si>
  <si>
    <t>Column13263</t>
  </si>
  <si>
    <t>Column13264</t>
  </si>
  <si>
    <t>Column13265</t>
  </si>
  <si>
    <t>Column13266</t>
  </si>
  <si>
    <t>Column13267</t>
  </si>
  <si>
    <t>Column13268</t>
  </si>
  <si>
    <t>Column13269</t>
  </si>
  <si>
    <t>Column13270</t>
  </si>
  <si>
    <t>Column13271</t>
  </si>
  <si>
    <t>Column13272</t>
  </si>
  <si>
    <t>Column13273</t>
  </si>
  <si>
    <t>Column13274</t>
  </si>
  <si>
    <t>Column13275</t>
  </si>
  <si>
    <t>Column13276</t>
  </si>
  <si>
    <t>Column13277</t>
  </si>
  <si>
    <t>Column13278</t>
  </si>
  <si>
    <t>Column13279</t>
  </si>
  <si>
    <t>Column13280</t>
  </si>
  <si>
    <t>Column13281</t>
  </si>
  <si>
    <t>Column13282</t>
  </si>
  <si>
    <t>Column13283</t>
  </si>
  <si>
    <t>Column13284</t>
  </si>
  <si>
    <t>Column13285</t>
  </si>
  <si>
    <t>Column13286</t>
  </si>
  <si>
    <t>Column13287</t>
  </si>
  <si>
    <t>Column13288</t>
  </si>
  <si>
    <t>Column13289</t>
  </si>
  <si>
    <t>Column13290</t>
  </si>
  <si>
    <t>Column13291</t>
  </si>
  <si>
    <t>Column13292</t>
  </si>
  <si>
    <t>Column13293</t>
  </si>
  <si>
    <t>Column13294</t>
  </si>
  <si>
    <t>Column13295</t>
  </si>
  <si>
    <t>Column13296</t>
  </si>
  <si>
    <t>Column13297</t>
  </si>
  <si>
    <t>Column13298</t>
  </si>
  <si>
    <t>Column13299</t>
  </si>
  <si>
    <t>Column13300</t>
  </si>
  <si>
    <t>Column13301</t>
  </si>
  <si>
    <t>Column13302</t>
  </si>
  <si>
    <t>Column13303</t>
  </si>
  <si>
    <t>Column13304</t>
  </si>
  <si>
    <t>Column13305</t>
  </si>
  <si>
    <t>Column13306</t>
  </si>
  <si>
    <t>Column13307</t>
  </si>
  <si>
    <t>Column13308</t>
  </si>
  <si>
    <t>Column13309</t>
  </si>
  <si>
    <t>Column13310</t>
  </si>
  <si>
    <t>Column13311</t>
  </si>
  <si>
    <t>Column13312</t>
  </si>
  <si>
    <t>Column13313</t>
  </si>
  <si>
    <t>Column13314</t>
  </si>
  <si>
    <t>Column13315</t>
  </si>
  <si>
    <t>Column13316</t>
  </si>
  <si>
    <t>Column13317</t>
  </si>
  <si>
    <t>Column13318</t>
  </si>
  <si>
    <t>Column13319</t>
  </si>
  <si>
    <t>Column13320</t>
  </si>
  <si>
    <t>Column13321</t>
  </si>
  <si>
    <t>Column13322</t>
  </si>
  <si>
    <t>Column13323</t>
  </si>
  <si>
    <t>Column13324</t>
  </si>
  <si>
    <t>Column13325</t>
  </si>
  <si>
    <t>Column13326</t>
  </si>
  <si>
    <t>Column13327</t>
  </si>
  <si>
    <t>Column13328</t>
  </si>
  <si>
    <t>Column13329</t>
  </si>
  <si>
    <t>Column13330</t>
  </si>
  <si>
    <t>Column13331</t>
  </si>
  <si>
    <t>Column13332</t>
  </si>
  <si>
    <t>Column13333</t>
  </si>
  <si>
    <t>Column13334</t>
  </si>
  <si>
    <t>Column13335</t>
  </si>
  <si>
    <t>Column13336</t>
  </si>
  <si>
    <t>Column13337</t>
  </si>
  <si>
    <t>Column13338</t>
  </si>
  <si>
    <t>Column13339</t>
  </si>
  <si>
    <t>Column13340</t>
  </si>
  <si>
    <t>Column13341</t>
  </si>
  <si>
    <t>Column13342</t>
  </si>
  <si>
    <t>Column13343</t>
  </si>
  <si>
    <t>Column13344</t>
  </si>
  <si>
    <t>Column13345</t>
  </si>
  <si>
    <t>Column13346</t>
  </si>
  <si>
    <t>Column13347</t>
  </si>
  <si>
    <t>Column13348</t>
  </si>
  <si>
    <t>Column13349</t>
  </si>
  <si>
    <t>Column13350</t>
  </si>
  <si>
    <t>Column13351</t>
  </si>
  <si>
    <t>Column13352</t>
  </si>
  <si>
    <t>Column13353</t>
  </si>
  <si>
    <t>Column13354</t>
  </si>
  <si>
    <t>Column13355</t>
  </si>
  <si>
    <t>Column13356</t>
  </si>
  <si>
    <t>Column13357</t>
  </si>
  <si>
    <t>Column13358</t>
  </si>
  <si>
    <t>Column13359</t>
  </si>
  <si>
    <t>Column13360</t>
  </si>
  <si>
    <t>Column13361</t>
  </si>
  <si>
    <t>Column13362</t>
  </si>
  <si>
    <t>Column13363</t>
  </si>
  <si>
    <t>Column13364</t>
  </si>
  <si>
    <t>Column13365</t>
  </si>
  <si>
    <t>Column13366</t>
  </si>
  <si>
    <t>Column13367</t>
  </si>
  <si>
    <t>Column13368</t>
  </si>
  <si>
    <t>Column13369</t>
  </si>
  <si>
    <t>Column13370</t>
  </si>
  <si>
    <t>Column13371</t>
  </si>
  <si>
    <t>Column13372</t>
  </si>
  <si>
    <t>Column13373</t>
  </si>
  <si>
    <t>Column13374</t>
  </si>
  <si>
    <t>Column13375</t>
  </si>
  <si>
    <t>Column13376</t>
  </si>
  <si>
    <t>Column13377</t>
  </si>
  <si>
    <t>Column13378</t>
  </si>
  <si>
    <t>Column13379</t>
  </si>
  <si>
    <t>Column13380</t>
  </si>
  <si>
    <t>Column13381</t>
  </si>
  <si>
    <t>Column13382</t>
  </si>
  <si>
    <t>Column13383</t>
  </si>
  <si>
    <t>Column13384</t>
  </si>
  <si>
    <t>Column13385</t>
  </si>
  <si>
    <t>Column13386</t>
  </si>
  <si>
    <t>Column13387</t>
  </si>
  <si>
    <t>Column13388</t>
  </si>
  <si>
    <t>Column13389</t>
  </si>
  <si>
    <t>Column13390</t>
  </si>
  <si>
    <t>Column13391</t>
  </si>
  <si>
    <t>Column13392</t>
  </si>
  <si>
    <t>Column13393</t>
  </si>
  <si>
    <t>Column13394</t>
  </si>
  <si>
    <t>Column13395</t>
  </si>
  <si>
    <t>Column13396</t>
  </si>
  <si>
    <t>Column13397</t>
  </si>
  <si>
    <t>Column13398</t>
  </si>
  <si>
    <t>Column13399</t>
  </si>
  <si>
    <t>Column13400</t>
  </si>
  <si>
    <t>Column13401</t>
  </si>
  <si>
    <t>Column13402</t>
  </si>
  <si>
    <t>Column13403</t>
  </si>
  <si>
    <t>Column13404</t>
  </si>
  <si>
    <t>Column13405</t>
  </si>
  <si>
    <t>Column13406</t>
  </si>
  <si>
    <t>Column13407</t>
  </si>
  <si>
    <t>Column13408</t>
  </si>
  <si>
    <t>Column13409</t>
  </si>
  <si>
    <t>Column13410</t>
  </si>
  <si>
    <t>Column13411</t>
  </si>
  <si>
    <t>Column13412</t>
  </si>
  <si>
    <t>Column13413</t>
  </si>
  <si>
    <t>Column13414</t>
  </si>
  <si>
    <t>Column13415</t>
  </si>
  <si>
    <t>Column13416</t>
  </si>
  <si>
    <t>Column13417</t>
  </si>
  <si>
    <t>Column13418</t>
  </si>
  <si>
    <t>Column13419</t>
  </si>
  <si>
    <t>Column13420</t>
  </si>
  <si>
    <t>Column13421</t>
  </si>
  <si>
    <t>Column13422</t>
  </si>
  <si>
    <t>Column13423</t>
  </si>
  <si>
    <t>Column13424</t>
  </si>
  <si>
    <t>Column13425</t>
  </si>
  <si>
    <t>Column13426</t>
  </si>
  <si>
    <t>Column13427</t>
  </si>
  <si>
    <t>Column13428</t>
  </si>
  <si>
    <t>Column13429</t>
  </si>
  <si>
    <t>Column13430</t>
  </si>
  <si>
    <t>Column13431</t>
  </si>
  <si>
    <t>Column13432</t>
  </si>
  <si>
    <t>Column13433</t>
  </si>
  <si>
    <t>Column13434</t>
  </si>
  <si>
    <t>Column13435</t>
  </si>
  <si>
    <t>Column13436</t>
  </si>
  <si>
    <t>Column13437</t>
  </si>
  <si>
    <t>Column13438</t>
  </si>
  <si>
    <t>Column13439</t>
  </si>
  <si>
    <t>Column13440</t>
  </si>
  <si>
    <t>Column13441</t>
  </si>
  <si>
    <t>Column13442</t>
  </si>
  <si>
    <t>Column13443</t>
  </si>
  <si>
    <t>Column13444</t>
  </si>
  <si>
    <t>Column13445</t>
  </si>
  <si>
    <t>Column13446</t>
  </si>
  <si>
    <t>Column13447</t>
  </si>
  <si>
    <t>Column13448</t>
  </si>
  <si>
    <t>Column13449</t>
  </si>
  <si>
    <t>Column13450</t>
  </si>
  <si>
    <t>Column13451</t>
  </si>
  <si>
    <t>Column13452</t>
  </si>
  <si>
    <t>Column13453</t>
  </si>
  <si>
    <t>Column13454</t>
  </si>
  <si>
    <t>Column13455</t>
  </si>
  <si>
    <t>Column13456</t>
  </si>
  <si>
    <t>Column13457</t>
  </si>
  <si>
    <t>Column13458</t>
  </si>
  <si>
    <t>Column13459</t>
  </si>
  <si>
    <t>Column13460</t>
  </si>
  <si>
    <t>Column13461</t>
  </si>
  <si>
    <t>Column13462</t>
  </si>
  <si>
    <t>Column13463</t>
  </si>
  <si>
    <t>Column13464</t>
  </si>
  <si>
    <t>Column13465</t>
  </si>
  <si>
    <t>Column13466</t>
  </si>
  <si>
    <t>Column13467</t>
  </si>
  <si>
    <t>Column13468</t>
  </si>
  <si>
    <t>Column13469</t>
  </si>
  <si>
    <t>Column13470</t>
  </si>
  <si>
    <t>Column13471</t>
  </si>
  <si>
    <t>Column13472</t>
  </si>
  <si>
    <t>Column13473</t>
  </si>
  <si>
    <t>Column13474</t>
  </si>
  <si>
    <t>Column13475</t>
  </si>
  <si>
    <t>Column13476</t>
  </si>
  <si>
    <t>Column13477</t>
  </si>
  <si>
    <t>Column13478</t>
  </si>
  <si>
    <t>Column13479</t>
  </si>
  <si>
    <t>Column13480</t>
  </si>
  <si>
    <t>Column13481</t>
  </si>
  <si>
    <t>Column13482</t>
  </si>
  <si>
    <t>Column13483</t>
  </si>
  <si>
    <t>Column13484</t>
  </si>
  <si>
    <t>Column13485</t>
  </si>
  <si>
    <t>Column13486</t>
  </si>
  <si>
    <t>Column13487</t>
  </si>
  <si>
    <t>Column13488</t>
  </si>
  <si>
    <t>Column13489</t>
  </si>
  <si>
    <t>Column13490</t>
  </si>
  <si>
    <t>Column13491</t>
  </si>
  <si>
    <t>Column13492</t>
  </si>
  <si>
    <t>Column13493</t>
  </si>
  <si>
    <t>Column13494</t>
  </si>
  <si>
    <t>Column13495</t>
  </si>
  <si>
    <t>Column13496</t>
  </si>
  <si>
    <t>Column13497</t>
  </si>
  <si>
    <t>Column13498</t>
  </si>
  <si>
    <t>Column13499</t>
  </si>
  <si>
    <t>Column13500</t>
  </si>
  <si>
    <t>Column13501</t>
  </si>
  <si>
    <t>Column13502</t>
  </si>
  <si>
    <t>Column13503</t>
  </si>
  <si>
    <t>Column13504</t>
  </si>
  <si>
    <t>Column13505</t>
  </si>
  <si>
    <t>Column13506</t>
  </si>
  <si>
    <t>Column13507</t>
  </si>
  <si>
    <t>Column13508</t>
  </si>
  <si>
    <t>Column13509</t>
  </si>
  <si>
    <t>Column13510</t>
  </si>
  <si>
    <t>Column13511</t>
  </si>
  <si>
    <t>Column13512</t>
  </si>
  <si>
    <t>Column13513</t>
  </si>
  <si>
    <t>Column13514</t>
  </si>
  <si>
    <t>Column13515</t>
  </si>
  <si>
    <t>Column13516</t>
  </si>
  <si>
    <t>Column13517</t>
  </si>
  <si>
    <t>Column13518</t>
  </si>
  <si>
    <t>Column13519</t>
  </si>
  <si>
    <t>Column13520</t>
  </si>
  <si>
    <t>Column13521</t>
  </si>
  <si>
    <t>Column13522</t>
  </si>
  <si>
    <t>Column13523</t>
  </si>
  <si>
    <t>Column13524</t>
  </si>
  <si>
    <t>Column13525</t>
  </si>
  <si>
    <t>Column13526</t>
  </si>
  <si>
    <t>Column13527</t>
  </si>
  <si>
    <t>Column13528</t>
  </si>
  <si>
    <t>Column13529</t>
  </si>
  <si>
    <t>Column13530</t>
  </si>
  <si>
    <t>Column13531</t>
  </si>
  <si>
    <t>Column13532</t>
  </si>
  <si>
    <t>Column13533</t>
  </si>
  <si>
    <t>Column13534</t>
  </si>
  <si>
    <t>Column13535</t>
  </si>
  <si>
    <t>Column13536</t>
  </si>
  <si>
    <t>Column13537</t>
  </si>
  <si>
    <t>Column13538</t>
  </si>
  <si>
    <t>Column13539</t>
  </si>
  <si>
    <t>Column13540</t>
  </si>
  <si>
    <t>Column13541</t>
  </si>
  <si>
    <t>Column13542</t>
  </si>
  <si>
    <t>Column13543</t>
  </si>
  <si>
    <t>Column13544</t>
  </si>
  <si>
    <t>Column13545</t>
  </si>
  <si>
    <t>Column13546</t>
  </si>
  <si>
    <t>Column13547</t>
  </si>
  <si>
    <t>Column13548</t>
  </si>
  <si>
    <t>Column13549</t>
  </si>
  <si>
    <t>Column13550</t>
  </si>
  <si>
    <t>Column13551</t>
  </si>
  <si>
    <t>Column13552</t>
  </si>
  <si>
    <t>Column13553</t>
  </si>
  <si>
    <t>Column13554</t>
  </si>
  <si>
    <t>Column13555</t>
  </si>
  <si>
    <t>Column13556</t>
  </si>
  <si>
    <t>Column13557</t>
  </si>
  <si>
    <t>Column13558</t>
  </si>
  <si>
    <t>Column13559</t>
  </si>
  <si>
    <t>Column13560</t>
  </si>
  <si>
    <t>Column13561</t>
  </si>
  <si>
    <t>Column13562</t>
  </si>
  <si>
    <t>Column13563</t>
  </si>
  <si>
    <t>Column13564</t>
  </si>
  <si>
    <t>Column13565</t>
  </si>
  <si>
    <t>Column13566</t>
  </si>
  <si>
    <t>Column13567</t>
  </si>
  <si>
    <t>Column13568</t>
  </si>
  <si>
    <t>Column13569</t>
  </si>
  <si>
    <t>Column13570</t>
  </si>
  <si>
    <t>Column13571</t>
  </si>
  <si>
    <t>Column13572</t>
  </si>
  <si>
    <t>Column13573</t>
  </si>
  <si>
    <t>Column13574</t>
  </si>
  <si>
    <t>Column13575</t>
  </si>
  <si>
    <t>Column13576</t>
  </si>
  <si>
    <t>Column13577</t>
  </si>
  <si>
    <t>Column13578</t>
  </si>
  <si>
    <t>Column13579</t>
  </si>
  <si>
    <t>Column13580</t>
  </si>
  <si>
    <t>Column13581</t>
  </si>
  <si>
    <t>Column13582</t>
  </si>
  <si>
    <t>Column13583</t>
  </si>
  <si>
    <t>Column13584</t>
  </si>
  <si>
    <t>Column13585</t>
  </si>
  <si>
    <t>Column13586</t>
  </si>
  <si>
    <t>Column13587</t>
  </si>
  <si>
    <t>Column13588</t>
  </si>
  <si>
    <t>Column13589</t>
  </si>
  <si>
    <t>Column13590</t>
  </si>
  <si>
    <t>Column13591</t>
  </si>
  <si>
    <t>Column13592</t>
  </si>
  <si>
    <t>Column13593</t>
  </si>
  <si>
    <t>Column13594</t>
  </si>
  <si>
    <t>Column13595</t>
  </si>
  <si>
    <t>Column13596</t>
  </si>
  <si>
    <t>Column13597</t>
  </si>
  <si>
    <t>Column13598</t>
  </si>
  <si>
    <t>Column13599</t>
  </si>
  <si>
    <t>Column13600</t>
  </si>
  <si>
    <t>Column13601</t>
  </si>
  <si>
    <t>Column13602</t>
  </si>
  <si>
    <t>Column13603</t>
  </si>
  <si>
    <t>Column13604</t>
  </si>
  <si>
    <t>Column13605</t>
  </si>
  <si>
    <t>Column13606</t>
  </si>
  <si>
    <t>Column13607</t>
  </si>
  <si>
    <t>Column13608</t>
  </si>
  <si>
    <t>Column13609</t>
  </si>
  <si>
    <t>Column13610</t>
  </si>
  <si>
    <t>Column13611</t>
  </si>
  <si>
    <t>Column13612</t>
  </si>
  <si>
    <t>Column13613</t>
  </si>
  <si>
    <t>Column13614</t>
  </si>
  <si>
    <t>Column13615</t>
  </si>
  <si>
    <t>Column13616</t>
  </si>
  <si>
    <t>Column13617</t>
  </si>
  <si>
    <t>Column13618</t>
  </si>
  <si>
    <t>Column13619</t>
  </si>
  <si>
    <t>Column13620</t>
  </si>
  <si>
    <t>Column13621</t>
  </si>
  <si>
    <t>Column13622</t>
  </si>
  <si>
    <t>Column13623</t>
  </si>
  <si>
    <t>Column13624</t>
  </si>
  <si>
    <t>Column13625</t>
  </si>
  <si>
    <t>Column13626</t>
  </si>
  <si>
    <t>Column13627</t>
  </si>
  <si>
    <t>Column13628</t>
  </si>
  <si>
    <t>Column13629</t>
  </si>
  <si>
    <t>Column13630</t>
  </si>
  <si>
    <t>Column13631</t>
  </si>
  <si>
    <t>Column13632</t>
  </si>
  <si>
    <t>Column13633</t>
  </si>
  <si>
    <t>Column13634</t>
  </si>
  <si>
    <t>Column13635</t>
  </si>
  <si>
    <t>Column13636</t>
  </si>
  <si>
    <t>Column13637</t>
  </si>
  <si>
    <t>Column13638</t>
  </si>
  <si>
    <t>Column13639</t>
  </si>
  <si>
    <t>Column13640</t>
  </si>
  <si>
    <t>Column13641</t>
  </si>
  <si>
    <t>Column13642</t>
  </si>
  <si>
    <t>Column13643</t>
  </si>
  <si>
    <t>Column13644</t>
  </si>
  <si>
    <t>Column13645</t>
  </si>
  <si>
    <t>Column13646</t>
  </si>
  <si>
    <t>Column13647</t>
  </si>
  <si>
    <t>Column13648</t>
  </si>
  <si>
    <t>Column13649</t>
  </si>
  <si>
    <t>Column13650</t>
  </si>
  <si>
    <t>Column13651</t>
  </si>
  <si>
    <t>Column13652</t>
  </si>
  <si>
    <t>Column13653</t>
  </si>
  <si>
    <t>Column13654</t>
  </si>
  <si>
    <t>Column13655</t>
  </si>
  <si>
    <t>Column13656</t>
  </si>
  <si>
    <t>Column13657</t>
  </si>
  <si>
    <t>Column13658</t>
  </si>
  <si>
    <t>Column13659</t>
  </si>
  <si>
    <t>Column13660</t>
  </si>
  <si>
    <t>Column13661</t>
  </si>
  <si>
    <t>Column13662</t>
  </si>
  <si>
    <t>Column13663</t>
  </si>
  <si>
    <t>Column13664</t>
  </si>
  <si>
    <t>Column13665</t>
  </si>
  <si>
    <t>Column13666</t>
  </si>
  <si>
    <t>Column13667</t>
  </si>
  <si>
    <t>Column13668</t>
  </si>
  <si>
    <t>Column13669</t>
  </si>
  <si>
    <t>Column13670</t>
  </si>
  <si>
    <t>Column13671</t>
  </si>
  <si>
    <t>Column13672</t>
  </si>
  <si>
    <t>Column13673</t>
  </si>
  <si>
    <t>Column13674</t>
  </si>
  <si>
    <t>Column13675</t>
  </si>
  <si>
    <t>Column13676</t>
  </si>
  <si>
    <t>Column13677</t>
  </si>
  <si>
    <t>Column13678</t>
  </si>
  <si>
    <t>Column13679</t>
  </si>
  <si>
    <t>Column13680</t>
  </si>
  <si>
    <t>Column13681</t>
  </si>
  <si>
    <t>Column13682</t>
  </si>
  <si>
    <t>Column13683</t>
  </si>
  <si>
    <t>Column13684</t>
  </si>
  <si>
    <t>Column13685</t>
  </si>
  <si>
    <t>Column13686</t>
  </si>
  <si>
    <t>Column13687</t>
  </si>
  <si>
    <t>Column13688</t>
  </si>
  <si>
    <t>Column13689</t>
  </si>
  <si>
    <t>Column13690</t>
  </si>
  <si>
    <t>Column13691</t>
  </si>
  <si>
    <t>Column13692</t>
  </si>
  <si>
    <t>Column13693</t>
  </si>
  <si>
    <t>Column13694</t>
  </si>
  <si>
    <t>Column13695</t>
  </si>
  <si>
    <t>Column13696</t>
  </si>
  <si>
    <t>Column13697</t>
  </si>
  <si>
    <t>Column13698</t>
  </si>
  <si>
    <t>Column13699</t>
  </si>
  <si>
    <t>Column13700</t>
  </si>
  <si>
    <t>Column13701</t>
  </si>
  <si>
    <t>Column13702</t>
  </si>
  <si>
    <t>Column13703</t>
  </si>
  <si>
    <t>Column13704</t>
  </si>
  <si>
    <t>Column13705</t>
  </si>
  <si>
    <t>Column13706</t>
  </si>
  <si>
    <t>Column13707</t>
  </si>
  <si>
    <t>Column13708</t>
  </si>
  <si>
    <t>Column13709</t>
  </si>
  <si>
    <t>Column13710</t>
  </si>
  <si>
    <t>Column13711</t>
  </si>
  <si>
    <t>Column13712</t>
  </si>
  <si>
    <t>Column13713</t>
  </si>
  <si>
    <t>Column13714</t>
  </si>
  <si>
    <t>Column13715</t>
  </si>
  <si>
    <t>Column13716</t>
  </si>
  <si>
    <t>Column13717</t>
  </si>
  <si>
    <t>Column13718</t>
  </si>
  <si>
    <t>Column13719</t>
  </si>
  <si>
    <t>Column13720</t>
  </si>
  <si>
    <t>Column13721</t>
  </si>
  <si>
    <t>Column13722</t>
  </si>
  <si>
    <t>Column13723</t>
  </si>
  <si>
    <t>Column13724</t>
  </si>
  <si>
    <t>Column13725</t>
  </si>
  <si>
    <t>Column13726</t>
  </si>
  <si>
    <t>Column13727</t>
  </si>
  <si>
    <t>Column13728</t>
  </si>
  <si>
    <t>Column13729</t>
  </si>
  <si>
    <t>Column13730</t>
  </si>
  <si>
    <t>Column13731</t>
  </si>
  <si>
    <t>Column13732</t>
  </si>
  <si>
    <t>Column13733</t>
  </si>
  <si>
    <t>Column13734</t>
  </si>
  <si>
    <t>Column13735</t>
  </si>
  <si>
    <t>Column13736</t>
  </si>
  <si>
    <t>Column13737</t>
  </si>
  <si>
    <t>Column13738</t>
  </si>
  <si>
    <t>Column13739</t>
  </si>
  <si>
    <t>Column13740</t>
  </si>
  <si>
    <t>Column13741</t>
  </si>
  <si>
    <t>Column13742</t>
  </si>
  <si>
    <t>Column13743</t>
  </si>
  <si>
    <t>Column13744</t>
  </si>
  <si>
    <t>Column13745</t>
  </si>
  <si>
    <t>Column13746</t>
  </si>
  <si>
    <t>Column13747</t>
  </si>
  <si>
    <t>Column13748</t>
  </si>
  <si>
    <t>Column13749</t>
  </si>
  <si>
    <t>Column13750</t>
  </si>
  <si>
    <t>Column13751</t>
  </si>
  <si>
    <t>Column13752</t>
  </si>
  <si>
    <t>Column13753</t>
  </si>
  <si>
    <t>Column13754</t>
  </si>
  <si>
    <t>Column13755</t>
  </si>
  <si>
    <t>Column13756</t>
  </si>
  <si>
    <t>Column13757</t>
  </si>
  <si>
    <t>Column13758</t>
  </si>
  <si>
    <t>Column13759</t>
  </si>
  <si>
    <t>Column13760</t>
  </si>
  <si>
    <t>Column13761</t>
  </si>
  <si>
    <t>Column13762</t>
  </si>
  <si>
    <t>Column13763</t>
  </si>
  <si>
    <t>Column13764</t>
  </si>
  <si>
    <t>Column13765</t>
  </si>
  <si>
    <t>Column13766</t>
  </si>
  <si>
    <t>Column13767</t>
  </si>
  <si>
    <t>Column13768</t>
  </si>
  <si>
    <t>Column13769</t>
  </si>
  <si>
    <t>Column13770</t>
  </si>
  <si>
    <t>Column13771</t>
  </si>
  <si>
    <t>Column13772</t>
  </si>
  <si>
    <t>Column13773</t>
  </si>
  <si>
    <t>Column13774</t>
  </si>
  <si>
    <t>Column13775</t>
  </si>
  <si>
    <t>Column13776</t>
  </si>
  <si>
    <t>Column13777</t>
  </si>
  <si>
    <t>Column13778</t>
  </si>
  <si>
    <t>Column13779</t>
  </si>
  <si>
    <t>Column13780</t>
  </si>
  <si>
    <t>Column13781</t>
  </si>
  <si>
    <t>Column13782</t>
  </si>
  <si>
    <t>Column13783</t>
  </si>
  <si>
    <t>Column13784</t>
  </si>
  <si>
    <t>Column13785</t>
  </si>
  <si>
    <t>Column13786</t>
  </si>
  <si>
    <t>Column13787</t>
  </si>
  <si>
    <t>Column13788</t>
  </si>
  <si>
    <t>Column13789</t>
  </si>
  <si>
    <t>Column13790</t>
  </si>
  <si>
    <t>Column13791</t>
  </si>
  <si>
    <t>Column13792</t>
  </si>
  <si>
    <t>Column13793</t>
  </si>
  <si>
    <t>Column13794</t>
  </si>
  <si>
    <t>Column13795</t>
  </si>
  <si>
    <t>Column13796</t>
  </si>
  <si>
    <t>Column13797</t>
  </si>
  <si>
    <t>Column13798</t>
  </si>
  <si>
    <t>Column13799</t>
  </si>
  <si>
    <t>Column13800</t>
  </si>
  <si>
    <t>Column13801</t>
  </si>
  <si>
    <t>Column13802</t>
  </si>
  <si>
    <t>Column13803</t>
  </si>
  <si>
    <t>Column13804</t>
  </si>
  <si>
    <t>Column13805</t>
  </si>
  <si>
    <t>Column13806</t>
  </si>
  <si>
    <t>Column13807</t>
  </si>
  <si>
    <t>Column13808</t>
  </si>
  <si>
    <t>Column13809</t>
  </si>
  <si>
    <t>Column13810</t>
  </si>
  <si>
    <t>Column13811</t>
  </si>
  <si>
    <t>Column13812</t>
  </si>
  <si>
    <t>Column13813</t>
  </si>
  <si>
    <t>Column13814</t>
  </si>
  <si>
    <t>Column13815</t>
  </si>
  <si>
    <t>Column13816</t>
  </si>
  <si>
    <t>Column13817</t>
  </si>
  <si>
    <t>Column13818</t>
  </si>
  <si>
    <t>Column13819</t>
  </si>
  <si>
    <t>Column13820</t>
  </si>
  <si>
    <t>Column13821</t>
  </si>
  <si>
    <t>Column13822</t>
  </si>
  <si>
    <t>Column13823</t>
  </si>
  <si>
    <t>Column13824</t>
  </si>
  <si>
    <t>Column13825</t>
  </si>
  <si>
    <t>Column13826</t>
  </si>
  <si>
    <t>Column13827</t>
  </si>
  <si>
    <t>Column13828</t>
  </si>
  <si>
    <t>Column13829</t>
  </si>
  <si>
    <t>Column13830</t>
  </si>
  <si>
    <t>Column13831</t>
  </si>
  <si>
    <t>Column13832</t>
  </si>
  <si>
    <t>Column13833</t>
  </si>
  <si>
    <t>Column13834</t>
  </si>
  <si>
    <t>Column13835</t>
  </si>
  <si>
    <t>Column13836</t>
  </si>
  <si>
    <t>Column13837</t>
  </si>
  <si>
    <t>Column13838</t>
  </si>
  <si>
    <t>Column13839</t>
  </si>
  <si>
    <t>Column13840</t>
  </si>
  <si>
    <t>Column13841</t>
  </si>
  <si>
    <t>Column13842</t>
  </si>
  <si>
    <t>Column13843</t>
  </si>
  <si>
    <t>Column13844</t>
  </si>
  <si>
    <t>Column13845</t>
  </si>
  <si>
    <t>Column13846</t>
  </si>
  <si>
    <t>Column13847</t>
  </si>
  <si>
    <t>Column13848</t>
  </si>
  <si>
    <t>Column13849</t>
  </si>
  <si>
    <t>Column13850</t>
  </si>
  <si>
    <t>Column13851</t>
  </si>
  <si>
    <t>Column13852</t>
  </si>
  <si>
    <t>Column13853</t>
  </si>
  <si>
    <t>Column13854</t>
  </si>
  <si>
    <t>Column13855</t>
  </si>
  <si>
    <t>Column13856</t>
  </si>
  <si>
    <t>Column13857</t>
  </si>
  <si>
    <t>Column13858</t>
  </si>
  <si>
    <t>Column13859</t>
  </si>
  <si>
    <t>Column13860</t>
  </si>
  <si>
    <t>Column13861</t>
  </si>
  <si>
    <t>Column13862</t>
  </si>
  <si>
    <t>Column13863</t>
  </si>
  <si>
    <t>Column13864</t>
  </si>
  <si>
    <t>Column13865</t>
  </si>
  <si>
    <t>Column13866</t>
  </si>
  <si>
    <t>Column13867</t>
  </si>
  <si>
    <t>Column13868</t>
  </si>
  <si>
    <t>Column13869</t>
  </si>
  <si>
    <t>Column13870</t>
  </si>
  <si>
    <t>Column13871</t>
  </si>
  <si>
    <t>Column13872</t>
  </si>
  <si>
    <t>Column13873</t>
  </si>
  <si>
    <t>Column13874</t>
  </si>
  <si>
    <t>Column13875</t>
  </si>
  <si>
    <t>Column13876</t>
  </si>
  <si>
    <t>Column13877</t>
  </si>
  <si>
    <t>Column13878</t>
  </si>
  <si>
    <t>Column13879</t>
  </si>
  <si>
    <t>Column13880</t>
  </si>
  <si>
    <t>Column13881</t>
  </si>
  <si>
    <t>Column13882</t>
  </si>
  <si>
    <t>Column13883</t>
  </si>
  <si>
    <t>Column13884</t>
  </si>
  <si>
    <t>Column13885</t>
  </si>
  <si>
    <t>Column13886</t>
  </si>
  <si>
    <t>Column13887</t>
  </si>
  <si>
    <t>Column13888</t>
  </si>
  <si>
    <t>Column13889</t>
  </si>
  <si>
    <t>Column13890</t>
  </si>
  <si>
    <t>Column13891</t>
  </si>
  <si>
    <t>Column13892</t>
  </si>
  <si>
    <t>Column13893</t>
  </si>
  <si>
    <t>Column13894</t>
  </si>
  <si>
    <t>Column13895</t>
  </si>
  <si>
    <t>Column13896</t>
  </si>
  <si>
    <t>Column13897</t>
  </si>
  <si>
    <t>Column13898</t>
  </si>
  <si>
    <t>Column13899</t>
  </si>
  <si>
    <t>Column13900</t>
  </si>
  <si>
    <t>Column13901</t>
  </si>
  <si>
    <t>Column13902</t>
  </si>
  <si>
    <t>Column13903</t>
  </si>
  <si>
    <t>Column13904</t>
  </si>
  <si>
    <t>Column13905</t>
  </si>
  <si>
    <t>Column13906</t>
  </si>
  <si>
    <t>Column13907</t>
  </si>
  <si>
    <t>Column13908</t>
  </si>
  <si>
    <t>Column13909</t>
  </si>
  <si>
    <t>Column13910</t>
  </si>
  <si>
    <t>Column13911</t>
  </si>
  <si>
    <t>Column13912</t>
  </si>
  <si>
    <t>Column13913</t>
  </si>
  <si>
    <t>Column13914</t>
  </si>
  <si>
    <t>Column13915</t>
  </si>
  <si>
    <t>Column13916</t>
  </si>
  <si>
    <t>Column13917</t>
  </si>
  <si>
    <t>Column13918</t>
  </si>
  <si>
    <t>Column13919</t>
  </si>
  <si>
    <t>Column13920</t>
  </si>
  <si>
    <t>Column13921</t>
  </si>
  <si>
    <t>Column13922</t>
  </si>
  <si>
    <t>Column13923</t>
  </si>
  <si>
    <t>Column13924</t>
  </si>
  <si>
    <t>Column13925</t>
  </si>
  <si>
    <t>Column13926</t>
  </si>
  <si>
    <t>Column13927</t>
  </si>
  <si>
    <t>Column13928</t>
  </si>
  <si>
    <t>Column13929</t>
  </si>
  <si>
    <t>Column13930</t>
  </si>
  <si>
    <t>Column13931</t>
  </si>
  <si>
    <t>Column13932</t>
  </si>
  <si>
    <t>Column13933</t>
  </si>
  <si>
    <t>Column13934</t>
  </si>
  <si>
    <t>Column13935</t>
  </si>
  <si>
    <t>Column13936</t>
  </si>
  <si>
    <t>Column13937</t>
  </si>
  <si>
    <t>Column13938</t>
  </si>
  <si>
    <t>Column13939</t>
  </si>
  <si>
    <t>Column13940</t>
  </si>
  <si>
    <t>Column13941</t>
  </si>
  <si>
    <t>Column13942</t>
  </si>
  <si>
    <t>Column13943</t>
  </si>
  <si>
    <t>Column13944</t>
  </si>
  <si>
    <t>Column13945</t>
  </si>
  <si>
    <t>Column13946</t>
  </si>
  <si>
    <t>Column13947</t>
  </si>
  <si>
    <t>Column13948</t>
  </si>
  <si>
    <t>Column13949</t>
  </si>
  <si>
    <t>Column13950</t>
  </si>
  <si>
    <t>Column13951</t>
  </si>
  <si>
    <t>Column13952</t>
  </si>
  <si>
    <t>Column13953</t>
  </si>
  <si>
    <t>Column13954</t>
  </si>
  <si>
    <t>Column13955</t>
  </si>
  <si>
    <t>Column13956</t>
  </si>
  <si>
    <t>Column13957</t>
  </si>
  <si>
    <t>Column13958</t>
  </si>
  <si>
    <t>Column13959</t>
  </si>
  <si>
    <t>Column13960</t>
  </si>
  <si>
    <t>Column13961</t>
  </si>
  <si>
    <t>Column13962</t>
  </si>
  <si>
    <t>Column13963</t>
  </si>
  <si>
    <t>Column13964</t>
  </si>
  <si>
    <t>Column13965</t>
  </si>
  <si>
    <t>Column13966</t>
  </si>
  <si>
    <t>Column13967</t>
  </si>
  <si>
    <t>Column13968</t>
  </si>
  <si>
    <t>Column13969</t>
  </si>
  <si>
    <t>Column13970</t>
  </si>
  <si>
    <t>Column13971</t>
  </si>
  <si>
    <t>Column13972</t>
  </si>
  <si>
    <t>Column13973</t>
  </si>
  <si>
    <t>Column13974</t>
  </si>
  <si>
    <t>Column13975</t>
  </si>
  <si>
    <t>Column13976</t>
  </si>
  <si>
    <t>Column13977</t>
  </si>
  <si>
    <t>Column13978</t>
  </si>
  <si>
    <t>Column13979</t>
  </si>
  <si>
    <t>Column13980</t>
  </si>
  <si>
    <t>Column13981</t>
  </si>
  <si>
    <t>Column13982</t>
  </si>
  <si>
    <t>Column13983</t>
  </si>
  <si>
    <t>Column13984</t>
  </si>
  <si>
    <t>Column13985</t>
  </si>
  <si>
    <t>Column13986</t>
  </si>
  <si>
    <t>Column13987</t>
  </si>
  <si>
    <t>Column13988</t>
  </si>
  <si>
    <t>Column13989</t>
  </si>
  <si>
    <t>Column13990</t>
  </si>
  <si>
    <t>Column13991</t>
  </si>
  <si>
    <t>Column13992</t>
  </si>
  <si>
    <t>Column13993</t>
  </si>
  <si>
    <t>Column13994</t>
  </si>
  <si>
    <t>Column13995</t>
  </si>
  <si>
    <t>Column13996</t>
  </si>
  <si>
    <t>Column13997</t>
  </si>
  <si>
    <t>Column13998</t>
  </si>
  <si>
    <t>Column13999</t>
  </si>
  <si>
    <t>Column14000</t>
  </si>
  <si>
    <t>Column14001</t>
  </si>
  <si>
    <t>Column14002</t>
  </si>
  <si>
    <t>Column14003</t>
  </si>
  <si>
    <t>Column14004</t>
  </si>
  <si>
    <t>Column14005</t>
  </si>
  <si>
    <t>Column14006</t>
  </si>
  <si>
    <t>Column14007</t>
  </si>
  <si>
    <t>Column14008</t>
  </si>
  <si>
    <t>Column14009</t>
  </si>
  <si>
    <t>Column14010</t>
  </si>
  <si>
    <t>Column14011</t>
  </si>
  <si>
    <t>Column14012</t>
  </si>
  <si>
    <t>Column14013</t>
  </si>
  <si>
    <t>Column14014</t>
  </si>
  <si>
    <t>Column14015</t>
  </si>
  <si>
    <t>Column14016</t>
  </si>
  <si>
    <t>Column14017</t>
  </si>
  <si>
    <t>Column14018</t>
  </si>
  <si>
    <t>Column14019</t>
  </si>
  <si>
    <t>Column14020</t>
  </si>
  <si>
    <t>Column14021</t>
  </si>
  <si>
    <t>Column14022</t>
  </si>
  <si>
    <t>Column14023</t>
  </si>
  <si>
    <t>Column14024</t>
  </si>
  <si>
    <t>Column14025</t>
  </si>
  <si>
    <t>Column14026</t>
  </si>
  <si>
    <t>Column14027</t>
  </si>
  <si>
    <t>Column14028</t>
  </si>
  <si>
    <t>Column14029</t>
  </si>
  <si>
    <t>Column14030</t>
  </si>
  <si>
    <t>Column14031</t>
  </si>
  <si>
    <t>Column14032</t>
  </si>
  <si>
    <t>Column14033</t>
  </si>
  <si>
    <t>Column14034</t>
  </si>
  <si>
    <t>Column14035</t>
  </si>
  <si>
    <t>Column14036</t>
  </si>
  <si>
    <t>Column14037</t>
  </si>
  <si>
    <t>Column14038</t>
  </si>
  <si>
    <t>Column14039</t>
  </si>
  <si>
    <t>Column14040</t>
  </si>
  <si>
    <t>Column14041</t>
  </si>
  <si>
    <t>Column14042</t>
  </si>
  <si>
    <t>Column14043</t>
  </si>
  <si>
    <t>Column14044</t>
  </si>
  <si>
    <t>Column14045</t>
  </si>
  <si>
    <t>Column14046</t>
  </si>
  <si>
    <t>Column14047</t>
  </si>
  <si>
    <t>Column14048</t>
  </si>
  <si>
    <t>Column14049</t>
  </si>
  <si>
    <t>Column14050</t>
  </si>
  <si>
    <t>Column14051</t>
  </si>
  <si>
    <t>Column14052</t>
  </si>
  <si>
    <t>Column14053</t>
  </si>
  <si>
    <t>Column14054</t>
  </si>
  <si>
    <t>Column14055</t>
  </si>
  <si>
    <t>Column14056</t>
  </si>
  <si>
    <t>Column14057</t>
  </si>
  <si>
    <t>Column14058</t>
  </si>
  <si>
    <t>Column14059</t>
  </si>
  <si>
    <t>Column14060</t>
  </si>
  <si>
    <t>Column14061</t>
  </si>
  <si>
    <t>Column14062</t>
  </si>
  <si>
    <t>Column14063</t>
  </si>
  <si>
    <t>Column14064</t>
  </si>
  <si>
    <t>Column14065</t>
  </si>
  <si>
    <t>Column14066</t>
  </si>
  <si>
    <t>Column14067</t>
  </si>
  <si>
    <t>Column14068</t>
  </si>
  <si>
    <t>Column14069</t>
  </si>
  <si>
    <t>Column14070</t>
  </si>
  <si>
    <t>Column14071</t>
  </si>
  <si>
    <t>Column14072</t>
  </si>
  <si>
    <t>Column14073</t>
  </si>
  <si>
    <t>Column14074</t>
  </si>
  <si>
    <t>Column14075</t>
  </si>
  <si>
    <t>Column14076</t>
  </si>
  <si>
    <t>Column14077</t>
  </si>
  <si>
    <t>Column14078</t>
  </si>
  <si>
    <t>Column14079</t>
  </si>
  <si>
    <t>Column14080</t>
  </si>
  <si>
    <t>Column14081</t>
  </si>
  <si>
    <t>Column14082</t>
  </si>
  <si>
    <t>Column14083</t>
  </si>
  <si>
    <t>Column14084</t>
  </si>
  <si>
    <t>Column14085</t>
  </si>
  <si>
    <t>Column14086</t>
  </si>
  <si>
    <t>Column14087</t>
  </si>
  <si>
    <t>Column14088</t>
  </si>
  <si>
    <t>Column14089</t>
  </si>
  <si>
    <t>Column14090</t>
  </si>
  <si>
    <t>Column14091</t>
  </si>
  <si>
    <t>Column14092</t>
  </si>
  <si>
    <t>Column14093</t>
  </si>
  <si>
    <t>Column14094</t>
  </si>
  <si>
    <t>Column14095</t>
  </si>
  <si>
    <t>Column14096</t>
  </si>
  <si>
    <t>Column14097</t>
  </si>
  <si>
    <t>Column14098</t>
  </si>
  <si>
    <t>Column14099</t>
  </si>
  <si>
    <t>Column14100</t>
  </si>
  <si>
    <t>Column14101</t>
  </si>
  <si>
    <t>Column14102</t>
  </si>
  <si>
    <t>Column14103</t>
  </si>
  <si>
    <t>Column14104</t>
  </si>
  <si>
    <t>Column14105</t>
  </si>
  <si>
    <t>Column14106</t>
  </si>
  <si>
    <t>Column14107</t>
  </si>
  <si>
    <t>Column14108</t>
  </si>
  <si>
    <t>Column14109</t>
  </si>
  <si>
    <t>Column14110</t>
  </si>
  <si>
    <t>Column14111</t>
  </si>
  <si>
    <t>Column14112</t>
  </si>
  <si>
    <t>Column14113</t>
  </si>
  <si>
    <t>Column14114</t>
  </si>
  <si>
    <t>Column14115</t>
  </si>
  <si>
    <t>Column14116</t>
  </si>
  <si>
    <t>Column14117</t>
  </si>
  <si>
    <t>Column14118</t>
  </si>
  <si>
    <t>Column14119</t>
  </si>
  <si>
    <t>Column14120</t>
  </si>
  <si>
    <t>Column14121</t>
  </si>
  <si>
    <t>Column14122</t>
  </si>
  <si>
    <t>Column14123</t>
  </si>
  <si>
    <t>Column14124</t>
  </si>
  <si>
    <t>Column14125</t>
  </si>
  <si>
    <t>Column14126</t>
  </si>
  <si>
    <t>Column14127</t>
  </si>
  <si>
    <t>Column14128</t>
  </si>
  <si>
    <t>Column14129</t>
  </si>
  <si>
    <t>Column14130</t>
  </si>
  <si>
    <t>Column14131</t>
  </si>
  <si>
    <t>Column14132</t>
  </si>
  <si>
    <t>Column14133</t>
  </si>
  <si>
    <t>Column14134</t>
  </si>
  <si>
    <t>Column14135</t>
  </si>
  <si>
    <t>Column14136</t>
  </si>
  <si>
    <t>Column14137</t>
  </si>
  <si>
    <t>Column14138</t>
  </si>
  <si>
    <t>Column14139</t>
  </si>
  <si>
    <t>Column14140</t>
  </si>
  <si>
    <t>Column14141</t>
  </si>
  <si>
    <t>Column14142</t>
  </si>
  <si>
    <t>Column14143</t>
  </si>
  <si>
    <t>Column14144</t>
  </si>
  <si>
    <t>Column14145</t>
  </si>
  <si>
    <t>Column14146</t>
  </si>
  <si>
    <t>Column14147</t>
  </si>
  <si>
    <t>Column14148</t>
  </si>
  <si>
    <t>Column14149</t>
  </si>
  <si>
    <t>Column14150</t>
  </si>
  <si>
    <t>Column14151</t>
  </si>
  <si>
    <t>Column14152</t>
  </si>
  <si>
    <t>Column14153</t>
  </si>
  <si>
    <t>Column14154</t>
  </si>
  <si>
    <t>Column14155</t>
  </si>
  <si>
    <t>Column14156</t>
  </si>
  <si>
    <t>Column14157</t>
  </si>
  <si>
    <t>Column14158</t>
  </si>
  <si>
    <t>Column14159</t>
  </si>
  <si>
    <t>Column14160</t>
  </si>
  <si>
    <t>Column14161</t>
  </si>
  <si>
    <t>Column14162</t>
  </si>
  <si>
    <t>Column14163</t>
  </si>
  <si>
    <t>Column14164</t>
  </si>
  <si>
    <t>Column14165</t>
  </si>
  <si>
    <t>Column14166</t>
  </si>
  <si>
    <t>Column14167</t>
  </si>
  <si>
    <t>Column14168</t>
  </si>
  <si>
    <t>Column14169</t>
  </si>
  <si>
    <t>Column14170</t>
  </si>
  <si>
    <t>Column14171</t>
  </si>
  <si>
    <t>Column14172</t>
  </si>
  <si>
    <t>Column14173</t>
  </si>
  <si>
    <t>Column14174</t>
  </si>
  <si>
    <t>Column14175</t>
  </si>
  <si>
    <t>Column14176</t>
  </si>
  <si>
    <t>Column14177</t>
  </si>
  <si>
    <t>Column14178</t>
  </si>
  <si>
    <t>Column14179</t>
  </si>
  <si>
    <t>Column14180</t>
  </si>
  <si>
    <t>Column14181</t>
  </si>
  <si>
    <t>Column14182</t>
  </si>
  <si>
    <t>Column14183</t>
  </si>
  <si>
    <t>Column14184</t>
  </si>
  <si>
    <t>Column14185</t>
  </si>
  <si>
    <t>Column14186</t>
  </si>
  <si>
    <t>Column14187</t>
  </si>
  <si>
    <t>Column14188</t>
  </si>
  <si>
    <t>Column14189</t>
  </si>
  <si>
    <t>Column14190</t>
  </si>
  <si>
    <t>Column14191</t>
  </si>
  <si>
    <t>Column14192</t>
  </si>
  <si>
    <t>Column14193</t>
  </si>
  <si>
    <t>Column14194</t>
  </si>
  <si>
    <t>Column14195</t>
  </si>
  <si>
    <t>Column14196</t>
  </si>
  <si>
    <t>Column14197</t>
  </si>
  <si>
    <t>Column14198</t>
  </si>
  <si>
    <t>Column14199</t>
  </si>
  <si>
    <t>Column14200</t>
  </si>
  <si>
    <t>Column14201</t>
  </si>
  <si>
    <t>Column14202</t>
  </si>
  <si>
    <t>Column14203</t>
  </si>
  <si>
    <t>Column14204</t>
  </si>
  <si>
    <t>Column14205</t>
  </si>
  <si>
    <t>Column14206</t>
  </si>
  <si>
    <t>Column14207</t>
  </si>
  <si>
    <t>Column14208</t>
  </si>
  <si>
    <t>Column14209</t>
  </si>
  <si>
    <t>Column14210</t>
  </si>
  <si>
    <t>Column14211</t>
  </si>
  <si>
    <t>Column14212</t>
  </si>
  <si>
    <t>Column14213</t>
  </si>
  <si>
    <t>Column14214</t>
  </si>
  <si>
    <t>Column14215</t>
  </si>
  <si>
    <t>Column14216</t>
  </si>
  <si>
    <t>Column14217</t>
  </si>
  <si>
    <t>Column14218</t>
  </si>
  <si>
    <t>Column14219</t>
  </si>
  <si>
    <t>Column14220</t>
  </si>
  <si>
    <t>Column14221</t>
  </si>
  <si>
    <t>Column14222</t>
  </si>
  <si>
    <t>Column14223</t>
  </si>
  <si>
    <t>Column14224</t>
  </si>
  <si>
    <t>Column14225</t>
  </si>
  <si>
    <t>Column14226</t>
  </si>
  <si>
    <t>Column14227</t>
  </si>
  <si>
    <t>Column14228</t>
  </si>
  <si>
    <t>Column14229</t>
  </si>
  <si>
    <t>Column14230</t>
  </si>
  <si>
    <t>Column14231</t>
  </si>
  <si>
    <t>Column14232</t>
  </si>
  <si>
    <t>Column14233</t>
  </si>
  <si>
    <t>Column14234</t>
  </si>
  <si>
    <t>Column14235</t>
  </si>
  <si>
    <t>Column14236</t>
  </si>
  <si>
    <t>Column14237</t>
  </si>
  <si>
    <t>Column14238</t>
  </si>
  <si>
    <t>Column14239</t>
  </si>
  <si>
    <t>Column14240</t>
  </si>
  <si>
    <t>Column14241</t>
  </si>
  <si>
    <t>Column14242</t>
  </si>
  <si>
    <t>Column14243</t>
  </si>
  <si>
    <t>Column14244</t>
  </si>
  <si>
    <t>Column14245</t>
  </si>
  <si>
    <t>Column14246</t>
  </si>
  <si>
    <t>Column14247</t>
  </si>
  <si>
    <t>Column14248</t>
  </si>
  <si>
    <t>Column14249</t>
  </si>
  <si>
    <t>Column14250</t>
  </si>
  <si>
    <t>Column14251</t>
  </si>
  <si>
    <t>Column14252</t>
  </si>
  <si>
    <t>Column14253</t>
  </si>
  <si>
    <t>Column14254</t>
  </si>
  <si>
    <t>Column14255</t>
  </si>
  <si>
    <t>Column14256</t>
  </si>
  <si>
    <t>Column14257</t>
  </si>
  <si>
    <t>Column14258</t>
  </si>
  <si>
    <t>Column14259</t>
  </si>
  <si>
    <t>Column14260</t>
  </si>
  <si>
    <t>Column14261</t>
  </si>
  <si>
    <t>Column14262</t>
  </si>
  <si>
    <t>Column14263</t>
  </si>
  <si>
    <t>Column14264</t>
  </si>
  <si>
    <t>Column14265</t>
  </si>
  <si>
    <t>Column14266</t>
  </si>
  <si>
    <t>Column14267</t>
  </si>
  <si>
    <t>Column14268</t>
  </si>
  <si>
    <t>Column14269</t>
  </si>
  <si>
    <t>Column14270</t>
  </si>
  <si>
    <t>Column14271</t>
  </si>
  <si>
    <t>Column14272</t>
  </si>
  <si>
    <t>Column14273</t>
  </si>
  <si>
    <t>Column14274</t>
  </si>
  <si>
    <t>Column14275</t>
  </si>
  <si>
    <t>Column14276</t>
  </si>
  <si>
    <t>Column14277</t>
  </si>
  <si>
    <t>Column14278</t>
  </si>
  <si>
    <t>Column14279</t>
  </si>
  <si>
    <t>Column14280</t>
  </si>
  <si>
    <t>Column14281</t>
  </si>
  <si>
    <t>Column14282</t>
  </si>
  <si>
    <t>Column14283</t>
  </si>
  <si>
    <t>Column14284</t>
  </si>
  <si>
    <t>Column14285</t>
  </si>
  <si>
    <t>Column14286</t>
  </si>
  <si>
    <t>Column14287</t>
  </si>
  <si>
    <t>Column14288</t>
  </si>
  <si>
    <t>Column14289</t>
  </si>
  <si>
    <t>Column14290</t>
  </si>
  <si>
    <t>Column14291</t>
  </si>
  <si>
    <t>Column14292</t>
  </si>
  <si>
    <t>Column14293</t>
  </si>
  <si>
    <t>Column14294</t>
  </si>
  <si>
    <t>Column14295</t>
  </si>
  <si>
    <t>Column14296</t>
  </si>
  <si>
    <t>Column14297</t>
  </si>
  <si>
    <t>Column14298</t>
  </si>
  <si>
    <t>Column14299</t>
  </si>
  <si>
    <t>Column14300</t>
  </si>
  <si>
    <t>Column14301</t>
  </si>
  <si>
    <t>Column14302</t>
  </si>
  <si>
    <t>Column14303</t>
  </si>
  <si>
    <t>Column14304</t>
  </si>
  <si>
    <t>Column14305</t>
  </si>
  <si>
    <t>Column14306</t>
  </si>
  <si>
    <t>Column14307</t>
  </si>
  <si>
    <t>Column14308</t>
  </si>
  <si>
    <t>Column14309</t>
  </si>
  <si>
    <t>Column14310</t>
  </si>
  <si>
    <t>Column14311</t>
  </si>
  <si>
    <t>Column14312</t>
  </si>
  <si>
    <t>Column14313</t>
  </si>
  <si>
    <t>Column14314</t>
  </si>
  <si>
    <t>Column14315</t>
  </si>
  <si>
    <t>Column14316</t>
  </si>
  <si>
    <t>Column14317</t>
  </si>
  <si>
    <t>Column14318</t>
  </si>
  <si>
    <t>Column14319</t>
  </si>
  <si>
    <t>Column14320</t>
  </si>
  <si>
    <t>Column14321</t>
  </si>
  <si>
    <t>Column14322</t>
  </si>
  <si>
    <t>Column14323</t>
  </si>
  <si>
    <t>Column14324</t>
  </si>
  <si>
    <t>Column14325</t>
  </si>
  <si>
    <t>Column14326</t>
  </si>
  <si>
    <t>Column14327</t>
  </si>
  <si>
    <t>Column14328</t>
  </si>
  <si>
    <t>Column14329</t>
  </si>
  <si>
    <t>Column14330</t>
  </si>
  <si>
    <t>Column14331</t>
  </si>
  <si>
    <t>Column14332</t>
  </si>
  <si>
    <t>Column14333</t>
  </si>
  <si>
    <t>Column14334</t>
  </si>
  <si>
    <t>Column14335</t>
  </si>
  <si>
    <t>Column14336</t>
  </si>
  <si>
    <t>Column14337</t>
  </si>
  <si>
    <t>Column14338</t>
  </si>
  <si>
    <t>Column14339</t>
  </si>
  <si>
    <t>Column14340</t>
  </si>
  <si>
    <t>Column14341</t>
  </si>
  <si>
    <t>Column14342</t>
  </si>
  <si>
    <t>Column14343</t>
  </si>
  <si>
    <t>Column14344</t>
  </si>
  <si>
    <t>Column14345</t>
  </si>
  <si>
    <t>Column14346</t>
  </si>
  <si>
    <t>Column14347</t>
  </si>
  <si>
    <t>Column14348</t>
  </si>
  <si>
    <t>Column14349</t>
  </si>
  <si>
    <t>Column14350</t>
  </si>
  <si>
    <t>Column14351</t>
  </si>
  <si>
    <t>Column14352</t>
  </si>
  <si>
    <t>Column14353</t>
  </si>
  <si>
    <t>Column14354</t>
  </si>
  <si>
    <t>Column14355</t>
  </si>
  <si>
    <t>Column14356</t>
  </si>
  <si>
    <t>Column14357</t>
  </si>
  <si>
    <t>Column14358</t>
  </si>
  <si>
    <t>Column14359</t>
  </si>
  <si>
    <t>Column14360</t>
  </si>
  <si>
    <t>Column14361</t>
  </si>
  <si>
    <t>Column14362</t>
  </si>
  <si>
    <t>Column14363</t>
  </si>
  <si>
    <t>Column14364</t>
  </si>
  <si>
    <t>Column14365</t>
  </si>
  <si>
    <t>Column14366</t>
  </si>
  <si>
    <t>Column14367</t>
  </si>
  <si>
    <t>Column14368</t>
  </si>
  <si>
    <t>Column14369</t>
  </si>
  <si>
    <t>Column14370</t>
  </si>
  <si>
    <t>Column14371</t>
  </si>
  <si>
    <t>Column14372</t>
  </si>
  <si>
    <t>Column14373</t>
  </si>
  <si>
    <t>Column14374</t>
  </si>
  <si>
    <t>Column14375</t>
  </si>
  <si>
    <t>Column14376</t>
  </si>
  <si>
    <t>Column14377</t>
  </si>
  <si>
    <t>Column14378</t>
  </si>
  <si>
    <t>Column14379</t>
  </si>
  <si>
    <t>Column14380</t>
  </si>
  <si>
    <t>Column14381</t>
  </si>
  <si>
    <t>Column14382</t>
  </si>
  <si>
    <t>Column14383</t>
  </si>
  <si>
    <t>Column14384</t>
  </si>
  <si>
    <t>Column14385</t>
  </si>
  <si>
    <t>Column14386</t>
  </si>
  <si>
    <t>Column14387</t>
  </si>
  <si>
    <t>Column14388</t>
  </si>
  <si>
    <t>Column14389</t>
  </si>
  <si>
    <t>Column14390</t>
  </si>
  <si>
    <t>Column14391</t>
  </si>
  <si>
    <t>Column14392</t>
  </si>
  <si>
    <t>Column14393</t>
  </si>
  <si>
    <t>Column14394</t>
  </si>
  <si>
    <t>Column14395</t>
  </si>
  <si>
    <t>Column14396</t>
  </si>
  <si>
    <t>Column14397</t>
  </si>
  <si>
    <t>Column14398</t>
  </si>
  <si>
    <t>Column14399</t>
  </si>
  <si>
    <t>Column14400</t>
  </si>
  <si>
    <t>Column14401</t>
  </si>
  <si>
    <t>Column14402</t>
  </si>
  <si>
    <t>Column14403</t>
  </si>
  <si>
    <t>Column14404</t>
  </si>
  <si>
    <t>Column14405</t>
  </si>
  <si>
    <t>Column14406</t>
  </si>
  <si>
    <t>Column14407</t>
  </si>
  <si>
    <t>Column14408</t>
  </si>
  <si>
    <t>Column14409</t>
  </si>
  <si>
    <t>Column14410</t>
  </si>
  <si>
    <t>Column14411</t>
  </si>
  <si>
    <t>Column14412</t>
  </si>
  <si>
    <t>Column14413</t>
  </si>
  <si>
    <t>Column14414</t>
  </si>
  <si>
    <t>Column14415</t>
  </si>
  <si>
    <t>Column14416</t>
  </si>
  <si>
    <t>Column14417</t>
  </si>
  <si>
    <t>Column14418</t>
  </si>
  <si>
    <t>Column14419</t>
  </si>
  <si>
    <t>Column14420</t>
  </si>
  <si>
    <t>Column14421</t>
  </si>
  <si>
    <t>Column14422</t>
  </si>
  <si>
    <t>Column14423</t>
  </si>
  <si>
    <t>Column14424</t>
  </si>
  <si>
    <t>Column14425</t>
  </si>
  <si>
    <t>Column14426</t>
  </si>
  <si>
    <t>Column14427</t>
  </si>
  <si>
    <t>Column14428</t>
  </si>
  <si>
    <t>Column14429</t>
  </si>
  <si>
    <t>Column14430</t>
  </si>
  <si>
    <t>Column14431</t>
  </si>
  <si>
    <t>Column14432</t>
  </si>
  <si>
    <t>Column14433</t>
  </si>
  <si>
    <t>Column14434</t>
  </si>
  <si>
    <t>Column14435</t>
  </si>
  <si>
    <t>Column14436</t>
  </si>
  <si>
    <t>Column14437</t>
  </si>
  <si>
    <t>Column14438</t>
  </si>
  <si>
    <t>Column14439</t>
  </si>
  <si>
    <t>Column14440</t>
  </si>
  <si>
    <t>Column14441</t>
  </si>
  <si>
    <t>Column14442</t>
  </si>
  <si>
    <t>Column14443</t>
  </si>
  <si>
    <t>Column14444</t>
  </si>
  <si>
    <t>Column14445</t>
  </si>
  <si>
    <t>Column14446</t>
  </si>
  <si>
    <t>Column14447</t>
  </si>
  <si>
    <t>Column14448</t>
  </si>
  <si>
    <t>Column14449</t>
  </si>
  <si>
    <t>Column14450</t>
  </si>
  <si>
    <t>Column14451</t>
  </si>
  <si>
    <t>Column14452</t>
  </si>
  <si>
    <t>Column14453</t>
  </si>
  <si>
    <t>Column14454</t>
  </si>
  <si>
    <t>Column14455</t>
  </si>
  <si>
    <t>Column14456</t>
  </si>
  <si>
    <t>Column14457</t>
  </si>
  <si>
    <t>Column14458</t>
  </si>
  <si>
    <t>Column14459</t>
  </si>
  <si>
    <t>Column14460</t>
  </si>
  <si>
    <t>Column14461</t>
  </si>
  <si>
    <t>Column14462</t>
  </si>
  <si>
    <t>Column14463</t>
  </si>
  <si>
    <t>Column14464</t>
  </si>
  <si>
    <t>Column14465</t>
  </si>
  <si>
    <t>Column14466</t>
  </si>
  <si>
    <t>Column14467</t>
  </si>
  <si>
    <t>Column14468</t>
  </si>
  <si>
    <t>Column14469</t>
  </si>
  <si>
    <t>Column14470</t>
  </si>
  <si>
    <t>Column14471</t>
  </si>
  <si>
    <t>Column14472</t>
  </si>
  <si>
    <t>Column14473</t>
  </si>
  <si>
    <t>Column14474</t>
  </si>
  <si>
    <t>Column14475</t>
  </si>
  <si>
    <t>Column14476</t>
  </si>
  <si>
    <t>Column14477</t>
  </si>
  <si>
    <t>Column14478</t>
  </si>
  <si>
    <t>Column14479</t>
  </si>
  <si>
    <t>Column14480</t>
  </si>
  <si>
    <t>Column14481</t>
  </si>
  <si>
    <t>Column14482</t>
  </si>
  <si>
    <t>Column14483</t>
  </si>
  <si>
    <t>Column14484</t>
  </si>
  <si>
    <t>Column14485</t>
  </si>
  <si>
    <t>Column14486</t>
  </si>
  <si>
    <t>Column14487</t>
  </si>
  <si>
    <t>Column14488</t>
  </si>
  <si>
    <t>Column14489</t>
  </si>
  <si>
    <t>Column14490</t>
  </si>
  <si>
    <t>Column14491</t>
  </si>
  <si>
    <t>Column14492</t>
  </si>
  <si>
    <t>Column14493</t>
  </si>
  <si>
    <t>Column14494</t>
  </si>
  <si>
    <t>Column14495</t>
  </si>
  <si>
    <t>Column14496</t>
  </si>
  <si>
    <t>Column14497</t>
  </si>
  <si>
    <t>Column14498</t>
  </si>
  <si>
    <t>Column14499</t>
  </si>
  <si>
    <t>Column14500</t>
  </si>
  <si>
    <t>Column14501</t>
  </si>
  <si>
    <t>Column14502</t>
  </si>
  <si>
    <t>Column14503</t>
  </si>
  <si>
    <t>Column14504</t>
  </si>
  <si>
    <t>Column14505</t>
  </si>
  <si>
    <t>Column14506</t>
  </si>
  <si>
    <t>Column14507</t>
  </si>
  <si>
    <t>Column14508</t>
  </si>
  <si>
    <t>Column14509</t>
  </si>
  <si>
    <t>Column14510</t>
  </si>
  <si>
    <t>Column14511</t>
  </si>
  <si>
    <t>Column14512</t>
  </si>
  <si>
    <t>Column14513</t>
  </si>
  <si>
    <t>Column14514</t>
  </si>
  <si>
    <t>Column14515</t>
  </si>
  <si>
    <t>Column14516</t>
  </si>
  <si>
    <t>Column14517</t>
  </si>
  <si>
    <t>Column14518</t>
  </si>
  <si>
    <t>Column14519</t>
  </si>
  <si>
    <t>Column14520</t>
  </si>
  <si>
    <t>Column14521</t>
  </si>
  <si>
    <t>Column14522</t>
  </si>
  <si>
    <t>Column14523</t>
  </si>
  <si>
    <t>Column14524</t>
  </si>
  <si>
    <t>Column14525</t>
  </si>
  <si>
    <t>Column14526</t>
  </si>
  <si>
    <t>Column14527</t>
  </si>
  <si>
    <t>Column14528</t>
  </si>
  <si>
    <t>Column14529</t>
  </si>
  <si>
    <t>Column14530</t>
  </si>
  <si>
    <t>Column14531</t>
  </si>
  <si>
    <t>Column14532</t>
  </si>
  <si>
    <t>Column14533</t>
  </si>
  <si>
    <t>Column14534</t>
  </si>
  <si>
    <t>Column14535</t>
  </si>
  <si>
    <t>Column14536</t>
  </si>
  <si>
    <t>Column14537</t>
  </si>
  <si>
    <t>Column14538</t>
  </si>
  <si>
    <t>Column14539</t>
  </si>
  <si>
    <t>Column14540</t>
  </si>
  <si>
    <t>Column14541</t>
  </si>
  <si>
    <t>Column14542</t>
  </si>
  <si>
    <t>Column14543</t>
  </si>
  <si>
    <t>Column14544</t>
  </si>
  <si>
    <t>Column14545</t>
  </si>
  <si>
    <t>Column14546</t>
  </si>
  <si>
    <t>Column14547</t>
  </si>
  <si>
    <t>Column14548</t>
  </si>
  <si>
    <t>Column14549</t>
  </si>
  <si>
    <t>Column14550</t>
  </si>
  <si>
    <t>Column14551</t>
  </si>
  <si>
    <t>Column14552</t>
  </si>
  <si>
    <t>Column14553</t>
  </si>
  <si>
    <t>Column14554</t>
  </si>
  <si>
    <t>Column14555</t>
  </si>
  <si>
    <t>Column14556</t>
  </si>
  <si>
    <t>Column14557</t>
  </si>
  <si>
    <t>Column14558</t>
  </si>
  <si>
    <t>Column14559</t>
  </si>
  <si>
    <t>Column14560</t>
  </si>
  <si>
    <t>Column14561</t>
  </si>
  <si>
    <t>Column14562</t>
  </si>
  <si>
    <t>Column14563</t>
  </si>
  <si>
    <t>Column14564</t>
  </si>
  <si>
    <t>Column14565</t>
  </si>
  <si>
    <t>Column14566</t>
  </si>
  <si>
    <t>Column14567</t>
  </si>
  <si>
    <t>Column14568</t>
  </si>
  <si>
    <t>Column14569</t>
  </si>
  <si>
    <t>Column14570</t>
  </si>
  <si>
    <t>Column14571</t>
  </si>
  <si>
    <t>Column14572</t>
  </si>
  <si>
    <t>Column14573</t>
  </si>
  <si>
    <t>Column14574</t>
  </si>
  <si>
    <t>Column14575</t>
  </si>
  <si>
    <t>Column14576</t>
  </si>
  <si>
    <t>Column14577</t>
  </si>
  <si>
    <t>Column14578</t>
  </si>
  <si>
    <t>Column14579</t>
  </si>
  <si>
    <t>Column14580</t>
  </si>
  <si>
    <t>Column14581</t>
  </si>
  <si>
    <t>Column14582</t>
  </si>
  <si>
    <t>Column14583</t>
  </si>
  <si>
    <t>Column14584</t>
  </si>
  <si>
    <t>Column14585</t>
  </si>
  <si>
    <t>Column14586</t>
  </si>
  <si>
    <t>Column14587</t>
  </si>
  <si>
    <t>Column14588</t>
  </si>
  <si>
    <t>Column14589</t>
  </si>
  <si>
    <t>Column14590</t>
  </si>
  <si>
    <t>Column14591</t>
  </si>
  <si>
    <t>Column14592</t>
  </si>
  <si>
    <t>Column14593</t>
  </si>
  <si>
    <t>Column14594</t>
  </si>
  <si>
    <t>Column14595</t>
  </si>
  <si>
    <t>Column14596</t>
  </si>
  <si>
    <t>Column14597</t>
  </si>
  <si>
    <t>Column14598</t>
  </si>
  <si>
    <t>Column14599</t>
  </si>
  <si>
    <t>Column14600</t>
  </si>
  <si>
    <t>Column14601</t>
  </si>
  <si>
    <t>Column14602</t>
  </si>
  <si>
    <t>Column14603</t>
  </si>
  <si>
    <t>Column14604</t>
  </si>
  <si>
    <t>Column14605</t>
  </si>
  <si>
    <t>Column14606</t>
  </si>
  <si>
    <t>Column14607</t>
  </si>
  <si>
    <t>Column14608</t>
  </si>
  <si>
    <t>Column14609</t>
  </si>
  <si>
    <t>Column14610</t>
  </si>
  <si>
    <t>Column14611</t>
  </si>
  <si>
    <t>Column14612</t>
  </si>
  <si>
    <t>Column14613</t>
  </si>
  <si>
    <t>Column14614</t>
  </si>
  <si>
    <t>Column14615</t>
  </si>
  <si>
    <t>Column14616</t>
  </si>
  <si>
    <t>Column14617</t>
  </si>
  <si>
    <t>Column14618</t>
  </si>
  <si>
    <t>Column14619</t>
  </si>
  <si>
    <t>Column14620</t>
  </si>
  <si>
    <t>Column14621</t>
  </si>
  <si>
    <t>Column14622</t>
  </si>
  <si>
    <t>Column14623</t>
  </si>
  <si>
    <t>Column14624</t>
  </si>
  <si>
    <t>Column14625</t>
  </si>
  <si>
    <t>Column14626</t>
  </si>
  <si>
    <t>Column14627</t>
  </si>
  <si>
    <t>Column14628</t>
  </si>
  <si>
    <t>Column14629</t>
  </si>
  <si>
    <t>Column14630</t>
  </si>
  <si>
    <t>Column14631</t>
  </si>
  <si>
    <t>Column14632</t>
  </si>
  <si>
    <t>Column14633</t>
  </si>
  <si>
    <t>Column14634</t>
  </si>
  <si>
    <t>Column14635</t>
  </si>
  <si>
    <t>Column14636</t>
  </si>
  <si>
    <t>Column14637</t>
  </si>
  <si>
    <t>Column14638</t>
  </si>
  <si>
    <t>Column14639</t>
  </si>
  <si>
    <t>Column14640</t>
  </si>
  <si>
    <t>Column14641</t>
  </si>
  <si>
    <t>Column14642</t>
  </si>
  <si>
    <t>Column14643</t>
  </si>
  <si>
    <t>Column14644</t>
  </si>
  <si>
    <t>Column14645</t>
  </si>
  <si>
    <t>Column14646</t>
  </si>
  <si>
    <t>Column14647</t>
  </si>
  <si>
    <t>Column14648</t>
  </si>
  <si>
    <t>Column14649</t>
  </si>
  <si>
    <t>Column14650</t>
  </si>
  <si>
    <t>Column14651</t>
  </si>
  <si>
    <t>Column14652</t>
  </si>
  <si>
    <t>Column14653</t>
  </si>
  <si>
    <t>Column14654</t>
  </si>
  <si>
    <t>Column14655</t>
  </si>
  <si>
    <t>Column14656</t>
  </si>
  <si>
    <t>Column14657</t>
  </si>
  <si>
    <t>Column14658</t>
  </si>
  <si>
    <t>Column14659</t>
  </si>
  <si>
    <t>Column14660</t>
  </si>
  <si>
    <t>Column14661</t>
  </si>
  <si>
    <t>Column14662</t>
  </si>
  <si>
    <t>Column14663</t>
  </si>
  <si>
    <t>Column14664</t>
  </si>
  <si>
    <t>Column14665</t>
  </si>
  <si>
    <t>Column14666</t>
  </si>
  <si>
    <t>Column14667</t>
  </si>
  <si>
    <t>Column14668</t>
  </si>
  <si>
    <t>Column14669</t>
  </si>
  <si>
    <t>Column14670</t>
  </si>
  <si>
    <t>Column14671</t>
  </si>
  <si>
    <t>Column14672</t>
  </si>
  <si>
    <t>Column14673</t>
  </si>
  <si>
    <t>Column14674</t>
  </si>
  <si>
    <t>Column14675</t>
  </si>
  <si>
    <t>Column14676</t>
  </si>
  <si>
    <t>Column14677</t>
  </si>
  <si>
    <t>Column14678</t>
  </si>
  <si>
    <t>Column14679</t>
  </si>
  <si>
    <t>Column14680</t>
  </si>
  <si>
    <t>Column14681</t>
  </si>
  <si>
    <t>Column14682</t>
  </si>
  <si>
    <t>Column14683</t>
  </si>
  <si>
    <t>Column14684</t>
  </si>
  <si>
    <t>Column14685</t>
  </si>
  <si>
    <t>Column14686</t>
  </si>
  <si>
    <t>Column14687</t>
  </si>
  <si>
    <t>Column14688</t>
  </si>
  <si>
    <t>Column14689</t>
  </si>
  <si>
    <t>Column14690</t>
  </si>
  <si>
    <t>Column14691</t>
  </si>
  <si>
    <t>Column14692</t>
  </si>
  <si>
    <t>Column14693</t>
  </si>
  <si>
    <t>Column14694</t>
  </si>
  <si>
    <t>Column14695</t>
  </si>
  <si>
    <t>Column14696</t>
  </si>
  <si>
    <t>Column14697</t>
  </si>
  <si>
    <t>Column14698</t>
  </si>
  <si>
    <t>Column14699</t>
  </si>
  <si>
    <t>Column14700</t>
  </si>
  <si>
    <t>Column14701</t>
  </si>
  <si>
    <t>Column14702</t>
  </si>
  <si>
    <t>Column14703</t>
  </si>
  <si>
    <t>Column14704</t>
  </si>
  <si>
    <t>Column14705</t>
  </si>
  <si>
    <t>Column14706</t>
  </si>
  <si>
    <t>Column14707</t>
  </si>
  <si>
    <t>Column14708</t>
  </si>
  <si>
    <t>Column14709</t>
  </si>
  <si>
    <t>Column14710</t>
  </si>
  <si>
    <t>Column14711</t>
  </si>
  <si>
    <t>Column14712</t>
  </si>
  <si>
    <t>Column14713</t>
  </si>
  <si>
    <t>Column14714</t>
  </si>
  <si>
    <t>Column14715</t>
  </si>
  <si>
    <t>Column14716</t>
  </si>
  <si>
    <t>Column14717</t>
  </si>
  <si>
    <t>Column14718</t>
  </si>
  <si>
    <t>Column14719</t>
  </si>
  <si>
    <t>Column14720</t>
  </si>
  <si>
    <t>Column14721</t>
  </si>
  <si>
    <t>Column14722</t>
  </si>
  <si>
    <t>Column14723</t>
  </si>
  <si>
    <t>Column14724</t>
  </si>
  <si>
    <t>Column14725</t>
  </si>
  <si>
    <t>Column14726</t>
  </si>
  <si>
    <t>Column14727</t>
  </si>
  <si>
    <t>Column14728</t>
  </si>
  <si>
    <t>Column14729</t>
  </si>
  <si>
    <t>Column14730</t>
  </si>
  <si>
    <t>Column14731</t>
  </si>
  <si>
    <t>Column14732</t>
  </si>
  <si>
    <t>Column14733</t>
  </si>
  <si>
    <t>Column14734</t>
  </si>
  <si>
    <t>Column14735</t>
  </si>
  <si>
    <t>Column14736</t>
  </si>
  <si>
    <t>Column14737</t>
  </si>
  <si>
    <t>Column14738</t>
  </si>
  <si>
    <t>Column14739</t>
  </si>
  <si>
    <t>Column14740</t>
  </si>
  <si>
    <t>Column14741</t>
  </si>
  <si>
    <t>Column14742</t>
  </si>
  <si>
    <t>Column14743</t>
  </si>
  <si>
    <t>Column14744</t>
  </si>
  <si>
    <t>Column14745</t>
  </si>
  <si>
    <t>Column14746</t>
  </si>
  <si>
    <t>Column14747</t>
  </si>
  <si>
    <t>Column14748</t>
  </si>
  <si>
    <t>Column14749</t>
  </si>
  <si>
    <t>Column14750</t>
  </si>
  <si>
    <t>Column14751</t>
  </si>
  <si>
    <t>Column14752</t>
  </si>
  <si>
    <t>Column14753</t>
  </si>
  <si>
    <t>Column14754</t>
  </si>
  <si>
    <t>Column14755</t>
  </si>
  <si>
    <t>Column14756</t>
  </si>
  <si>
    <t>Column14757</t>
  </si>
  <si>
    <t>Column14758</t>
  </si>
  <si>
    <t>Column14759</t>
  </si>
  <si>
    <t>Column14760</t>
  </si>
  <si>
    <t>Column14761</t>
  </si>
  <si>
    <t>Column14762</t>
  </si>
  <si>
    <t>Column14763</t>
  </si>
  <si>
    <t>Column14764</t>
  </si>
  <si>
    <t>Column14765</t>
  </si>
  <si>
    <t>Column14766</t>
  </si>
  <si>
    <t>Column14767</t>
  </si>
  <si>
    <t>Column14768</t>
  </si>
  <si>
    <t>Column14769</t>
  </si>
  <si>
    <t>Column14770</t>
  </si>
  <si>
    <t>Column14771</t>
  </si>
  <si>
    <t>Column14772</t>
  </si>
  <si>
    <t>Column14773</t>
  </si>
  <si>
    <t>Column14774</t>
  </si>
  <si>
    <t>Column14775</t>
  </si>
  <si>
    <t>Column14776</t>
  </si>
  <si>
    <t>Column14777</t>
  </si>
  <si>
    <t>Column14778</t>
  </si>
  <si>
    <t>Column14779</t>
  </si>
  <si>
    <t>Column14780</t>
  </si>
  <si>
    <t>Column14781</t>
  </si>
  <si>
    <t>Column14782</t>
  </si>
  <si>
    <t>Column14783</t>
  </si>
  <si>
    <t>Column14784</t>
  </si>
  <si>
    <t>Column14785</t>
  </si>
  <si>
    <t>Column14786</t>
  </si>
  <si>
    <t>Column14787</t>
  </si>
  <si>
    <t>Column14788</t>
  </si>
  <si>
    <t>Column14789</t>
  </si>
  <si>
    <t>Column14790</t>
  </si>
  <si>
    <t>Column14791</t>
  </si>
  <si>
    <t>Column14792</t>
  </si>
  <si>
    <t>Column14793</t>
  </si>
  <si>
    <t>Column14794</t>
  </si>
  <si>
    <t>Column14795</t>
  </si>
  <si>
    <t>Column14796</t>
  </si>
  <si>
    <t>Column14797</t>
  </si>
  <si>
    <t>Column14798</t>
  </si>
  <si>
    <t>Column14799</t>
  </si>
  <si>
    <t>Column14800</t>
  </si>
  <si>
    <t>Column14801</t>
  </si>
  <si>
    <t>Column14802</t>
  </si>
  <si>
    <t>Column14803</t>
  </si>
  <si>
    <t>Column14804</t>
  </si>
  <si>
    <t>Column14805</t>
  </si>
  <si>
    <t>Column14806</t>
  </si>
  <si>
    <t>Column14807</t>
  </si>
  <si>
    <t>Column14808</t>
  </si>
  <si>
    <t>Column14809</t>
  </si>
  <si>
    <t>Column14810</t>
  </si>
  <si>
    <t>Column14811</t>
  </si>
  <si>
    <t>Column14812</t>
  </si>
  <si>
    <t>Column14813</t>
  </si>
  <si>
    <t>Column14814</t>
  </si>
  <si>
    <t>Column14815</t>
  </si>
  <si>
    <t>Column14816</t>
  </si>
  <si>
    <t>Column14817</t>
  </si>
  <si>
    <t>Column14818</t>
  </si>
  <si>
    <t>Column14819</t>
  </si>
  <si>
    <t>Column14820</t>
  </si>
  <si>
    <t>Column14821</t>
  </si>
  <si>
    <t>Column14822</t>
  </si>
  <si>
    <t>Column14823</t>
  </si>
  <si>
    <t>Column14824</t>
  </si>
  <si>
    <t>Column14825</t>
  </si>
  <si>
    <t>Column14826</t>
  </si>
  <si>
    <t>Column14827</t>
  </si>
  <si>
    <t>Column14828</t>
  </si>
  <si>
    <t>Column14829</t>
  </si>
  <si>
    <t>Column14830</t>
  </si>
  <si>
    <t>Column14831</t>
  </si>
  <si>
    <t>Column14832</t>
  </si>
  <si>
    <t>Column14833</t>
  </si>
  <si>
    <t>Column14834</t>
  </si>
  <si>
    <t>Column14835</t>
  </si>
  <si>
    <t>Column14836</t>
  </si>
  <si>
    <t>Column14837</t>
  </si>
  <si>
    <t>Column14838</t>
  </si>
  <si>
    <t>Column14839</t>
  </si>
  <si>
    <t>Column14840</t>
  </si>
  <si>
    <t>Column14841</t>
  </si>
  <si>
    <t>Column14842</t>
  </si>
  <si>
    <t>Column14843</t>
  </si>
  <si>
    <t>Column14844</t>
  </si>
  <si>
    <t>Column14845</t>
  </si>
  <si>
    <t>Column14846</t>
  </si>
  <si>
    <t>Column14847</t>
  </si>
  <si>
    <t>Column14848</t>
  </si>
  <si>
    <t>Column14849</t>
  </si>
  <si>
    <t>Column14850</t>
  </si>
  <si>
    <t>Column14851</t>
  </si>
  <si>
    <t>Column14852</t>
  </si>
  <si>
    <t>Column14853</t>
  </si>
  <si>
    <t>Column14854</t>
  </si>
  <si>
    <t>Column14855</t>
  </si>
  <si>
    <t>Column14856</t>
  </si>
  <si>
    <t>Column14857</t>
  </si>
  <si>
    <t>Column14858</t>
  </si>
  <si>
    <t>Column14859</t>
  </si>
  <si>
    <t>Column14860</t>
  </si>
  <si>
    <t>Column14861</t>
  </si>
  <si>
    <t>Column14862</t>
  </si>
  <si>
    <t>Column14863</t>
  </si>
  <si>
    <t>Column14864</t>
  </si>
  <si>
    <t>Column14865</t>
  </si>
  <si>
    <t>Column14866</t>
  </si>
  <si>
    <t>Column14867</t>
  </si>
  <si>
    <t>Column14868</t>
  </si>
  <si>
    <t>Column14869</t>
  </si>
  <si>
    <t>Column14870</t>
  </si>
  <si>
    <t>Column14871</t>
  </si>
  <si>
    <t>Column14872</t>
  </si>
  <si>
    <t>Column14873</t>
  </si>
  <si>
    <t>Column14874</t>
  </si>
  <si>
    <t>Column14875</t>
  </si>
  <si>
    <t>Column14876</t>
  </si>
  <si>
    <t>Column14877</t>
  </si>
  <si>
    <t>Column14878</t>
  </si>
  <si>
    <t>Column14879</t>
  </si>
  <si>
    <t>Column14880</t>
  </si>
  <si>
    <t>Column14881</t>
  </si>
  <si>
    <t>Column14882</t>
  </si>
  <si>
    <t>Column14883</t>
  </si>
  <si>
    <t>Column14884</t>
  </si>
  <si>
    <t>Column14885</t>
  </si>
  <si>
    <t>Column14886</t>
  </si>
  <si>
    <t>Column14887</t>
  </si>
  <si>
    <t>Column14888</t>
  </si>
  <si>
    <t>Column14889</t>
  </si>
  <si>
    <t>Column14890</t>
  </si>
  <si>
    <t>Column14891</t>
  </si>
  <si>
    <t>Column14892</t>
  </si>
  <si>
    <t>Column14893</t>
  </si>
  <si>
    <t>Column14894</t>
  </si>
  <si>
    <t>Column14895</t>
  </si>
  <si>
    <t>Column14896</t>
  </si>
  <si>
    <t>Column14897</t>
  </si>
  <si>
    <t>Column14898</t>
  </si>
  <si>
    <t>Column14899</t>
  </si>
  <si>
    <t>Column14900</t>
  </si>
  <si>
    <t>Column14901</t>
  </si>
  <si>
    <t>Column14902</t>
  </si>
  <si>
    <t>Column14903</t>
  </si>
  <si>
    <t>Column14904</t>
  </si>
  <si>
    <t>Column14905</t>
  </si>
  <si>
    <t>Column14906</t>
  </si>
  <si>
    <t>Column14907</t>
  </si>
  <si>
    <t>Column14908</t>
  </si>
  <si>
    <t>Column14909</t>
  </si>
  <si>
    <t>Column14910</t>
  </si>
  <si>
    <t>Column14911</t>
  </si>
  <si>
    <t>Column14912</t>
  </si>
  <si>
    <t>Column14913</t>
  </si>
  <si>
    <t>Column14914</t>
  </si>
  <si>
    <t>Column14915</t>
  </si>
  <si>
    <t>Column14916</t>
  </si>
  <si>
    <t>Column14917</t>
  </si>
  <si>
    <t>Column14918</t>
  </si>
  <si>
    <t>Column14919</t>
  </si>
  <si>
    <t>Column14920</t>
  </si>
  <si>
    <t>Column14921</t>
  </si>
  <si>
    <t>Column14922</t>
  </si>
  <si>
    <t>Column14923</t>
  </si>
  <si>
    <t>Column14924</t>
  </si>
  <si>
    <t>Column14925</t>
  </si>
  <si>
    <t>Column14926</t>
  </si>
  <si>
    <t>Column14927</t>
  </si>
  <si>
    <t>Column14928</t>
  </si>
  <si>
    <t>Column14929</t>
  </si>
  <si>
    <t>Column14930</t>
  </si>
  <si>
    <t>Column14931</t>
  </si>
  <si>
    <t>Column14932</t>
  </si>
  <si>
    <t>Column14933</t>
  </si>
  <si>
    <t>Column14934</t>
  </si>
  <si>
    <t>Column14935</t>
  </si>
  <si>
    <t>Column14936</t>
  </si>
  <si>
    <t>Column14937</t>
  </si>
  <si>
    <t>Column14938</t>
  </si>
  <si>
    <t>Column14939</t>
  </si>
  <si>
    <t>Column14940</t>
  </si>
  <si>
    <t>Column14941</t>
  </si>
  <si>
    <t>Column14942</t>
  </si>
  <si>
    <t>Column14943</t>
  </si>
  <si>
    <t>Column14944</t>
  </si>
  <si>
    <t>Column14945</t>
  </si>
  <si>
    <t>Column14946</t>
  </si>
  <si>
    <t>Column14947</t>
  </si>
  <si>
    <t>Column14948</t>
  </si>
  <si>
    <t>Column14949</t>
  </si>
  <si>
    <t>Column14950</t>
  </si>
  <si>
    <t>Column14951</t>
  </si>
  <si>
    <t>Column14952</t>
  </si>
  <si>
    <t>Column14953</t>
  </si>
  <si>
    <t>Column14954</t>
  </si>
  <si>
    <t>Column14955</t>
  </si>
  <si>
    <t>Column14956</t>
  </si>
  <si>
    <t>Column14957</t>
  </si>
  <si>
    <t>Column14958</t>
  </si>
  <si>
    <t>Column14959</t>
  </si>
  <si>
    <t>Column14960</t>
  </si>
  <si>
    <t>Column14961</t>
  </si>
  <si>
    <t>Column14962</t>
  </si>
  <si>
    <t>Column14963</t>
  </si>
  <si>
    <t>Column14964</t>
  </si>
  <si>
    <t>Column14965</t>
  </si>
  <si>
    <t>Column14966</t>
  </si>
  <si>
    <t>Column14967</t>
  </si>
  <si>
    <t>Column14968</t>
  </si>
  <si>
    <t>Column14969</t>
  </si>
  <si>
    <t>Column14970</t>
  </si>
  <si>
    <t>Column14971</t>
  </si>
  <si>
    <t>Column14972</t>
  </si>
  <si>
    <t>Column14973</t>
  </si>
  <si>
    <t>Column14974</t>
  </si>
  <si>
    <t>Column14975</t>
  </si>
  <si>
    <t>Column14976</t>
  </si>
  <si>
    <t>Column14977</t>
  </si>
  <si>
    <t>Column14978</t>
  </si>
  <si>
    <t>Column14979</t>
  </si>
  <si>
    <t>Column14980</t>
  </si>
  <si>
    <t>Column14981</t>
  </si>
  <si>
    <t>Column14982</t>
  </si>
  <si>
    <t>Column14983</t>
  </si>
  <si>
    <t>Column14984</t>
  </si>
  <si>
    <t>Column14985</t>
  </si>
  <si>
    <t>Column14986</t>
  </si>
  <si>
    <t>Column14987</t>
  </si>
  <si>
    <t>Column14988</t>
  </si>
  <si>
    <t>Column14989</t>
  </si>
  <si>
    <t>Column14990</t>
  </si>
  <si>
    <t>Column14991</t>
  </si>
  <si>
    <t>Column14992</t>
  </si>
  <si>
    <t>Column14993</t>
  </si>
  <si>
    <t>Column14994</t>
  </si>
  <si>
    <t>Column14995</t>
  </si>
  <si>
    <t>Column14996</t>
  </si>
  <si>
    <t>Column14997</t>
  </si>
  <si>
    <t>Column14998</t>
  </si>
  <si>
    <t>Column14999</t>
  </si>
  <si>
    <t>Column15000</t>
  </si>
  <si>
    <t>Column15001</t>
  </si>
  <si>
    <t>Column15002</t>
  </si>
  <si>
    <t>Column15003</t>
  </si>
  <si>
    <t>Column15004</t>
  </si>
  <si>
    <t>Column15005</t>
  </si>
  <si>
    <t>Column15006</t>
  </si>
  <si>
    <t>Column15007</t>
  </si>
  <si>
    <t>Column15008</t>
  </si>
  <si>
    <t>Column15009</t>
  </si>
  <si>
    <t>Column15010</t>
  </si>
  <si>
    <t>Column15011</t>
  </si>
  <si>
    <t>Column15012</t>
  </si>
  <si>
    <t>Column15013</t>
  </si>
  <si>
    <t>Column15014</t>
  </si>
  <si>
    <t>Column15015</t>
  </si>
  <si>
    <t>Column15016</t>
  </si>
  <si>
    <t>Column15017</t>
  </si>
  <si>
    <t>Column15018</t>
  </si>
  <si>
    <t>Column15019</t>
  </si>
  <si>
    <t>Column15020</t>
  </si>
  <si>
    <t>Column15021</t>
  </si>
  <si>
    <t>Column15022</t>
  </si>
  <si>
    <t>Column15023</t>
  </si>
  <si>
    <t>Column15024</t>
  </si>
  <si>
    <t>Column15025</t>
  </si>
  <si>
    <t>Column15026</t>
  </si>
  <si>
    <t>Column15027</t>
  </si>
  <si>
    <t>Column15028</t>
  </si>
  <si>
    <t>Column15029</t>
  </si>
  <si>
    <t>Column15030</t>
  </si>
  <si>
    <t>Column15031</t>
  </si>
  <si>
    <t>Column15032</t>
  </si>
  <si>
    <t>Column15033</t>
  </si>
  <si>
    <t>Column15034</t>
  </si>
  <si>
    <t>Column15035</t>
  </si>
  <si>
    <t>Column15036</t>
  </si>
  <si>
    <t>Column15037</t>
  </si>
  <si>
    <t>Column15038</t>
  </si>
  <si>
    <t>Column15039</t>
  </si>
  <si>
    <t>Column15040</t>
  </si>
  <si>
    <t>Column15041</t>
  </si>
  <si>
    <t>Column15042</t>
  </si>
  <si>
    <t>Column15043</t>
  </si>
  <si>
    <t>Column15044</t>
  </si>
  <si>
    <t>Column15045</t>
  </si>
  <si>
    <t>Column15046</t>
  </si>
  <si>
    <t>Column15047</t>
  </si>
  <si>
    <t>Column15048</t>
  </si>
  <si>
    <t>Column15049</t>
  </si>
  <si>
    <t>Column15050</t>
  </si>
  <si>
    <t>Column15051</t>
  </si>
  <si>
    <t>Column15052</t>
  </si>
  <si>
    <t>Column15053</t>
  </si>
  <si>
    <t>Column15054</t>
  </si>
  <si>
    <t>Column15055</t>
  </si>
  <si>
    <t>Column15056</t>
  </si>
  <si>
    <t>Column15057</t>
  </si>
  <si>
    <t>Column15058</t>
  </si>
  <si>
    <t>Column15059</t>
  </si>
  <si>
    <t>Column15060</t>
  </si>
  <si>
    <t>Column15061</t>
  </si>
  <si>
    <t>Column15062</t>
  </si>
  <si>
    <t>Column15063</t>
  </si>
  <si>
    <t>Column15064</t>
  </si>
  <si>
    <t>Column15065</t>
  </si>
  <si>
    <t>Column15066</t>
  </si>
  <si>
    <t>Column15067</t>
  </si>
  <si>
    <t>Column15068</t>
  </si>
  <si>
    <t>Column15069</t>
  </si>
  <si>
    <t>Column15070</t>
  </si>
  <si>
    <t>Column15071</t>
  </si>
  <si>
    <t>Column15072</t>
  </si>
  <si>
    <t>Column15073</t>
  </si>
  <si>
    <t>Column15074</t>
  </si>
  <si>
    <t>Column15075</t>
  </si>
  <si>
    <t>Column15076</t>
  </si>
  <si>
    <t>Column15077</t>
  </si>
  <si>
    <t>Column15078</t>
  </si>
  <si>
    <t>Column15079</t>
  </si>
  <si>
    <t>Column15080</t>
  </si>
  <si>
    <t>Column15081</t>
  </si>
  <si>
    <t>Column15082</t>
  </si>
  <si>
    <t>Column15083</t>
  </si>
  <si>
    <t>Column15084</t>
  </si>
  <si>
    <t>Column15085</t>
  </si>
  <si>
    <t>Column15086</t>
  </si>
  <si>
    <t>Column15087</t>
  </si>
  <si>
    <t>Column15088</t>
  </si>
  <si>
    <t>Column15089</t>
  </si>
  <si>
    <t>Column15090</t>
  </si>
  <si>
    <t>Column15091</t>
  </si>
  <si>
    <t>Column15092</t>
  </si>
  <si>
    <t>Column15093</t>
  </si>
  <si>
    <t>Column15094</t>
  </si>
  <si>
    <t>Column15095</t>
  </si>
  <si>
    <t>Column15096</t>
  </si>
  <si>
    <t>Column15097</t>
  </si>
  <si>
    <t>Column15098</t>
  </si>
  <si>
    <t>Column15099</t>
  </si>
  <si>
    <t>Column15100</t>
  </si>
  <si>
    <t>Column15101</t>
  </si>
  <si>
    <t>Column15102</t>
  </si>
  <si>
    <t>Column15103</t>
  </si>
  <si>
    <t>Column15104</t>
  </si>
  <si>
    <t>Column15105</t>
  </si>
  <si>
    <t>Column15106</t>
  </si>
  <si>
    <t>Column15107</t>
  </si>
  <si>
    <t>Column15108</t>
  </si>
  <si>
    <t>Column15109</t>
  </si>
  <si>
    <t>Column15110</t>
  </si>
  <si>
    <t>Column15111</t>
  </si>
  <si>
    <t>Column15112</t>
  </si>
  <si>
    <t>Column15113</t>
  </si>
  <si>
    <t>Column15114</t>
  </si>
  <si>
    <t>Column15115</t>
  </si>
  <si>
    <t>Column15116</t>
  </si>
  <si>
    <t>Column15117</t>
  </si>
  <si>
    <t>Column15118</t>
  </si>
  <si>
    <t>Column15119</t>
  </si>
  <si>
    <t>Column15120</t>
  </si>
  <si>
    <t>Column15121</t>
  </si>
  <si>
    <t>Column15122</t>
  </si>
  <si>
    <t>Column15123</t>
  </si>
  <si>
    <t>Column15124</t>
  </si>
  <si>
    <t>Column15125</t>
  </si>
  <si>
    <t>Column15126</t>
  </si>
  <si>
    <t>Column15127</t>
  </si>
  <si>
    <t>Column15128</t>
  </si>
  <si>
    <t>Column15129</t>
  </si>
  <si>
    <t>Column15130</t>
  </si>
  <si>
    <t>Column15131</t>
  </si>
  <si>
    <t>Column15132</t>
  </si>
  <si>
    <t>Column15133</t>
  </si>
  <si>
    <t>Column15134</t>
  </si>
  <si>
    <t>Column15135</t>
  </si>
  <si>
    <t>Column15136</t>
  </si>
  <si>
    <t>Column15137</t>
  </si>
  <si>
    <t>Column15138</t>
  </si>
  <si>
    <t>Column15139</t>
  </si>
  <si>
    <t>Column15140</t>
  </si>
  <si>
    <t>Column15141</t>
  </si>
  <si>
    <t>Column15142</t>
  </si>
  <si>
    <t>Column15143</t>
  </si>
  <si>
    <t>Column15144</t>
  </si>
  <si>
    <t>Column15145</t>
  </si>
  <si>
    <t>Column15146</t>
  </si>
  <si>
    <t>Column15147</t>
  </si>
  <si>
    <t>Column15148</t>
  </si>
  <si>
    <t>Column15149</t>
  </si>
  <si>
    <t>Column15150</t>
  </si>
  <si>
    <t>Column15151</t>
  </si>
  <si>
    <t>Column15152</t>
  </si>
  <si>
    <t>Column15153</t>
  </si>
  <si>
    <t>Column15154</t>
  </si>
  <si>
    <t>Column15155</t>
  </si>
  <si>
    <t>Column15156</t>
  </si>
  <si>
    <t>Column15157</t>
  </si>
  <si>
    <t>Column15158</t>
  </si>
  <si>
    <t>Column15159</t>
  </si>
  <si>
    <t>Column15160</t>
  </si>
  <si>
    <t>Column15161</t>
  </si>
  <si>
    <t>Column15162</t>
  </si>
  <si>
    <t>Column15163</t>
  </si>
  <si>
    <t>Column15164</t>
  </si>
  <si>
    <t>Column15165</t>
  </si>
  <si>
    <t>Column15166</t>
  </si>
  <si>
    <t>Column15167</t>
  </si>
  <si>
    <t>Column15168</t>
  </si>
  <si>
    <t>Column15169</t>
  </si>
  <si>
    <t>Column15170</t>
  </si>
  <si>
    <t>Column15171</t>
  </si>
  <si>
    <t>Column15172</t>
  </si>
  <si>
    <t>Column15173</t>
  </si>
  <si>
    <t>Column15174</t>
  </si>
  <si>
    <t>Column15175</t>
  </si>
  <si>
    <t>Column15176</t>
  </si>
  <si>
    <t>Column15177</t>
  </si>
  <si>
    <t>Column15178</t>
  </si>
  <si>
    <t>Column15179</t>
  </si>
  <si>
    <t>Column15180</t>
  </si>
  <si>
    <t>Column15181</t>
  </si>
  <si>
    <t>Column15182</t>
  </si>
  <si>
    <t>Column15183</t>
  </si>
  <si>
    <t>Column15184</t>
  </si>
  <si>
    <t>Column15185</t>
  </si>
  <si>
    <t>Column15186</t>
  </si>
  <si>
    <t>Column15187</t>
  </si>
  <si>
    <t>Column15188</t>
  </si>
  <si>
    <t>Column15189</t>
  </si>
  <si>
    <t>Column15190</t>
  </si>
  <si>
    <t>Column15191</t>
  </si>
  <si>
    <t>Column15192</t>
  </si>
  <si>
    <t>Column15193</t>
  </si>
  <si>
    <t>Column15194</t>
  </si>
  <si>
    <t>Column15195</t>
  </si>
  <si>
    <t>Column15196</t>
  </si>
  <si>
    <t>Column15197</t>
  </si>
  <si>
    <t>Column15198</t>
  </si>
  <si>
    <t>Column15199</t>
  </si>
  <si>
    <t>Column15200</t>
  </si>
  <si>
    <t>Column15201</t>
  </si>
  <si>
    <t>Column15202</t>
  </si>
  <si>
    <t>Column15203</t>
  </si>
  <si>
    <t>Column15204</t>
  </si>
  <si>
    <t>Column15205</t>
  </si>
  <si>
    <t>Column15206</t>
  </si>
  <si>
    <t>Column15207</t>
  </si>
  <si>
    <t>Column15208</t>
  </si>
  <si>
    <t>Column15209</t>
  </si>
  <si>
    <t>Column15210</t>
  </si>
  <si>
    <t>Column15211</t>
  </si>
  <si>
    <t>Column15212</t>
  </si>
  <si>
    <t>Column15213</t>
  </si>
  <si>
    <t>Column15214</t>
  </si>
  <si>
    <t>Column15215</t>
  </si>
  <si>
    <t>Column15216</t>
  </si>
  <si>
    <t>Column15217</t>
  </si>
  <si>
    <t>Column15218</t>
  </si>
  <si>
    <t>Column15219</t>
  </si>
  <si>
    <t>Column15220</t>
  </si>
  <si>
    <t>Column15221</t>
  </si>
  <si>
    <t>Column15222</t>
  </si>
  <si>
    <t>Column15223</t>
  </si>
  <si>
    <t>Column15224</t>
  </si>
  <si>
    <t>Column15225</t>
  </si>
  <si>
    <t>Column15226</t>
  </si>
  <si>
    <t>Column15227</t>
  </si>
  <si>
    <t>Column15228</t>
  </si>
  <si>
    <t>Column15229</t>
  </si>
  <si>
    <t>Column15230</t>
  </si>
  <si>
    <t>Column15231</t>
  </si>
  <si>
    <t>Column15232</t>
  </si>
  <si>
    <t>Column15233</t>
  </si>
  <si>
    <t>Column15234</t>
  </si>
  <si>
    <t>Column15235</t>
  </si>
  <si>
    <t>Column15236</t>
  </si>
  <si>
    <t>Column15237</t>
  </si>
  <si>
    <t>Column15238</t>
  </si>
  <si>
    <t>Column15239</t>
  </si>
  <si>
    <t>Column15240</t>
  </si>
  <si>
    <t>Column15241</t>
  </si>
  <si>
    <t>Column15242</t>
  </si>
  <si>
    <t>Column15243</t>
  </si>
  <si>
    <t>Column15244</t>
  </si>
  <si>
    <t>Column15245</t>
  </si>
  <si>
    <t>Column15246</t>
  </si>
  <si>
    <t>Column15247</t>
  </si>
  <si>
    <t>Column15248</t>
  </si>
  <si>
    <t>Column15249</t>
  </si>
  <si>
    <t>Column15250</t>
  </si>
  <si>
    <t>Column15251</t>
  </si>
  <si>
    <t>Column15252</t>
  </si>
  <si>
    <t>Column15253</t>
  </si>
  <si>
    <t>Column15254</t>
  </si>
  <si>
    <t>Column15255</t>
  </si>
  <si>
    <t>Column15256</t>
  </si>
  <si>
    <t>Column15257</t>
  </si>
  <si>
    <t>Column15258</t>
  </si>
  <si>
    <t>Column15259</t>
  </si>
  <si>
    <t>Column15260</t>
  </si>
  <si>
    <t>Column15261</t>
  </si>
  <si>
    <t>Column15262</t>
  </si>
  <si>
    <t>Column15263</t>
  </si>
  <si>
    <t>Column15264</t>
  </si>
  <si>
    <t>Column15265</t>
  </si>
  <si>
    <t>Column15266</t>
  </si>
  <si>
    <t>Column15267</t>
  </si>
  <si>
    <t>Column15268</t>
  </si>
  <si>
    <t>Column15269</t>
  </si>
  <si>
    <t>Column15270</t>
  </si>
  <si>
    <t>Column15271</t>
  </si>
  <si>
    <t>Column15272</t>
  </si>
  <si>
    <t>Column15273</t>
  </si>
  <si>
    <t>Column15274</t>
  </si>
  <si>
    <t>Column15275</t>
  </si>
  <si>
    <t>Column15276</t>
  </si>
  <si>
    <t>Column15277</t>
  </si>
  <si>
    <t>Column15278</t>
  </si>
  <si>
    <t>Column15279</t>
  </si>
  <si>
    <t>Column15280</t>
  </si>
  <si>
    <t>Column15281</t>
  </si>
  <si>
    <t>Column15282</t>
  </si>
  <si>
    <t>Column15283</t>
  </si>
  <si>
    <t>Column15284</t>
  </si>
  <si>
    <t>Column15285</t>
  </si>
  <si>
    <t>Column15286</t>
  </si>
  <si>
    <t>Column15287</t>
  </si>
  <si>
    <t>Column15288</t>
  </si>
  <si>
    <t>Column15289</t>
  </si>
  <si>
    <t>Column15290</t>
  </si>
  <si>
    <t>Column15291</t>
  </si>
  <si>
    <t>Column15292</t>
  </si>
  <si>
    <t>Column15293</t>
  </si>
  <si>
    <t>Column15294</t>
  </si>
  <si>
    <t>Column15295</t>
  </si>
  <si>
    <t>Column15296</t>
  </si>
  <si>
    <t>Column15297</t>
  </si>
  <si>
    <t>Column15298</t>
  </si>
  <si>
    <t>Column15299</t>
  </si>
  <si>
    <t>Column15300</t>
  </si>
  <si>
    <t>Column15301</t>
  </si>
  <si>
    <t>Column15302</t>
  </si>
  <si>
    <t>Column15303</t>
  </si>
  <si>
    <t>Column15304</t>
  </si>
  <si>
    <t>Column15305</t>
  </si>
  <si>
    <t>Column15306</t>
  </si>
  <si>
    <t>Column15307</t>
  </si>
  <si>
    <t>Column15308</t>
  </si>
  <si>
    <t>Column15309</t>
  </si>
  <si>
    <t>Column15310</t>
  </si>
  <si>
    <t>Column15311</t>
  </si>
  <si>
    <t>Column15312</t>
  </si>
  <si>
    <t>Column15313</t>
  </si>
  <si>
    <t>Column15314</t>
  </si>
  <si>
    <t>Column15315</t>
  </si>
  <si>
    <t>Column15316</t>
  </si>
  <si>
    <t>Column15317</t>
  </si>
  <si>
    <t>Column15318</t>
  </si>
  <si>
    <t>Column15319</t>
  </si>
  <si>
    <t>Column15320</t>
  </si>
  <si>
    <t>Column15321</t>
  </si>
  <si>
    <t>Column15322</t>
  </si>
  <si>
    <t>Column15323</t>
  </si>
  <si>
    <t>Column15324</t>
  </si>
  <si>
    <t>Column15325</t>
  </si>
  <si>
    <t>Column15326</t>
  </si>
  <si>
    <t>Column15327</t>
  </si>
  <si>
    <t>Column15328</t>
  </si>
  <si>
    <t>Column15329</t>
  </si>
  <si>
    <t>Column15330</t>
  </si>
  <si>
    <t>Column15331</t>
  </si>
  <si>
    <t>Column15332</t>
  </si>
  <si>
    <t>Column15333</t>
  </si>
  <si>
    <t>Column15334</t>
  </si>
  <si>
    <t>Column15335</t>
  </si>
  <si>
    <t>Column15336</t>
  </si>
  <si>
    <t>Column15337</t>
  </si>
  <si>
    <t>Column15338</t>
  </si>
  <si>
    <t>Column15339</t>
  </si>
  <si>
    <t>Column15340</t>
  </si>
  <si>
    <t>Column15341</t>
  </si>
  <si>
    <t>Column15342</t>
  </si>
  <si>
    <t>Column15343</t>
  </si>
  <si>
    <t>Column15344</t>
  </si>
  <si>
    <t>Column15345</t>
  </si>
  <si>
    <t>Column15346</t>
  </si>
  <si>
    <t>Column15347</t>
  </si>
  <si>
    <t>Column15348</t>
  </si>
  <si>
    <t>Column15349</t>
  </si>
  <si>
    <t>Column15350</t>
  </si>
  <si>
    <t>Column15351</t>
  </si>
  <si>
    <t>Column15352</t>
  </si>
  <si>
    <t>Column15353</t>
  </si>
  <si>
    <t>Column15354</t>
  </si>
  <si>
    <t>Column15355</t>
  </si>
  <si>
    <t>Column15356</t>
  </si>
  <si>
    <t>Column15357</t>
  </si>
  <si>
    <t>Column15358</t>
  </si>
  <si>
    <t>Column15359</t>
  </si>
  <si>
    <t>Column15360</t>
  </si>
  <si>
    <t>Column15361</t>
  </si>
  <si>
    <t>Column15362</t>
  </si>
  <si>
    <t>Column15363</t>
  </si>
  <si>
    <t>Column15364</t>
  </si>
  <si>
    <t>Column15365</t>
  </si>
  <si>
    <t>Column15366</t>
  </si>
  <si>
    <t>Column15367</t>
  </si>
  <si>
    <t>Column15368</t>
  </si>
  <si>
    <t>Column15369</t>
  </si>
  <si>
    <t>Column15370</t>
  </si>
  <si>
    <t>Column15371</t>
  </si>
  <si>
    <t>Column15372</t>
  </si>
  <si>
    <t>Column15373</t>
  </si>
  <si>
    <t>Column15374</t>
  </si>
  <si>
    <t>Column15375</t>
  </si>
  <si>
    <t>Column15376</t>
  </si>
  <si>
    <t>Column15377</t>
  </si>
  <si>
    <t>Column15378</t>
  </si>
  <si>
    <t>Column15379</t>
  </si>
  <si>
    <t>Column15380</t>
  </si>
  <si>
    <t>Column15381</t>
  </si>
  <si>
    <t>Column15382</t>
  </si>
  <si>
    <t>Column15383</t>
  </si>
  <si>
    <t>Column15384</t>
  </si>
  <si>
    <t>Column15385</t>
  </si>
  <si>
    <t>Column15386</t>
  </si>
  <si>
    <t>Column15387</t>
  </si>
  <si>
    <t>Column15388</t>
  </si>
  <si>
    <t>Column15389</t>
  </si>
  <si>
    <t>Column15390</t>
  </si>
  <si>
    <t>Column15391</t>
  </si>
  <si>
    <t>Column15392</t>
  </si>
  <si>
    <t>Column15393</t>
  </si>
  <si>
    <t>Column15394</t>
  </si>
  <si>
    <t>Column15395</t>
  </si>
  <si>
    <t>Column15396</t>
  </si>
  <si>
    <t>Column15397</t>
  </si>
  <si>
    <t>Column15398</t>
  </si>
  <si>
    <t>Column15399</t>
  </si>
  <si>
    <t>Column15400</t>
  </si>
  <si>
    <t>Column15401</t>
  </si>
  <si>
    <t>Column15402</t>
  </si>
  <si>
    <t>Column15403</t>
  </si>
  <si>
    <t>Column15404</t>
  </si>
  <si>
    <t>Column15405</t>
  </si>
  <si>
    <t>Column15406</t>
  </si>
  <si>
    <t>Column15407</t>
  </si>
  <si>
    <t>Column15408</t>
  </si>
  <si>
    <t>Column15409</t>
  </si>
  <si>
    <t>Column15410</t>
  </si>
  <si>
    <t>Column15411</t>
  </si>
  <si>
    <t>Column15412</t>
  </si>
  <si>
    <t>Column15413</t>
  </si>
  <si>
    <t>Column15414</t>
  </si>
  <si>
    <t>Column15415</t>
  </si>
  <si>
    <t>Column15416</t>
  </si>
  <si>
    <t>Column15417</t>
  </si>
  <si>
    <t>Column15418</t>
  </si>
  <si>
    <t>Column15419</t>
  </si>
  <si>
    <t>Column15420</t>
  </si>
  <si>
    <t>Column15421</t>
  </si>
  <si>
    <t>Column15422</t>
  </si>
  <si>
    <t>Column15423</t>
  </si>
  <si>
    <t>Column15424</t>
  </si>
  <si>
    <t>Column15425</t>
  </si>
  <si>
    <t>Column15426</t>
  </si>
  <si>
    <t>Column15427</t>
  </si>
  <si>
    <t>Column15428</t>
  </si>
  <si>
    <t>Column15429</t>
  </si>
  <si>
    <t>Column15430</t>
  </si>
  <si>
    <t>Column15431</t>
  </si>
  <si>
    <t>Column15432</t>
  </si>
  <si>
    <t>Column15433</t>
  </si>
  <si>
    <t>Column15434</t>
  </si>
  <si>
    <t>Column15435</t>
  </si>
  <si>
    <t>Column15436</t>
  </si>
  <si>
    <t>Column15437</t>
  </si>
  <si>
    <t>Column15438</t>
  </si>
  <si>
    <t>Column15439</t>
  </si>
  <si>
    <t>Column15440</t>
  </si>
  <si>
    <t>Column15441</t>
  </si>
  <si>
    <t>Column15442</t>
  </si>
  <si>
    <t>Column15443</t>
  </si>
  <si>
    <t>Column15444</t>
  </si>
  <si>
    <t>Column15445</t>
  </si>
  <si>
    <t>Column15446</t>
  </si>
  <si>
    <t>Column15447</t>
  </si>
  <si>
    <t>Column15448</t>
  </si>
  <si>
    <t>Column15449</t>
  </si>
  <si>
    <t>Column15450</t>
  </si>
  <si>
    <t>Column15451</t>
  </si>
  <si>
    <t>Column15452</t>
  </si>
  <si>
    <t>Column15453</t>
  </si>
  <si>
    <t>Column15454</t>
  </si>
  <si>
    <t>Column15455</t>
  </si>
  <si>
    <t>Column15456</t>
  </si>
  <si>
    <t>Column15457</t>
  </si>
  <si>
    <t>Column15458</t>
  </si>
  <si>
    <t>Column15459</t>
  </si>
  <si>
    <t>Column15460</t>
  </si>
  <si>
    <t>Column15461</t>
  </si>
  <si>
    <t>Column15462</t>
  </si>
  <si>
    <t>Column15463</t>
  </si>
  <si>
    <t>Column15464</t>
  </si>
  <si>
    <t>Column15465</t>
  </si>
  <si>
    <t>Column15466</t>
  </si>
  <si>
    <t>Column15467</t>
  </si>
  <si>
    <t>Column15468</t>
  </si>
  <si>
    <t>Column15469</t>
  </si>
  <si>
    <t>Column15470</t>
  </si>
  <si>
    <t>Column15471</t>
  </si>
  <si>
    <t>Column15472</t>
  </si>
  <si>
    <t>Column15473</t>
  </si>
  <si>
    <t>Column15474</t>
  </si>
  <si>
    <t>Column15475</t>
  </si>
  <si>
    <t>Column15476</t>
  </si>
  <si>
    <t>Column15477</t>
  </si>
  <si>
    <t>Column15478</t>
  </si>
  <si>
    <t>Column15479</t>
  </si>
  <si>
    <t>Column15480</t>
  </si>
  <si>
    <t>Column15481</t>
  </si>
  <si>
    <t>Column15482</t>
  </si>
  <si>
    <t>Column15483</t>
  </si>
  <si>
    <t>Column15484</t>
  </si>
  <si>
    <t>Column15485</t>
  </si>
  <si>
    <t>Column15486</t>
  </si>
  <si>
    <t>Column15487</t>
  </si>
  <si>
    <t>Column15488</t>
  </si>
  <si>
    <t>Column15489</t>
  </si>
  <si>
    <t>Column15490</t>
  </si>
  <si>
    <t>Column15491</t>
  </si>
  <si>
    <t>Column15492</t>
  </si>
  <si>
    <t>Column15493</t>
  </si>
  <si>
    <t>Column15494</t>
  </si>
  <si>
    <t>Column15495</t>
  </si>
  <si>
    <t>Column15496</t>
  </si>
  <si>
    <t>Column15497</t>
  </si>
  <si>
    <t>Column15498</t>
  </si>
  <si>
    <t>Column15499</t>
  </si>
  <si>
    <t>Column15500</t>
  </si>
  <si>
    <t>Column15501</t>
  </si>
  <si>
    <t>Column15502</t>
  </si>
  <si>
    <t>Column15503</t>
  </si>
  <si>
    <t>Column15504</t>
  </si>
  <si>
    <t>Column15505</t>
  </si>
  <si>
    <t>Column15506</t>
  </si>
  <si>
    <t>Column15507</t>
  </si>
  <si>
    <t>Column15508</t>
  </si>
  <si>
    <t>Column15509</t>
  </si>
  <si>
    <t>Column15510</t>
  </si>
  <si>
    <t>Column15511</t>
  </si>
  <si>
    <t>Column15512</t>
  </si>
  <si>
    <t>Column15513</t>
  </si>
  <si>
    <t>Column15514</t>
  </si>
  <si>
    <t>Column15515</t>
  </si>
  <si>
    <t>Column15516</t>
  </si>
  <si>
    <t>Column15517</t>
  </si>
  <si>
    <t>Column15518</t>
  </si>
  <si>
    <t>Column15519</t>
  </si>
  <si>
    <t>Column15520</t>
  </si>
  <si>
    <t>Column15521</t>
  </si>
  <si>
    <t>Column15522</t>
  </si>
  <si>
    <t>Column15523</t>
  </si>
  <si>
    <t>Column15524</t>
  </si>
  <si>
    <t>Column15525</t>
  </si>
  <si>
    <t>Column15526</t>
  </si>
  <si>
    <t>Column15527</t>
  </si>
  <si>
    <t>Column15528</t>
  </si>
  <si>
    <t>Column15529</t>
  </si>
  <si>
    <t>Column15530</t>
  </si>
  <si>
    <t>Column15531</t>
  </si>
  <si>
    <t>Column15532</t>
  </si>
  <si>
    <t>Column15533</t>
  </si>
  <si>
    <t>Column15534</t>
  </si>
  <si>
    <t>Column15535</t>
  </si>
  <si>
    <t>Column15536</t>
  </si>
  <si>
    <t>Column15537</t>
  </si>
  <si>
    <t>Column15538</t>
  </si>
  <si>
    <t>Column15539</t>
  </si>
  <si>
    <t>Column15540</t>
  </si>
  <si>
    <t>Column15541</t>
  </si>
  <si>
    <t>Column15542</t>
  </si>
  <si>
    <t>Column15543</t>
  </si>
  <si>
    <t>Column15544</t>
  </si>
  <si>
    <t>Column15545</t>
  </si>
  <si>
    <t>Column15546</t>
  </si>
  <si>
    <t>Column15547</t>
  </si>
  <si>
    <t>Column15548</t>
  </si>
  <si>
    <t>Column15549</t>
  </si>
  <si>
    <t>Column15550</t>
  </si>
  <si>
    <t>Column15551</t>
  </si>
  <si>
    <t>Column15552</t>
  </si>
  <si>
    <t>Column15553</t>
  </si>
  <si>
    <t>Column15554</t>
  </si>
  <si>
    <t>Column15555</t>
  </si>
  <si>
    <t>Column15556</t>
  </si>
  <si>
    <t>Column15557</t>
  </si>
  <si>
    <t>Column15558</t>
  </si>
  <si>
    <t>Column15559</t>
  </si>
  <si>
    <t>Column15560</t>
  </si>
  <si>
    <t>Column15561</t>
  </si>
  <si>
    <t>Column15562</t>
  </si>
  <si>
    <t>Column15563</t>
  </si>
  <si>
    <t>Column15564</t>
  </si>
  <si>
    <t>Column15565</t>
  </si>
  <si>
    <t>Column15566</t>
  </si>
  <si>
    <t>Column15567</t>
  </si>
  <si>
    <t>Column15568</t>
  </si>
  <si>
    <t>Column15569</t>
  </si>
  <si>
    <t>Column15570</t>
  </si>
  <si>
    <t>Column15571</t>
  </si>
  <si>
    <t>Column15572</t>
  </si>
  <si>
    <t>Column15573</t>
  </si>
  <si>
    <t>Column15574</t>
  </si>
  <si>
    <t>Column15575</t>
  </si>
  <si>
    <t>Column15576</t>
  </si>
  <si>
    <t>Column15577</t>
  </si>
  <si>
    <t>Column15578</t>
  </si>
  <si>
    <t>Column15579</t>
  </si>
  <si>
    <t>Column15580</t>
  </si>
  <si>
    <t>Column15581</t>
  </si>
  <si>
    <t>Column15582</t>
  </si>
  <si>
    <t>Column15583</t>
  </si>
  <si>
    <t>Column15584</t>
  </si>
  <si>
    <t>Column15585</t>
  </si>
  <si>
    <t>Column15586</t>
  </si>
  <si>
    <t>Column15587</t>
  </si>
  <si>
    <t>Column15588</t>
  </si>
  <si>
    <t>Column15589</t>
  </si>
  <si>
    <t>Column15590</t>
  </si>
  <si>
    <t>Column15591</t>
  </si>
  <si>
    <t>Column15592</t>
  </si>
  <si>
    <t>Column15593</t>
  </si>
  <si>
    <t>Column15594</t>
  </si>
  <si>
    <t>Column15595</t>
  </si>
  <si>
    <t>Column15596</t>
  </si>
  <si>
    <t>Column15597</t>
  </si>
  <si>
    <t>Column15598</t>
  </si>
  <si>
    <t>Column15599</t>
  </si>
  <si>
    <t>Column15600</t>
  </si>
  <si>
    <t>Column15601</t>
  </si>
  <si>
    <t>Column15602</t>
  </si>
  <si>
    <t>Column15603</t>
  </si>
  <si>
    <t>Column15604</t>
  </si>
  <si>
    <t>Column15605</t>
  </si>
  <si>
    <t>Column15606</t>
  </si>
  <si>
    <t>Column15607</t>
  </si>
  <si>
    <t>Column15608</t>
  </si>
  <si>
    <t>Column15609</t>
  </si>
  <si>
    <t>Column15610</t>
  </si>
  <si>
    <t>Column15611</t>
  </si>
  <si>
    <t>Column15612</t>
  </si>
  <si>
    <t>Column15613</t>
  </si>
  <si>
    <t>Column15614</t>
  </si>
  <si>
    <t>Column15615</t>
  </si>
  <si>
    <t>Column15616</t>
  </si>
  <si>
    <t>Column15617</t>
  </si>
  <si>
    <t>Column15618</t>
  </si>
  <si>
    <t>Column15619</t>
  </si>
  <si>
    <t>Column15620</t>
  </si>
  <si>
    <t>Column15621</t>
  </si>
  <si>
    <t>Column15622</t>
  </si>
  <si>
    <t>Column15623</t>
  </si>
  <si>
    <t>Column15624</t>
  </si>
  <si>
    <t>Column15625</t>
  </si>
  <si>
    <t>Column15626</t>
  </si>
  <si>
    <t>Column15627</t>
  </si>
  <si>
    <t>Column15628</t>
  </si>
  <si>
    <t>Column15629</t>
  </si>
  <si>
    <t>Column15630</t>
  </si>
  <si>
    <t>Column15631</t>
  </si>
  <si>
    <t>Column15632</t>
  </si>
  <si>
    <t>Column15633</t>
  </si>
  <si>
    <t>Column15634</t>
  </si>
  <si>
    <t>Column15635</t>
  </si>
  <si>
    <t>Column15636</t>
  </si>
  <si>
    <t>Column15637</t>
  </si>
  <si>
    <t>Column15638</t>
  </si>
  <si>
    <t>Column15639</t>
  </si>
  <si>
    <t>Column15640</t>
  </si>
  <si>
    <t>Column15641</t>
  </si>
  <si>
    <t>Column15642</t>
  </si>
  <si>
    <t>Column15643</t>
  </si>
  <si>
    <t>Column15644</t>
  </si>
  <si>
    <t>Column15645</t>
  </si>
  <si>
    <t>Column15646</t>
  </si>
  <si>
    <t>Column15647</t>
  </si>
  <si>
    <t>Column15648</t>
  </si>
  <si>
    <t>Column15649</t>
  </si>
  <si>
    <t>Column15650</t>
  </si>
  <si>
    <t>Column15651</t>
  </si>
  <si>
    <t>Column15652</t>
  </si>
  <si>
    <t>Column15653</t>
  </si>
  <si>
    <t>Column15654</t>
  </si>
  <si>
    <t>Column15655</t>
  </si>
  <si>
    <t>Column15656</t>
  </si>
  <si>
    <t>Column15657</t>
  </si>
  <si>
    <t>Column15658</t>
  </si>
  <si>
    <t>Column15659</t>
  </si>
  <si>
    <t>Column15660</t>
  </si>
  <si>
    <t>Column15661</t>
  </si>
  <si>
    <t>Column15662</t>
  </si>
  <si>
    <t>Column15663</t>
  </si>
  <si>
    <t>Column15664</t>
  </si>
  <si>
    <t>Column15665</t>
  </si>
  <si>
    <t>Column15666</t>
  </si>
  <si>
    <t>Column15667</t>
  </si>
  <si>
    <t>Column15668</t>
  </si>
  <si>
    <t>Column15669</t>
  </si>
  <si>
    <t>Column15670</t>
  </si>
  <si>
    <t>Column15671</t>
  </si>
  <si>
    <t>Column15672</t>
  </si>
  <si>
    <t>Column15673</t>
  </si>
  <si>
    <t>Column15674</t>
  </si>
  <si>
    <t>Column15675</t>
  </si>
  <si>
    <t>Column15676</t>
  </si>
  <si>
    <t>Column15677</t>
  </si>
  <si>
    <t>Column15678</t>
  </si>
  <si>
    <t>Column15679</t>
  </si>
  <si>
    <t>Column15680</t>
  </si>
  <si>
    <t>Column15681</t>
  </si>
  <si>
    <t>Column15682</t>
  </si>
  <si>
    <t>Column15683</t>
  </si>
  <si>
    <t>Column15684</t>
  </si>
  <si>
    <t>Column15685</t>
  </si>
  <si>
    <t>Column15686</t>
  </si>
  <si>
    <t>Column15687</t>
  </si>
  <si>
    <t>Column15688</t>
  </si>
  <si>
    <t>Column15689</t>
  </si>
  <si>
    <t>Column15690</t>
  </si>
  <si>
    <t>Column15691</t>
  </si>
  <si>
    <t>Column15692</t>
  </si>
  <si>
    <t>Column15693</t>
  </si>
  <si>
    <t>Column15694</t>
  </si>
  <si>
    <t>Column15695</t>
  </si>
  <si>
    <t>Column15696</t>
  </si>
  <si>
    <t>Column15697</t>
  </si>
  <si>
    <t>Column15698</t>
  </si>
  <si>
    <t>Column15699</t>
  </si>
  <si>
    <t>Column15700</t>
  </si>
  <si>
    <t>Column15701</t>
  </si>
  <si>
    <t>Column15702</t>
  </si>
  <si>
    <t>Column15703</t>
  </si>
  <si>
    <t>Column15704</t>
  </si>
  <si>
    <t>Column15705</t>
  </si>
  <si>
    <t>Column15706</t>
  </si>
  <si>
    <t>Column15707</t>
  </si>
  <si>
    <t>Column15708</t>
  </si>
  <si>
    <t>Column15709</t>
  </si>
  <si>
    <t>Column15710</t>
  </si>
  <si>
    <t>Column15711</t>
  </si>
  <si>
    <t>Column15712</t>
  </si>
  <si>
    <t>Column15713</t>
  </si>
  <si>
    <t>Column15714</t>
  </si>
  <si>
    <t>Column15715</t>
  </si>
  <si>
    <t>Column15716</t>
  </si>
  <si>
    <t>Column15717</t>
  </si>
  <si>
    <t>Column15718</t>
  </si>
  <si>
    <t>Column15719</t>
  </si>
  <si>
    <t>Column15720</t>
  </si>
  <si>
    <t>Column15721</t>
  </si>
  <si>
    <t>Column15722</t>
  </si>
  <si>
    <t>Column15723</t>
  </si>
  <si>
    <t>Column15724</t>
  </si>
  <si>
    <t>Column15725</t>
  </si>
  <si>
    <t>Column15726</t>
  </si>
  <si>
    <t>Column15727</t>
  </si>
  <si>
    <t>Column15728</t>
  </si>
  <si>
    <t>Column15729</t>
  </si>
  <si>
    <t>Column15730</t>
  </si>
  <si>
    <t>Column15731</t>
  </si>
  <si>
    <t>Column15732</t>
  </si>
  <si>
    <t>Column15733</t>
  </si>
  <si>
    <t>Column15734</t>
  </si>
  <si>
    <t>Column15735</t>
  </si>
  <si>
    <t>Column15736</t>
  </si>
  <si>
    <t>Column15737</t>
  </si>
  <si>
    <t>Column15738</t>
  </si>
  <si>
    <t>Column15739</t>
  </si>
  <si>
    <t>Column15740</t>
  </si>
  <si>
    <t>Column15741</t>
  </si>
  <si>
    <t>Column15742</t>
  </si>
  <si>
    <t>Column15743</t>
  </si>
  <si>
    <t>Column15744</t>
  </si>
  <si>
    <t>Column15745</t>
  </si>
  <si>
    <t>Column15746</t>
  </si>
  <si>
    <t>Column15747</t>
  </si>
  <si>
    <t>Column15748</t>
  </si>
  <si>
    <t>Column15749</t>
  </si>
  <si>
    <t>Column15750</t>
  </si>
  <si>
    <t>Column15751</t>
  </si>
  <si>
    <t>Column15752</t>
  </si>
  <si>
    <t>Column15753</t>
  </si>
  <si>
    <t>Column15754</t>
  </si>
  <si>
    <t>Column15755</t>
  </si>
  <si>
    <t>Column15756</t>
  </si>
  <si>
    <t>Column15757</t>
  </si>
  <si>
    <t>Column15758</t>
  </si>
  <si>
    <t>Column15759</t>
  </si>
  <si>
    <t>Column15760</t>
  </si>
  <si>
    <t>Column15761</t>
  </si>
  <si>
    <t>Column15762</t>
  </si>
  <si>
    <t>Column15763</t>
  </si>
  <si>
    <t>Column15764</t>
  </si>
  <si>
    <t>Column15765</t>
  </si>
  <si>
    <t>Column15766</t>
  </si>
  <si>
    <t>Column15767</t>
  </si>
  <si>
    <t>Column15768</t>
  </si>
  <si>
    <t>Column15769</t>
  </si>
  <si>
    <t>Column15770</t>
  </si>
  <si>
    <t>Column15771</t>
  </si>
  <si>
    <t>Column15772</t>
  </si>
  <si>
    <t>Column15773</t>
  </si>
  <si>
    <t>Column15774</t>
  </si>
  <si>
    <t>Column15775</t>
  </si>
  <si>
    <t>Column15776</t>
  </si>
  <si>
    <t>Column15777</t>
  </si>
  <si>
    <t>Column15778</t>
  </si>
  <si>
    <t>Column15779</t>
  </si>
  <si>
    <t>Column15780</t>
  </si>
  <si>
    <t>Column15781</t>
  </si>
  <si>
    <t>Column15782</t>
  </si>
  <si>
    <t>Column15783</t>
  </si>
  <si>
    <t>Column15784</t>
  </si>
  <si>
    <t>Column15785</t>
  </si>
  <si>
    <t>Column15786</t>
  </si>
  <si>
    <t>Column15787</t>
  </si>
  <si>
    <t>Column15788</t>
  </si>
  <si>
    <t>Column15789</t>
  </si>
  <si>
    <t>Column15790</t>
  </si>
  <si>
    <t>Column15791</t>
  </si>
  <si>
    <t>Column15792</t>
  </si>
  <si>
    <t>Column15793</t>
  </si>
  <si>
    <t>Column15794</t>
  </si>
  <si>
    <t>Column15795</t>
  </si>
  <si>
    <t>Column15796</t>
  </si>
  <si>
    <t>Column15797</t>
  </si>
  <si>
    <t>Column15798</t>
  </si>
  <si>
    <t>Column15799</t>
  </si>
  <si>
    <t>Column15800</t>
  </si>
  <si>
    <t>Column15801</t>
  </si>
  <si>
    <t>Column15802</t>
  </si>
  <si>
    <t>Column15803</t>
  </si>
  <si>
    <t>Column15804</t>
  </si>
  <si>
    <t>Column15805</t>
  </si>
  <si>
    <t>Column15806</t>
  </si>
  <si>
    <t>Column15807</t>
  </si>
  <si>
    <t>Column15808</t>
  </si>
  <si>
    <t>Column15809</t>
  </si>
  <si>
    <t>Column15810</t>
  </si>
  <si>
    <t>Column15811</t>
  </si>
  <si>
    <t>Column15812</t>
  </si>
  <si>
    <t>Column15813</t>
  </si>
  <si>
    <t>Column15814</t>
  </si>
  <si>
    <t>Column15815</t>
  </si>
  <si>
    <t>Column15816</t>
  </si>
  <si>
    <t>Column15817</t>
  </si>
  <si>
    <t>Column15818</t>
  </si>
  <si>
    <t>Column15819</t>
  </si>
  <si>
    <t>Column15820</t>
  </si>
  <si>
    <t>Column15821</t>
  </si>
  <si>
    <t>Column15822</t>
  </si>
  <si>
    <t>Column15823</t>
  </si>
  <si>
    <t>Column15824</t>
  </si>
  <si>
    <t>Column15825</t>
  </si>
  <si>
    <t>Column15826</t>
  </si>
  <si>
    <t>Column15827</t>
  </si>
  <si>
    <t>Column15828</t>
  </si>
  <si>
    <t>Column15829</t>
  </si>
  <si>
    <t>Column15830</t>
  </si>
  <si>
    <t>Column15831</t>
  </si>
  <si>
    <t>Column15832</t>
  </si>
  <si>
    <t>Column15833</t>
  </si>
  <si>
    <t>Column15834</t>
  </si>
  <si>
    <t>Column15835</t>
  </si>
  <si>
    <t>Column15836</t>
  </si>
  <si>
    <t>Column15837</t>
  </si>
  <si>
    <t>Column15838</t>
  </si>
  <si>
    <t>Column15839</t>
  </si>
  <si>
    <t>Column15840</t>
  </si>
  <si>
    <t>Column15841</t>
  </si>
  <si>
    <t>Column15842</t>
  </si>
  <si>
    <t>Column15843</t>
  </si>
  <si>
    <t>Column15844</t>
  </si>
  <si>
    <t>Column15845</t>
  </si>
  <si>
    <t>Column15846</t>
  </si>
  <si>
    <t>Column15847</t>
  </si>
  <si>
    <t>Column15848</t>
  </si>
  <si>
    <t>Column15849</t>
  </si>
  <si>
    <t>Column15850</t>
  </si>
  <si>
    <t>Column15851</t>
  </si>
  <si>
    <t>Column15852</t>
  </si>
  <si>
    <t>Column15853</t>
  </si>
  <si>
    <t>Column15854</t>
  </si>
  <si>
    <t>Column15855</t>
  </si>
  <si>
    <t>Column15856</t>
  </si>
  <si>
    <t>Column15857</t>
  </si>
  <si>
    <t>Column15858</t>
  </si>
  <si>
    <t>Column15859</t>
  </si>
  <si>
    <t>Column15860</t>
  </si>
  <si>
    <t>Column15861</t>
  </si>
  <si>
    <t>Column15862</t>
  </si>
  <si>
    <t>Column15863</t>
  </si>
  <si>
    <t>Column15864</t>
  </si>
  <si>
    <t>Column15865</t>
  </si>
  <si>
    <t>Column15866</t>
  </si>
  <si>
    <t>Column15867</t>
  </si>
  <si>
    <t>Column15868</t>
  </si>
  <si>
    <t>Column15869</t>
  </si>
  <si>
    <t>Column15870</t>
  </si>
  <si>
    <t>Column15871</t>
  </si>
  <si>
    <t>Column15872</t>
  </si>
  <si>
    <t>Column15873</t>
  </si>
  <si>
    <t>Column15874</t>
  </si>
  <si>
    <t>Column15875</t>
  </si>
  <si>
    <t>Column15876</t>
  </si>
  <si>
    <t>Column15877</t>
  </si>
  <si>
    <t>Column15878</t>
  </si>
  <si>
    <t>Column15879</t>
  </si>
  <si>
    <t>Column15880</t>
  </si>
  <si>
    <t>Column15881</t>
  </si>
  <si>
    <t>Column15882</t>
  </si>
  <si>
    <t>Column15883</t>
  </si>
  <si>
    <t>Column15884</t>
  </si>
  <si>
    <t>Column15885</t>
  </si>
  <si>
    <t>Column15886</t>
  </si>
  <si>
    <t>Column15887</t>
  </si>
  <si>
    <t>Column15888</t>
  </si>
  <si>
    <t>Column15889</t>
  </si>
  <si>
    <t>Column15890</t>
  </si>
  <si>
    <t>Column15891</t>
  </si>
  <si>
    <t>Column15892</t>
  </si>
  <si>
    <t>Column15893</t>
  </si>
  <si>
    <t>Column15894</t>
  </si>
  <si>
    <t>Column15895</t>
  </si>
  <si>
    <t>Column15896</t>
  </si>
  <si>
    <t>Column15897</t>
  </si>
  <si>
    <t>Column15898</t>
  </si>
  <si>
    <t>Column15899</t>
  </si>
  <si>
    <t>Column15900</t>
  </si>
  <si>
    <t>Column15901</t>
  </si>
  <si>
    <t>Column15902</t>
  </si>
  <si>
    <t>Column15903</t>
  </si>
  <si>
    <t>Column15904</t>
  </si>
  <si>
    <t>Column15905</t>
  </si>
  <si>
    <t>Column15906</t>
  </si>
  <si>
    <t>Column15907</t>
  </si>
  <si>
    <t>Column15908</t>
  </si>
  <si>
    <t>Column15909</t>
  </si>
  <si>
    <t>Column15910</t>
  </si>
  <si>
    <t>Column15911</t>
  </si>
  <si>
    <t>Column15912</t>
  </si>
  <si>
    <t>Column15913</t>
  </si>
  <si>
    <t>Column15914</t>
  </si>
  <si>
    <t>Column15915</t>
  </si>
  <si>
    <t>Column15916</t>
  </si>
  <si>
    <t>Column15917</t>
  </si>
  <si>
    <t>Column15918</t>
  </si>
  <si>
    <t>Column15919</t>
  </si>
  <si>
    <t>Column15920</t>
  </si>
  <si>
    <t>Column15921</t>
  </si>
  <si>
    <t>Column15922</t>
  </si>
  <si>
    <t>Column15923</t>
  </si>
  <si>
    <t>Column15924</t>
  </si>
  <si>
    <t>Column15925</t>
  </si>
  <si>
    <t>Column15926</t>
  </si>
  <si>
    <t>Column15927</t>
  </si>
  <si>
    <t>Column15928</t>
  </si>
  <si>
    <t>Column15929</t>
  </si>
  <si>
    <t>Column15930</t>
  </si>
  <si>
    <t>Column15931</t>
  </si>
  <si>
    <t>Column15932</t>
  </si>
  <si>
    <t>Column15933</t>
  </si>
  <si>
    <t>Column15934</t>
  </si>
  <si>
    <t>Column15935</t>
  </si>
  <si>
    <t>Column15936</t>
  </si>
  <si>
    <t>Column15937</t>
  </si>
  <si>
    <t>Column15938</t>
  </si>
  <si>
    <t>Column15939</t>
  </si>
  <si>
    <t>Column15940</t>
  </si>
  <si>
    <t>Column15941</t>
  </si>
  <si>
    <t>Column15942</t>
  </si>
  <si>
    <t>Column15943</t>
  </si>
  <si>
    <t>Column15944</t>
  </si>
  <si>
    <t>Column15945</t>
  </si>
  <si>
    <t>Column15946</t>
  </si>
  <si>
    <t>Column15947</t>
  </si>
  <si>
    <t>Column15948</t>
  </si>
  <si>
    <t>Column15949</t>
  </si>
  <si>
    <t>Column15950</t>
  </si>
  <si>
    <t>Column15951</t>
  </si>
  <si>
    <t>Column15952</t>
  </si>
  <si>
    <t>Column15953</t>
  </si>
  <si>
    <t>Column15954</t>
  </si>
  <si>
    <t>Column15955</t>
  </si>
  <si>
    <t>Column15956</t>
  </si>
  <si>
    <t>Column15957</t>
  </si>
  <si>
    <t>Column15958</t>
  </si>
  <si>
    <t>Column15959</t>
  </si>
  <si>
    <t>Column15960</t>
  </si>
  <si>
    <t>Column15961</t>
  </si>
  <si>
    <t>Column15962</t>
  </si>
  <si>
    <t>Column15963</t>
  </si>
  <si>
    <t>Column15964</t>
  </si>
  <si>
    <t>Column15965</t>
  </si>
  <si>
    <t>Column15966</t>
  </si>
  <si>
    <t>Column15967</t>
  </si>
  <si>
    <t>Column15968</t>
  </si>
  <si>
    <t>Column15969</t>
  </si>
  <si>
    <t>Column15970</t>
  </si>
  <si>
    <t>Column15971</t>
  </si>
  <si>
    <t>Column15972</t>
  </si>
  <si>
    <t>Column15973</t>
  </si>
  <si>
    <t>Column15974</t>
  </si>
  <si>
    <t>Column15975</t>
  </si>
  <si>
    <t>Column15976</t>
  </si>
  <si>
    <t>Column15977</t>
  </si>
  <si>
    <t>Column15978</t>
  </si>
  <si>
    <t>Column15979</t>
  </si>
  <si>
    <t>Column15980</t>
  </si>
  <si>
    <t>Column15981</t>
  </si>
  <si>
    <t>Column15982</t>
  </si>
  <si>
    <t>Column15983</t>
  </si>
  <si>
    <t>Column15984</t>
  </si>
  <si>
    <t>Column15985</t>
  </si>
  <si>
    <t>Column15986</t>
  </si>
  <si>
    <t>Column15987</t>
  </si>
  <si>
    <t>Column15988</t>
  </si>
  <si>
    <t>Column15989</t>
  </si>
  <si>
    <t>Column15990</t>
  </si>
  <si>
    <t>Column15991</t>
  </si>
  <si>
    <t>Column15992</t>
  </si>
  <si>
    <t>Column15993</t>
  </si>
  <si>
    <t>Column15994</t>
  </si>
  <si>
    <t>Column15995</t>
  </si>
  <si>
    <t>Column15996</t>
  </si>
  <si>
    <t>Column15997</t>
  </si>
  <si>
    <t>Column15998</t>
  </si>
  <si>
    <t>Column15999</t>
  </si>
  <si>
    <t>Column16000</t>
  </si>
  <si>
    <t>Column16001</t>
  </si>
  <si>
    <t>Column16002</t>
  </si>
  <si>
    <t>Column16003</t>
  </si>
  <si>
    <t>Column16004</t>
  </si>
  <si>
    <t>Column16005</t>
  </si>
  <si>
    <t>Column16006</t>
  </si>
  <si>
    <t>Column16007</t>
  </si>
  <si>
    <t>Column16008</t>
  </si>
  <si>
    <t>Column16009</t>
  </si>
  <si>
    <t>Column16010</t>
  </si>
  <si>
    <t>Column16011</t>
  </si>
  <si>
    <t>Column16012</t>
  </si>
  <si>
    <t>Column16013</t>
  </si>
  <si>
    <t>Column16014</t>
  </si>
  <si>
    <t>Column16015</t>
  </si>
  <si>
    <t>Column16016</t>
  </si>
  <si>
    <t>Column16017</t>
  </si>
  <si>
    <t>Column16018</t>
  </si>
  <si>
    <t>Column16019</t>
  </si>
  <si>
    <t>Column16020</t>
  </si>
  <si>
    <t>Column16021</t>
  </si>
  <si>
    <t>Column16022</t>
  </si>
  <si>
    <t>Column16023</t>
  </si>
  <si>
    <t>Column16024</t>
  </si>
  <si>
    <t>Column16025</t>
  </si>
  <si>
    <t>Column16026</t>
  </si>
  <si>
    <t>Column16027</t>
  </si>
  <si>
    <t>Column16028</t>
  </si>
  <si>
    <t>Column16029</t>
  </si>
  <si>
    <t>Column16030</t>
  </si>
  <si>
    <t>Column16031</t>
  </si>
  <si>
    <t>Column16032</t>
  </si>
  <si>
    <t>Column16033</t>
  </si>
  <si>
    <t>Column16034</t>
  </si>
  <si>
    <t>Column16035</t>
  </si>
  <si>
    <t>Column16036</t>
  </si>
  <si>
    <t>Column16037</t>
  </si>
  <si>
    <t>Column16038</t>
  </si>
  <si>
    <t>Column16039</t>
  </si>
  <si>
    <t>Column16040</t>
  </si>
  <si>
    <t>Column16041</t>
  </si>
  <si>
    <t>Column16042</t>
  </si>
  <si>
    <t>Column16043</t>
  </si>
  <si>
    <t>Column16044</t>
  </si>
  <si>
    <t>Column16045</t>
  </si>
  <si>
    <t>Column16046</t>
  </si>
  <si>
    <t>Column16047</t>
  </si>
  <si>
    <t>Column16048</t>
  </si>
  <si>
    <t>Column16049</t>
  </si>
  <si>
    <t>Column16050</t>
  </si>
  <si>
    <t>Column16051</t>
  </si>
  <si>
    <t>Column16052</t>
  </si>
  <si>
    <t>Column16053</t>
  </si>
  <si>
    <t>Column16054</t>
  </si>
  <si>
    <t>Column16055</t>
  </si>
  <si>
    <t>Column16056</t>
  </si>
  <si>
    <t>Column16057</t>
  </si>
  <si>
    <t>Column16058</t>
  </si>
  <si>
    <t>Column16059</t>
  </si>
  <si>
    <t>Column16060</t>
  </si>
  <si>
    <t>Column16061</t>
  </si>
  <si>
    <t>Column16062</t>
  </si>
  <si>
    <t>Column16063</t>
  </si>
  <si>
    <t>Column16064</t>
  </si>
  <si>
    <t>Column16065</t>
  </si>
  <si>
    <t>Column16066</t>
  </si>
  <si>
    <t>Column16067</t>
  </si>
  <si>
    <t>Column16068</t>
  </si>
  <si>
    <t>Column16069</t>
  </si>
  <si>
    <t>Column16070</t>
  </si>
  <si>
    <t>Column16071</t>
  </si>
  <si>
    <t>Column16072</t>
  </si>
  <si>
    <t>Column16073</t>
  </si>
  <si>
    <t>Column16074</t>
  </si>
  <si>
    <t>Column16075</t>
  </si>
  <si>
    <t>Column16076</t>
  </si>
  <si>
    <t>Column16077</t>
  </si>
  <si>
    <t>Column16078</t>
  </si>
  <si>
    <t>Column16079</t>
  </si>
  <si>
    <t>Column16080</t>
  </si>
  <si>
    <t>Column16081</t>
  </si>
  <si>
    <t>Column16082</t>
  </si>
  <si>
    <t>Column16083</t>
  </si>
  <si>
    <t>Column16084</t>
  </si>
  <si>
    <t>Column16085</t>
  </si>
  <si>
    <t>Column16086</t>
  </si>
  <si>
    <t>Column16087</t>
  </si>
  <si>
    <t>Column16088</t>
  </si>
  <si>
    <t>Column16089</t>
  </si>
  <si>
    <t>Column16090</t>
  </si>
  <si>
    <t>Column16091</t>
  </si>
  <si>
    <t>Column16092</t>
  </si>
  <si>
    <t>Column16093</t>
  </si>
  <si>
    <t>Column16094</t>
  </si>
  <si>
    <t>Column16095</t>
  </si>
  <si>
    <t>Column16096</t>
  </si>
  <si>
    <t>Column16097</t>
  </si>
  <si>
    <t>Column16098</t>
  </si>
  <si>
    <t>Column16099</t>
  </si>
  <si>
    <t>Column16100</t>
  </si>
  <si>
    <t>Column16101</t>
  </si>
  <si>
    <t>Column16102</t>
  </si>
  <si>
    <t>Column16103</t>
  </si>
  <si>
    <t>Column16104</t>
  </si>
  <si>
    <t>Column16105</t>
  </si>
  <si>
    <t>Column16106</t>
  </si>
  <si>
    <t>Column16107</t>
  </si>
  <si>
    <t>Column16108</t>
  </si>
  <si>
    <t>Column16109</t>
  </si>
  <si>
    <t>Column16110</t>
  </si>
  <si>
    <t>Column16111</t>
  </si>
  <si>
    <t>Column16112</t>
  </si>
  <si>
    <t>Column16113</t>
  </si>
  <si>
    <t>Column16114</t>
  </si>
  <si>
    <t>Column16115</t>
  </si>
  <si>
    <t>Column16116</t>
  </si>
  <si>
    <t>Column16117</t>
  </si>
  <si>
    <t>Column16118</t>
  </si>
  <si>
    <t>Column16119</t>
  </si>
  <si>
    <t>Column16120</t>
  </si>
  <si>
    <t>Column16121</t>
  </si>
  <si>
    <t>Column16122</t>
  </si>
  <si>
    <t>Column16123</t>
  </si>
  <si>
    <t>Column16124</t>
  </si>
  <si>
    <t>Column16125</t>
  </si>
  <si>
    <t>Column16126</t>
  </si>
  <si>
    <t>Column16127</t>
  </si>
  <si>
    <t>Column16128</t>
  </si>
  <si>
    <t>Column16129</t>
  </si>
  <si>
    <t>Column16130</t>
  </si>
  <si>
    <t>Column16131</t>
  </si>
  <si>
    <t>Column16132</t>
  </si>
  <si>
    <t>Column16133</t>
  </si>
  <si>
    <t>Column16134</t>
  </si>
  <si>
    <t>Column16135</t>
  </si>
  <si>
    <t>Column16136</t>
  </si>
  <si>
    <t>Column16137</t>
  </si>
  <si>
    <t>Column16138</t>
  </si>
  <si>
    <t>Column16139</t>
  </si>
  <si>
    <t>Column16140</t>
  </si>
  <si>
    <t>Column16141</t>
  </si>
  <si>
    <t>Column16142</t>
  </si>
  <si>
    <t>Column16143</t>
  </si>
  <si>
    <t>Column16144</t>
  </si>
  <si>
    <t>Column16145</t>
  </si>
  <si>
    <t>Column16146</t>
  </si>
  <si>
    <t>Column16147</t>
  </si>
  <si>
    <t>Column16148</t>
  </si>
  <si>
    <t>Column16149</t>
  </si>
  <si>
    <t>Column16150</t>
  </si>
  <si>
    <t>Column16151</t>
  </si>
  <si>
    <t>Column16152</t>
  </si>
  <si>
    <t>Column16153</t>
  </si>
  <si>
    <t>Column16154</t>
  </si>
  <si>
    <t>Column16155</t>
  </si>
  <si>
    <t>Column16156</t>
  </si>
  <si>
    <t>Column16157</t>
  </si>
  <si>
    <t>Column16158</t>
  </si>
  <si>
    <t>Column16159</t>
  </si>
  <si>
    <t>Column16160</t>
  </si>
  <si>
    <t>Column16161</t>
  </si>
  <si>
    <t>Column16162</t>
  </si>
  <si>
    <t>Column16163</t>
  </si>
  <si>
    <t>Column16164</t>
  </si>
  <si>
    <t>Column16165</t>
  </si>
  <si>
    <t>Column16166</t>
  </si>
  <si>
    <t>Column16167</t>
  </si>
  <si>
    <t>Column16168</t>
  </si>
  <si>
    <t>Column16169</t>
  </si>
  <si>
    <t>Column16170</t>
  </si>
  <si>
    <t>Column16171</t>
  </si>
  <si>
    <t>Column16172</t>
  </si>
  <si>
    <t>Column16173</t>
  </si>
  <si>
    <t>Column16174</t>
  </si>
  <si>
    <t>Column16175</t>
  </si>
  <si>
    <t>Column16176</t>
  </si>
  <si>
    <t>Column16177</t>
  </si>
  <si>
    <t>Column16178</t>
  </si>
  <si>
    <t>Column16179</t>
  </si>
  <si>
    <t>Column16180</t>
  </si>
  <si>
    <t>Column16181</t>
  </si>
  <si>
    <t>Column16182</t>
  </si>
  <si>
    <t>Column16183</t>
  </si>
  <si>
    <t>Column16184</t>
  </si>
  <si>
    <t>Column16185</t>
  </si>
  <si>
    <t>Column16186</t>
  </si>
  <si>
    <t>Column16187</t>
  </si>
  <si>
    <t>Column16188</t>
  </si>
  <si>
    <t>Column16189</t>
  </si>
  <si>
    <t>Column16190</t>
  </si>
  <si>
    <t>Column16191</t>
  </si>
  <si>
    <t>Column16192</t>
  </si>
  <si>
    <t>Column16193</t>
  </si>
  <si>
    <t>Column16194</t>
  </si>
  <si>
    <t>Column16195</t>
  </si>
  <si>
    <t>Column16196</t>
  </si>
  <si>
    <t>Column16197</t>
  </si>
  <si>
    <t>Column16198</t>
  </si>
  <si>
    <t>Column16199</t>
  </si>
  <si>
    <t>Column16200</t>
  </si>
  <si>
    <t>Column16201</t>
  </si>
  <si>
    <t>Column16202</t>
  </si>
  <si>
    <t>Column16203</t>
  </si>
  <si>
    <t>Column16204</t>
  </si>
  <si>
    <t>Column16205</t>
  </si>
  <si>
    <t>Column16206</t>
  </si>
  <si>
    <t>Column16207</t>
  </si>
  <si>
    <t>Column16208</t>
  </si>
  <si>
    <t>Column16209</t>
  </si>
  <si>
    <t>Column16210</t>
  </si>
  <si>
    <t>Column16211</t>
  </si>
  <si>
    <t>Column16212</t>
  </si>
  <si>
    <t>Column16213</t>
  </si>
  <si>
    <t>Column16214</t>
  </si>
  <si>
    <t>Column16215</t>
  </si>
  <si>
    <t>Column16216</t>
  </si>
  <si>
    <t>Column16217</t>
  </si>
  <si>
    <t>Column16218</t>
  </si>
  <si>
    <t>Column16219</t>
  </si>
  <si>
    <t>Column16220</t>
  </si>
  <si>
    <t>Column16221</t>
  </si>
  <si>
    <t>Column16222</t>
  </si>
  <si>
    <t>Column16223</t>
  </si>
  <si>
    <t>Column16224</t>
  </si>
  <si>
    <t>Column16225</t>
  </si>
  <si>
    <t>Column16226</t>
  </si>
  <si>
    <t>Column16227</t>
  </si>
  <si>
    <t>Column16228</t>
  </si>
  <si>
    <t>Column16229</t>
  </si>
  <si>
    <t>Column16230</t>
  </si>
  <si>
    <t>Column16231</t>
  </si>
  <si>
    <t>Column16232</t>
  </si>
  <si>
    <t>Column16233</t>
  </si>
  <si>
    <t>Column16234</t>
  </si>
  <si>
    <t>Column16235</t>
  </si>
  <si>
    <t>Column16236</t>
  </si>
  <si>
    <t>Column16237</t>
  </si>
  <si>
    <t>Column16238</t>
  </si>
  <si>
    <t>Column16239</t>
  </si>
  <si>
    <t>Column16240</t>
  </si>
  <si>
    <t>Column16241</t>
  </si>
  <si>
    <t>Column16242</t>
  </si>
  <si>
    <t>Column16243</t>
  </si>
  <si>
    <t>Column16244</t>
  </si>
  <si>
    <t>Column16245</t>
  </si>
  <si>
    <t>Column16246</t>
  </si>
  <si>
    <t>Column16247</t>
  </si>
  <si>
    <t>Column16248</t>
  </si>
  <si>
    <t>Column16249</t>
  </si>
  <si>
    <t>Column16250</t>
  </si>
  <si>
    <t>Column16251</t>
  </si>
  <si>
    <t>Column16252</t>
  </si>
  <si>
    <t>Column16253</t>
  </si>
  <si>
    <t>Column16254</t>
  </si>
  <si>
    <t>Column16255</t>
  </si>
  <si>
    <t>Column16256</t>
  </si>
  <si>
    <t>Column16257</t>
  </si>
  <si>
    <t>Column16258</t>
  </si>
  <si>
    <t>Column16259</t>
  </si>
  <si>
    <t>Column16260</t>
  </si>
  <si>
    <t>Column16261</t>
  </si>
  <si>
    <t>Column16262</t>
  </si>
  <si>
    <t>Column16263</t>
  </si>
  <si>
    <t>Column16264</t>
  </si>
  <si>
    <t>Column16265</t>
  </si>
  <si>
    <t>Column16266</t>
  </si>
  <si>
    <t>Column16267</t>
  </si>
  <si>
    <t>Column16268</t>
  </si>
  <si>
    <t>Column16269</t>
  </si>
  <si>
    <t>Column16270</t>
  </si>
  <si>
    <t>Column16271</t>
  </si>
  <si>
    <t>Column16272</t>
  </si>
  <si>
    <t>Column16273</t>
  </si>
  <si>
    <t>Column16274</t>
  </si>
  <si>
    <t>Column16275</t>
  </si>
  <si>
    <t>Column16276</t>
  </si>
  <si>
    <t>Column16277</t>
  </si>
  <si>
    <t>Column16278</t>
  </si>
  <si>
    <t>Column16279</t>
  </si>
  <si>
    <t>Column16280</t>
  </si>
  <si>
    <t>Column16281</t>
  </si>
  <si>
    <t>Column16282</t>
  </si>
  <si>
    <t>Column16283</t>
  </si>
  <si>
    <t>Column16284</t>
  </si>
  <si>
    <t>Column16285</t>
  </si>
  <si>
    <t>Column16286</t>
  </si>
  <si>
    <t>Column16287</t>
  </si>
  <si>
    <t>Column16288</t>
  </si>
  <si>
    <t>Column16289</t>
  </si>
  <si>
    <t>Column16290</t>
  </si>
  <si>
    <t>Column16291</t>
  </si>
  <si>
    <t>Column16292</t>
  </si>
  <si>
    <t>Column16293</t>
  </si>
  <si>
    <t>Column16294</t>
  </si>
  <si>
    <t>Column16295</t>
  </si>
  <si>
    <t>Column16296</t>
  </si>
  <si>
    <t>Column16297</t>
  </si>
  <si>
    <t>Column16298</t>
  </si>
  <si>
    <t>Column16299</t>
  </si>
  <si>
    <t>Column16300</t>
  </si>
  <si>
    <t>Column16301</t>
  </si>
  <si>
    <t>Column16302</t>
  </si>
  <si>
    <t>Column16303</t>
  </si>
  <si>
    <t>Column16304</t>
  </si>
  <si>
    <t>Column16305</t>
  </si>
  <si>
    <t>Column16306</t>
  </si>
  <si>
    <t>Column16307</t>
  </si>
  <si>
    <t>Column16308</t>
  </si>
  <si>
    <t>Column16309</t>
  </si>
  <si>
    <t>Column16310</t>
  </si>
  <si>
    <t>Column16311</t>
  </si>
  <si>
    <t>Column16312</t>
  </si>
  <si>
    <t>Column16313</t>
  </si>
  <si>
    <t>Column16314</t>
  </si>
  <si>
    <t>Column16315</t>
  </si>
  <si>
    <t>Column16316</t>
  </si>
  <si>
    <t>Column16317</t>
  </si>
  <si>
    <t>Column16318</t>
  </si>
  <si>
    <t>Column16319</t>
  </si>
  <si>
    <t>Column16320</t>
  </si>
  <si>
    <t>Column16321</t>
  </si>
  <si>
    <t>Column16322</t>
  </si>
  <si>
    <t>Column16323</t>
  </si>
  <si>
    <t>Column16324</t>
  </si>
  <si>
    <t>Column16325</t>
  </si>
  <si>
    <t>Column16326</t>
  </si>
  <si>
    <t>Column16327</t>
  </si>
  <si>
    <t>Column16328</t>
  </si>
  <si>
    <t>Column16329</t>
  </si>
  <si>
    <t>Column16330</t>
  </si>
  <si>
    <t>Column16331</t>
  </si>
  <si>
    <t>Column16332</t>
  </si>
  <si>
    <t>Column16333</t>
  </si>
  <si>
    <t>Column16334</t>
  </si>
  <si>
    <t>Column16335</t>
  </si>
  <si>
    <t>Column16336</t>
  </si>
  <si>
    <t>Column16337</t>
  </si>
  <si>
    <t>Column16338</t>
  </si>
  <si>
    <t>Column16339</t>
  </si>
  <si>
    <t>Column16340</t>
  </si>
  <si>
    <t>Column16341</t>
  </si>
  <si>
    <t>Column16342</t>
  </si>
  <si>
    <t>Column16343</t>
  </si>
  <si>
    <t>Column16344</t>
  </si>
  <si>
    <t>Column16345</t>
  </si>
  <si>
    <t>Column16346</t>
  </si>
  <si>
    <t>Column16347</t>
  </si>
  <si>
    <t>Column16348</t>
  </si>
  <si>
    <t>Column16349</t>
  </si>
  <si>
    <t>Column16350</t>
  </si>
  <si>
    <t>Column16351</t>
  </si>
  <si>
    <t>Column16352</t>
  </si>
  <si>
    <t>NA</t>
  </si>
  <si>
    <t>M</t>
  </si>
  <si>
    <t>Paralysis agitans</t>
  </si>
  <si>
    <t>Essential and other specified forms of tremor</t>
  </si>
  <si>
    <t>F</t>
  </si>
  <si>
    <t>Other fragments of torsion dystonia</t>
  </si>
  <si>
    <t>Other degenerative diseases of the basal ganglia</t>
  </si>
  <si>
    <t>Abnormality of gait</t>
  </si>
  <si>
    <t>Abnormal involuntary movements</t>
  </si>
  <si>
    <t>Other acquired torsion dystonia</t>
  </si>
  <si>
    <t>Athetoid cerebral palsy</t>
  </si>
  <si>
    <t>G20</t>
  </si>
  <si>
    <t>Parkinson's disease</t>
  </si>
  <si>
    <t>R26.89</t>
  </si>
  <si>
    <t>Other abnormalities of gait and mobility</t>
  </si>
  <si>
    <t>G24.9</t>
  </si>
  <si>
    <t>Dystonia, unspecified</t>
  </si>
  <si>
    <t>G25.0</t>
  </si>
  <si>
    <t>Essential tremor</t>
  </si>
  <si>
    <t>G23.8</t>
  </si>
  <si>
    <t>Other specified degenerative diseases of basal ganglia</t>
  </si>
  <si>
    <t>R25.1</t>
  </si>
  <si>
    <t>Tremor, unspecified</t>
  </si>
  <si>
    <t>G25.2</t>
  </si>
  <si>
    <t>Other specified forms of tremor</t>
  </si>
  <si>
    <t>G24.1</t>
  </si>
  <si>
    <t>Genetic torsion dystonia</t>
  </si>
  <si>
    <t>Lack of coordination</t>
  </si>
  <si>
    <t>Other cerebellar ataxia</t>
  </si>
  <si>
    <t>G24.3</t>
  </si>
  <si>
    <t>Spasmodic torticollis</t>
  </si>
  <si>
    <t>G62.9</t>
  </si>
  <si>
    <t>Polyneuropathy, unspecified</t>
  </si>
  <si>
    <t>G24.01</t>
  </si>
  <si>
    <t>Drug induced subacute dyskinesia</t>
  </si>
  <si>
    <t>R25.9</t>
  </si>
  <si>
    <t>Unspecified abnormal involuntary movements</t>
  </si>
  <si>
    <t>G24.5</t>
  </si>
  <si>
    <t>Blepharospasm</t>
  </si>
  <si>
    <t>G24.02</t>
  </si>
  <si>
    <t>Drug induced acute dystonia</t>
  </si>
  <si>
    <t>G25.3</t>
  </si>
  <si>
    <t>Myoclonus</t>
  </si>
  <si>
    <t>R26.81</t>
  </si>
  <si>
    <t>Unsteadiness on feet</t>
  </si>
  <si>
    <t>R26.0</t>
  </si>
  <si>
    <t>Ataxic gait</t>
  </si>
  <si>
    <t>G40.409</t>
  </si>
  <si>
    <t>Other generalized epilepsy and epileptic syndromes, not intractable, without status epilepticus</t>
  </si>
  <si>
    <t>R25.8</t>
  </si>
  <si>
    <t>Other abnormal involuntary movements</t>
  </si>
  <si>
    <t>R26.9</t>
  </si>
  <si>
    <t>Unspecified abnormalities of gait and mobility</t>
  </si>
  <si>
    <t>G24.8</t>
  </si>
  <si>
    <t>Other dystonia</t>
  </si>
  <si>
    <t>R27.0</t>
  </si>
  <si>
    <t>Ataxia, unspecified</t>
  </si>
  <si>
    <t>G60.3</t>
  </si>
  <si>
    <t>Idiopathic progressive neuropathy</t>
  </si>
  <si>
    <t>R48.2</t>
  </si>
  <si>
    <t>Apraxia</t>
  </si>
  <si>
    <t>G11.8</t>
  </si>
  <si>
    <t>Other hereditary ataxias</t>
  </si>
  <si>
    <t>0-10</t>
  </si>
  <si>
    <t>10-20</t>
  </si>
  <si>
    <t>20-30</t>
  </si>
  <si>
    <t>30-40</t>
  </si>
  <si>
    <t>40-50</t>
  </si>
  <si>
    <t>50-60</t>
  </si>
  <si>
    <t>60-70</t>
  </si>
  <si>
    <t>70-80</t>
  </si>
  <si>
    <t>80-90</t>
  </si>
  <si>
    <t>90-100</t>
  </si>
  <si>
    <t>StDev</t>
  </si>
  <si>
    <t>Total Observations</t>
  </si>
  <si>
    <t>No Age Given</t>
  </si>
  <si>
    <t xml:space="preserve"> Observations with Data</t>
  </si>
  <si>
    <t>Counts Total</t>
  </si>
  <si>
    <t>Count Excluding Nas</t>
  </si>
  <si>
    <t>Difference (# NAs)</t>
  </si>
  <si>
    <t>Step Length Average Right</t>
  </si>
  <si>
    <t>&lt;-does not show right</t>
  </si>
  <si>
    <t>Frequency</t>
  </si>
  <si>
    <t>Description</t>
  </si>
  <si>
    <t>Other</t>
  </si>
  <si>
    <t>Todo:</t>
  </si>
  <si>
    <t>exclude extreme 2.5%s</t>
  </si>
  <si>
    <t>Stride Length Average Left Count</t>
  </si>
  <si>
    <t>Stride Length Average Right Count</t>
  </si>
  <si>
    <t>Mrs. X</t>
  </si>
  <si>
    <t>Gait Speed</t>
  </si>
  <si>
    <t>%tile</t>
  </si>
  <si>
    <t>Avg for Age Group</t>
  </si>
  <si>
    <t>Avg for Sex</t>
  </si>
  <si>
    <t>input</t>
  </si>
  <si>
    <t>populate</t>
  </si>
  <si>
    <t>Avg for Overall</t>
  </si>
  <si>
    <t>Avg for Diagnosis</t>
  </si>
  <si>
    <t>Avg for Other Diagnosis</t>
  </si>
  <si>
    <t>Class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</si>
</sst>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1" x14ac:knownFonts="1">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1"/>
      <color theme="1"/>
      <name val="Calibri"/>
      <family val="2"/>
      <scheme val="minor"/>
    </font>
    <font>
      <sz val="8"/>
      <name val="Calibri"/>
      <family val="2"/>
      <scheme val="minor"/>
    </font>
    <font>
      <u/>
      <sz val="11"/>
      <color indexed="12"/>
      <name val="Calibri"/>
      <family val="2"/>
      <scheme val="minor"/>
    </font>
    <font>
      <b/>
      <sz val="11"/>
      <color theme="1"/>
      <name val="Calibri"/>
      <family val="2"/>
      <scheme val="minor"/>
    </font>
    <font>
      <sz val="12"/>
      <color theme="1"/>
      <name val="Calibri"/>
      <family val="2"/>
    </font>
    <font>
      <b/>
      <sz val="12"/>
      <color theme="1"/>
      <name val="Calibri"/>
      <family val="2"/>
      <scheme val="minor"/>
    </font>
    <font>
      <sz val="11"/>
      <color rgb="FF000000"/>
      <name val="Calibri"/>
      <family val="2"/>
      <scheme val="minor"/>
    </font>
  </fonts>
  <fills count="9">
    <fill>
      <patternFill patternType="none"/>
    </fill>
    <fill>
      <patternFill patternType="gray125"/>
    </fill>
    <fill>
      <patternFill patternType="solid">
        <fgColor theme="7" tint="0.79998168889431442"/>
        <bgColor indexed="64"/>
      </patternFill>
    </fill>
    <fill>
      <patternFill patternType="solid">
        <fgColor rgb="FF4472C4"/>
        <bgColor rgb="FF000000"/>
      </patternFill>
    </fill>
    <fill>
      <patternFill patternType="solid">
        <fgColor theme="4" tint="0.79998168889431442"/>
        <bgColor theme="4" tint="0.79998168889431442"/>
      </patternFill>
    </fill>
    <fill>
      <patternFill patternType="solid">
        <fgColor theme="0" tint="-0.14999847407452621"/>
        <bgColor theme="0" tint="-0.14999847407452621"/>
      </patternFill>
    </fill>
    <fill>
      <patternFill patternType="solid">
        <fgColor theme="4" tint="0.79998168889431442"/>
        <bgColor indexed="64"/>
      </patternFill>
    </fill>
    <fill>
      <patternFill patternType="solid">
        <fgColor theme="4"/>
        <bgColor indexed="64"/>
      </patternFill>
    </fill>
    <fill>
      <patternFill patternType="solid">
        <fgColor rgb="FFFFFF00"/>
        <bgColor indexed="64"/>
      </patternFill>
    </fill>
  </fills>
  <borders count="6">
    <border>
      <left/>
      <right/>
      <top/>
      <bottom/>
      <diagonal/>
    </border>
    <border>
      <left/>
      <right/>
      <top/>
      <bottom style="thin">
        <color theme="4" tint="0.39997558519241921"/>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bottom/>
      <diagonal/>
    </border>
  </borders>
  <cellStyleXfs count="4">
    <xf numFmtId="0" fontId="0" fillId="0" borderId="0"/>
    <xf numFmtId="0" fontId="6" fillId="0" borderId="0" applyNumberFormat="0" applyFill="0" applyBorder="0" applyAlignment="0" applyProtection="0">
      <alignment horizontal="left" indent="1"/>
    </xf>
    <xf numFmtId="0" fontId="4" fillId="0" borderId="0"/>
    <xf numFmtId="0" fontId="1" fillId="0" borderId="0"/>
  </cellStyleXfs>
  <cellXfs count="35">
    <xf numFmtId="0" fontId="0" fillId="0" borderId="0" xfId="0"/>
    <xf numFmtId="0" fontId="3" fillId="0" borderId="0" xfId="0" applyFont="1"/>
    <xf numFmtId="0" fontId="3" fillId="0" borderId="0" xfId="0" applyNumberFormat="1" applyFont="1" applyAlignment="1">
      <alignment horizontal="center"/>
    </xf>
    <xf numFmtId="0" fontId="3" fillId="0" borderId="0" xfId="0" applyFont="1" applyAlignment="1">
      <alignment horizontal="center"/>
    </xf>
    <xf numFmtId="0" fontId="0" fillId="0" borderId="0" xfId="0" pivotButton="1"/>
    <xf numFmtId="0" fontId="0" fillId="0" borderId="0" xfId="0" applyFont="1" applyFill="1" applyBorder="1"/>
    <xf numFmtId="3" fontId="3" fillId="0" borderId="0" xfId="0" applyNumberFormat="1" applyFont="1"/>
    <xf numFmtId="0" fontId="7" fillId="0" borderId="0" xfId="0" applyFont="1"/>
    <xf numFmtId="0" fontId="0" fillId="2" borderId="0" xfId="0" applyFill="1"/>
    <xf numFmtId="0" fontId="8" fillId="3" borderId="0" xfId="0" applyFont="1" applyFill="1"/>
    <xf numFmtId="2" fontId="8" fillId="3" borderId="0" xfId="0" applyNumberFormat="1" applyFont="1" applyFill="1"/>
    <xf numFmtId="0" fontId="8" fillId="0" borderId="0" xfId="0" applyFont="1"/>
    <xf numFmtId="2" fontId="8" fillId="0" borderId="0" xfId="0" applyNumberFormat="1" applyFont="1"/>
    <xf numFmtId="0" fontId="2" fillId="0" borderId="0" xfId="0" applyFont="1"/>
    <xf numFmtId="0" fontId="9" fillId="4" borderId="1" xfId="0" applyFont="1" applyFill="1" applyBorder="1"/>
    <xf numFmtId="2" fontId="2" fillId="0" borderId="0" xfId="0" applyNumberFormat="1" applyFont="1"/>
    <xf numFmtId="3" fontId="2" fillId="0" borderId="0" xfId="0" applyNumberFormat="1" applyFont="1"/>
    <xf numFmtId="2" fontId="2" fillId="5" borderId="0" xfId="0" applyNumberFormat="1" applyFont="1" applyFill="1"/>
    <xf numFmtId="3" fontId="2" fillId="5" borderId="0" xfId="0" applyNumberFormat="1" applyFont="1" applyFill="1"/>
    <xf numFmtId="0" fontId="1" fillId="0" borderId="0" xfId="0" pivotButton="1" applyFont="1"/>
    <xf numFmtId="0" fontId="1" fillId="0" borderId="0" xfId="0" applyFont="1"/>
    <xf numFmtId="2" fontId="1" fillId="0" borderId="0" xfId="0" applyNumberFormat="1" applyFont="1"/>
    <xf numFmtId="3" fontId="1" fillId="0" borderId="0" xfId="0" applyNumberFormat="1" applyFont="1"/>
    <xf numFmtId="0" fontId="1" fillId="0" borderId="0" xfId="3"/>
    <xf numFmtId="0" fontId="7" fillId="6" borderId="0" xfId="0" applyFont="1" applyFill="1" applyAlignment="1">
      <alignment horizontal="center"/>
    </xf>
    <xf numFmtId="3" fontId="1" fillId="5" borderId="0" xfId="0" applyNumberFormat="1" applyFont="1" applyFill="1"/>
    <xf numFmtId="0" fontId="7" fillId="6" borderId="2" xfId="0" applyFont="1" applyFill="1" applyBorder="1"/>
    <xf numFmtId="0" fontId="7" fillId="6" borderId="3" xfId="0" applyFont="1" applyFill="1" applyBorder="1"/>
    <xf numFmtId="0" fontId="7" fillId="6" borderId="4" xfId="0" applyFont="1" applyFill="1" applyBorder="1"/>
    <xf numFmtId="0" fontId="7" fillId="6" borderId="0" xfId="0" applyFont="1" applyFill="1" applyBorder="1"/>
    <xf numFmtId="0" fontId="7" fillId="6" borderId="0" xfId="0" applyFont="1" applyFill="1" applyBorder="1" applyAlignment="1">
      <alignment horizontal="left"/>
    </xf>
    <xf numFmtId="0" fontId="7" fillId="6" borderId="5" xfId="0" applyFont="1" applyFill="1" applyBorder="1" applyAlignment="1">
      <alignment horizontal="center"/>
    </xf>
    <xf numFmtId="0" fontId="0" fillId="7" borderId="0" xfId="0" applyFill="1"/>
    <xf numFmtId="0" fontId="10" fillId="0" borderId="0" xfId="0" applyFont="1"/>
    <xf numFmtId="0" fontId="0" fillId="8" borderId="0" xfId="0" applyFill="1"/>
  </cellXfs>
  <cellStyles count="4">
    <cellStyle name="Ctx_Hyperlink" xfId="1" xr:uid="{CFACF1CC-7DD2-420E-BE11-E553C1D8FE85}"/>
    <cellStyle name="Normal" xfId="0" builtinId="0"/>
    <cellStyle name="Normal 2" xfId="3" xr:uid="{44354A5E-20D1-2546-8735-3CF94C0C916F}"/>
    <cellStyle name="Normal 4" xfId="2" xr:uid="{B4169294-52AA-4B13-84F6-AC08EFA6D897}"/>
  </cellStyles>
  <dxfs count="53">
    <dxf>
      <numFmt numFmtId="3" formatCode="#,##0"/>
    </dxf>
    <dxf>
      <numFmt numFmtId="3" formatCode="#,##0"/>
    </dxf>
    <dxf>
      <font>
        <b/>
        <i val="0"/>
        <strike val="0"/>
        <condense val="0"/>
        <extend val="0"/>
        <outline val="0"/>
        <shadow val="0"/>
        <u val="none"/>
        <vertAlign val="baseline"/>
        <sz val="11"/>
        <color theme="1"/>
        <name val="Calibri"/>
        <family val="2"/>
        <scheme val="minor"/>
      </font>
    </dxf>
    <dxf>
      <alignment horizontal="center" vertical="top" textRotation="0" wrapText="0" indent="0" justifyLastLine="0" shrinkToFit="0" readingOrder="0"/>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numFmt numFmtId="2" formatCode="0.00"/>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fill>
        <patternFill patternType="solid">
          <fgColor rgb="FF000000"/>
          <bgColor rgb="FF4472C4"/>
        </patternFill>
      </fill>
    </dxf>
    <dxf>
      <font>
        <sz val="12"/>
      </font>
    </dxf>
    <dxf>
      <font>
        <sz val="12"/>
      </font>
    </dxf>
    <dxf>
      <font>
        <sz val="12"/>
      </font>
    </dxf>
    <dxf>
      <font>
        <sz val="12"/>
      </font>
    </dxf>
    <dxf>
      <font>
        <sz val="12"/>
      </font>
    </dxf>
    <dxf>
      <font>
        <sz val="18"/>
      </font>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
      <font>
        <b/>
        <color theme="1"/>
      </font>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s>
  <tableStyles count="2" defaultTableStyle="TableStyleMedium2" defaultPivotStyle="PivotStyleLight16">
    <tableStyle name="SlicerStyleLight1 2" pivot="0" table="0" count="10" xr9:uid="{4820C8EB-6941-7F4D-B818-B1C8F0EAE591}">
      <tableStyleElement type="wholeTable" dxfId="52"/>
      <tableStyleElement type="headerRow" dxfId="51"/>
    </tableStyle>
    <tableStyle name="TableStyleMedium2 2" pivot="0" count="7" xr9:uid="{231C9A41-01B6-C34C-8964-4AD0CCD74A17}">
      <tableStyleElement type="wholeTable" dxfId="50"/>
      <tableStyleElement type="headerRow" dxfId="49"/>
      <tableStyleElement type="totalRow" dxfId="48"/>
      <tableStyleElement type="firstColumn" dxfId="47"/>
      <tableStyleElement type="lastColumn" dxfId="46"/>
      <tableStyleElement type="firstRowStripe" dxfId="45"/>
      <tableStyleElement type="firstColumnStripe" dxfId="44"/>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7/relationships/slicerCache" Target="slicerCaches/slicerCache2.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3.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pivotCacheDefinition" Target="pivotCache/pivotCacheDefinition2.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editAs="oneCell">
    <xdr:from>
      <xdr:col>4</xdr:col>
      <xdr:colOff>635000</xdr:colOff>
      <xdr:row>0</xdr:row>
      <xdr:rowOff>157161</xdr:rowOff>
    </xdr:from>
    <xdr:to>
      <xdr:col>6</xdr:col>
      <xdr:colOff>668193</xdr:colOff>
      <xdr:row>15</xdr:row>
      <xdr:rowOff>7937</xdr:rowOff>
    </xdr:to>
    <mc:AlternateContent xmlns:mc="http://schemas.openxmlformats.org/markup-compatibility/2006">
      <mc:Choice xmlns:a14="http://schemas.microsoft.com/office/drawing/2010/main" Requires="a14">
        <xdr:graphicFrame macro="">
          <xdr:nvGraphicFramePr>
            <xdr:cNvPr id="2" name="Group">
              <a:extLst>
                <a:ext uri="{FF2B5EF4-FFF2-40B4-BE49-F238E27FC236}">
                  <a16:creationId xmlns:a16="http://schemas.microsoft.com/office/drawing/2014/main" id="{C182A051-BDC3-4561-A3B7-74C1A0DCCA59}"/>
                </a:ext>
              </a:extLst>
            </xdr:cNvPr>
            <xdr:cNvGraphicFramePr/>
          </xdr:nvGraphicFramePr>
          <xdr:xfrm>
            <a:off x="0" y="0"/>
            <a:ext cx="0" cy="0"/>
          </xdr:xfrm>
          <a:graphic>
            <a:graphicData uri="http://schemas.microsoft.com/office/drawing/2010/slicer">
              <sle:slicer xmlns:sle="http://schemas.microsoft.com/office/drawing/2010/slicer" name="Group"/>
            </a:graphicData>
          </a:graphic>
        </xdr:graphicFrame>
      </mc:Choice>
      <mc:Fallback>
        <xdr:sp macro="" textlink="">
          <xdr:nvSpPr>
            <xdr:cNvPr id="0" name=""/>
            <xdr:cNvSpPr>
              <a:spLocks noTextEdit="1"/>
            </xdr:cNvSpPr>
          </xdr:nvSpPr>
          <xdr:spPr>
            <a:xfrm>
              <a:off x="7707313" y="157161"/>
              <a:ext cx="2017568" cy="33909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1892299</xdr:colOff>
      <xdr:row>0</xdr:row>
      <xdr:rowOff>38100</xdr:rowOff>
    </xdr:from>
    <xdr:to>
      <xdr:col>3</xdr:col>
      <xdr:colOff>2373311</xdr:colOff>
      <xdr:row>0</xdr:row>
      <xdr:rowOff>619125</xdr:rowOff>
    </xdr:to>
    <mc:AlternateContent xmlns:mc="http://schemas.openxmlformats.org/markup-compatibility/2006" xmlns:a14="http://schemas.microsoft.com/office/drawing/2010/main">
      <mc:Choice Requires="a14">
        <xdr:graphicFrame macro="">
          <xdr:nvGraphicFramePr>
            <xdr:cNvPr id="3" name="Function">
              <a:extLst>
                <a:ext uri="{FF2B5EF4-FFF2-40B4-BE49-F238E27FC236}">
                  <a16:creationId xmlns:a16="http://schemas.microsoft.com/office/drawing/2014/main" id="{275277F1-EFFF-4349-A324-CA12DAE3A460}"/>
                </a:ext>
              </a:extLst>
            </xdr:cNvPr>
            <xdr:cNvGraphicFramePr/>
          </xdr:nvGraphicFramePr>
          <xdr:xfrm>
            <a:off x="0" y="0"/>
            <a:ext cx="0" cy="0"/>
          </xdr:xfrm>
          <a:graphic>
            <a:graphicData uri="http://schemas.microsoft.com/office/drawing/2010/slicer">
              <sle:slicer xmlns:sle="http://schemas.microsoft.com/office/drawing/2010/slicer" name="Function"/>
            </a:graphicData>
          </a:graphic>
        </xdr:graphicFrame>
      </mc:Choice>
      <mc:Fallback xmlns="">
        <xdr:sp macro="" textlink="">
          <xdr:nvSpPr>
            <xdr:cNvPr id="0" name=""/>
            <xdr:cNvSpPr>
              <a:spLocks noTextEdit="1"/>
            </xdr:cNvSpPr>
          </xdr:nvSpPr>
          <xdr:spPr>
            <a:xfrm>
              <a:off x="3365500" y="38100"/>
              <a:ext cx="3505200" cy="733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Orthotrack%20Dashboard.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ivot"/>
      <sheetName val="Collapsed"/>
      <sheetName val="PivotLists"/>
      <sheetName val="Age Norms"/>
      <sheetName val="Redcap Raw Report"/>
      <sheetName val="ICD+Descriptions"/>
      <sheetName val="measured values"/>
      <sheetName val="ages"/>
      <sheetName val="ICD_summary"/>
      <sheetName val="Collapsed (2)"/>
    </sheetNames>
    <sheetDataSet>
      <sheetData sheetId="0" refreshError="1"/>
      <sheetData sheetId="1" refreshError="1"/>
      <sheetData sheetId="2">
        <row r="4">
          <cell r="M4" t="str">
            <v>Stride Length Average Left</v>
          </cell>
        </row>
      </sheetData>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rey Skelton" refreshedDate="44517.395057060188" missingItemsLimit="0" createdVersion="6" refreshedVersion="7" minRefreshableVersion="3" recordCount="21" xr:uid="{A8ED44A2-CCD7-40BC-B474-63D3C27D6117}">
  <cacheSource type="worksheet">
    <worksheetSource name="tblFields"/>
  </cacheSource>
  <cacheFields count="2">
    <cacheField name="Field" numFmtId="0">
      <sharedItems/>
    </cacheField>
    <cacheField name="Group" numFmtId="0">
      <sharedItems count="11">
        <s v="Cadence"/>
        <s v="Forward Velocity"/>
        <s v="Initial Double Support Time"/>
        <s v="Number of Steps"/>
        <s v="Number of Strides"/>
        <s v="Single Support Time"/>
        <s v="Step Length Average"/>
        <s v="Step Width"/>
        <s v="Stride Length Average"/>
        <s v="Swing Phase"/>
        <s v="Total Support Time"/>
      </sharedItems>
    </cacheField>
  </cacheFields>
  <extLst>
    <ext xmlns:x14="http://schemas.microsoft.com/office/spreadsheetml/2009/9/main" uri="{725AE2AE-9491-48be-B2B4-4EB974FC3084}">
      <x14:pivotCacheDefinition pivotCacheId="723717096"/>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rey Skelton" refreshedDate="44517.39533738426" createdVersion="7" refreshedVersion="7" minRefreshableVersion="3" recordCount="953" xr:uid="{07620F8B-8411-8847-A835-4D31DBA5ECE7}">
  <cacheSource type="worksheet">
    <worksheetSource name="Table6"/>
  </cacheSource>
  <cacheFields count="32">
    <cacheField name="Record ID" numFmtId="0">
      <sharedItems containsSemiMixedTypes="0" containsString="0" containsNumber="1" containsInteger="1" minValue="1" maxValue="1141"/>
    </cacheField>
    <cacheField name="Repeat Instrument" numFmtId="0">
      <sharedItems containsNonDate="0" containsString="0" containsBlank="1"/>
    </cacheField>
    <cacheField name="Repeat Instance" numFmtId="0">
      <sharedItems containsNonDate="0" containsString="0" containsBlank="1"/>
    </cacheField>
    <cacheField name="Patient Folder (Full Path)" numFmtId="0">
      <sharedItems containsNonDate="0" containsString="0" containsBlank="1"/>
    </cacheField>
    <cacheField name="Patient Folder Name" numFmtId="0">
      <sharedItems containsNonDate="0" containsString="0" containsBlank="1"/>
    </cacheField>
    <cacheField name="ICD Code" numFmtId="0">
      <sharedItems containsMixedTypes="1" containsNumber="1" minValue="332" maxValue="781.3"/>
    </cacheField>
    <cacheField name="Primary Diagnosis" numFmtId="0">
      <sharedItems/>
    </cacheField>
    <cacheField name="Age" numFmtId="2">
      <sharedItems containsSemiMixedTypes="0" containsString="0" containsNumber="1" minValue="0" maxValue="999" count="354">
        <n v="0.6"/>
        <n v="66.5"/>
        <n v="64.3"/>
        <n v="70.2"/>
        <n v="75.3"/>
        <n v="59.5"/>
        <n v="70.599999999999994"/>
        <n v="63.2"/>
        <n v="70.3"/>
        <n v="66"/>
        <n v="86"/>
        <n v="65.5"/>
        <n v="72.2"/>
        <n v="64.099999999999994"/>
        <n v="79.900000000000006"/>
        <n v="47.3"/>
        <n v="65.7"/>
        <n v="79.3"/>
        <n v="72.599999999999994"/>
        <n v="61"/>
        <n v="52.2"/>
        <n v="55.9"/>
        <n v="69.099999999999994"/>
        <n v="77.2"/>
        <n v="48.5"/>
        <n v="72.5"/>
        <n v="71.8"/>
        <n v="74.8"/>
        <n v="56.5"/>
        <n v="62.8"/>
        <n v="78"/>
        <n v="66.8"/>
        <n v="63.3"/>
        <n v="48.2"/>
        <n v="74.3"/>
        <n v="999"/>
        <n v="35.799999999999997"/>
        <n v="67.3"/>
        <n v="58.9"/>
        <n v="69.3"/>
        <n v="70"/>
        <n v="63.8"/>
        <n v="51.4"/>
        <n v="63.7"/>
        <n v="44.5"/>
        <n v="57.7"/>
        <n v="56.1"/>
        <n v="52"/>
        <n v="54.1"/>
        <n v="42.3"/>
        <n v="74"/>
        <n v="81.099999999999994"/>
        <n v="67.8"/>
        <n v="68.400000000000006"/>
        <n v="73.5"/>
        <n v="61.9"/>
        <n v="34.5"/>
        <n v="70.099999999999994"/>
        <n v="73"/>
        <n v="75.400000000000006"/>
        <n v="73.2"/>
        <n v="53.3"/>
        <n v="62.9"/>
        <n v="67.5"/>
        <n v="84.2"/>
        <n v="72.099999999999994"/>
        <n v="59.8"/>
        <n v="67.7"/>
        <n v="70.5"/>
        <n v="72.3"/>
        <n v="83.2"/>
        <n v="78.3"/>
        <n v="66.900000000000006"/>
        <n v="24.8"/>
        <n v="51.9"/>
        <n v="81.400000000000006"/>
        <n v="69.8"/>
        <n v="68.8"/>
        <n v="52.1"/>
        <n v="68.7"/>
        <n v="48.8"/>
        <n v="47.2"/>
        <n v="76.7"/>
        <n v="73.7"/>
        <n v="66.2"/>
        <n v="76.400000000000006"/>
        <n v="55.3"/>
        <n v="85.3"/>
        <n v="63"/>
        <n v="73.599999999999994"/>
        <n v="49"/>
        <n v="76.5"/>
        <n v="59.2"/>
        <n v="59.7"/>
        <n v="78.099999999999994"/>
        <n v="81.3"/>
        <n v="62.6"/>
        <n v="83.6"/>
        <n v="67.2"/>
        <n v="44.2"/>
        <n v="37.799999999999997"/>
        <n v="50"/>
        <n v="61.2"/>
        <n v="73.900000000000006"/>
        <n v="49.4"/>
        <n v="49.7"/>
        <n v="75.5"/>
        <n v="74.400000000000006"/>
        <n v="57.3"/>
        <n v="46.1"/>
        <n v="56.8"/>
        <n v="70.7"/>
        <n v="71.099999999999994"/>
        <n v="45.5"/>
        <n v="45.3"/>
        <n v="71.7"/>
        <n v="69.7"/>
        <n v="53.7"/>
        <n v="61.6"/>
        <n v="68.099999999999994"/>
        <n v="71.3"/>
        <n v="55.8"/>
        <n v="65.2"/>
        <n v="61.1"/>
        <n v="81"/>
        <n v="61.3"/>
        <n v="41"/>
        <n v="76.2"/>
        <n v="68.900000000000006"/>
        <n v="39.700000000000003"/>
        <n v="73.400000000000006"/>
        <n v="74.2"/>
        <n v="66.3"/>
        <n v="54.2"/>
        <n v="67.599999999999994"/>
        <n v="69.599999999999994"/>
        <n v="75.599999999999994"/>
        <n v="50.2"/>
        <n v="65"/>
        <n v="75"/>
        <n v="78.400000000000006"/>
        <n v="75.2"/>
        <n v="64.2"/>
        <n v="60.6"/>
        <n v="77.8"/>
        <n v="90.8"/>
        <n v="65.099999999999994"/>
        <n v="50.8"/>
        <n v="78.900000000000006"/>
        <n v="75.8"/>
        <n v="69.2"/>
        <n v="74.5"/>
        <n v="53.5"/>
        <n v="67.900000000000006"/>
        <n v="59.4"/>
        <n v="40"/>
        <n v="67.099999999999994"/>
        <n v="38.9"/>
        <n v="36"/>
        <n v="66.7"/>
        <n v="57.4"/>
        <n v="53.6"/>
        <n v="57.5"/>
        <n v="60.1"/>
        <n v="68.599999999999994"/>
        <n v="68.5"/>
        <n v="82"/>
        <n v="80.8"/>
        <n v="70.8"/>
        <n v="52.7"/>
        <n v="69.400000000000006"/>
        <n v="52.6"/>
        <n v="72.8"/>
        <n v="72.400000000000006"/>
        <n v="65.599999999999994"/>
        <n v="79.099999999999994"/>
        <n v="60.4"/>
        <n v="79"/>
        <n v="66.400000000000006"/>
        <n v="71.900000000000006"/>
        <n v="67"/>
        <n v="78.8"/>
        <n v="38.200000000000003"/>
        <n v="71.2"/>
        <n v="58"/>
        <n v="71.400000000000006"/>
        <n v="51"/>
        <n v="33.9"/>
        <n v="71"/>
        <n v="20.3"/>
        <n v="55.1"/>
        <n v="22.9"/>
        <n v="55.6"/>
        <n v="59.3"/>
        <n v="75.099999999999994"/>
        <n v="70.400000000000006"/>
        <n v="69.900000000000006"/>
        <n v="83.3"/>
        <n v="78.7"/>
        <n v="56.4"/>
        <n v="45.1"/>
        <n v="50.5"/>
        <n v="42.4"/>
        <n v="59.6"/>
        <n v="74.900000000000006"/>
        <n v="58.8"/>
        <n v="54.8"/>
        <n v="57.2"/>
        <n v="18.100000000000001"/>
        <n v="78.599999999999994"/>
        <n v="73.8"/>
        <n v="64.7"/>
        <n v="57.9"/>
        <n v="56.7"/>
        <n v="79.7"/>
        <n v="83.4"/>
        <n v="78.5"/>
        <n v="63.1"/>
        <n v="60.8"/>
        <n v="68"/>
        <n v="39.200000000000003"/>
        <n v="60.5"/>
        <n v="80.5"/>
        <n v="21"/>
        <n v="77.599999999999994"/>
        <n v="40.799999999999997"/>
        <n v="71.5"/>
        <n v="73.3"/>
        <n v="54.4"/>
        <n v="54"/>
        <n v="75.7"/>
        <n v="29.3"/>
        <n v="46.6"/>
        <n v="44.9"/>
        <n v="67.400000000000006"/>
        <n v="55.5"/>
        <n v="32.4"/>
        <n v="55.4"/>
        <n v="17.5"/>
        <n v="63.6"/>
        <n v="44"/>
        <n v="54.5"/>
        <n v="80.400000000000006"/>
        <n v="77.5"/>
        <n v="82.8"/>
        <n v="87.8"/>
        <n v="72.900000000000006"/>
        <n v="74.599999999999994"/>
        <n v="50.3"/>
        <n v="51.7"/>
        <n v="62.3"/>
        <n v="64.900000000000006"/>
        <n v="62.1"/>
        <n v="30.3"/>
        <n v="53.8"/>
        <n v="50.7"/>
        <n v="74.7"/>
        <n v="58.7"/>
        <n v="70.900000000000006"/>
        <n v="68.2"/>
        <n v="66.599999999999994"/>
        <n v="66.099999999999994"/>
        <n v="65.3"/>
        <n v="48.7"/>
        <n v="85.6"/>
        <n v="77"/>
        <n v="60.2"/>
        <n v="87.6"/>
        <n v="79.599999999999994"/>
        <n v="76"/>
        <n v="76.3"/>
        <n v="42.5"/>
        <n v="45.6"/>
        <n v="90.9"/>
        <n v="23.8"/>
        <n v="47"/>
        <n v="56.9"/>
        <n v="31.5"/>
        <n v="24"/>
        <n v="38.299999999999997"/>
        <n v="79.8"/>
        <n v="61.4"/>
        <n v="36.200000000000003"/>
        <n v="43.4"/>
        <n v="22.2"/>
        <n v="51.1"/>
        <n v="77.3"/>
        <n v="50.9"/>
        <n v="86.5"/>
        <n v="65.400000000000006"/>
        <n v="73.099999999999994"/>
        <n v="63.4"/>
        <n v="71.599999999999994"/>
        <n v="81.599999999999994"/>
        <n v="52.8"/>
        <n v="49.3"/>
        <n v="57.1"/>
        <n v="29"/>
        <n v="82.5"/>
        <n v="88"/>
        <n v="84.8"/>
        <n v="87.1"/>
        <n v="33.799999999999997"/>
        <n v="72"/>
        <n v="76.900000000000006"/>
        <n v="77.900000000000006"/>
        <n v="83.8"/>
        <n v="81.2"/>
        <n v="80.599999999999994"/>
        <n v="77.7"/>
        <n v="58.1"/>
        <n v="80.2"/>
        <n v="23.7"/>
        <n v="85.7"/>
        <n v="82.2"/>
        <n v="76.8"/>
        <n v="77.400000000000006"/>
        <n v="51.3"/>
        <n v="84.9"/>
        <n v="81.5"/>
        <n v="53.1"/>
        <n v="79.2"/>
        <n v="56.3"/>
        <n v="62.4"/>
        <n v="26"/>
        <n v="47.7"/>
        <n v="86.7"/>
        <n v="19.3"/>
        <n v="65.8"/>
        <n v="60"/>
        <n v="75.900000000000006"/>
        <n v="46.4"/>
        <n v="57"/>
        <n v="0"/>
        <n v="34.1"/>
        <n v="34.4"/>
        <n v="64.400000000000006"/>
        <n v="74.099999999999994"/>
        <n v="62"/>
        <n v="47.9"/>
        <n v="79.400000000000006"/>
        <n v="68.3"/>
        <n v="63.9"/>
        <n v="61.8"/>
        <n v="56"/>
        <n v="64.8"/>
        <n v="25.7"/>
        <n v="25.9"/>
        <n v="55"/>
        <n v="38"/>
        <n v="36.4"/>
        <n v="60.7"/>
        <n v="79.5"/>
        <n v="58.4"/>
      </sharedItems>
      <fieldGroup base="7">
        <rangePr autoEnd="0" startNum="0" endNum="100" groupInterval="10"/>
        <groupItems count="12">
          <s v="&lt;0"/>
          <s v="0-10"/>
          <s v="10-20"/>
          <s v="20-30"/>
          <s v="30-40"/>
          <s v="40-50"/>
          <s v="50-60"/>
          <s v="60-70"/>
          <s v="70-80"/>
          <s v="80-90"/>
          <s v="90-100"/>
          <s v="&gt;100"/>
        </groupItems>
      </fieldGroup>
    </cacheField>
    <cacheField name="Sex" numFmtId="0">
      <sharedItems/>
    </cacheField>
    <cacheField name="NRM file" numFmtId="0">
      <sharedItems containsNonDate="0" containsString="0" containsBlank="1"/>
    </cacheField>
    <cacheField name="Final impression, if available" numFmtId="0">
      <sharedItems containsNonDate="0" containsString="0" containsBlank="1"/>
    </cacheField>
    <cacheField name="Step Length Average - Right" numFmtId="0">
      <sharedItems containsMixedTypes="1" containsNumber="1" minValue="0.67200000000000004" maxValue="87.433000000000007"/>
    </cacheField>
    <cacheField name="Step Length Average Left" numFmtId="0">
      <sharedItems containsMixedTypes="1" containsNumber="1" minValue="-1.5589999999999999" maxValue="87.200999999999993"/>
    </cacheField>
    <cacheField name="Stride Length Average Right" numFmtId="0">
      <sharedItems containsMixedTypes="1" containsNumber="1" minValue="5.0209999999999999" maxValue="175.59200000000001"/>
    </cacheField>
    <cacheField name="Stride Length Average Left" numFmtId="0">
      <sharedItems containsMixedTypes="1" containsNumber="1" minValue="0" maxValue="174.38200000000001"/>
    </cacheField>
    <cacheField name="Forward Velocity Average Right" numFmtId="0">
      <sharedItems containsMixedTypes="1" containsNumber="1" minValue="3.8889999999999998" maxValue="165.626"/>
    </cacheField>
    <cacheField name="Forward Velocity Average Left" numFmtId="0">
      <sharedItems containsMixedTypes="1" containsNumber="1" minValue="0" maxValue="163.53899999999999"/>
    </cacheField>
    <cacheField name="Cadence Average Right" numFmtId="0">
      <sharedItems containsMixedTypes="1" containsNumber="1" minValue="26.378" maxValue="1758.7260000000001"/>
    </cacheField>
    <cacheField name="Cadence Average Left" numFmtId="0">
      <sharedItems containsMixedTypes="1" containsNumber="1" minValue="0" maxValue="1082.4970000000001"/>
    </cacheField>
    <cacheField name="Total  Support Time Right" numFmtId="0">
      <sharedItems containsMixedTypes="1" containsNumber="1" minValue="55.134" maxValue="202.94800000000001"/>
    </cacheField>
    <cacheField name="Total  Support Time Left" numFmtId="0">
      <sharedItems containsMixedTypes="1" containsNumber="1" minValue="-506.76" maxValue="93.417000000000002"/>
    </cacheField>
    <cacheField name="Swing Phase Right" numFmtId="0">
      <sharedItems containsMixedTypes="1" containsNumber="1" minValue="-102.946" maxValue="44.866"/>
    </cacheField>
    <cacheField name="Swing Phase Left" numFmtId="0">
      <sharedItems containsMixedTypes="1" containsNumber="1" minValue="0" maxValue="606.76199999999994"/>
    </cacheField>
    <cacheField name="Initial Double Support Time Right" numFmtId="0">
      <sharedItems containsMixedTypes="1" containsNumber="1" minValue="-804.91" maxValue="50.073999999999998"/>
    </cacheField>
    <cacheField name="Initial Double Support Time Left" numFmtId="0">
      <sharedItems containsMixedTypes="1" containsNumber="1" minValue="-833.51300000000003" maxValue="44.591000000000001"/>
    </cacheField>
    <cacheField name="Single Support Time Right" numFmtId="0">
      <sharedItems containsMixedTypes="1" containsNumber="1" minValue="6.5830000000000002" maxValue="606.76199999999994"/>
    </cacheField>
    <cacheField name="Single Support Time Left" numFmtId="0">
      <sharedItems containsMixedTypes="1" containsNumber="1" minValue="-102.946" maxValue="44.866"/>
    </cacheField>
    <cacheField name="Step Width " numFmtId="0">
      <sharedItems containsMixedTypes="1" containsNumber="1" minValue="3.0259999999999998" maxValue="38.69"/>
    </cacheField>
    <cacheField name="Number of steps - Right" numFmtId="0">
      <sharedItems containsMixedTypes="1" containsNumber="1" containsInteger="1" minValue="5" maxValue="51"/>
    </cacheField>
    <cacheField name="Number of steps - left" numFmtId="0">
      <sharedItems containsMixedTypes="1" containsNumber="1" containsInteger="1" minValue="4" maxValue="50"/>
    </cacheField>
    <cacheField name="Number of strides - Right" numFmtId="0">
      <sharedItems containsMixedTypes="1" containsNumber="1" containsInteger="1" minValue="4" maxValue="50"/>
    </cacheField>
    <cacheField name="Number of Strides - Left" numFmtId="0">
      <sharedItems containsMixedTypes="1" containsNumber="1" containsInteger="1" minValue="4" maxValue="50"/>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rey Skelton" refreshedDate="44517.395418981483" missingItemsLimit="0" createdVersion="6" refreshedVersion="7" minRefreshableVersion="3" recordCount="3" xr:uid="{ACBF3EB5-8216-4B3B-9406-282D823E8FE4}">
  <cacheSource type="worksheet">
    <worksheetSource name="tblFn"/>
  </cacheSource>
  <cacheFields count="1">
    <cacheField name="Function" numFmtId="0">
      <sharedItems count="3">
        <s v="Avg"/>
        <s v="Count"/>
        <s v="StDev"/>
      </sharedItems>
    </cacheField>
  </cacheFields>
  <extLst>
    <ext xmlns:x14="http://schemas.microsoft.com/office/spreadsheetml/2009/9/main" uri="{725AE2AE-9491-48be-B2B4-4EB974FC3084}">
      <x14:pivotCacheDefinition pivotCacheId="67469353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
  <r>
    <s v="Cadence Average Left"/>
    <x v="0"/>
  </r>
  <r>
    <s v="Cadence Average Right"/>
    <x v="0"/>
  </r>
  <r>
    <s v="Forward Velocity Average Left"/>
    <x v="1"/>
  </r>
  <r>
    <s v="Forward Velocity Average Right"/>
    <x v="1"/>
  </r>
  <r>
    <s v="Initial Double Support Time Left"/>
    <x v="2"/>
  </r>
  <r>
    <s v="Initial Double Support Time Right"/>
    <x v="2"/>
  </r>
  <r>
    <s v="Number of steps - left"/>
    <x v="3"/>
  </r>
  <r>
    <s v="Number of steps - Right"/>
    <x v="3"/>
  </r>
  <r>
    <s v="Number of Strides - Left"/>
    <x v="4"/>
  </r>
  <r>
    <s v="Number of strides - Right"/>
    <x v="4"/>
  </r>
  <r>
    <s v="Single Support Time Left"/>
    <x v="5"/>
  </r>
  <r>
    <s v="Single Support Time Right"/>
    <x v="5"/>
  </r>
  <r>
    <s v="Step Length Average Left"/>
    <x v="6"/>
  </r>
  <r>
    <s v="Step Length Average Right"/>
    <x v="6"/>
  </r>
  <r>
    <s v="Step Width "/>
    <x v="7"/>
  </r>
  <r>
    <s v="Stride Length Average Left"/>
    <x v="8"/>
  </r>
  <r>
    <s v="Stride Length Average Right"/>
    <x v="8"/>
  </r>
  <r>
    <s v="Swing Phase Left"/>
    <x v="9"/>
  </r>
  <r>
    <s v="Swing Phase Right"/>
    <x v="9"/>
  </r>
  <r>
    <s v="Total  Support Time Left"/>
    <x v="10"/>
  </r>
  <r>
    <s v="Total  Support Time Right"/>
    <x v="1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53">
  <r>
    <n v="1"/>
    <m/>
    <m/>
    <m/>
    <m/>
    <s v="NA"/>
    <s v="NA"/>
    <x v="0"/>
    <s v="M"/>
    <m/>
    <m/>
    <n v="51.930999999999997"/>
    <n v="37.984000000000002"/>
    <n v="90.058000000000007"/>
    <n v="90.396000000000001"/>
    <n v="70.447999999999993"/>
    <n v="69.894999999999996"/>
    <n v="93.656999999999996"/>
    <n v="95.17"/>
    <n v="68.73"/>
    <n v="63.081000000000003"/>
    <n v="31.27"/>
    <n v="36.918999999999997"/>
    <n v="15.206"/>
    <n v="14.516999999999999"/>
    <n v="36.918999999999997"/>
    <n v="31.27"/>
    <n v="14.804"/>
    <n v="12"/>
    <n v="11"/>
    <n v="11"/>
    <n v="11"/>
  </r>
  <r>
    <n v="2"/>
    <m/>
    <m/>
    <m/>
    <m/>
    <s v="NA"/>
    <s v="NA"/>
    <x v="1"/>
    <s v="M"/>
    <m/>
    <m/>
    <n v="51.930999999999997"/>
    <n v="37.984000000000002"/>
    <n v="90.058000000000007"/>
    <n v="90.396000000000001"/>
    <n v="70.447999999999993"/>
    <n v="69.894999999999996"/>
    <n v="93.656999999999996"/>
    <n v="95.17"/>
    <n v="68.73"/>
    <n v="63.081000000000003"/>
    <n v="31.27"/>
    <n v="36.918999999999997"/>
    <n v="15.206"/>
    <n v="14.516999999999999"/>
    <n v="36.918999999999997"/>
    <n v="31.27"/>
    <n v="14.804"/>
    <n v="12"/>
    <n v="11"/>
    <n v="11"/>
    <n v="11"/>
  </r>
  <r>
    <n v="100"/>
    <m/>
    <m/>
    <m/>
    <m/>
    <n v="332"/>
    <s v="Paralysis agitans"/>
    <x v="2"/>
    <s v="M"/>
    <m/>
    <m/>
    <n v="45.006"/>
    <n v="58.814"/>
    <n v="103.438"/>
    <n v="103.899"/>
    <n v="100.863"/>
    <n v="101.235"/>
    <n v="118.98699999999999"/>
    <n v="116.429"/>
    <n v="61.444000000000003"/>
    <n v="63.558"/>
    <n v="38.555999999999997"/>
    <n v="36.442"/>
    <n v="12.574"/>
    <n v="12.725"/>
    <n v="36.442"/>
    <n v="38.555999999999997"/>
    <n v="17.196999999999999"/>
    <n v="11"/>
    <n v="9"/>
    <n v="9"/>
    <n v="9"/>
  </r>
  <r>
    <n v="101"/>
    <m/>
    <m/>
    <m/>
    <m/>
    <n v="333.1"/>
    <s v="Essential and other specified forms of tremor"/>
    <x v="3"/>
    <s v="M"/>
    <m/>
    <m/>
    <n v="60.595999999999997"/>
    <n v="63.677999999999997"/>
    <n v="124.71599999999999"/>
    <n v="124.991"/>
    <n v="109.952"/>
    <n v="110.011"/>
    <n v="106.251"/>
    <n v="105.694"/>
    <n v="63.624000000000002"/>
    <n v="63.762999999999998"/>
    <n v="36.375999999999998"/>
    <n v="36.237000000000002"/>
    <n v="13.943"/>
    <n v="13.683"/>
    <n v="36.237000000000002"/>
    <n v="36.375999999999998"/>
    <n v="13.364000000000001"/>
    <n v="12"/>
    <n v="12"/>
    <n v="12"/>
    <n v="12"/>
  </r>
  <r>
    <n v="102"/>
    <m/>
    <m/>
    <m/>
    <m/>
    <n v="333.1"/>
    <s v="Essential and other specified forms of tremor"/>
    <x v="4"/>
    <s v="M"/>
    <m/>
    <m/>
    <n v="62.112000000000002"/>
    <n v="61.255000000000003"/>
    <n v="123.01900000000001"/>
    <n v="123.639"/>
    <n v="113.806"/>
    <n v="114.884"/>
    <n v="111.241"/>
    <n v="110.96"/>
    <n v="62.024000000000001"/>
    <n v="61.332000000000001"/>
    <n v="37.975999999999999"/>
    <n v="38.667999999999999"/>
    <n v="11.321"/>
    <n v="12.936999999999999"/>
    <n v="38.667999999999999"/>
    <n v="37.975999999999999"/>
    <n v="10.92"/>
    <n v="6"/>
    <n v="5"/>
    <n v="5"/>
    <n v="5"/>
  </r>
  <r>
    <n v="103"/>
    <m/>
    <m/>
    <m/>
    <m/>
    <n v="332"/>
    <s v="Paralysis agitans"/>
    <x v="5"/>
    <s v="F"/>
    <m/>
    <m/>
    <n v="43.561999999999998"/>
    <n v="49.287999999999997"/>
    <n v="93.16"/>
    <n v="92.283000000000001"/>
    <n v="83.733999999999995"/>
    <n v="82.768000000000001"/>
    <n v="107.72"/>
    <n v="107.31"/>
    <n v="63.116"/>
    <n v="63.244"/>
    <n v="36.884"/>
    <n v="36.756"/>
    <n v="14.772"/>
    <n v="11.582000000000001"/>
    <n v="36.756"/>
    <n v="36.884"/>
    <n v="10.452"/>
    <n v="14"/>
    <n v="14"/>
    <n v="14"/>
    <n v="14"/>
  </r>
  <r>
    <n v="104"/>
    <m/>
    <m/>
    <m/>
    <m/>
    <n v="333.89"/>
    <s v="Other fragments of torsion dystonia"/>
    <x v="6"/>
    <s v="F"/>
    <m/>
    <m/>
    <n v="38.603000000000002"/>
    <n v="42.033999999999999"/>
    <n v="80.977999999999994"/>
    <n v="79.698999999999998"/>
    <n v="58.076999999999998"/>
    <n v="59.277000000000001"/>
    <n v="88.346000000000004"/>
    <n v="89.012"/>
    <n v="69.787999999999997"/>
    <n v="68.756"/>
    <n v="30.212"/>
    <n v="31.244"/>
    <n v="20.158999999999999"/>
    <n v="18.084"/>
    <n v="31.244"/>
    <n v="30.212"/>
    <n v="14.108000000000001"/>
    <n v="16"/>
    <n v="14"/>
    <n v="14"/>
    <n v="14"/>
  </r>
  <r>
    <n v="105"/>
    <m/>
    <m/>
    <m/>
    <m/>
    <n v="332"/>
    <s v="Paralysis agitans"/>
    <x v="7"/>
    <s v="M"/>
    <m/>
    <m/>
    <n v="59.383000000000003"/>
    <n v="59.351999999999997"/>
    <n v="118.407"/>
    <n v="119.18300000000001"/>
    <n v="116.79900000000001"/>
    <n v="119.557"/>
    <n v="118.348"/>
    <n v="119.58199999999999"/>
    <n v="64.87"/>
    <n v="65.290999999999997"/>
    <n v="35.128999999999998"/>
    <n v="34.709000000000003"/>
    <n v="14.724"/>
    <n v="15.632"/>
    <n v="34.709000000000003"/>
    <n v="35.128999999999998"/>
    <n v="12.680999999999999"/>
    <n v="12"/>
    <n v="12"/>
    <n v="12"/>
    <n v="12"/>
  </r>
  <r>
    <n v="106"/>
    <m/>
    <m/>
    <m/>
    <m/>
    <s v="NA"/>
    <s v="NA"/>
    <x v="8"/>
    <s v="M"/>
    <m/>
    <m/>
    <s v="NA"/>
    <s v="NA"/>
    <s v="NA"/>
    <s v="NA"/>
    <s v="NA"/>
    <s v="NA"/>
    <s v="NA"/>
    <s v="NA"/>
    <s v="NA"/>
    <s v="NA"/>
    <s v="NA"/>
    <s v="NA"/>
    <s v="NA"/>
    <s v="NA"/>
    <s v="NA"/>
    <s v="NA"/>
    <s v="NA"/>
    <s v="NA"/>
    <s v="NA"/>
    <s v="NA"/>
    <s v="NA"/>
  </r>
  <r>
    <n v="107"/>
    <m/>
    <m/>
    <m/>
    <m/>
    <n v="333.89"/>
    <s v="Other fragments of torsion dystonia"/>
    <x v="9"/>
    <s v="F"/>
    <m/>
    <m/>
    <n v="61.043999999999997"/>
    <n v="61.673999999999999"/>
    <n v="122.32"/>
    <n v="123.408"/>
    <n v="120.995"/>
    <n v="122.938"/>
    <n v="119.791"/>
    <n v="120.435"/>
    <n v="60.366999999999997"/>
    <n v="59.564"/>
    <n v="39.633000000000003"/>
    <n v="40.436"/>
    <n v="10.388999999999999"/>
    <n v="9.9049999999999994"/>
    <n v="40.436"/>
    <n v="39.633000000000003"/>
    <n v="10.728999999999999"/>
    <n v="15"/>
    <n v="13"/>
    <n v="13"/>
    <n v="13"/>
  </r>
  <r>
    <n v="108"/>
    <m/>
    <m/>
    <m/>
    <m/>
    <n v="333.1"/>
    <s v="Essential and other specified forms of tremor"/>
    <x v="7"/>
    <s v="M"/>
    <m/>
    <m/>
    <n v="32.179000000000002"/>
    <n v="34.744999999999997"/>
    <n v="67.171999999999997"/>
    <n v="66.525999999999996"/>
    <n v="35.664000000000001"/>
    <n v="35.975999999999999"/>
    <n v="63.924999999999997"/>
    <n v="64.108999999999995"/>
    <n v="69.382000000000005"/>
    <n v="70.652000000000001"/>
    <n v="30.617999999999999"/>
    <n v="29.347999999999999"/>
    <n v="20.738"/>
    <n v="19.038"/>
    <n v="29.347999999999999"/>
    <n v="30.617999999999999"/>
    <n v="24.03"/>
    <n v="6"/>
    <n v="6"/>
    <n v="6"/>
    <n v="6"/>
  </r>
  <r>
    <n v="109"/>
    <m/>
    <m/>
    <m/>
    <m/>
    <n v="332"/>
    <s v="Paralysis agitans"/>
    <x v="10"/>
    <s v="M"/>
    <m/>
    <m/>
    <n v="48.478000000000002"/>
    <n v="48.902000000000001"/>
    <n v="96.64"/>
    <n v="96.933999999999997"/>
    <n v="89.289000000000001"/>
    <n v="90.173000000000002"/>
    <n v="111.339"/>
    <n v="110.875"/>
    <n v="62.606999999999999"/>
    <n v="62.893000000000001"/>
    <n v="37.393000000000001"/>
    <n v="37.106999999999999"/>
    <n v="12.911"/>
    <n v="12.499000000000001"/>
    <n v="37.106999999999999"/>
    <n v="37.393000000000001"/>
    <n v="14.026999999999999"/>
    <n v="7"/>
    <n v="8"/>
    <n v="7"/>
    <n v="7"/>
  </r>
  <r>
    <n v="110"/>
    <m/>
    <m/>
    <m/>
    <m/>
    <n v="332"/>
    <s v="Paralysis agitans"/>
    <x v="11"/>
    <s v="M"/>
    <m/>
    <m/>
    <n v="66.605000000000004"/>
    <n v="62.741999999999997"/>
    <n v="128.55799999999999"/>
    <n v="130.35900000000001"/>
    <n v="156.27500000000001"/>
    <n v="157.953"/>
    <n v="146.703"/>
    <n v="145.65199999999999"/>
    <n v="60.811"/>
    <n v="60.31"/>
    <n v="39.189"/>
    <n v="39.69"/>
    <n v="9.7279999999999998"/>
    <n v="11.401999999999999"/>
    <n v="39.69"/>
    <n v="39.189"/>
    <n v="7.6120000000000001"/>
    <n v="10"/>
    <n v="11"/>
    <n v="10"/>
    <n v="10"/>
  </r>
  <r>
    <n v="111"/>
    <m/>
    <m/>
    <m/>
    <m/>
    <n v="333"/>
    <s v="Other degenerative diseases of the basal ganglia"/>
    <x v="12"/>
    <s v="F"/>
    <m/>
    <m/>
    <n v="31.9"/>
    <n v="24.724"/>
    <n v="58.162999999999997"/>
    <n v="58.923999999999999"/>
    <n v="33.738"/>
    <n v="33.722000000000001"/>
    <n v="69.387"/>
    <n v="66.528999999999996"/>
    <n v="69.397999999999996"/>
    <n v="69.094999999999999"/>
    <n v="30.602"/>
    <n v="30.905000000000001"/>
    <n v="20.882999999999999"/>
    <n v="18.574999999999999"/>
    <n v="30.905000000000001"/>
    <n v="30.602"/>
    <n v="11.93"/>
    <n v="15"/>
    <n v="12"/>
    <n v="12"/>
    <n v="12"/>
  </r>
  <r>
    <n v="113"/>
    <m/>
    <m/>
    <m/>
    <m/>
    <n v="333.1"/>
    <s v="Essential and other specified forms of tremor"/>
    <x v="13"/>
    <s v="M"/>
    <m/>
    <m/>
    <n v="64.789000000000001"/>
    <n v="67.117000000000004"/>
    <n v="131.76900000000001"/>
    <n v="132.17599999999999"/>
    <n v="129.56399999999999"/>
    <n v="130.01300000000001"/>
    <n v="117.92400000000001"/>
    <n v="117.54300000000001"/>
    <n v="60.868000000000002"/>
    <n v="60.121000000000002"/>
    <n v="39.131999999999998"/>
    <n v="39.878999999999998"/>
    <n v="10.27"/>
    <n v="11.153"/>
    <n v="39.878999999999998"/>
    <n v="39.131999999999998"/>
    <n v="8.5459999999999994"/>
    <n v="20"/>
    <n v="15"/>
    <n v="15"/>
    <n v="15"/>
  </r>
  <r>
    <n v="114"/>
    <m/>
    <m/>
    <m/>
    <m/>
    <n v="781.2"/>
    <s v="Abnormality of gait"/>
    <x v="14"/>
    <s v="M"/>
    <m/>
    <m/>
    <n v="9.7609999999999992"/>
    <n v="32.265000000000001"/>
    <n v="42.308"/>
    <n v="42.48"/>
    <n v="33.091000000000001"/>
    <n v="33.304000000000002"/>
    <n v="95.953000000000003"/>
    <n v="96.912999999999997"/>
    <n v="72.399000000000001"/>
    <n v="69.141000000000005"/>
    <n v="27.600999999999999"/>
    <n v="30.859000000000002"/>
    <n v="19.538"/>
    <n v="21.811"/>
    <n v="30.859000000000002"/>
    <n v="27.600999999999999"/>
    <n v="19.405000000000001"/>
    <n v="24"/>
    <n v="23"/>
    <n v="23"/>
    <n v="23"/>
  </r>
  <r>
    <n v="115"/>
    <m/>
    <m/>
    <m/>
    <m/>
    <n v="781"/>
    <s v="Abnormal involuntary movements"/>
    <x v="15"/>
    <s v="F"/>
    <m/>
    <m/>
    <n v="29.140999999999998"/>
    <n v="26.29"/>
    <n v="57.536000000000001"/>
    <n v="55.432000000000002"/>
    <n v="23.244"/>
    <n v="23.314"/>
    <n v="49.628999999999998"/>
    <n v="49.573"/>
    <n v="73.914000000000001"/>
    <n v="75.349000000000004"/>
    <n v="26.085999999999999"/>
    <n v="24.651"/>
    <n v="25.896999999999998"/>
    <n v="24.597999999999999"/>
    <n v="24.651"/>
    <n v="26.085999999999999"/>
    <n v="25.38"/>
    <n v="7"/>
    <n v="8"/>
    <n v="7"/>
    <n v="7"/>
  </r>
  <r>
    <n v="116"/>
    <m/>
    <m/>
    <m/>
    <m/>
    <n v="332"/>
    <s v="Paralysis agitans"/>
    <x v="16"/>
    <s v="M"/>
    <m/>
    <m/>
    <n v="44.043999999999997"/>
    <n v="40.771000000000001"/>
    <n v="85.947000000000003"/>
    <n v="84.981999999999999"/>
    <n v="55.643999999999998"/>
    <n v="56.616"/>
    <n v="78.168999999999997"/>
    <n v="79.582999999999998"/>
    <n v="65.301000000000002"/>
    <n v="66.626999999999995"/>
    <n v="34.698999999999998"/>
    <n v="33.372999999999998"/>
    <n v="16.190999999999999"/>
    <n v="15.813000000000001"/>
    <n v="33.372999999999998"/>
    <n v="34.698999999999998"/>
    <n v="10.762"/>
    <n v="11"/>
    <n v="11"/>
    <n v="11"/>
    <n v="11"/>
  </r>
  <r>
    <n v="117"/>
    <m/>
    <m/>
    <m/>
    <m/>
    <n v="333.1"/>
    <s v="Essential and other specified forms of tremor"/>
    <x v="17"/>
    <s v="M"/>
    <m/>
    <m/>
    <n v="63.366"/>
    <n v="64.718999999999994"/>
    <n v="126.759"/>
    <n v="128.542"/>
    <n v="104.42700000000001"/>
    <n v="103.974"/>
    <n v="99.994"/>
    <n v="98.236999999999995"/>
    <n v="62.496000000000002"/>
    <n v="62.863"/>
    <n v="37.503999999999998"/>
    <n v="37.137"/>
    <n v="12.779"/>
    <n v="13.028"/>
    <n v="37.137"/>
    <n v="37.503999999999998"/>
    <n v="12.702999999999999"/>
    <n v="9"/>
    <n v="10"/>
    <n v="9"/>
    <n v="9"/>
  </r>
  <r>
    <n v="118"/>
    <m/>
    <m/>
    <m/>
    <m/>
    <n v="332"/>
    <s v="Paralysis agitans"/>
    <x v="18"/>
    <s v="F"/>
    <m/>
    <m/>
    <s v="NA"/>
    <s v="NA"/>
    <s v="NA"/>
    <s v="NA"/>
    <s v="NA"/>
    <s v="NA"/>
    <s v="NA"/>
    <s v="NA"/>
    <s v="NA"/>
    <s v="NA"/>
    <s v="NA"/>
    <s v="NA"/>
    <s v="NA"/>
    <s v="NA"/>
    <s v="NA"/>
    <s v="NA"/>
    <s v="NA"/>
    <s v="NA"/>
    <s v="NA"/>
    <s v="NA"/>
    <s v="NA"/>
  </r>
  <r>
    <n v="119"/>
    <m/>
    <m/>
    <m/>
    <m/>
    <n v="333.1"/>
    <s v="Essential and other specified forms of tremor"/>
    <x v="19"/>
    <s v="F"/>
    <m/>
    <m/>
    <n v="52.430999999999997"/>
    <n v="48.420999999999999"/>
    <n v="100.926"/>
    <n v="101.01300000000001"/>
    <n v="96.497"/>
    <n v="96.465999999999994"/>
    <n v="115.069"/>
    <n v="114.95099999999999"/>
    <n v="63.997999999999998"/>
    <n v="62.74"/>
    <n v="36.002000000000002"/>
    <n v="37.26"/>
    <n v="13.073"/>
    <n v="13.443"/>
    <n v="37.26"/>
    <n v="36.002000000000002"/>
    <n v="16.416"/>
    <n v="16"/>
    <n v="19"/>
    <n v="16"/>
    <n v="16"/>
  </r>
  <r>
    <n v="120"/>
    <m/>
    <m/>
    <m/>
    <m/>
    <n v="332"/>
    <s v="Paralysis agitans"/>
    <x v="20"/>
    <s v="M"/>
    <m/>
    <m/>
    <n v="46.432000000000002"/>
    <n v="48.204000000000001"/>
    <n v="95.602000000000004"/>
    <n v="93.545000000000002"/>
    <n v="73.513999999999996"/>
    <n v="71.869"/>
    <n v="93.356999999999999"/>
    <n v="92.415999999999997"/>
    <n v="64.406000000000006"/>
    <n v="63.927999999999997"/>
    <n v="35.594000000000001"/>
    <n v="36.072000000000003"/>
    <n v="14.339"/>
    <n v="13.667999999999999"/>
    <n v="36.072000000000003"/>
    <n v="35.594000000000001"/>
    <n v="18.166"/>
    <n v="12"/>
    <n v="10"/>
    <n v="10"/>
    <n v="10"/>
  </r>
  <r>
    <n v="121"/>
    <m/>
    <m/>
    <m/>
    <m/>
    <n v="333.79"/>
    <s v="Other acquired torsion dystonia"/>
    <x v="21"/>
    <s v="F"/>
    <m/>
    <m/>
    <n v="18.007000000000001"/>
    <n v="19.535"/>
    <n v="37.863999999999997"/>
    <n v="39.500999999999998"/>
    <n v="20.027999999999999"/>
    <n v="20.49"/>
    <n v="63.396999999999998"/>
    <n v="62.878999999999998"/>
    <n v="64.838999999999999"/>
    <n v="74.968999999999994"/>
    <n v="35.161000000000001"/>
    <n v="25.030999999999999"/>
    <n v="16.073"/>
    <n v="23.292999999999999"/>
    <n v="25.030999999999999"/>
    <n v="35.161000000000001"/>
    <n v="15.744999999999999"/>
    <n v="13"/>
    <n v="11"/>
    <n v="11"/>
    <n v="11"/>
  </r>
  <r>
    <n v="122"/>
    <m/>
    <m/>
    <m/>
    <m/>
    <n v="333.1"/>
    <s v="Essential and other specified forms of tremor"/>
    <x v="22"/>
    <s v="F"/>
    <m/>
    <m/>
    <n v="24.87"/>
    <n v="20.613"/>
    <n v="45.637999999999998"/>
    <n v="45.832000000000001"/>
    <n v="49.89"/>
    <n v="49.802"/>
    <n v="131.05099999999999"/>
    <n v="130.78700000000001"/>
    <n v="66.465000000000003"/>
    <n v="67.724000000000004"/>
    <n v="33.534999999999997"/>
    <n v="32.276000000000003"/>
    <n v="17.047999999999998"/>
    <n v="16.728000000000002"/>
    <n v="32.276000000000003"/>
    <n v="33.534999999999997"/>
    <n v="15.394"/>
    <n v="23"/>
    <n v="22"/>
    <n v="22"/>
    <n v="22"/>
  </r>
  <r>
    <n v="123"/>
    <m/>
    <m/>
    <m/>
    <m/>
    <n v="333.1"/>
    <s v="Essential and other specified forms of tremor"/>
    <x v="23"/>
    <s v="M"/>
    <m/>
    <m/>
    <n v="56.674999999999997"/>
    <n v="58.353000000000002"/>
    <n v="114.931"/>
    <n v="115.378"/>
    <n v="118.818"/>
    <n v="119.626"/>
    <n v="122.90900000000001"/>
    <n v="124.021"/>
    <n v="62.540999999999997"/>
    <n v="61.347999999999999"/>
    <n v="37.459000000000003"/>
    <n v="38.652000000000001"/>
    <n v="12.509"/>
    <n v="11.327"/>
    <n v="38.652000000000001"/>
    <n v="37.459000000000003"/>
    <n v="12.135"/>
    <n v="12"/>
    <n v="12"/>
    <n v="12"/>
    <n v="12"/>
  </r>
  <r>
    <n v="124"/>
    <m/>
    <m/>
    <m/>
    <m/>
    <n v="333.89"/>
    <s v="Other fragments of torsion dystonia"/>
    <x v="24"/>
    <s v="F"/>
    <m/>
    <m/>
    <n v="65.841999999999999"/>
    <n v="66.930999999999997"/>
    <n v="133.16200000000001"/>
    <n v="132.399"/>
    <n v="129.34899999999999"/>
    <n v="128.71600000000001"/>
    <n v="116.27500000000001"/>
    <n v="116.736"/>
    <n v="61.133000000000003"/>
    <n v="60.686999999999998"/>
    <n v="38.866999999999997"/>
    <n v="39.313000000000002"/>
    <n v="10.956"/>
    <n v="10.739000000000001"/>
    <n v="39.313000000000002"/>
    <n v="38.866999999999997"/>
    <n v="10.686999999999999"/>
    <n v="7"/>
    <n v="8"/>
    <n v="7"/>
    <n v="7"/>
  </r>
  <r>
    <n v="125"/>
    <m/>
    <m/>
    <m/>
    <m/>
    <n v="332"/>
    <s v="Paralysis agitans"/>
    <x v="25"/>
    <s v="M"/>
    <m/>
    <m/>
    <n v="61.658000000000001"/>
    <n v="63.280999999999999"/>
    <n v="124.479"/>
    <n v="125.029"/>
    <n v="101.66"/>
    <n v="101.93600000000001"/>
    <n v="97.825999999999993"/>
    <n v="97.89"/>
    <n v="61.543999999999997"/>
    <n v="64.417000000000002"/>
    <n v="38.456000000000003"/>
    <n v="35.582999999999998"/>
    <n v="12.065"/>
    <n v="14.122"/>
    <n v="35.582999999999998"/>
    <n v="38.456000000000003"/>
    <n v="8.9280000000000008"/>
    <n v="13"/>
    <n v="14"/>
    <n v="13"/>
    <n v="13"/>
  </r>
  <r>
    <n v="126"/>
    <m/>
    <m/>
    <m/>
    <m/>
    <n v="332"/>
    <s v="Paralysis agitans"/>
    <x v="26"/>
    <s v="M"/>
    <m/>
    <m/>
    <n v="87.433000000000007"/>
    <n v="87.200999999999993"/>
    <n v="175.59200000000001"/>
    <n v="174.38200000000001"/>
    <n v="165.626"/>
    <n v="163.53899999999999"/>
    <n v="112.654"/>
    <n v="111.749"/>
    <n v="59.915999999999997"/>
    <n v="58.29"/>
    <n v="40.084000000000003"/>
    <n v="41.71"/>
    <n v="9.6669999999999998"/>
    <n v="8.923"/>
    <n v="41.71"/>
    <n v="40.084000000000003"/>
    <n v="8.9570000000000007"/>
    <n v="8"/>
    <n v="8"/>
    <n v="8"/>
    <n v="8"/>
  </r>
  <r>
    <n v="127"/>
    <m/>
    <m/>
    <m/>
    <m/>
    <n v="332"/>
    <s v="Paralysis agitans"/>
    <x v="1"/>
    <s v="M"/>
    <m/>
    <m/>
    <n v="10.477"/>
    <n v="6.97"/>
    <n v="19.994"/>
    <n v="17.446999999999999"/>
    <n v="5.4649999999999999"/>
    <n v="5.0970000000000004"/>
    <n v="39.216999999999999"/>
    <n v="33.412999999999997"/>
    <n v="78.293000000000006"/>
    <n v="83.215999999999994"/>
    <n v="21.707000000000001"/>
    <n v="16.783999999999999"/>
    <n v="21.527000000000001"/>
    <n v="43.360999999999997"/>
    <n v="16.783999999999999"/>
    <n v="21.707000000000001"/>
    <n v="9.57"/>
    <n v="6"/>
    <n v="9"/>
    <n v="6"/>
    <n v="6"/>
  </r>
  <r>
    <n v="128"/>
    <m/>
    <m/>
    <m/>
    <m/>
    <n v="332"/>
    <s v="Paralysis agitans"/>
    <x v="27"/>
    <s v="M"/>
    <m/>
    <m/>
    <n v="15.749000000000001"/>
    <n v="19.478000000000002"/>
    <n v="35.454000000000001"/>
    <n v="35.677999999999997"/>
    <n v="22.163"/>
    <n v="22.279"/>
    <n v="76.012"/>
    <n v="75.212000000000003"/>
    <n v="72.316000000000003"/>
    <n v="70.84"/>
    <n v="27.684000000000001"/>
    <n v="29.16"/>
    <n v="22.658000000000001"/>
    <n v="20.677"/>
    <n v="29.16"/>
    <n v="27.684000000000001"/>
    <n v="8.99"/>
    <n v="23"/>
    <n v="22"/>
    <n v="22"/>
    <n v="22"/>
  </r>
  <r>
    <n v="129"/>
    <m/>
    <m/>
    <m/>
    <m/>
    <n v="332"/>
    <s v="Paralysis agitans"/>
    <x v="28"/>
    <s v="M"/>
    <m/>
    <m/>
    <n v="80.497"/>
    <n v="75.915999999999997"/>
    <n v="156.44499999999999"/>
    <n v="156.745"/>
    <n v="141.97"/>
    <n v="142.523"/>
    <n v="108.36199999999999"/>
    <n v="108.58"/>
    <n v="58.960999999999999"/>
    <n v="60.539000000000001"/>
    <n v="41.039000000000001"/>
    <n v="39.460999999999999"/>
    <n v="11.279"/>
    <n v="8.6649999999999991"/>
    <n v="39.460999999999999"/>
    <n v="41.039000000000001"/>
    <n v="8.0500000000000007"/>
    <n v="10"/>
    <n v="8"/>
    <n v="8"/>
    <n v="8"/>
  </r>
  <r>
    <n v="130"/>
    <m/>
    <m/>
    <m/>
    <m/>
    <n v="332"/>
    <s v="Paralysis agitans"/>
    <x v="29"/>
    <s v="M"/>
    <m/>
    <m/>
    <s v="NA"/>
    <s v="NA"/>
    <s v="NA"/>
    <s v="NA"/>
    <s v="NA"/>
    <s v="NA"/>
    <s v="NA"/>
    <s v="NA"/>
    <s v="NA"/>
    <s v="NA"/>
    <s v="NA"/>
    <s v="NA"/>
    <s v="NA"/>
    <s v="NA"/>
    <s v="NA"/>
    <s v="NA"/>
    <s v="NA"/>
    <s v="NA"/>
    <s v="NA"/>
    <s v="NA"/>
    <s v="NA"/>
  </r>
  <r>
    <n v="131"/>
    <m/>
    <m/>
    <m/>
    <m/>
    <n v="332"/>
    <s v="Paralysis agitans"/>
    <x v="30"/>
    <s v="M"/>
    <m/>
    <m/>
    <n v="37.607999999999997"/>
    <n v="28.353999999999999"/>
    <n v="67.266999999999996"/>
    <n v="66.585999999999999"/>
    <n v="60.182000000000002"/>
    <n v="59.530999999999999"/>
    <n v="108.363"/>
    <n v="105.623"/>
    <n v="65.867000000000004"/>
    <n v="63.134999999999998"/>
    <n v="34.133000000000003"/>
    <n v="36.865000000000002"/>
    <n v="13.804"/>
    <n v="16.152000000000001"/>
    <n v="36.865000000000002"/>
    <n v="34.133000000000003"/>
    <n v="17.908000000000001"/>
    <n v="10"/>
    <n v="11"/>
    <n v="10"/>
    <n v="10"/>
  </r>
  <r>
    <n v="132"/>
    <m/>
    <m/>
    <m/>
    <m/>
    <n v="333.89"/>
    <s v="Other fragments of torsion dystonia"/>
    <x v="31"/>
    <s v="F"/>
    <m/>
    <m/>
    <n v="17.164999999999999"/>
    <n v="35.774999999999999"/>
    <n v="52.91"/>
    <n v="53.35"/>
    <n v="32.258000000000003"/>
    <n v="32.853999999999999"/>
    <n v="72.915999999999997"/>
    <n v="74.137"/>
    <n v="68.518000000000001"/>
    <n v="73.165000000000006"/>
    <n v="31.481999999999999"/>
    <n v="26.835000000000001"/>
    <n v="21.591000000000001"/>
    <n v="20.373999999999999"/>
    <n v="26.835000000000001"/>
    <n v="31.481999999999999"/>
    <n v="13.452999999999999"/>
    <n v="20"/>
    <n v="17"/>
    <n v="17"/>
    <n v="17"/>
  </r>
  <r>
    <n v="133"/>
    <m/>
    <m/>
    <m/>
    <m/>
    <n v="333.71"/>
    <s v="Athetoid cerebral palsy"/>
    <x v="32"/>
    <s v="F"/>
    <m/>
    <m/>
    <n v="49.424999999999997"/>
    <n v="38.064999999999998"/>
    <n v="92.025000000000006"/>
    <n v="85.103999999999999"/>
    <n v="71.387"/>
    <n v="71.66"/>
    <n v="93.069000000000003"/>
    <n v="95.039000000000001"/>
    <n v="69.512"/>
    <n v="55.155000000000001"/>
    <n v="30.488"/>
    <n v="44.844999999999999"/>
    <n v="12.676"/>
    <n v="12.426"/>
    <n v="44.844999999999999"/>
    <n v="30.488"/>
    <n v="18.416"/>
    <n v="10"/>
    <n v="9"/>
    <n v="9"/>
    <n v="9"/>
  </r>
  <r>
    <n v="134"/>
    <m/>
    <m/>
    <m/>
    <m/>
    <s v="G20"/>
    <s v="Parkinson's disease"/>
    <x v="33"/>
    <s v="F"/>
    <m/>
    <m/>
    <n v="55.652000000000001"/>
    <n v="57.079000000000001"/>
    <n v="112.605"/>
    <n v="113.85599999999999"/>
    <n v="102.40600000000001"/>
    <n v="104.00700000000001"/>
    <n v="109.02800000000001"/>
    <n v="109.60599999999999"/>
    <n v="63.185000000000002"/>
    <n v="63.537999999999997"/>
    <n v="36.814999999999998"/>
    <n v="36.462000000000003"/>
    <n v="13.081"/>
    <n v="13.69"/>
    <n v="36.462000000000003"/>
    <n v="36.814999999999998"/>
    <n v="7.9749999999999996"/>
    <n v="14"/>
    <n v="12"/>
    <n v="12"/>
    <n v="12"/>
  </r>
  <r>
    <n v="135"/>
    <m/>
    <m/>
    <m/>
    <m/>
    <s v="R26.89"/>
    <s v="Other abnormalities of gait and mobility"/>
    <x v="34"/>
    <s v="F"/>
    <m/>
    <m/>
    <n v="38.896000000000001"/>
    <n v="35.543999999999997"/>
    <n v="74.733000000000004"/>
    <n v="73.887"/>
    <n v="57.313000000000002"/>
    <n v="57.344999999999999"/>
    <n v="92.86"/>
    <n v="93.51"/>
    <n v="66.644999999999996"/>
    <n v="66.116"/>
    <n v="33.354999999999997"/>
    <n v="33.884"/>
    <n v="15.01"/>
    <n v="18.277999999999999"/>
    <n v="33.884"/>
    <n v="33.354999999999997"/>
    <n v="9.9870000000000001"/>
    <n v="15"/>
    <n v="14"/>
    <n v="14"/>
    <n v="14"/>
  </r>
  <r>
    <n v="136"/>
    <m/>
    <m/>
    <m/>
    <m/>
    <s v="NA"/>
    <s v="NA"/>
    <x v="35"/>
    <s v="NA"/>
    <m/>
    <m/>
    <s v="NA"/>
    <s v="NA"/>
    <s v="NA"/>
    <s v="NA"/>
    <s v="NA"/>
    <s v="NA"/>
    <s v="NA"/>
    <s v="NA"/>
    <s v="NA"/>
    <s v="NA"/>
    <s v="NA"/>
    <s v="NA"/>
    <s v="NA"/>
    <s v="NA"/>
    <s v="NA"/>
    <s v="NA"/>
    <s v="NA"/>
    <s v="NA"/>
    <s v="NA"/>
    <s v="NA"/>
    <s v="NA"/>
  </r>
  <r>
    <n v="138"/>
    <m/>
    <m/>
    <m/>
    <m/>
    <s v="G24.9"/>
    <s v="Dystonia, unspecified"/>
    <x v="36"/>
    <s v="M"/>
    <m/>
    <m/>
    <n v="22.646000000000001"/>
    <n v="34.863999999999997"/>
    <n v="55.917000000000002"/>
    <n v="60.287999999999997"/>
    <n v="26.251000000000001"/>
    <n v="26.088000000000001"/>
    <n v="55.387999999999998"/>
    <n v="53.146000000000001"/>
    <n v="80.091999999999999"/>
    <n v="66.754000000000005"/>
    <n v="19.908000000000001"/>
    <n v="33.246000000000002"/>
    <n v="20.683"/>
    <n v="22.32"/>
    <n v="33.246000000000002"/>
    <n v="19.908000000000001"/>
    <n v="18.742000000000001"/>
    <n v="8"/>
    <n v="7"/>
    <n v="7"/>
    <n v="7"/>
  </r>
  <r>
    <n v="140"/>
    <m/>
    <m/>
    <m/>
    <m/>
    <s v="G20"/>
    <s v="Parkinson's disease"/>
    <x v="37"/>
    <s v="M"/>
    <m/>
    <m/>
    <s v="NA"/>
    <s v="NA"/>
    <s v="NA"/>
    <s v="NA"/>
    <s v="NA"/>
    <s v="NA"/>
    <s v="NA"/>
    <s v="NA"/>
    <s v="NA"/>
    <s v="NA"/>
    <s v="NA"/>
    <s v="NA"/>
    <s v="NA"/>
    <s v="NA"/>
    <s v="NA"/>
    <s v="NA"/>
    <s v="NA"/>
    <s v="NA"/>
    <s v="NA"/>
    <s v="NA"/>
    <s v="NA"/>
  </r>
  <r>
    <n v="141"/>
    <m/>
    <m/>
    <m/>
    <m/>
    <s v="G25.0"/>
    <s v="Essential tremor"/>
    <x v="34"/>
    <s v="F"/>
    <m/>
    <m/>
    <n v="43.27"/>
    <n v="41.354999999999997"/>
    <n v="84.438000000000002"/>
    <n v="84.912000000000006"/>
    <n v="65.198999999999998"/>
    <n v="65.867999999999995"/>
    <n v="91.972999999999999"/>
    <n v="92.91"/>
    <n v="63.911000000000001"/>
    <n v="65.031000000000006"/>
    <n v="36.088999999999999"/>
    <n v="34.969000000000001"/>
    <n v="14.766999999999999"/>
    <n v="14.047000000000001"/>
    <n v="34.969000000000001"/>
    <n v="36.088999999999999"/>
    <n v="12.167"/>
    <n v="13"/>
    <n v="11"/>
    <n v="11"/>
    <n v="11"/>
  </r>
  <r>
    <n v="142"/>
    <m/>
    <m/>
    <m/>
    <m/>
    <s v="G25.0"/>
    <s v="Essential tremor"/>
    <x v="38"/>
    <s v="F"/>
    <m/>
    <m/>
    <n v="58.587000000000003"/>
    <n v="57.454999999999998"/>
    <n v="116.788"/>
    <n v="116.39100000000001"/>
    <n v="102.57"/>
    <n v="102.92700000000001"/>
    <n v="105.239"/>
    <n v="105.726"/>
    <n v="64.293999999999997"/>
    <n v="63.863999999999997"/>
    <n v="35.706000000000003"/>
    <n v="36.136000000000003"/>
    <n v="14.429"/>
    <n v="14.131"/>
    <n v="36.136000000000003"/>
    <n v="35.706000000000003"/>
    <n v="9.9169999999999998"/>
    <n v="9"/>
    <n v="8"/>
    <n v="8"/>
    <n v="8"/>
  </r>
  <r>
    <n v="144"/>
    <m/>
    <m/>
    <m/>
    <m/>
    <s v="G20"/>
    <s v="Parkinson's disease"/>
    <x v="39"/>
    <s v="M"/>
    <m/>
    <m/>
    <n v="52.252000000000002"/>
    <n v="58.106999999999999"/>
    <n v="110.41"/>
    <n v="111.68899999999999"/>
    <n v="91.613"/>
    <n v="91.909000000000006"/>
    <n v="98.936999999999998"/>
    <n v="98.632999999999996"/>
    <n v="63.369"/>
    <n v="63.506"/>
    <n v="36.631"/>
    <n v="36.494"/>
    <n v="14.089"/>
    <n v="13.03"/>
    <n v="36.494"/>
    <n v="36.631"/>
    <n v="8.4139999999999997"/>
    <n v="14"/>
    <n v="13"/>
    <n v="13"/>
    <n v="13"/>
  </r>
  <r>
    <n v="145"/>
    <m/>
    <m/>
    <m/>
    <m/>
    <s v="G25.0"/>
    <s v="Essential tremor"/>
    <x v="40"/>
    <s v="F"/>
    <m/>
    <m/>
    <n v="49.241"/>
    <n v="52.231999999999999"/>
    <n v="101.136"/>
    <n v="101.479"/>
    <n v="90.807000000000002"/>
    <n v="90.835999999999999"/>
    <n v="108.285"/>
    <n v="107.886"/>
    <n v="62.945999999999998"/>
    <n v="62.930999999999997"/>
    <n v="37.054000000000002"/>
    <n v="37.069000000000003"/>
    <n v="14.016999999999999"/>
    <n v="12.134"/>
    <n v="37.069000000000003"/>
    <n v="37.054000000000002"/>
    <n v="11.456"/>
    <n v="17"/>
    <n v="18"/>
    <n v="17"/>
    <n v="17"/>
  </r>
  <r>
    <n v="146"/>
    <m/>
    <m/>
    <m/>
    <m/>
    <s v="G23.8"/>
    <s v="Other specified degenerative diseases of basal ganglia"/>
    <x v="41"/>
    <s v="M"/>
    <m/>
    <m/>
    <n v="61.249000000000002"/>
    <n v="57.04"/>
    <n v="117.809"/>
    <n v="118.282"/>
    <n v="85.016999999999996"/>
    <n v="85.971000000000004"/>
    <n v="86.947999999999993"/>
    <n v="87.227000000000004"/>
    <n v="64.504999999999995"/>
    <n v="65.043999999999997"/>
    <n v="35.494"/>
    <n v="34.956000000000003"/>
    <n v="15.441000000000001"/>
    <n v="14.536"/>
    <n v="34.956000000000003"/>
    <n v="35.494"/>
    <n v="9.5299999999999994"/>
    <n v="16"/>
    <n v="16"/>
    <n v="16"/>
    <n v="16"/>
  </r>
  <r>
    <n v="147"/>
    <m/>
    <m/>
    <m/>
    <m/>
    <s v="G20"/>
    <s v="Parkinson's disease"/>
    <x v="42"/>
    <s v="M"/>
    <m/>
    <m/>
    <n v="62.695999999999998"/>
    <n v="64.414000000000001"/>
    <n v="127.107"/>
    <n v="127.57299999999999"/>
    <n v="127.015"/>
    <n v="128.28100000000001"/>
    <n v="119.626"/>
    <n v="120.473"/>
    <n v="61.768000000000001"/>
    <n v="64.096999999999994"/>
    <n v="38.231999999999999"/>
    <n v="35.902999999999999"/>
    <n v="12.865"/>
    <n v="13.055999999999999"/>
    <n v="35.902999999999999"/>
    <n v="38.231999999999999"/>
    <n v="10.653"/>
    <n v="18"/>
    <n v="21"/>
    <n v="18"/>
    <n v="18"/>
  </r>
  <r>
    <n v="148"/>
    <m/>
    <m/>
    <m/>
    <m/>
    <s v="G20"/>
    <s v="Parkinson's disease"/>
    <x v="43"/>
    <s v="M"/>
    <m/>
    <m/>
    <n v="22.573"/>
    <n v="21.818000000000001"/>
    <n v="44.475000000000001"/>
    <n v="44.548000000000002"/>
    <n v="35.439"/>
    <n v="35.470999999999997"/>
    <n v="96.341999999999999"/>
    <n v="96.798000000000002"/>
    <n v="69.828999999999994"/>
    <n v="66.918999999999997"/>
    <n v="30.170999999999999"/>
    <n v="33.081000000000003"/>
    <n v="20.302"/>
    <n v="15.903"/>
    <n v="33.081000000000003"/>
    <n v="30.170999999999999"/>
    <n v="13.115"/>
    <n v="14"/>
    <n v="15"/>
    <n v="14"/>
    <n v="14"/>
  </r>
  <r>
    <n v="150"/>
    <m/>
    <m/>
    <m/>
    <m/>
    <s v="G20"/>
    <s v="Parkinson's disease"/>
    <x v="44"/>
    <s v="M"/>
    <m/>
    <m/>
    <n v="50.844999999999999"/>
    <n v="46.811"/>
    <n v="98.406999999999996"/>
    <n v="97.738"/>
    <n v="74.753"/>
    <n v="74.656000000000006"/>
    <n v="91.888999999999996"/>
    <n v="91.653000000000006"/>
    <n v="63.277999999999999"/>
    <n v="65.096999999999994"/>
    <n v="36.722000000000001"/>
    <n v="34.902999999999999"/>
    <n v="13.731"/>
    <n v="15.226000000000001"/>
    <n v="34.902999999999999"/>
    <n v="36.722000000000001"/>
    <n v="10.496"/>
    <n v="20"/>
    <n v="21"/>
    <n v="20"/>
    <n v="20"/>
  </r>
  <r>
    <n v="151"/>
    <m/>
    <m/>
    <m/>
    <m/>
    <s v="G20"/>
    <s v="Parkinson's disease"/>
    <x v="45"/>
    <s v="F"/>
    <m/>
    <m/>
    <n v="64.686999999999998"/>
    <n v="65.594999999999999"/>
    <n v="130.315"/>
    <n v="130.501"/>
    <n v="132.149"/>
    <n v="132.31899999999999"/>
    <n v="122.238"/>
    <n v="121.857"/>
    <n v="59.476999999999997"/>
    <n v="59.683999999999997"/>
    <n v="40.523000000000003"/>
    <n v="40.316000000000003"/>
    <n v="9.01"/>
    <n v="10.691000000000001"/>
    <n v="40.316000000000003"/>
    <n v="40.523000000000003"/>
    <n v="12.624000000000001"/>
    <n v="24"/>
    <n v="20"/>
    <n v="20"/>
    <n v="20"/>
  </r>
  <r>
    <n v="153"/>
    <m/>
    <m/>
    <m/>
    <m/>
    <s v="G20"/>
    <s v="Parkinson's disease"/>
    <x v="46"/>
    <s v="M"/>
    <m/>
    <m/>
    <n v="41.514000000000003"/>
    <n v="57.027999999999999"/>
    <n v="98.135000000000005"/>
    <n v="98.733000000000004"/>
    <n v="91.361999999999995"/>
    <n v="91.147999999999996"/>
    <n v="111.254"/>
    <n v="111.139"/>
    <n v="63.682000000000002"/>
    <n v="66.56"/>
    <n v="36.317999999999998"/>
    <n v="33.44"/>
    <n v="11.827999999999999"/>
    <n v="18.454000000000001"/>
    <n v="33.44"/>
    <n v="36.317999999999998"/>
    <n v="11.76"/>
    <n v="18"/>
    <n v="20"/>
    <n v="18"/>
    <n v="18"/>
  </r>
  <r>
    <n v="155"/>
    <m/>
    <m/>
    <m/>
    <m/>
    <s v="G20"/>
    <s v="Parkinson's disease"/>
    <x v="47"/>
    <s v="M"/>
    <m/>
    <m/>
    <n v="68.343000000000004"/>
    <n v="60.993000000000002"/>
    <n v="129.99799999999999"/>
    <n v="129.47999999999999"/>
    <n v="113.04"/>
    <n v="112.723"/>
    <n v="104.575"/>
    <n v="104.678"/>
    <n v="63.771000000000001"/>
    <n v="66.043999999999997"/>
    <n v="36.228999999999999"/>
    <n v="33.956000000000003"/>
    <n v="13.7"/>
    <n v="16.321999999999999"/>
    <n v="33.956000000000003"/>
    <n v="36.228999999999999"/>
    <n v="12.321999999999999"/>
    <n v="17"/>
    <n v="15"/>
    <n v="15"/>
    <n v="15"/>
  </r>
  <r>
    <n v="156"/>
    <m/>
    <m/>
    <m/>
    <m/>
    <s v="R25.1"/>
    <s v="Tremor, unspecified"/>
    <x v="48"/>
    <s v="M"/>
    <m/>
    <m/>
    <n v="16.209"/>
    <n v="3.468"/>
    <n v="19.513999999999999"/>
    <n v="19.158999999999999"/>
    <n v="4.1989999999999998"/>
    <n v="4.2380000000000004"/>
    <n v="26.378"/>
    <n v="25.66"/>
    <n v="87.064999999999998"/>
    <n v="89.93"/>
    <n v="12.935"/>
    <n v="10.07"/>
    <n v="39.591000000000001"/>
    <n v="37.018999999999998"/>
    <n v="10.07"/>
    <n v="12.935"/>
    <n v="19.945"/>
    <n v="10"/>
    <n v="11"/>
    <n v="10"/>
    <n v="10"/>
  </r>
  <r>
    <n v="157"/>
    <m/>
    <m/>
    <m/>
    <m/>
    <s v="G20"/>
    <s v="Parkinson's disease"/>
    <x v="49"/>
    <s v="F"/>
    <m/>
    <m/>
    <n v="49.853000000000002"/>
    <n v="49.133000000000003"/>
    <n v="99.718999999999994"/>
    <n v="99.143000000000001"/>
    <n v="87.602999999999994"/>
    <n v="87.239000000000004"/>
    <n v="105.375"/>
    <n v="105.30500000000001"/>
    <n v="62.326000000000001"/>
    <n v="63.262999999999998"/>
    <n v="37.673999999999999"/>
    <n v="36.737000000000002"/>
    <n v="14.196"/>
    <n v="11.667"/>
    <n v="36.737000000000002"/>
    <n v="37.673999999999999"/>
    <n v="10.393000000000001"/>
    <n v="14"/>
    <n v="15"/>
    <n v="14"/>
    <n v="14"/>
  </r>
  <r>
    <n v="158"/>
    <m/>
    <m/>
    <m/>
    <m/>
    <s v="G25.0"/>
    <s v="Essential tremor"/>
    <x v="50"/>
    <s v="M"/>
    <m/>
    <m/>
    <n v="58.195999999999998"/>
    <n v="58.847000000000001"/>
    <n v="117.017"/>
    <n v="117.09"/>
    <n v="96.016999999999996"/>
    <n v="96.096000000000004"/>
    <n v="98.216999999999999"/>
    <n v="98.486000000000004"/>
    <n v="63.228000000000002"/>
    <n v="64.088999999999999"/>
    <n v="36.771999999999998"/>
    <n v="35.911000000000001"/>
    <n v="14.179"/>
    <n v="13.451000000000001"/>
    <n v="35.911000000000001"/>
    <n v="36.771999999999998"/>
    <n v="9.48"/>
    <n v="15"/>
    <n v="15"/>
    <n v="15"/>
    <n v="15"/>
  </r>
  <r>
    <n v="161"/>
    <m/>
    <m/>
    <m/>
    <m/>
    <s v="R25.1"/>
    <s v="Tremor, unspecified"/>
    <x v="51"/>
    <s v="M"/>
    <m/>
    <m/>
    <s v="NA"/>
    <s v="NA"/>
    <s v="NA"/>
    <s v="NA"/>
    <s v="NA"/>
    <s v="NA"/>
    <s v="NA"/>
    <s v="NA"/>
    <s v="NA"/>
    <s v="NA"/>
    <s v="NA"/>
    <s v="NA"/>
    <s v="NA"/>
    <s v="NA"/>
    <s v="NA"/>
    <s v="NA"/>
    <s v="NA"/>
    <s v="NA"/>
    <s v="NA"/>
    <s v="NA"/>
    <s v="NA"/>
  </r>
  <r>
    <n v="162"/>
    <m/>
    <m/>
    <m/>
    <m/>
    <s v="NA"/>
    <s v="NA"/>
    <x v="35"/>
    <s v="NA"/>
    <m/>
    <m/>
    <n v="52.616999999999997"/>
    <n v="54.167999999999999"/>
    <n v="106.77"/>
    <n v="107.068"/>
    <n v="97.239000000000004"/>
    <n v="97.801000000000002"/>
    <n v="109.297"/>
    <n v="109.505"/>
    <n v="64.242999999999995"/>
    <n v="64.328999999999994"/>
    <n v="35.756999999999998"/>
    <n v="35.670999999999999"/>
    <n v="14.178000000000001"/>
    <n v="14.417999999999999"/>
    <n v="35.670999999999999"/>
    <n v="35.756999999999998"/>
    <n v="9.51"/>
    <n v="28"/>
    <n v="29"/>
    <n v="28"/>
    <n v="28"/>
  </r>
  <r>
    <n v="164"/>
    <m/>
    <m/>
    <m/>
    <m/>
    <s v="G20"/>
    <s v="Parkinson's disease"/>
    <x v="52"/>
    <s v="M"/>
    <m/>
    <m/>
    <n v="61.332000000000001"/>
    <n v="61.148000000000003"/>
    <n v="122.66"/>
    <n v="122.02"/>
    <n v="106.07899999999999"/>
    <n v="106.07599999999999"/>
    <n v="103.974"/>
    <n v="104.247"/>
    <n v="62.975000000000001"/>
    <n v="64.408000000000001"/>
    <n v="37.024999999999999"/>
    <n v="35.591999999999999"/>
    <n v="14.925000000000001"/>
    <n v="12.708"/>
    <n v="35.591999999999999"/>
    <n v="37.024999999999999"/>
    <n v="11.151999999999999"/>
    <n v="16"/>
    <n v="16"/>
    <n v="16"/>
    <n v="16"/>
  </r>
  <r>
    <n v="167"/>
    <m/>
    <m/>
    <m/>
    <m/>
    <s v="R25.1"/>
    <s v="Tremor, unspecified"/>
    <x v="53"/>
    <s v="F"/>
    <m/>
    <m/>
    <n v="60.006"/>
    <n v="60.750999999999998"/>
    <n v="120.81699999999999"/>
    <n v="121.581"/>
    <n v="116.843"/>
    <n v="116.917"/>
    <n v="115.89700000000001"/>
    <n v="115.283"/>
    <n v="60.566000000000003"/>
    <n v="62.435000000000002"/>
    <n v="39.433999999999997"/>
    <n v="37.564999999999998"/>
    <n v="11.531000000000001"/>
    <n v="11.999000000000001"/>
    <n v="37.564999999999998"/>
    <n v="39.433999999999997"/>
    <n v="8.3859999999999992"/>
    <n v="15"/>
    <n v="15"/>
    <n v="15"/>
    <n v="15"/>
  </r>
  <r>
    <n v="168"/>
    <m/>
    <m/>
    <m/>
    <m/>
    <s v="G25.2"/>
    <s v="Other specified forms of tremor"/>
    <x v="54"/>
    <s v="M"/>
    <m/>
    <m/>
    <n v="22.172000000000001"/>
    <n v="25.260999999999999"/>
    <n v="47.448"/>
    <n v="47.258000000000003"/>
    <n v="49.710999999999999"/>
    <n v="48.933999999999997"/>
    <n v="127.126"/>
    <n v="125.21899999999999"/>
    <n v="68.491"/>
    <n v="68.721999999999994"/>
    <n v="31.509"/>
    <n v="31.277999999999999"/>
    <n v="19.783999999999999"/>
    <n v="17.353999999999999"/>
    <n v="31.277999999999999"/>
    <n v="31.509"/>
    <n v="21.414999999999999"/>
    <n v="26"/>
    <n v="26"/>
    <n v="26"/>
    <n v="26"/>
  </r>
  <r>
    <n v="169"/>
    <m/>
    <m/>
    <m/>
    <m/>
    <s v="G20"/>
    <s v="Parkinson's disease"/>
    <x v="4"/>
    <s v="M"/>
    <m/>
    <m/>
    <n v="47.466000000000001"/>
    <n v="50.695999999999998"/>
    <n v="98.055999999999997"/>
    <n v="98.105999999999995"/>
    <n v="100.851"/>
    <n v="101.05800000000001"/>
    <n v="123.398"/>
    <n v="122.999"/>
    <n v="63.978000000000002"/>
    <n v="66.263999999999996"/>
    <n v="36.021999999999998"/>
    <n v="33.735999999999997"/>
    <n v="15.334"/>
    <n v="15.317"/>
    <n v="33.735999999999997"/>
    <n v="36.021999999999998"/>
    <n v="11.757999999999999"/>
    <n v="22"/>
    <n v="18"/>
    <n v="18"/>
    <n v="18"/>
  </r>
  <r>
    <n v="170"/>
    <m/>
    <m/>
    <m/>
    <m/>
    <s v="R25.1"/>
    <s v="Tremor, unspecified"/>
    <x v="55"/>
    <s v="F"/>
    <m/>
    <m/>
    <n v="51.488999999999997"/>
    <n v="51.576000000000001"/>
    <n v="102.955"/>
    <n v="103.636"/>
    <n v="95.415000000000006"/>
    <n v="95.8"/>
    <n v="110.91200000000001"/>
    <n v="111.069"/>
    <n v="62.295999999999999"/>
    <n v="61.683"/>
    <n v="37.704000000000001"/>
    <n v="38.317"/>
    <n v="12.672000000000001"/>
    <n v="11.789"/>
    <n v="38.317"/>
    <n v="37.704000000000001"/>
    <n v="7.9880000000000004"/>
    <n v="19"/>
    <n v="17"/>
    <n v="17"/>
    <n v="17"/>
  </r>
  <r>
    <n v="172"/>
    <m/>
    <m/>
    <m/>
    <m/>
    <s v="G24.1"/>
    <s v="Genetic torsion dystonia"/>
    <x v="56"/>
    <s v="M"/>
    <m/>
    <m/>
    <n v="55.298000000000002"/>
    <n v="52.923000000000002"/>
    <n v="108.489"/>
    <n v="107.253"/>
    <n v="89.578000000000003"/>
    <n v="89.802000000000007"/>
    <n v="99.341999999999999"/>
    <n v="99.912999999999997"/>
    <n v="64.701999999999998"/>
    <n v="62.841999999999999"/>
    <n v="35.298000000000002"/>
    <n v="37.158000000000001"/>
    <n v="13.721"/>
    <n v="14"/>
    <n v="37.158000000000001"/>
    <n v="35.298000000000002"/>
    <n v="16.204999999999998"/>
    <n v="17"/>
    <n v="15"/>
    <n v="15"/>
    <n v="15"/>
  </r>
  <r>
    <n v="173"/>
    <m/>
    <m/>
    <m/>
    <m/>
    <n v="332"/>
    <s v="Paralysis agitans"/>
    <x v="57"/>
    <s v="F"/>
    <m/>
    <m/>
    <n v="41.421999999999997"/>
    <n v="36.116"/>
    <n v="77.676000000000002"/>
    <n v="77.094999999999999"/>
    <n v="77.016000000000005"/>
    <n v="76.587999999999994"/>
    <n v="119.535"/>
    <n v="118.786"/>
    <n v="64.281000000000006"/>
    <n v="64.792000000000002"/>
    <n v="35.719000000000001"/>
    <n v="35.207999999999998"/>
    <n v="14.583"/>
    <n v="14.786"/>
    <n v="35.207999999999998"/>
    <n v="35.719000000000001"/>
    <n v="13.8"/>
    <n v="17"/>
    <n v="19"/>
    <n v="17"/>
    <n v="17"/>
  </r>
  <r>
    <n v="174"/>
    <m/>
    <m/>
    <m/>
    <m/>
    <n v="333.1"/>
    <s v="Essential and other specified forms of tremor"/>
    <x v="58"/>
    <s v="M"/>
    <m/>
    <m/>
    <n v="52.048000000000002"/>
    <n v="42.255000000000003"/>
    <n v="95.134"/>
    <n v="94.248000000000005"/>
    <n v="80.95"/>
    <n v="80.873999999999995"/>
    <n v="101.521"/>
    <n v="102.12"/>
    <n v="64.403000000000006"/>
    <n v="64.912000000000006"/>
    <n v="35.597000000000001"/>
    <n v="35.088000000000001"/>
    <n v="16.253"/>
    <n v="13.226000000000001"/>
    <n v="35.088000000000001"/>
    <n v="35.597000000000001"/>
    <n v="17.376000000000001"/>
    <n v="16"/>
    <n v="18"/>
    <n v="16"/>
    <n v="16"/>
  </r>
  <r>
    <n v="175"/>
    <m/>
    <m/>
    <m/>
    <m/>
    <n v="332"/>
    <s v="Paralysis agitans"/>
    <x v="59"/>
    <s v="M"/>
    <m/>
    <m/>
    <n v="47.517000000000003"/>
    <n v="49.247"/>
    <n v="96.328000000000003"/>
    <n v="99.21"/>
    <n v="74.009"/>
    <n v="75.072999999999993"/>
    <n v="91.015000000000001"/>
    <n v="90.212000000000003"/>
    <n v="63.591000000000001"/>
    <n v="64.367000000000004"/>
    <n v="36.408999999999999"/>
    <n v="35.633000000000003"/>
    <n v="13.561"/>
    <n v="13.968"/>
    <n v="35.633000000000003"/>
    <n v="36.408999999999999"/>
    <n v="14.11"/>
    <n v="15"/>
    <n v="14"/>
    <n v="14"/>
    <n v="14"/>
  </r>
  <r>
    <n v="177"/>
    <m/>
    <m/>
    <m/>
    <m/>
    <n v="332"/>
    <s v="Paralysis agitans"/>
    <x v="5"/>
    <s v="M"/>
    <m/>
    <m/>
    <n v="65.162000000000006"/>
    <n v="67.356999999999999"/>
    <n v="131.02099999999999"/>
    <n v="132.67400000000001"/>
    <n v="117.68899999999999"/>
    <n v="117.38800000000001"/>
    <n v="106.43600000000001"/>
    <n v="106.276"/>
    <n v="60.798999999999999"/>
    <n v="60.994"/>
    <n v="39.201000000000001"/>
    <n v="39.006"/>
    <n v="11.696999999999999"/>
    <n v="10.132"/>
    <n v="39.006"/>
    <n v="39.201000000000001"/>
    <n v="7.7320000000000002"/>
    <n v="12"/>
    <n v="16"/>
    <n v="12"/>
    <n v="12"/>
  </r>
  <r>
    <n v="178"/>
    <m/>
    <m/>
    <m/>
    <m/>
    <n v="332"/>
    <s v="Paralysis agitans"/>
    <x v="60"/>
    <s v="M"/>
    <m/>
    <m/>
    <n v="60.838000000000001"/>
    <n v="63.843000000000004"/>
    <n v="125.36499999999999"/>
    <n v="124.426"/>
    <n v="131.16"/>
    <n v="130.137"/>
    <n v="125.55500000000001"/>
    <n v="125.78700000000001"/>
    <n v="62.716000000000001"/>
    <n v="60.597999999999999"/>
    <n v="37.283999999999999"/>
    <n v="39.402000000000001"/>
    <n v="11.147"/>
    <n v="11.881"/>
    <n v="39.402000000000001"/>
    <n v="37.283999999999999"/>
    <n v="11.845000000000001"/>
    <n v="20"/>
    <n v="23"/>
    <n v="20"/>
    <n v="20"/>
  </r>
  <r>
    <n v="179"/>
    <m/>
    <m/>
    <m/>
    <m/>
    <n v="332"/>
    <s v="Paralysis agitans"/>
    <x v="61"/>
    <s v="M"/>
    <m/>
    <m/>
    <n v="66.733999999999995"/>
    <n v="71.616"/>
    <n v="138.74199999999999"/>
    <n v="139.351"/>
    <n v="133.55799999999999"/>
    <n v="133.774"/>
    <n v="115.95699999999999"/>
    <n v="115.446"/>
    <n v="62.353999999999999"/>
    <n v="56.536999999999999"/>
    <n v="37.646000000000001"/>
    <n v="43.463000000000001"/>
    <n v="9.4429999999999996"/>
    <n v="10.146000000000001"/>
    <n v="43.463000000000001"/>
    <n v="37.646000000000001"/>
    <n v="9.5389999999999997"/>
    <n v="19"/>
    <n v="17"/>
    <n v="17"/>
    <n v="17"/>
  </r>
  <r>
    <n v="180"/>
    <m/>
    <m/>
    <m/>
    <m/>
    <n v="332"/>
    <s v="Paralysis agitans"/>
    <x v="62"/>
    <s v="M"/>
    <m/>
    <m/>
    <n v="43.685000000000002"/>
    <n v="48.167999999999999"/>
    <n v="91.343000000000004"/>
    <n v="92.126000000000005"/>
    <n v="76.599999999999994"/>
    <n v="76.927000000000007"/>
    <n v="100.504"/>
    <n v="100.131"/>
    <n v="62.718000000000004"/>
    <n v="66.305000000000007"/>
    <n v="37.281999999999996"/>
    <n v="33.695"/>
    <n v="14.906000000000001"/>
    <n v="14.045999999999999"/>
    <n v="33.695"/>
    <n v="37.281999999999996"/>
    <n v="7.3070000000000004"/>
    <n v="14"/>
    <n v="15"/>
    <n v="14"/>
    <n v="14"/>
  </r>
  <r>
    <n v="181"/>
    <m/>
    <m/>
    <m/>
    <m/>
    <s v="NA"/>
    <s v="NA"/>
    <x v="35"/>
    <s v="NA"/>
    <m/>
    <m/>
    <n v="63.225999999999999"/>
    <n v="60.386000000000003"/>
    <n v="123.535"/>
    <n v="124.00700000000001"/>
    <n v="130.18100000000001"/>
    <n v="130.6"/>
    <n v="126.456"/>
    <n v="126.304"/>
    <n v="60.500999999999998"/>
    <n v="61.539000000000001"/>
    <n v="39.499000000000002"/>
    <n v="38.460999999999999"/>
    <n v="12.117000000000001"/>
    <n v="10.298"/>
    <n v="38.460999999999999"/>
    <n v="39.499000000000002"/>
    <n v="12.397"/>
    <n v="16"/>
    <n v="16"/>
    <n v="16"/>
    <n v="16"/>
  </r>
  <r>
    <n v="182"/>
    <m/>
    <m/>
    <m/>
    <m/>
    <n v="332"/>
    <s v="Paralysis agitans"/>
    <x v="63"/>
    <s v="M"/>
    <m/>
    <m/>
    <n v="41.552999999999997"/>
    <n v="43.735999999999997"/>
    <n v="84.893000000000001"/>
    <n v="85.656999999999996"/>
    <n v="78.295000000000002"/>
    <n v="78.597999999999999"/>
    <n v="110.5"/>
    <n v="110.181"/>
    <n v="62.322000000000003"/>
    <n v="62.167000000000002"/>
    <n v="37.677999999999997"/>
    <n v="37.832999999999998"/>
    <n v="11.599"/>
    <n v="13.004"/>
    <n v="37.832999999999998"/>
    <n v="37.677999999999997"/>
    <n v="19.902999999999999"/>
    <n v="16"/>
    <n v="15"/>
    <n v="15"/>
    <n v="15"/>
  </r>
  <r>
    <n v="183"/>
    <m/>
    <m/>
    <m/>
    <m/>
    <n v="781"/>
    <s v="Abnormal involuntary movements"/>
    <x v="64"/>
    <s v="F"/>
    <m/>
    <m/>
    <n v="53.417999999999999"/>
    <n v="50.213999999999999"/>
    <n v="103.77200000000001"/>
    <n v="103.944"/>
    <n v="117.425"/>
    <n v="117.532"/>
    <n v="134.60599999999999"/>
    <n v="135.33699999999999"/>
    <n v="60.902999999999999"/>
    <n v="59.87"/>
    <n v="39.097000000000001"/>
    <n v="40.130000000000003"/>
    <n v="10.28"/>
    <n v="10.401999999999999"/>
    <n v="40.130000000000003"/>
    <n v="39.097000000000001"/>
    <n v="9.84"/>
    <n v="12"/>
    <n v="14"/>
    <n v="12"/>
    <n v="12"/>
  </r>
  <r>
    <n v="184"/>
    <m/>
    <m/>
    <m/>
    <m/>
    <n v="333.1"/>
    <s v="Essential and other specified forms of tremor"/>
    <x v="65"/>
    <s v="F"/>
    <m/>
    <m/>
    <s v="NA"/>
    <s v="NA"/>
    <s v="NA"/>
    <s v="NA"/>
    <s v="NA"/>
    <s v="NA"/>
    <s v="NA"/>
    <s v="NA"/>
    <s v="NA"/>
    <s v="NA"/>
    <s v="NA"/>
    <s v="NA"/>
    <s v="NA"/>
    <s v="NA"/>
    <s v="NA"/>
    <s v="NA"/>
    <s v="NA"/>
    <s v="NA"/>
    <s v="NA"/>
    <s v="NA"/>
    <s v="NA"/>
  </r>
  <r>
    <n v="185"/>
    <m/>
    <m/>
    <m/>
    <m/>
    <s v="NA"/>
    <s v="NA"/>
    <x v="35"/>
    <s v="NA"/>
    <m/>
    <m/>
    <n v="74.278999999999996"/>
    <n v="75.623000000000005"/>
    <n v="151.00700000000001"/>
    <n v="149.65600000000001"/>
    <n v="150.30600000000001"/>
    <n v="148.345"/>
    <n v="118.592"/>
    <n v="119.764"/>
    <n v="58.959000000000003"/>
    <n v="59.741999999999997"/>
    <n v="41.040999999999997"/>
    <n v="40.258000000000003"/>
    <n v="9.3019999999999996"/>
    <n v="9.327"/>
    <n v="40.258000000000003"/>
    <n v="41.040999999999997"/>
    <n v="7.4219999999999997"/>
    <n v="13"/>
    <n v="16"/>
    <n v="13"/>
    <n v="13"/>
  </r>
  <r>
    <n v="186"/>
    <m/>
    <m/>
    <m/>
    <m/>
    <n v="333.1"/>
    <s v="Essential and other specified forms of tremor"/>
    <x v="6"/>
    <s v="F"/>
    <m/>
    <m/>
    <n v="36.356000000000002"/>
    <n v="35.584000000000003"/>
    <n v="71.998000000000005"/>
    <n v="71.888000000000005"/>
    <n v="61.936999999999998"/>
    <n v="61.792000000000002"/>
    <n v="103.09699999999999"/>
    <n v="102.871"/>
    <n v="64.424000000000007"/>
    <n v="65.061000000000007"/>
    <n v="35.576000000000001"/>
    <n v="34.939"/>
    <n v="13.288"/>
    <n v="15.827"/>
    <n v="34.939"/>
    <n v="35.576000000000001"/>
    <n v="15.285"/>
    <n v="18"/>
    <n v="17"/>
    <n v="17"/>
    <n v="17"/>
  </r>
  <r>
    <n v="187"/>
    <m/>
    <m/>
    <m/>
    <m/>
    <n v="333.1"/>
    <s v="Essential and other specified forms of tremor"/>
    <x v="66"/>
    <s v="F"/>
    <m/>
    <m/>
    <n v="47.012"/>
    <n v="36.588000000000001"/>
    <n v="84.084000000000003"/>
    <n v="83.509"/>
    <n v="59.697000000000003"/>
    <n v="59.588999999999999"/>
    <n v="85.218000000000004"/>
    <n v="85.376000000000005"/>
    <n v="64.435000000000002"/>
    <n v="63.558999999999997"/>
    <n v="35.564999999999998"/>
    <n v="36.441000000000003"/>
    <n v="13.976000000000001"/>
    <n v="13.824"/>
    <n v="36.441000000000003"/>
    <n v="35.564999999999998"/>
    <n v="10.84"/>
    <n v="9"/>
    <n v="10"/>
    <n v="9"/>
    <n v="9"/>
  </r>
  <r>
    <n v="188"/>
    <m/>
    <m/>
    <m/>
    <m/>
    <n v="333"/>
    <s v="Other degenerative diseases of the basal ganglia"/>
    <x v="67"/>
    <s v="M"/>
    <m/>
    <m/>
    <n v="11.75"/>
    <n v="8.6660000000000004"/>
    <n v="20.59"/>
    <n v="20.707000000000001"/>
    <n v="10.305"/>
    <n v="10.58"/>
    <n v="59.23"/>
    <n v="59.854999999999997"/>
    <n v="85.227000000000004"/>
    <n v="85.344999999999999"/>
    <n v="14.773"/>
    <n v="14.654999999999999"/>
    <n v="35.880000000000003"/>
    <n v="35.792000000000002"/>
    <n v="14.654999999999999"/>
    <n v="14.773"/>
    <n v="26.88"/>
    <n v="12"/>
    <n v="12"/>
    <n v="12"/>
    <n v="12"/>
  </r>
  <r>
    <n v="189"/>
    <m/>
    <m/>
    <m/>
    <m/>
    <n v="333.1"/>
    <s v="Essential and other specified forms of tremor"/>
    <x v="68"/>
    <s v="F"/>
    <m/>
    <m/>
    <n v="53.600999999999999"/>
    <n v="38.234999999999999"/>
    <n v="92.289000000000001"/>
    <n v="91.923000000000002"/>
    <n v="83.900999999999996"/>
    <n v="83.885000000000005"/>
    <n v="109.13200000000001"/>
    <n v="109.41800000000001"/>
    <n v="62.39"/>
    <n v="64.426000000000002"/>
    <n v="37.61"/>
    <n v="35.573999999999998"/>
    <n v="11.946"/>
    <n v="14.775"/>
    <n v="35.573999999999998"/>
    <n v="37.61"/>
    <n v="11.154999999999999"/>
    <n v="18"/>
    <n v="17"/>
    <n v="17"/>
    <n v="17"/>
  </r>
  <r>
    <n v="190"/>
    <m/>
    <m/>
    <m/>
    <m/>
    <n v="332"/>
    <s v="Paralysis agitans"/>
    <x v="69"/>
    <s v="F"/>
    <m/>
    <m/>
    <n v="31.140999999999998"/>
    <n v="43.704999999999998"/>
    <n v="75.227000000000004"/>
    <n v="74.593999999999994"/>
    <n v="81.456000000000003"/>
    <n v="81.224999999999994"/>
    <n v="130.09700000000001"/>
    <n v="129.98400000000001"/>
    <n v="64.873999999999995"/>
    <n v="61.881"/>
    <n v="35.125999999999998"/>
    <n v="38.119"/>
    <n v="10.333"/>
    <n v="16.291"/>
    <n v="38.119"/>
    <n v="35.125999999999998"/>
    <n v="9.61"/>
    <n v="18"/>
    <n v="18"/>
    <n v="18"/>
    <n v="18"/>
  </r>
  <r>
    <n v="191"/>
    <m/>
    <m/>
    <m/>
    <m/>
    <n v="332"/>
    <s v="Paralysis agitans"/>
    <x v="70"/>
    <s v="F"/>
    <m/>
    <m/>
    <n v="39.771999999999998"/>
    <n v="34.646000000000001"/>
    <n v="74.471999999999994"/>
    <n v="74.012"/>
    <n v="73.588999999999999"/>
    <n v="74.301000000000002"/>
    <n v="119.98099999999999"/>
    <n v="120.136"/>
    <n v="64.653999999999996"/>
    <n v="63.948999999999998"/>
    <n v="35.345999999999997"/>
    <n v="36.051000000000002"/>
    <n v="15.067"/>
    <n v="13.352"/>
    <n v="36.051000000000002"/>
    <n v="35.345999999999997"/>
    <n v="9.8629999999999995"/>
    <n v="15"/>
    <n v="13"/>
    <n v="13"/>
    <n v="13"/>
  </r>
  <r>
    <n v="192"/>
    <m/>
    <m/>
    <m/>
    <m/>
    <s v="NA"/>
    <s v="NA"/>
    <x v="35"/>
    <s v="NA"/>
    <m/>
    <m/>
    <s v="NA"/>
    <s v="NA"/>
    <s v="NA"/>
    <s v="NA"/>
    <s v="NA"/>
    <s v="NA"/>
    <s v="NA"/>
    <s v="NA"/>
    <s v="NA"/>
    <s v="NA"/>
    <s v="NA"/>
    <s v="NA"/>
    <s v="NA"/>
    <s v="NA"/>
    <s v="NA"/>
    <s v="NA"/>
    <s v="NA"/>
    <s v="NA"/>
    <s v="NA"/>
    <s v="NA"/>
    <s v="NA"/>
  </r>
  <r>
    <n v="193"/>
    <m/>
    <m/>
    <m/>
    <m/>
    <s v="NA"/>
    <s v="NA"/>
    <x v="35"/>
    <s v="NA"/>
    <m/>
    <m/>
    <s v="NA"/>
    <s v="NA"/>
    <s v="NA"/>
    <s v="NA"/>
    <s v="NA"/>
    <s v="NA"/>
    <s v="NA"/>
    <s v="NA"/>
    <s v="NA"/>
    <s v="NA"/>
    <s v="NA"/>
    <s v="NA"/>
    <s v="NA"/>
    <s v="NA"/>
    <s v="NA"/>
    <s v="NA"/>
    <s v="NA"/>
    <s v="NA"/>
    <s v="NA"/>
    <s v="NA"/>
    <s v="NA"/>
  </r>
  <r>
    <n v="194"/>
    <m/>
    <m/>
    <m/>
    <m/>
    <n v="333.1"/>
    <s v="Essential and other specified forms of tremor"/>
    <x v="71"/>
    <s v="F"/>
    <m/>
    <m/>
    <n v="60.749000000000002"/>
    <n v="62.683999999999997"/>
    <n v="123.679"/>
    <n v="123.745"/>
    <n v="126.15600000000001"/>
    <n v="124.907"/>
    <n v="122.38"/>
    <n v="121.79600000000001"/>
    <n v="61.271999999999998"/>
    <n v="60.268000000000001"/>
    <n v="38.728000000000002"/>
    <n v="39.731999999999999"/>
    <n v="10.680999999999999"/>
    <n v="10.651999999999999"/>
    <n v="39.731999999999999"/>
    <n v="38.728000000000002"/>
    <n v="6.6630000000000003"/>
    <n v="18"/>
    <n v="18"/>
    <n v="18"/>
    <n v="18"/>
  </r>
  <r>
    <n v="195"/>
    <m/>
    <m/>
    <m/>
    <m/>
    <n v="333.1"/>
    <s v="Essential and other specified forms of tremor"/>
    <x v="72"/>
    <s v="F"/>
    <m/>
    <m/>
    <n v="58.247999999999998"/>
    <n v="54.795999999999999"/>
    <n v="113.009"/>
    <n v="113.398"/>
    <n v="115.998"/>
    <n v="116.108"/>
    <n v="123.20399999999999"/>
    <n v="122.887"/>
    <n v="60.667000000000002"/>
    <n v="61.908999999999999"/>
    <n v="39.332999999999998"/>
    <n v="38.091000000000001"/>
    <n v="10.497999999999999"/>
    <n v="11.943"/>
    <n v="38.091000000000001"/>
    <n v="39.332999999999998"/>
    <n v="13.343"/>
    <n v="11"/>
    <n v="9"/>
    <n v="9"/>
    <n v="9"/>
  </r>
  <r>
    <n v="196"/>
    <m/>
    <m/>
    <m/>
    <m/>
    <n v="333.1"/>
    <s v="Essential and other specified forms of tremor"/>
    <x v="73"/>
    <s v="M"/>
    <m/>
    <m/>
    <s v="NA"/>
    <s v="NA"/>
    <s v="NA"/>
    <s v="NA"/>
    <s v="NA"/>
    <s v="NA"/>
    <s v="NA"/>
    <s v="NA"/>
    <s v="NA"/>
    <s v="NA"/>
    <s v="NA"/>
    <s v="NA"/>
    <s v="NA"/>
    <s v="NA"/>
    <s v="NA"/>
    <s v="NA"/>
    <s v="NA"/>
    <s v="NA"/>
    <s v="NA"/>
    <s v="NA"/>
    <s v="NA"/>
  </r>
  <r>
    <n v="197"/>
    <m/>
    <m/>
    <m/>
    <m/>
    <n v="332"/>
    <s v="Paralysis agitans"/>
    <x v="74"/>
    <s v="M"/>
    <m/>
    <m/>
    <s v="NA"/>
    <s v="NA"/>
    <s v="NA"/>
    <s v="NA"/>
    <s v="NA"/>
    <s v="NA"/>
    <s v="NA"/>
    <s v="NA"/>
    <s v="NA"/>
    <s v="NA"/>
    <s v="NA"/>
    <s v="NA"/>
    <s v="NA"/>
    <s v="NA"/>
    <s v="NA"/>
    <s v="NA"/>
    <s v="NA"/>
    <s v="NA"/>
    <s v="NA"/>
    <s v="NA"/>
    <s v="NA"/>
  </r>
  <r>
    <n v="198"/>
    <m/>
    <m/>
    <m/>
    <m/>
    <n v="332"/>
    <s v="Paralysis agitans"/>
    <x v="21"/>
    <s v="M"/>
    <m/>
    <m/>
    <n v="54.628999999999998"/>
    <n v="55.463999999999999"/>
    <n v="109.98"/>
    <n v="110.614"/>
    <n v="93.813999999999993"/>
    <n v="93.724000000000004"/>
    <n v="101.958"/>
    <n v="101.065"/>
    <n v="65.17"/>
    <n v="64.704999999999998"/>
    <n v="34.83"/>
    <n v="35.295000000000002"/>
    <n v="14.711"/>
    <n v="15.412000000000001"/>
    <n v="35.295000000000002"/>
    <n v="34.83"/>
    <n v="9.7240000000000002"/>
    <n v="11"/>
    <n v="14"/>
    <n v="10"/>
    <n v="10"/>
  </r>
  <r>
    <n v="199"/>
    <m/>
    <m/>
    <m/>
    <m/>
    <n v="332"/>
    <s v="Paralysis agitans"/>
    <x v="75"/>
    <s v="M"/>
    <m/>
    <m/>
    <s v="NA"/>
    <s v="NA"/>
    <s v="NA"/>
    <s v="NA"/>
    <s v="NA"/>
    <s v="NA"/>
    <s v="NA"/>
    <s v="NA"/>
    <s v="NA"/>
    <s v="NA"/>
    <s v="NA"/>
    <s v="NA"/>
    <s v="NA"/>
    <s v="NA"/>
    <s v="NA"/>
    <s v="NA"/>
    <s v="NA"/>
    <s v="NA"/>
    <s v="NA"/>
    <s v="NA"/>
    <s v="NA"/>
  </r>
  <r>
    <n v="200"/>
    <m/>
    <m/>
    <m/>
    <m/>
    <n v="332"/>
    <s v="Paralysis agitans"/>
    <x v="76"/>
    <s v="F"/>
    <m/>
    <m/>
    <s v="NA"/>
    <s v="NA"/>
    <s v="NA"/>
    <s v="NA"/>
    <s v="NA"/>
    <s v="NA"/>
    <s v="NA"/>
    <s v="NA"/>
    <s v="NA"/>
    <s v="NA"/>
    <s v="NA"/>
    <s v="NA"/>
    <s v="NA"/>
    <s v="NA"/>
    <s v="NA"/>
    <s v="NA"/>
    <s v="NA"/>
    <s v="NA"/>
    <s v="NA"/>
    <s v="NA"/>
    <s v="NA"/>
  </r>
  <r>
    <n v="201"/>
    <m/>
    <m/>
    <m/>
    <m/>
    <n v="333"/>
    <s v="Other degenerative diseases of the basal ganglia"/>
    <x v="77"/>
    <s v="F"/>
    <m/>
    <m/>
    <s v="NA"/>
    <s v="NA"/>
    <s v="NA"/>
    <s v="NA"/>
    <s v="NA"/>
    <s v="NA"/>
    <s v="NA"/>
    <s v="NA"/>
    <s v="NA"/>
    <s v="NA"/>
    <s v="NA"/>
    <s v="NA"/>
    <s v="NA"/>
    <s v="NA"/>
    <s v="NA"/>
    <s v="NA"/>
    <s v="NA"/>
    <s v="NA"/>
    <s v="NA"/>
    <s v="NA"/>
    <s v="NA"/>
  </r>
  <r>
    <n v="202"/>
    <m/>
    <m/>
    <m/>
    <m/>
    <n v="332"/>
    <s v="Paralysis agitans"/>
    <x v="78"/>
    <s v="F"/>
    <m/>
    <m/>
    <s v="NA"/>
    <s v="NA"/>
    <s v="NA"/>
    <s v="NA"/>
    <s v="NA"/>
    <s v="NA"/>
    <s v="NA"/>
    <s v="NA"/>
    <s v="NA"/>
    <s v="NA"/>
    <s v="NA"/>
    <s v="NA"/>
    <s v="NA"/>
    <s v="NA"/>
    <s v="NA"/>
    <s v="NA"/>
    <s v="NA"/>
    <s v="NA"/>
    <s v="NA"/>
    <s v="NA"/>
    <s v="NA"/>
  </r>
  <r>
    <n v="203"/>
    <m/>
    <m/>
    <m/>
    <m/>
    <n v="333.1"/>
    <s v="Essential and other specified forms of tremor"/>
    <x v="79"/>
    <s v="F"/>
    <m/>
    <m/>
    <s v="NA"/>
    <s v="NA"/>
    <s v="NA"/>
    <s v="NA"/>
    <s v="NA"/>
    <s v="NA"/>
    <s v="NA"/>
    <s v="NA"/>
    <s v="NA"/>
    <s v="NA"/>
    <s v="NA"/>
    <s v="NA"/>
    <s v="NA"/>
    <s v="NA"/>
    <s v="NA"/>
    <s v="NA"/>
    <s v="NA"/>
    <s v="NA"/>
    <s v="NA"/>
    <s v="NA"/>
    <s v="NA"/>
  </r>
  <r>
    <n v="206"/>
    <m/>
    <m/>
    <m/>
    <m/>
    <n v="332"/>
    <s v="Paralysis agitans"/>
    <x v="80"/>
    <s v="M"/>
    <m/>
    <m/>
    <s v="NA"/>
    <s v="NA"/>
    <s v="NA"/>
    <s v="NA"/>
    <s v="NA"/>
    <s v="NA"/>
    <s v="NA"/>
    <s v="NA"/>
    <s v="NA"/>
    <s v="NA"/>
    <s v="NA"/>
    <s v="NA"/>
    <s v="NA"/>
    <s v="NA"/>
    <s v="NA"/>
    <s v="NA"/>
    <s v="NA"/>
    <s v="NA"/>
    <s v="NA"/>
    <s v="NA"/>
    <s v="NA"/>
  </r>
  <r>
    <n v="208"/>
    <m/>
    <m/>
    <m/>
    <m/>
    <n v="332"/>
    <s v="Paralysis agitans"/>
    <x v="81"/>
    <s v="M"/>
    <m/>
    <m/>
    <s v="NA"/>
    <s v="NA"/>
    <s v="NA"/>
    <s v="NA"/>
    <s v="NA"/>
    <s v="NA"/>
    <s v="NA"/>
    <s v="NA"/>
    <s v="NA"/>
    <s v="NA"/>
    <s v="NA"/>
    <s v="NA"/>
    <s v="NA"/>
    <s v="NA"/>
    <s v="NA"/>
    <s v="NA"/>
    <s v="NA"/>
    <s v="NA"/>
    <s v="NA"/>
    <s v="NA"/>
    <s v="NA"/>
  </r>
  <r>
    <n v="209"/>
    <m/>
    <m/>
    <m/>
    <m/>
    <s v="NA"/>
    <s v="NA"/>
    <x v="35"/>
    <s v="NA"/>
    <m/>
    <m/>
    <s v="NA"/>
    <s v="NA"/>
    <s v="NA"/>
    <s v="NA"/>
    <s v="NA"/>
    <s v="NA"/>
    <s v="NA"/>
    <s v="NA"/>
    <s v="NA"/>
    <s v="NA"/>
    <s v="NA"/>
    <s v="NA"/>
    <s v="NA"/>
    <s v="NA"/>
    <s v="NA"/>
    <s v="NA"/>
    <s v="NA"/>
    <s v="NA"/>
    <s v="NA"/>
    <s v="NA"/>
    <s v="NA"/>
  </r>
  <r>
    <n v="210"/>
    <m/>
    <m/>
    <m/>
    <m/>
    <n v="333.1"/>
    <s v="Essential and other specified forms of tremor"/>
    <x v="82"/>
    <s v="M"/>
    <m/>
    <m/>
    <s v="NA"/>
    <s v="NA"/>
    <s v="NA"/>
    <s v="NA"/>
    <s v="NA"/>
    <s v="NA"/>
    <s v="NA"/>
    <s v="NA"/>
    <s v="NA"/>
    <s v="NA"/>
    <s v="NA"/>
    <s v="NA"/>
    <s v="NA"/>
    <s v="NA"/>
    <s v="NA"/>
    <s v="NA"/>
    <s v="NA"/>
    <s v="NA"/>
    <s v="NA"/>
    <s v="NA"/>
    <s v="NA"/>
  </r>
  <r>
    <n v="211"/>
    <m/>
    <m/>
    <m/>
    <m/>
    <n v="333.1"/>
    <s v="Essential and other specified forms of tremor"/>
    <x v="37"/>
    <s v="F"/>
    <m/>
    <m/>
    <s v="NA"/>
    <s v="NA"/>
    <s v="NA"/>
    <s v="NA"/>
    <s v="NA"/>
    <s v="NA"/>
    <s v="NA"/>
    <s v="NA"/>
    <s v="NA"/>
    <s v="NA"/>
    <s v="NA"/>
    <s v="NA"/>
    <s v="NA"/>
    <s v="NA"/>
    <s v="NA"/>
    <s v="NA"/>
    <s v="NA"/>
    <s v="NA"/>
    <s v="NA"/>
    <s v="NA"/>
    <s v="NA"/>
  </r>
  <r>
    <n v="212"/>
    <m/>
    <m/>
    <m/>
    <m/>
    <n v="333.1"/>
    <s v="Essential and other specified forms of tremor"/>
    <x v="83"/>
    <s v="F"/>
    <m/>
    <m/>
    <n v="18.193000000000001"/>
    <n v="14.781000000000001"/>
    <n v="33.476999999999997"/>
    <n v="32.194000000000003"/>
    <n v="21.241"/>
    <n v="21.097999999999999"/>
    <n v="78.066999999999993"/>
    <n v="81.006"/>
    <n v="71.626999999999995"/>
    <n v="73.010999999999996"/>
    <n v="28.373000000000001"/>
    <n v="26.989000000000001"/>
    <n v="22.266999999999999"/>
    <n v="22.172999999999998"/>
    <n v="26.989000000000001"/>
    <n v="28.373000000000001"/>
    <n v="19.23"/>
    <n v="7"/>
    <n v="7"/>
    <n v="7"/>
    <n v="7"/>
  </r>
  <r>
    <n v="213"/>
    <m/>
    <m/>
    <m/>
    <m/>
    <n v="333.1"/>
    <s v="Essential and other specified forms of tremor"/>
    <x v="84"/>
    <s v="F"/>
    <m/>
    <m/>
    <n v="55.232999999999997"/>
    <n v="54.441000000000003"/>
    <n v="108.67400000000001"/>
    <n v="110.944"/>
    <n v="82.221999999999994"/>
    <n v="80.802999999999997"/>
    <n v="91.007999999999996"/>
    <n v="88.519000000000005"/>
    <n v="64.861999999999995"/>
    <n v="64.102999999999994"/>
    <n v="35.137999999999998"/>
    <n v="35.896999999999998"/>
    <n v="14.342000000000001"/>
    <n v="16.212"/>
    <n v="35.896999999999998"/>
    <n v="35.137999999999998"/>
    <n v="11.798"/>
    <n v="7"/>
    <n v="10"/>
    <n v="7"/>
    <n v="7"/>
  </r>
  <r>
    <n v="214"/>
    <m/>
    <m/>
    <m/>
    <m/>
    <n v="781.2"/>
    <s v="Abnormality of gait"/>
    <x v="16"/>
    <s v="M"/>
    <m/>
    <m/>
    <n v="39.167999999999999"/>
    <n v="35.308"/>
    <n v="75.239000000000004"/>
    <n v="74.475999999999999"/>
    <n v="54.198"/>
    <n v="52.546999999999997"/>
    <n v="87.936000000000007"/>
    <n v="86.134"/>
    <n v="70.067999999999998"/>
    <n v="68.180999999999997"/>
    <n v="29.931999999999999"/>
    <n v="31.818999999999999"/>
    <n v="24.582000000000001"/>
    <n v="14.755000000000001"/>
    <n v="31.818999999999999"/>
    <n v="29.931999999999999"/>
    <n v="14.433"/>
    <n v="8"/>
    <n v="11"/>
    <n v="8"/>
    <n v="8"/>
  </r>
  <r>
    <n v="215"/>
    <m/>
    <m/>
    <m/>
    <m/>
    <n v="333.1"/>
    <s v="Essential and other specified forms of tremor"/>
    <x v="85"/>
    <s v="M"/>
    <m/>
    <m/>
    <n v="55.566000000000003"/>
    <n v="63.142000000000003"/>
    <n v="118.77"/>
    <n v="118.699"/>
    <n v="105.666"/>
    <n v="105.69499999999999"/>
    <n v="106.423"/>
    <n v="106.542"/>
    <n v="61.819000000000003"/>
    <n v="62.423000000000002"/>
    <n v="38.180999999999997"/>
    <n v="37.576999999999998"/>
    <n v="10.176"/>
    <n v="14.129"/>
    <n v="37.576999999999998"/>
    <n v="38.180999999999997"/>
    <n v="12.75"/>
    <n v="9"/>
    <n v="10"/>
    <n v="9"/>
    <n v="9"/>
  </r>
  <r>
    <n v="216"/>
    <m/>
    <m/>
    <m/>
    <m/>
    <n v="333.89"/>
    <s v="Other fragments of torsion dystonia"/>
    <x v="86"/>
    <s v="F"/>
    <m/>
    <m/>
    <n v="26.058"/>
    <n v="21.103999999999999"/>
    <n v="46.795000000000002"/>
    <n v="49.155000000000001"/>
    <n v="25.701000000000001"/>
    <n v="26.86"/>
    <n v="66.626999999999995"/>
    <n v="66.872"/>
    <n v="69.992000000000004"/>
    <n v="65.361000000000004"/>
    <n v="30.007999999999999"/>
    <n v="34.639000000000003"/>
    <n v="20.277999999999999"/>
    <n v="16.234999999999999"/>
    <n v="34.639000000000003"/>
    <n v="30.007999999999999"/>
    <n v="20.85"/>
    <n v="5"/>
    <n v="5"/>
    <n v="5"/>
    <n v="5"/>
  </r>
  <r>
    <n v="218"/>
    <m/>
    <m/>
    <m/>
    <m/>
    <n v="333.1"/>
    <s v="Essential and other specified forms of tremor"/>
    <x v="51"/>
    <s v="M"/>
    <m/>
    <m/>
    <s v="NA"/>
    <s v="NA"/>
    <s v="NA"/>
    <s v="NA"/>
    <s v="NA"/>
    <s v="NA"/>
    <s v="NA"/>
    <s v="NA"/>
    <s v="NA"/>
    <s v="NA"/>
    <s v="NA"/>
    <s v="NA"/>
    <s v="NA"/>
    <s v="NA"/>
    <s v="NA"/>
    <s v="NA"/>
    <s v="NA"/>
    <s v="NA"/>
    <s v="NA"/>
    <s v="NA"/>
    <s v="NA"/>
  </r>
  <r>
    <n v="219"/>
    <m/>
    <m/>
    <m/>
    <m/>
    <n v="333.1"/>
    <s v="Essential and other specified forms of tremor"/>
    <x v="87"/>
    <s v="F"/>
    <m/>
    <m/>
    <n v="25.469000000000001"/>
    <n v="23.902999999999999"/>
    <n v="49.98"/>
    <n v="49.896000000000001"/>
    <n v="36.566000000000003"/>
    <n v="37.046999999999997"/>
    <n v="87.489000000000004"/>
    <n v="88.245000000000005"/>
    <n v="69.14"/>
    <n v="68.915999999999997"/>
    <n v="30.86"/>
    <n v="31.084"/>
    <n v="18.443999999999999"/>
    <n v="19.488"/>
    <n v="31.084"/>
    <n v="30.86"/>
    <n v="16.375"/>
    <n v="16"/>
    <n v="15"/>
    <n v="15"/>
    <n v="15"/>
  </r>
  <r>
    <n v="220"/>
    <m/>
    <m/>
    <m/>
    <m/>
    <n v="333.1"/>
    <s v="Essential and other specified forms of tremor"/>
    <x v="88"/>
    <s v="M"/>
    <m/>
    <m/>
    <s v="NA"/>
    <s v="NA"/>
    <s v="NA"/>
    <s v="NA"/>
    <s v="NA"/>
    <s v="NA"/>
    <s v="NA"/>
    <s v="NA"/>
    <s v="NA"/>
    <s v="NA"/>
    <s v="NA"/>
    <s v="NA"/>
    <s v="NA"/>
    <s v="NA"/>
    <s v="NA"/>
    <s v="NA"/>
    <s v="NA"/>
    <s v="NA"/>
    <s v="NA"/>
    <s v="NA"/>
    <s v="NA"/>
  </r>
  <r>
    <n v="221"/>
    <m/>
    <m/>
    <m/>
    <m/>
    <n v="333.1"/>
    <s v="Essential and other specified forms of tremor"/>
    <x v="89"/>
    <s v="M"/>
    <m/>
    <m/>
    <n v="55.023000000000003"/>
    <n v="51.679000000000002"/>
    <n v="107.67400000000001"/>
    <n v="107.01600000000001"/>
    <n v="109.34399999999999"/>
    <n v="109.872"/>
    <n v="122.245"/>
    <n v="123.502"/>
    <n v="62.021000000000001"/>
    <n v="62.386000000000003"/>
    <n v="37.978999999999999"/>
    <n v="37.613999999999997"/>
    <n v="11.836"/>
    <n v="12.253"/>
    <n v="37.613999999999997"/>
    <n v="37.978999999999999"/>
    <n v="7.93"/>
    <n v="13"/>
    <n v="12"/>
    <n v="12"/>
    <n v="12"/>
  </r>
  <r>
    <n v="222"/>
    <m/>
    <m/>
    <m/>
    <m/>
    <n v="781.3"/>
    <s v="Lack of coordination"/>
    <x v="90"/>
    <s v="M"/>
    <m/>
    <m/>
    <n v="48.18"/>
    <n v="44.24"/>
    <n v="93.74"/>
    <n v="92.18"/>
    <n v="64.778999999999996"/>
    <n v="65.028000000000006"/>
    <n v="83.278999999999996"/>
    <n v="84.406000000000006"/>
    <n v="66.84"/>
    <n v="65.031999999999996"/>
    <n v="33.159999999999997"/>
    <n v="34.968000000000004"/>
    <n v="15.302"/>
    <n v="16.454000000000001"/>
    <n v="34.968000000000004"/>
    <n v="33.159999999999997"/>
    <n v="18.073"/>
    <n v="12"/>
    <n v="14"/>
    <n v="12"/>
    <n v="12"/>
  </r>
  <r>
    <n v="223"/>
    <m/>
    <m/>
    <m/>
    <m/>
    <n v="333"/>
    <s v="Other degenerative diseases of the basal ganglia"/>
    <x v="9"/>
    <s v="M"/>
    <m/>
    <m/>
    <n v="39.817"/>
    <n v="36.844999999999999"/>
    <n v="76.611000000000004"/>
    <n v="76.813000000000002"/>
    <n v="73.024000000000001"/>
    <n v="73.137"/>
    <n v="114.279"/>
    <n v="113.95699999999999"/>
    <n v="64.477999999999994"/>
    <n v="65.066000000000003"/>
    <n v="35.521000000000001"/>
    <n v="34.933999999999997"/>
    <n v="14.999000000000001"/>
    <n v="14.664999999999999"/>
    <n v="34.933999999999997"/>
    <n v="35.521000000000001"/>
    <n v="13.8"/>
    <n v="10"/>
    <n v="11"/>
    <n v="10"/>
    <n v="10"/>
  </r>
  <r>
    <n v="224"/>
    <m/>
    <m/>
    <m/>
    <m/>
    <n v="781.2"/>
    <s v="Abnormality of gait"/>
    <x v="17"/>
    <s v="M"/>
    <m/>
    <m/>
    <s v="NA"/>
    <s v="NA"/>
    <s v="NA"/>
    <s v="NA"/>
    <s v="NA"/>
    <s v="NA"/>
    <s v="NA"/>
    <s v="NA"/>
    <s v="NA"/>
    <s v="NA"/>
    <s v="NA"/>
    <s v="NA"/>
    <s v="NA"/>
    <s v="NA"/>
    <s v="NA"/>
    <s v="NA"/>
    <s v="NA"/>
    <s v="NA"/>
    <s v="NA"/>
    <s v="NA"/>
    <s v="NA"/>
  </r>
  <r>
    <n v="225"/>
    <m/>
    <m/>
    <m/>
    <m/>
    <n v="333.1"/>
    <s v="Essential and other specified forms of tremor"/>
    <x v="91"/>
    <s v="F"/>
    <m/>
    <m/>
    <s v="NA"/>
    <s v="NA"/>
    <s v="NA"/>
    <s v="NA"/>
    <s v="NA"/>
    <s v="NA"/>
    <s v="NA"/>
    <s v="NA"/>
    <s v="NA"/>
    <s v="NA"/>
    <s v="NA"/>
    <s v="NA"/>
    <s v="NA"/>
    <s v="NA"/>
    <s v="NA"/>
    <s v="NA"/>
    <s v="NA"/>
    <s v="NA"/>
    <s v="NA"/>
    <s v="NA"/>
    <s v="NA"/>
  </r>
  <r>
    <n v="226"/>
    <m/>
    <m/>
    <m/>
    <m/>
    <n v="332"/>
    <s v="Paralysis agitans"/>
    <x v="5"/>
    <s v="M"/>
    <m/>
    <m/>
    <n v="66.914000000000001"/>
    <n v="66.728999999999999"/>
    <n v="134.51400000000001"/>
    <n v="132.00899999999999"/>
    <n v="135.81200000000001"/>
    <n v="132.90600000000001"/>
    <n v="120.80800000000001"/>
    <n v="117.99"/>
    <n v="60.058999999999997"/>
    <n v="59.283000000000001"/>
    <n v="39.941000000000003"/>
    <n v="40.716999999999999"/>
    <n v="9.4890000000000008"/>
    <n v="9.5879999999999992"/>
    <n v="40.716999999999999"/>
    <n v="39.941000000000003"/>
    <n v="12.723000000000001"/>
    <n v="6"/>
    <n v="4"/>
    <n v="4"/>
    <n v="4"/>
  </r>
  <r>
    <n v="228"/>
    <m/>
    <m/>
    <m/>
    <m/>
    <n v="334.3"/>
    <s v="Other cerebellar ataxia"/>
    <x v="92"/>
    <s v="M"/>
    <m/>
    <m/>
    <s v="NA"/>
    <s v="NA"/>
    <s v="NA"/>
    <s v="NA"/>
    <s v="NA"/>
    <s v="NA"/>
    <s v="NA"/>
    <s v="NA"/>
    <s v="NA"/>
    <s v="NA"/>
    <s v="NA"/>
    <s v="NA"/>
    <s v="NA"/>
    <s v="NA"/>
    <s v="NA"/>
    <s v="NA"/>
    <s v="NA"/>
    <s v="NA"/>
    <s v="NA"/>
    <s v="NA"/>
    <s v="NA"/>
  </r>
  <r>
    <n v="231"/>
    <m/>
    <m/>
    <m/>
    <m/>
    <s v="NA"/>
    <s v="NA"/>
    <x v="93"/>
    <s v="M"/>
    <m/>
    <m/>
    <n v="65.066999999999993"/>
    <n v="67.024000000000001"/>
    <n v="131.85599999999999"/>
    <n v="132.012"/>
    <n v="110.312"/>
    <n v="109.646"/>
    <n v="100.328"/>
    <n v="99.82"/>
    <n v="62.036999999999999"/>
    <n v="62.960999999999999"/>
    <n v="37.963000000000001"/>
    <n v="37.039000000000001"/>
    <n v="12.49"/>
    <n v="12.94"/>
    <n v="37.039000000000001"/>
    <n v="37.963000000000001"/>
    <n v="12.113"/>
    <n v="14"/>
    <n v="16"/>
    <n v="14"/>
    <n v="14"/>
  </r>
  <r>
    <n v="232"/>
    <m/>
    <m/>
    <m/>
    <m/>
    <n v="333.1"/>
    <s v="Essential and other specified forms of tremor"/>
    <x v="94"/>
    <s v="M"/>
    <m/>
    <m/>
    <n v="57.417999999999999"/>
    <n v="53.640999999999998"/>
    <n v="110.148"/>
    <n v="111.991"/>
    <n v="83.858000000000004"/>
    <n v="84.299000000000007"/>
    <n v="91.52"/>
    <n v="91.028999999999996"/>
    <n v="62.762"/>
    <n v="63.948999999999998"/>
    <n v="37.238"/>
    <n v="36.051000000000002"/>
    <n v="13.802"/>
    <n v="12.73"/>
    <n v="36.051000000000002"/>
    <n v="37.238"/>
    <n v="12.458"/>
    <n v="14"/>
    <n v="15"/>
    <n v="14"/>
    <n v="14"/>
  </r>
  <r>
    <n v="233"/>
    <m/>
    <m/>
    <m/>
    <m/>
    <n v="333.1"/>
    <s v="Essential and other specified forms of tremor"/>
    <x v="95"/>
    <s v="M"/>
    <m/>
    <m/>
    <s v="NA"/>
    <s v="NA"/>
    <s v="NA"/>
    <s v="NA"/>
    <s v="NA"/>
    <s v="NA"/>
    <s v="NA"/>
    <s v="NA"/>
    <s v="NA"/>
    <s v="NA"/>
    <s v="NA"/>
    <s v="NA"/>
    <s v="NA"/>
    <s v="NA"/>
    <s v="NA"/>
    <s v="NA"/>
    <s v="NA"/>
    <s v="NA"/>
    <s v="NA"/>
    <s v="NA"/>
    <s v="NA"/>
  </r>
  <r>
    <n v="234"/>
    <m/>
    <m/>
    <m/>
    <m/>
    <n v="332"/>
    <s v="Paralysis agitans"/>
    <x v="96"/>
    <s v="M"/>
    <m/>
    <m/>
    <s v="NA"/>
    <s v="NA"/>
    <s v="NA"/>
    <s v="NA"/>
    <s v="NA"/>
    <s v="NA"/>
    <s v="NA"/>
    <s v="NA"/>
    <s v="NA"/>
    <s v="NA"/>
    <s v="NA"/>
    <s v="NA"/>
    <s v="NA"/>
    <s v="NA"/>
    <s v="NA"/>
    <s v="NA"/>
    <s v="NA"/>
    <s v="NA"/>
    <s v="NA"/>
    <s v="NA"/>
    <s v="NA"/>
  </r>
  <r>
    <n v="235"/>
    <m/>
    <m/>
    <m/>
    <m/>
    <n v="332"/>
    <s v="Paralysis agitans"/>
    <x v="49"/>
    <s v="F"/>
    <m/>
    <m/>
    <n v="62.527999999999999"/>
    <n v="64.539000000000001"/>
    <n v="127.23399999999999"/>
    <n v="127.851"/>
    <n v="103.014"/>
    <n v="104.511"/>
    <n v="97.498000000000005"/>
    <n v="97.983999999999995"/>
    <n v="60.759"/>
    <n v="59.607999999999997"/>
    <n v="39.241"/>
    <n v="40.392000000000003"/>
    <n v="9.4570000000000007"/>
    <n v="11.055999999999999"/>
    <n v="40.392000000000003"/>
    <n v="39.241"/>
    <n v="16.992999999999999"/>
    <n v="10"/>
    <n v="8"/>
    <n v="8"/>
    <n v="8"/>
  </r>
  <r>
    <n v="236"/>
    <m/>
    <m/>
    <m/>
    <m/>
    <n v="781.2"/>
    <s v="Abnormality of gait"/>
    <x v="97"/>
    <s v="F"/>
    <m/>
    <m/>
    <n v="12.452"/>
    <n v="16.946000000000002"/>
    <n v="32.445"/>
    <n v="29.536999999999999"/>
    <n v="19.253"/>
    <n v="17.937000000000001"/>
    <n v="71.180000000000007"/>
    <n v="70.177999999999997"/>
    <n v="66.165000000000006"/>
    <n v="72.209999999999994"/>
    <n v="33.835000000000001"/>
    <n v="27.79"/>
    <n v="18.193999999999999"/>
    <n v="21.026"/>
    <n v="27.79"/>
    <n v="33.835000000000001"/>
    <n v="10.585000000000001"/>
    <n v="6"/>
    <n v="7"/>
    <n v="6"/>
    <n v="6"/>
  </r>
  <r>
    <n v="237"/>
    <m/>
    <m/>
    <m/>
    <m/>
    <s v="NA"/>
    <s v="NA"/>
    <x v="35"/>
    <s v="NA"/>
    <m/>
    <m/>
    <s v="NA"/>
    <s v="NA"/>
    <s v="NA"/>
    <s v="NA"/>
    <s v="NA"/>
    <s v="NA"/>
    <s v="NA"/>
    <s v="NA"/>
    <s v="NA"/>
    <s v="NA"/>
    <s v="NA"/>
    <s v="NA"/>
    <s v="NA"/>
    <s v="NA"/>
    <s v="NA"/>
    <s v="NA"/>
    <s v="NA"/>
    <s v="NA"/>
    <s v="NA"/>
    <s v="NA"/>
    <s v="NA"/>
  </r>
  <r>
    <n v="239"/>
    <m/>
    <m/>
    <m/>
    <m/>
    <n v="332"/>
    <s v="Paralysis agitans"/>
    <x v="80"/>
    <s v="M"/>
    <m/>
    <m/>
    <n v="20.663"/>
    <n v="21.312000000000001"/>
    <n v="41.734999999999999"/>
    <n v="42.206000000000003"/>
    <n v="17.673999999999999"/>
    <n v="17.702000000000002"/>
    <n v="50.448999999999998"/>
    <n v="50.622"/>
    <n v="80.62"/>
    <n v="74.697000000000003"/>
    <n v="19.38"/>
    <n v="25.303000000000001"/>
    <n v="34.234999999999999"/>
    <n v="22.026"/>
    <n v="25.303000000000001"/>
    <n v="19.38"/>
    <n v="20.82"/>
    <n v="17"/>
    <n v="18"/>
    <n v="17"/>
    <n v="17"/>
  </r>
  <r>
    <n v="240"/>
    <m/>
    <m/>
    <m/>
    <m/>
    <n v="332"/>
    <s v="Paralysis agitans"/>
    <x v="98"/>
    <s v="M"/>
    <m/>
    <m/>
    <s v="NA"/>
    <s v="NA"/>
    <s v="NA"/>
    <s v="NA"/>
    <s v="NA"/>
    <s v="NA"/>
    <s v="NA"/>
    <s v="NA"/>
    <s v="NA"/>
    <s v="NA"/>
    <s v="NA"/>
    <s v="NA"/>
    <s v="NA"/>
    <s v="NA"/>
    <s v="NA"/>
    <s v="NA"/>
    <s v="NA"/>
    <s v="NA"/>
    <s v="NA"/>
    <s v="NA"/>
    <s v="NA"/>
  </r>
  <r>
    <n v="241"/>
    <m/>
    <m/>
    <m/>
    <m/>
    <n v="333.1"/>
    <s v="Essential and other specified forms of tremor"/>
    <x v="34"/>
    <s v="M"/>
    <m/>
    <m/>
    <n v="41.439"/>
    <n v="40.225000000000001"/>
    <n v="79.331000000000003"/>
    <n v="80.563999999999993"/>
    <n v="62.451999999999998"/>
    <n v="62.680999999999997"/>
    <n v="94.384"/>
    <n v="94.194999999999993"/>
    <n v="65.144999999999996"/>
    <n v="65.510000000000005"/>
    <n v="34.854999999999997"/>
    <n v="34.49"/>
    <n v="14.704000000000001"/>
    <n v="16.183"/>
    <n v="34.49"/>
    <n v="34.854999999999997"/>
    <n v="15.82"/>
    <n v="17"/>
    <n v="17"/>
    <n v="17"/>
    <n v="17"/>
  </r>
  <r>
    <n v="244"/>
    <m/>
    <m/>
    <m/>
    <m/>
    <s v="G20"/>
    <s v="Parkinson's disease"/>
    <x v="99"/>
    <s v="M"/>
    <m/>
    <m/>
    <s v="NA"/>
    <s v="NA"/>
    <s v="NA"/>
    <s v="NA"/>
    <s v="NA"/>
    <s v="NA"/>
    <s v="NA"/>
    <s v="NA"/>
    <s v="NA"/>
    <s v="NA"/>
    <s v="NA"/>
    <s v="NA"/>
    <s v="NA"/>
    <s v="NA"/>
    <s v="NA"/>
    <s v="NA"/>
    <s v="NA"/>
    <s v="NA"/>
    <s v="NA"/>
    <s v="NA"/>
    <s v="NA"/>
  </r>
  <r>
    <n v="245"/>
    <m/>
    <m/>
    <m/>
    <m/>
    <s v="G24.3"/>
    <s v="Spasmodic torticollis"/>
    <x v="100"/>
    <s v="M"/>
    <m/>
    <m/>
    <n v="75.192999999999998"/>
    <n v="75.046999999999997"/>
    <n v="150.97300000000001"/>
    <n v="150.792"/>
    <n v="161.20099999999999"/>
    <n v="160.809"/>
    <n v="128.61000000000001"/>
    <n v="126.92100000000001"/>
    <n v="59.192"/>
    <n v="58.877000000000002"/>
    <n v="40.808"/>
    <n v="41.122999999999998"/>
    <n v="8.5749999999999993"/>
    <n v="9.2430000000000003"/>
    <n v="41.122999999999998"/>
    <n v="40.808"/>
    <n v="13.353999999999999"/>
    <n v="10"/>
    <n v="6"/>
    <n v="6"/>
    <n v="6"/>
  </r>
  <r>
    <n v="246"/>
    <m/>
    <m/>
    <m/>
    <m/>
    <s v="NA"/>
    <s v="NA"/>
    <x v="35"/>
    <s v="NA"/>
    <m/>
    <m/>
    <n v="55.615000000000002"/>
    <n v="54.372"/>
    <n v="109.923"/>
    <n v="109.669"/>
    <n v="103.19199999999999"/>
    <n v="103.15600000000001"/>
    <n v="112.499"/>
    <n v="112.57299999999999"/>
    <n v="65.009"/>
    <n v="62.77"/>
    <n v="34.991"/>
    <n v="37.229999999999997"/>
    <n v="13.334"/>
    <n v="14.771000000000001"/>
    <n v="37.229999999999997"/>
    <n v="34.991"/>
    <n v="15.124000000000001"/>
    <n v="11"/>
    <n v="12"/>
    <n v="11"/>
    <n v="11"/>
  </r>
  <r>
    <n v="247"/>
    <m/>
    <m/>
    <m/>
    <m/>
    <s v="G25.0"/>
    <s v="Essential tremor"/>
    <x v="101"/>
    <s v="F"/>
    <m/>
    <m/>
    <n v="10.702999999999999"/>
    <n v="13.281000000000001"/>
    <n v="23.68"/>
    <n v="23.408999999999999"/>
    <n v="5.8730000000000002"/>
    <n v="5.2960000000000003"/>
    <n v="30.363"/>
    <n v="29.638999999999999"/>
    <n v="93.536000000000001"/>
    <n v="93.417000000000002"/>
    <n v="6.4640000000000004"/>
    <n v="6.5830000000000002"/>
    <n v="50.073999999999998"/>
    <n v="42.348999999999997"/>
    <n v="6.5830000000000002"/>
    <n v="6.4640000000000004"/>
    <n v="38.69"/>
    <n v="9"/>
    <n v="9"/>
    <n v="9"/>
    <n v="9"/>
  </r>
  <r>
    <n v="248"/>
    <m/>
    <m/>
    <m/>
    <m/>
    <s v="G20"/>
    <s v="Parkinson's disease"/>
    <x v="102"/>
    <s v="F"/>
    <m/>
    <m/>
    <n v="70.483999999999995"/>
    <n v="72.885000000000005"/>
    <n v="144.297"/>
    <n v="143.12700000000001"/>
    <n v="143.54900000000001"/>
    <n v="141.74100000000001"/>
    <n v="119.43300000000001"/>
    <n v="118.545"/>
    <n v="61.689"/>
    <n v="59.158999999999999"/>
    <n v="38.311"/>
    <n v="40.841000000000001"/>
    <n v="10.779"/>
    <n v="10.693"/>
    <n v="40.841000000000001"/>
    <n v="38.311"/>
    <n v="9.4"/>
    <n v="10"/>
    <n v="8"/>
    <n v="8"/>
    <n v="8"/>
  </r>
  <r>
    <n v="249"/>
    <m/>
    <m/>
    <m/>
    <m/>
    <s v="G25.0"/>
    <s v="Essential tremor"/>
    <x v="103"/>
    <s v="F"/>
    <m/>
    <m/>
    <n v="30.780999999999999"/>
    <n v="33.311"/>
    <n v="63.984000000000002"/>
    <n v="64.302000000000007"/>
    <n v="52.094999999999999"/>
    <n v="52.404000000000003"/>
    <n v="97.341999999999999"/>
    <n v="97.873000000000005"/>
    <n v="67.05"/>
    <n v="66.968000000000004"/>
    <n v="32.950000000000003"/>
    <n v="33.031999999999996"/>
    <n v="15.821"/>
    <n v="17.876999999999999"/>
    <n v="33.031999999999996"/>
    <n v="32.950000000000003"/>
    <n v="12.8"/>
    <n v="19"/>
    <n v="19"/>
    <n v="19"/>
    <n v="19"/>
  </r>
  <r>
    <n v="250"/>
    <m/>
    <m/>
    <m/>
    <m/>
    <s v="R25.1"/>
    <s v="Tremor, unspecified"/>
    <x v="104"/>
    <s v="M"/>
    <m/>
    <m/>
    <n v="74.522000000000006"/>
    <n v="74.858999999999995"/>
    <n v="149.34"/>
    <n v="149.47"/>
    <n v="135.822"/>
    <n v="135.76499999999999"/>
    <n v="109.03100000000001"/>
    <n v="108.51600000000001"/>
    <n v="58.957999999999998"/>
    <n v="61.36"/>
    <n v="41.042000000000002"/>
    <n v="38.64"/>
    <n v="10.6"/>
    <n v="9.8979999999999997"/>
    <n v="38.64"/>
    <n v="41.042000000000002"/>
    <n v="7.1639999999999997"/>
    <n v="9"/>
    <n v="7"/>
    <n v="7"/>
    <n v="7"/>
  </r>
  <r>
    <n v="251"/>
    <m/>
    <m/>
    <m/>
    <m/>
    <s v="NA"/>
    <s v="NA"/>
    <x v="35"/>
    <s v="NA"/>
    <m/>
    <m/>
    <s v="NA"/>
    <s v="NA"/>
    <s v="NA"/>
    <s v="NA"/>
    <s v="NA"/>
    <s v="NA"/>
    <s v="NA"/>
    <s v="NA"/>
    <s v="NA"/>
    <s v="NA"/>
    <s v="NA"/>
    <s v="NA"/>
    <s v="NA"/>
    <s v="NA"/>
    <s v="NA"/>
    <s v="NA"/>
    <s v="NA"/>
    <s v="NA"/>
    <s v="NA"/>
    <s v="NA"/>
    <s v="NA"/>
  </r>
  <r>
    <n v="252"/>
    <m/>
    <m/>
    <m/>
    <m/>
    <s v="G20"/>
    <s v="Parkinson's disease"/>
    <x v="105"/>
    <s v="M"/>
    <m/>
    <m/>
    <s v="NA"/>
    <s v="NA"/>
    <s v="NA"/>
    <s v="NA"/>
    <s v="NA"/>
    <s v="NA"/>
    <s v="NA"/>
    <s v="NA"/>
    <s v="NA"/>
    <s v="NA"/>
    <s v="NA"/>
    <s v="NA"/>
    <s v="NA"/>
    <s v="NA"/>
    <s v="NA"/>
    <s v="NA"/>
    <s v="NA"/>
    <s v="NA"/>
    <s v="NA"/>
    <s v="NA"/>
    <s v="NA"/>
  </r>
  <r>
    <n v="253"/>
    <m/>
    <m/>
    <m/>
    <m/>
    <s v="G20"/>
    <s v="Parkinson's disease"/>
    <x v="106"/>
    <s v="M"/>
    <m/>
    <m/>
    <n v="54.064"/>
    <n v="47.936"/>
    <n v="101.82599999999999"/>
    <n v="101.63800000000001"/>
    <n v="104.61499999999999"/>
    <n v="103.974"/>
    <n v="122.248"/>
    <n v="122.452"/>
    <n v="62.326000000000001"/>
    <n v="60.463000000000001"/>
    <n v="37.673999999999999"/>
    <n v="39.536999999999999"/>
    <n v="11.183"/>
    <n v="11.303000000000001"/>
    <n v="39.536999999999999"/>
    <n v="37.673999999999999"/>
    <n v="8.9920000000000009"/>
    <n v="10"/>
    <n v="13"/>
    <n v="10"/>
    <n v="10"/>
  </r>
  <r>
    <n v="254"/>
    <m/>
    <m/>
    <m/>
    <m/>
    <s v="NA"/>
    <s v="NA"/>
    <x v="35"/>
    <s v="NA"/>
    <m/>
    <m/>
    <s v="NA"/>
    <s v="NA"/>
    <s v="NA"/>
    <s v="NA"/>
    <s v="NA"/>
    <s v="NA"/>
    <s v="NA"/>
    <s v="NA"/>
    <s v="NA"/>
    <s v="NA"/>
    <s v="NA"/>
    <s v="NA"/>
    <s v="NA"/>
    <s v="NA"/>
    <s v="NA"/>
    <s v="NA"/>
    <s v="NA"/>
    <s v="NA"/>
    <s v="NA"/>
    <s v="NA"/>
    <s v="NA"/>
  </r>
  <r>
    <n v="255"/>
    <m/>
    <m/>
    <m/>
    <m/>
    <s v="NA"/>
    <s v="NA"/>
    <x v="35"/>
    <s v="NA"/>
    <m/>
    <m/>
    <n v="44.902999999999999"/>
    <n v="42.869"/>
    <n v="87.674000000000007"/>
    <n v="87.974999999999994"/>
    <n v="63.341999999999999"/>
    <n v="63.694000000000003"/>
    <n v="87.031999999999996"/>
    <n v="86.664000000000001"/>
    <n v="64.519000000000005"/>
    <n v="66.203999999999994"/>
    <n v="35.481000000000002"/>
    <n v="33.795999999999999"/>
    <n v="14.708"/>
    <n v="16.056999999999999"/>
    <n v="33.795999999999999"/>
    <n v="35.481000000000002"/>
    <n v="14.09"/>
    <n v="15"/>
    <n v="16"/>
    <n v="15"/>
    <n v="15"/>
  </r>
  <r>
    <n v="256"/>
    <m/>
    <m/>
    <m/>
    <m/>
    <s v="G25.0"/>
    <s v="Essential tremor"/>
    <x v="107"/>
    <s v="M"/>
    <m/>
    <m/>
    <n v="58.113"/>
    <n v="54.476999999999997"/>
    <n v="112.223"/>
    <n v="113.50700000000001"/>
    <n v="97.832999999999998"/>
    <n v="98.725999999999999"/>
    <n v="104.078"/>
    <n v="104.125"/>
    <n v="62.908999999999999"/>
    <n v="63.616999999999997"/>
    <n v="37.091000000000001"/>
    <n v="36.383000000000003"/>
    <n v="14.233000000000001"/>
    <n v="12.936"/>
    <n v="36.383000000000003"/>
    <n v="37.091000000000001"/>
    <n v="8.5559999999999992"/>
    <n v="11"/>
    <n v="11"/>
    <n v="11"/>
    <n v="11"/>
  </r>
  <r>
    <n v="257"/>
    <m/>
    <m/>
    <m/>
    <m/>
    <s v="NA"/>
    <s v="NA"/>
    <x v="35"/>
    <s v="NA"/>
    <m/>
    <m/>
    <s v="NA"/>
    <s v="NA"/>
    <s v="NA"/>
    <s v="NA"/>
    <s v="NA"/>
    <s v="NA"/>
    <s v="NA"/>
    <s v="NA"/>
    <s v="NA"/>
    <s v="NA"/>
    <s v="NA"/>
    <s v="NA"/>
    <s v="NA"/>
    <s v="NA"/>
    <s v="NA"/>
    <s v="NA"/>
    <s v="NA"/>
    <s v="NA"/>
    <s v="NA"/>
    <s v="NA"/>
    <s v="NA"/>
  </r>
  <r>
    <n v="258"/>
    <m/>
    <m/>
    <m/>
    <m/>
    <s v="G20"/>
    <s v="Parkinson's disease"/>
    <x v="108"/>
    <s v="M"/>
    <m/>
    <m/>
    <n v="52.186999999999998"/>
    <n v="45.9"/>
    <n v="98.977000000000004"/>
    <n v="95.488"/>
    <n v="94.039000000000001"/>
    <n v="90.626999999999995"/>
    <n v="114.175"/>
    <n v="114.27800000000001"/>
    <n v="65.501999999999995"/>
    <n v="64.566000000000003"/>
    <n v="34.497999999999998"/>
    <n v="35.433999999999997"/>
    <n v="15.106999999999999"/>
    <n v="14.897"/>
    <n v="35.433999999999997"/>
    <n v="34.497999999999998"/>
    <n v="13.417999999999999"/>
    <n v="15"/>
    <n v="12"/>
    <n v="12"/>
    <n v="12"/>
  </r>
  <r>
    <n v="259"/>
    <m/>
    <m/>
    <m/>
    <m/>
    <s v="G20"/>
    <s v="Parkinson's disease"/>
    <x v="109"/>
    <s v="M"/>
    <m/>
    <m/>
    <n v="47.555"/>
    <n v="51.341000000000001"/>
    <n v="98.561000000000007"/>
    <n v="99.013000000000005"/>
    <n v="98.2"/>
    <n v="99.149000000000001"/>
    <n v="118.324"/>
    <n v="118.985"/>
    <n v="62.796999999999997"/>
    <n v="63.539000000000001"/>
    <n v="37.203000000000003"/>
    <n v="36.460999999999999"/>
    <n v="14.677"/>
    <n v="12.061"/>
    <n v="36.460999999999999"/>
    <n v="37.203000000000003"/>
    <n v="7.7539999999999996"/>
    <n v="10"/>
    <n v="12"/>
    <n v="10"/>
    <n v="10"/>
  </r>
  <r>
    <n v="260"/>
    <m/>
    <m/>
    <m/>
    <m/>
    <s v="G24.9"/>
    <s v="Dystonia, unspecified"/>
    <x v="110"/>
    <s v="F"/>
    <m/>
    <m/>
    <s v="NA"/>
    <s v="NA"/>
    <s v="NA"/>
    <s v="NA"/>
    <s v="NA"/>
    <s v="NA"/>
    <s v="NA"/>
    <s v="NA"/>
    <s v="NA"/>
    <s v="NA"/>
    <s v="NA"/>
    <s v="NA"/>
    <s v="NA"/>
    <s v="NA"/>
    <s v="NA"/>
    <s v="NA"/>
    <s v="NA"/>
    <s v="NA"/>
    <s v="NA"/>
    <s v="NA"/>
    <s v="NA"/>
  </r>
  <r>
    <n v="261"/>
    <m/>
    <m/>
    <m/>
    <m/>
    <s v="G20"/>
    <s v="Parkinson's disease"/>
    <x v="111"/>
    <s v="F"/>
    <m/>
    <m/>
    <n v="49.209000000000003"/>
    <n v="39.923999999999999"/>
    <n v="89.656999999999996"/>
    <n v="89.674999999999997"/>
    <n v="71.588999999999999"/>
    <n v="71.554000000000002"/>
    <n v="95.69"/>
    <n v="96.135999999999996"/>
    <n v="65.686000000000007"/>
    <n v="67.87"/>
    <n v="34.314"/>
    <n v="32.130000000000003"/>
    <n v="16.227"/>
    <n v="17.492000000000001"/>
    <n v="32.130000000000003"/>
    <n v="34.314"/>
    <n v="10.6"/>
    <n v="12"/>
    <n v="12"/>
    <n v="12"/>
    <n v="12"/>
  </r>
  <r>
    <n v="262"/>
    <m/>
    <m/>
    <m/>
    <m/>
    <s v="NA"/>
    <s v="NA"/>
    <x v="9"/>
    <s v="M"/>
    <m/>
    <m/>
    <s v="NA"/>
    <s v="NA"/>
    <s v="NA"/>
    <s v="NA"/>
    <s v="NA"/>
    <s v="NA"/>
    <s v="NA"/>
    <s v="NA"/>
    <s v="NA"/>
    <s v="NA"/>
    <s v="NA"/>
    <s v="NA"/>
    <s v="NA"/>
    <s v="NA"/>
    <s v="NA"/>
    <s v="NA"/>
    <s v="NA"/>
    <s v="NA"/>
    <s v="NA"/>
    <s v="NA"/>
    <s v="NA"/>
  </r>
  <r>
    <n v="263"/>
    <m/>
    <m/>
    <m/>
    <m/>
    <s v="R25.1"/>
    <s v="Tremor, unspecified"/>
    <x v="112"/>
    <s v="M"/>
    <m/>
    <m/>
    <n v="71.603999999999999"/>
    <n v="68.108999999999995"/>
    <n v="139.834"/>
    <n v="139.76"/>
    <n v="140.40799999999999"/>
    <n v="139.679"/>
    <n v="120.04"/>
    <n v="119.35599999999999"/>
    <n v="61.332000000000001"/>
    <n v="61.073999999999998"/>
    <n v="38.667999999999999"/>
    <n v="38.926000000000002"/>
    <n v="11.833"/>
    <n v="11.234999999999999"/>
    <n v="38.926000000000002"/>
    <n v="38.667999999999999"/>
    <n v="11.956"/>
    <n v="10"/>
    <n v="7"/>
    <n v="7"/>
    <n v="7"/>
  </r>
  <r>
    <n v="264"/>
    <m/>
    <m/>
    <m/>
    <m/>
    <s v="NA"/>
    <s v="NA"/>
    <x v="5"/>
    <s v="M"/>
    <m/>
    <m/>
    <s v="NA"/>
    <s v="NA"/>
    <s v="NA"/>
    <s v="NA"/>
    <s v="NA"/>
    <s v="NA"/>
    <s v="NA"/>
    <s v="NA"/>
    <s v="NA"/>
    <s v="NA"/>
    <s v="NA"/>
    <s v="NA"/>
    <s v="NA"/>
    <s v="NA"/>
    <s v="NA"/>
    <s v="NA"/>
    <s v="NA"/>
    <s v="NA"/>
    <s v="NA"/>
    <s v="NA"/>
    <s v="NA"/>
  </r>
  <r>
    <n v="265"/>
    <m/>
    <m/>
    <m/>
    <m/>
    <s v="NA"/>
    <s v="NA"/>
    <x v="35"/>
    <s v="NA"/>
    <m/>
    <m/>
    <n v="53.415999999999997"/>
    <n v="56.051000000000002"/>
    <n v="109.021"/>
    <n v="109.797"/>
    <n v="98.706000000000003"/>
    <n v="99.856999999999999"/>
    <n v="108.202"/>
    <n v="107.81"/>
    <n v="64.007000000000005"/>
    <n v="64.289000000000001"/>
    <n v="35.993000000000002"/>
    <n v="35.710999999999999"/>
    <n v="13.942"/>
    <n v="14.507999999999999"/>
    <n v="35.710999999999999"/>
    <n v="35.993000000000002"/>
    <n v="12.15"/>
    <n v="14"/>
    <n v="10"/>
    <n v="10"/>
    <n v="10"/>
  </r>
  <r>
    <n v="266"/>
    <m/>
    <m/>
    <m/>
    <m/>
    <s v="G20"/>
    <s v="Parkinson's disease"/>
    <x v="9"/>
    <s v="F"/>
    <m/>
    <m/>
    <n v="44.600999999999999"/>
    <n v="45.887"/>
    <n v="90.212000000000003"/>
    <n v="91.275999999999996"/>
    <n v="105.631"/>
    <n v="105.96599999999999"/>
    <n v="140.26"/>
    <n v="140.035"/>
    <n v="61.473999999999997"/>
    <n v="61.046999999999997"/>
    <n v="38.526000000000003"/>
    <n v="38.953000000000003"/>
    <n v="11.026"/>
    <n v="11.686"/>
    <n v="38.953000000000003"/>
    <n v="38.526000000000003"/>
    <n v="5.4459999999999997"/>
    <n v="13"/>
    <n v="15"/>
    <n v="13"/>
    <n v="13"/>
  </r>
  <r>
    <n v="267"/>
    <m/>
    <m/>
    <m/>
    <m/>
    <s v="R25.1"/>
    <s v="Tremor, unspecified"/>
    <x v="107"/>
    <s v="M"/>
    <m/>
    <m/>
    <n v="39.832999999999998"/>
    <n v="35.502000000000002"/>
    <n v="75.334999999999994"/>
    <n v="75.953999999999994"/>
    <n v="73.817999999999998"/>
    <n v="74.63"/>
    <n v="117.554"/>
    <n v="117.071"/>
    <n v="66.816000000000003"/>
    <n v="66.655000000000001"/>
    <n v="33.183999999999997"/>
    <n v="33.344999999999999"/>
    <n v="15.763999999999999"/>
    <n v="17.606999999999999"/>
    <n v="33.344999999999999"/>
    <n v="33.183999999999997"/>
    <n v="17.016999999999999"/>
    <n v="16"/>
    <n v="12"/>
    <n v="12"/>
    <n v="12"/>
  </r>
  <r>
    <n v="268"/>
    <m/>
    <m/>
    <m/>
    <m/>
    <s v="NA"/>
    <s v="NA"/>
    <x v="35"/>
    <s v="NA"/>
    <m/>
    <m/>
    <n v="41.369"/>
    <n v="40.082000000000001"/>
    <n v="81.400000000000006"/>
    <n v="81.631"/>
    <n v="72.742000000000004"/>
    <n v="72.748999999999995"/>
    <n v="106.313"/>
    <n v="106.813"/>
    <n v="65.688000000000002"/>
    <n v="63.854999999999997"/>
    <n v="34.311999999999998"/>
    <n v="36.145000000000003"/>
    <n v="14.015000000000001"/>
    <n v="15.752000000000001"/>
    <n v="36.145000000000003"/>
    <n v="34.311999999999998"/>
    <n v="11.847"/>
    <n v="12"/>
    <n v="12"/>
    <n v="12"/>
    <n v="12"/>
  </r>
  <r>
    <n v="269"/>
    <m/>
    <m/>
    <m/>
    <m/>
    <s v="NA"/>
    <s v="NA"/>
    <x v="113"/>
    <s v="F"/>
    <m/>
    <m/>
    <s v="NA"/>
    <s v="NA"/>
    <s v="NA"/>
    <s v="NA"/>
    <s v="NA"/>
    <s v="NA"/>
    <s v="NA"/>
    <s v="NA"/>
    <s v="NA"/>
    <s v="NA"/>
    <s v="NA"/>
    <s v="NA"/>
    <s v="NA"/>
    <s v="NA"/>
    <s v="NA"/>
    <s v="NA"/>
    <s v="NA"/>
    <s v="NA"/>
    <s v="NA"/>
    <s v="NA"/>
    <s v="NA"/>
  </r>
  <r>
    <n v="270"/>
    <m/>
    <m/>
    <m/>
    <m/>
    <s v="NA"/>
    <s v="NA"/>
    <x v="35"/>
    <s v="NA"/>
    <m/>
    <m/>
    <n v="49.000999999999998"/>
    <n v="49.078000000000003"/>
    <n v="97.828999999999994"/>
    <n v="97.97"/>
    <n v="76.391999999999996"/>
    <n v="76.766000000000005"/>
    <n v="93.682000000000002"/>
    <n v="94.144000000000005"/>
    <n v="63.58"/>
    <n v="66.182000000000002"/>
    <n v="36.42"/>
    <n v="33.817999999999998"/>
    <n v="15.348000000000001"/>
    <n v="14.976000000000001"/>
    <n v="33.817999999999998"/>
    <n v="36.42"/>
    <n v="10.417999999999999"/>
    <n v="15"/>
    <n v="13"/>
    <n v="13"/>
    <n v="13"/>
  </r>
  <r>
    <n v="271"/>
    <m/>
    <m/>
    <m/>
    <m/>
    <s v="R25.1"/>
    <s v="Tremor, unspecified"/>
    <x v="114"/>
    <s v="M"/>
    <m/>
    <m/>
    <n v="24.808"/>
    <n v="29.265000000000001"/>
    <n v="54.609000000000002"/>
    <n v="53.994999999999997"/>
    <n v="22.091999999999999"/>
    <n v="22.077999999999999"/>
    <n v="49.082000000000001"/>
    <n v="48.316000000000003"/>
    <n v="74.326999999999998"/>
    <n v="84.994"/>
    <n v="25.672999999999998"/>
    <n v="15.006"/>
    <n v="32.487000000000002"/>
    <n v="26.774000000000001"/>
    <n v="15.006"/>
    <n v="25.672999999999998"/>
    <n v="30.984999999999999"/>
    <n v="8"/>
    <n v="7"/>
    <n v="7"/>
    <n v="7"/>
  </r>
  <r>
    <n v="272"/>
    <m/>
    <m/>
    <m/>
    <m/>
    <s v="G20"/>
    <s v="Parkinson's disease"/>
    <x v="115"/>
    <s v="M"/>
    <m/>
    <m/>
    <n v="41.613999999999997"/>
    <n v="40.915999999999997"/>
    <n v="82.661000000000001"/>
    <n v="82.885999999999996"/>
    <n v="92.968999999999994"/>
    <n v="92.849000000000004"/>
    <n v="135.08799999999999"/>
    <n v="133.79499999999999"/>
    <n v="62.265000000000001"/>
    <n v="61.585000000000001"/>
    <n v="37.734999999999999"/>
    <n v="38.414999999999999"/>
    <n v="12.355"/>
    <n v="11.821"/>
    <n v="38.414999999999999"/>
    <n v="37.734999999999999"/>
    <n v="11.156000000000001"/>
    <n v="18"/>
    <n v="16"/>
    <n v="16"/>
    <n v="16"/>
  </r>
  <r>
    <n v="273"/>
    <m/>
    <m/>
    <m/>
    <m/>
    <s v="R25.1"/>
    <s v="Tremor, unspecified"/>
    <x v="86"/>
    <s v="F"/>
    <m/>
    <m/>
    <s v="NA"/>
    <s v="NA"/>
    <s v="NA"/>
    <s v="NA"/>
    <s v="NA"/>
    <s v="NA"/>
    <s v="NA"/>
    <s v="NA"/>
    <s v="NA"/>
    <s v="NA"/>
    <s v="NA"/>
    <s v="NA"/>
    <s v="NA"/>
    <s v="NA"/>
    <s v="NA"/>
    <s v="NA"/>
    <s v="NA"/>
    <s v="NA"/>
    <s v="NA"/>
    <s v="NA"/>
    <s v="NA"/>
  </r>
  <r>
    <n v="274"/>
    <m/>
    <m/>
    <m/>
    <m/>
    <s v="G25.0"/>
    <s v="Essential tremor"/>
    <x v="62"/>
    <s v="F"/>
    <m/>
    <m/>
    <n v="36.683"/>
    <n v="38.6"/>
    <n v="75.697999999999993"/>
    <n v="75.242999999999995"/>
    <n v="50.543999999999997"/>
    <n v="51.064"/>
    <n v="80.197999999999993"/>
    <n v="80.081000000000003"/>
    <n v="69.620999999999995"/>
    <n v="70.361999999999995"/>
    <n v="30.379000000000001"/>
    <n v="29.638000000000002"/>
    <n v="22.039000000000001"/>
    <n v="18.584"/>
    <n v="29.638000000000002"/>
    <n v="30.379000000000001"/>
    <n v="14.9"/>
    <n v="9"/>
    <n v="10"/>
    <n v="9"/>
    <n v="9"/>
  </r>
  <r>
    <n v="275"/>
    <m/>
    <m/>
    <m/>
    <m/>
    <s v="G20"/>
    <s v="Parkinson's disease"/>
    <x v="116"/>
    <s v="M"/>
    <m/>
    <m/>
    <n v="57.780999999999999"/>
    <n v="54.710999999999999"/>
    <n v="112.82599999999999"/>
    <n v="112.652"/>
    <n v="119.74299999999999"/>
    <n v="119.90600000000001"/>
    <n v="126.988"/>
    <n v="126.779"/>
    <n v="62.468000000000004"/>
    <n v="61.881999999999998"/>
    <n v="37.531999999999996"/>
    <n v="38.118000000000002"/>
    <n v="13.834"/>
    <n v="10.994"/>
    <n v="38.118000000000002"/>
    <n v="37.531999999999996"/>
    <n v="9.2119999999999997"/>
    <n v="10"/>
    <n v="12"/>
    <n v="10"/>
    <n v="10"/>
  </r>
  <r>
    <n v="276"/>
    <m/>
    <m/>
    <m/>
    <m/>
    <s v="R25.1"/>
    <s v="Tremor, unspecified"/>
    <x v="117"/>
    <s v="F"/>
    <m/>
    <m/>
    <n v="65.646000000000001"/>
    <n v="62.536999999999999"/>
    <n v="128.38"/>
    <n v="128.256"/>
    <n v="136.54300000000001"/>
    <n v="135.43299999999999"/>
    <n v="126.648"/>
    <n v="126.28400000000001"/>
    <n v="61.15"/>
    <n v="61.345999999999997"/>
    <n v="38.85"/>
    <n v="38.654000000000003"/>
    <n v="11.106"/>
    <n v="11.782"/>
    <n v="38.654000000000003"/>
    <n v="38.85"/>
    <n v="10.084"/>
    <n v="10"/>
    <n v="10"/>
    <n v="10"/>
    <n v="10"/>
  </r>
  <r>
    <n v="277"/>
    <m/>
    <m/>
    <m/>
    <m/>
    <s v="G20"/>
    <s v="Parkinson's disease"/>
    <x v="18"/>
    <s v="M"/>
    <m/>
    <m/>
    <n v="66.558999999999997"/>
    <n v="65.274000000000001"/>
    <n v="131.56200000000001"/>
    <n v="132.93899999999999"/>
    <n v="109.318"/>
    <n v="111.04300000000001"/>
    <n v="99.123000000000005"/>
    <n v="99.414000000000001"/>
    <n v="64.900000000000006"/>
    <n v="64.450999999999993"/>
    <n v="35.1"/>
    <n v="35.548999999999999"/>
    <n v="14.752000000000001"/>
    <n v="14.927"/>
    <n v="35.548999999999999"/>
    <n v="35.1"/>
    <n v="10.212"/>
    <n v="7"/>
    <n v="8"/>
    <n v="7"/>
    <n v="7"/>
  </r>
  <r>
    <n v="278"/>
    <m/>
    <m/>
    <m/>
    <m/>
    <s v="G20"/>
    <s v="Parkinson's disease"/>
    <x v="13"/>
    <s v="M"/>
    <m/>
    <m/>
    <n v="39.435000000000002"/>
    <n v="38.209000000000003"/>
    <n v="77.477999999999994"/>
    <n v="78.052999999999997"/>
    <n v="76.094999999999999"/>
    <n v="76.551000000000002"/>
    <n v="117.78700000000001"/>
    <n v="117.423"/>
    <n v="63.55"/>
    <n v="52.493000000000002"/>
    <n v="36.450000000000003"/>
    <n v="47.506999999999998"/>
    <n v="6.8520000000000003"/>
    <n v="15.393000000000001"/>
    <n v="47.506999999999998"/>
    <n v="36.450000000000003"/>
    <n v="11.81"/>
    <n v="16"/>
    <n v="16"/>
    <n v="16"/>
    <n v="16"/>
  </r>
  <r>
    <n v="279"/>
    <m/>
    <m/>
    <m/>
    <m/>
    <s v="G20"/>
    <s v="Parkinson's disease"/>
    <x v="118"/>
    <s v="F"/>
    <m/>
    <m/>
    <n v="59.027999999999999"/>
    <n v="62.390999999999998"/>
    <n v="121.861"/>
    <n v="121.47799999999999"/>
    <n v="125.438"/>
    <n v="125.32299999999999"/>
    <n v="123.134"/>
    <n v="123.39400000000001"/>
    <n v="61.970999999999997"/>
    <n v="64.034000000000006"/>
    <n v="38.029000000000003"/>
    <n v="35.966000000000001"/>
    <n v="13.183"/>
    <n v="13.009"/>
    <n v="35.966000000000001"/>
    <n v="38.029000000000003"/>
    <n v="13.628"/>
    <n v="10"/>
    <n v="10"/>
    <n v="10"/>
    <n v="10"/>
  </r>
  <r>
    <n v="280"/>
    <m/>
    <m/>
    <m/>
    <m/>
    <s v="NA"/>
    <s v="NA"/>
    <x v="35"/>
    <s v="NA"/>
    <m/>
    <m/>
    <s v="NA"/>
    <s v="NA"/>
    <s v="NA"/>
    <s v="NA"/>
    <s v="NA"/>
    <s v="NA"/>
    <s v="NA"/>
    <s v="NA"/>
    <s v="NA"/>
    <s v="NA"/>
    <s v="NA"/>
    <s v="NA"/>
    <s v="NA"/>
    <s v="NA"/>
    <s v="NA"/>
    <s v="NA"/>
    <s v="NA"/>
    <s v="NA"/>
    <s v="NA"/>
    <s v="NA"/>
    <s v="NA"/>
  </r>
  <r>
    <n v="281"/>
    <m/>
    <m/>
    <m/>
    <m/>
    <s v="NA"/>
    <s v="NA"/>
    <x v="35"/>
    <s v="NA"/>
    <m/>
    <m/>
    <s v="NA"/>
    <s v="NA"/>
    <s v="NA"/>
    <s v="NA"/>
    <s v="NA"/>
    <s v="NA"/>
    <s v="NA"/>
    <s v="NA"/>
    <s v="NA"/>
    <s v="NA"/>
    <s v="NA"/>
    <s v="NA"/>
    <s v="NA"/>
    <s v="NA"/>
    <s v="NA"/>
    <s v="NA"/>
    <s v="NA"/>
    <s v="NA"/>
    <s v="NA"/>
    <s v="NA"/>
    <s v="NA"/>
  </r>
  <r>
    <n v="282"/>
    <m/>
    <m/>
    <m/>
    <m/>
    <s v="G20"/>
    <s v="Parkinson's disease"/>
    <x v="119"/>
    <s v="M"/>
    <m/>
    <m/>
    <n v="63.095999999999997"/>
    <n v="63.999000000000002"/>
    <n v="128.107"/>
    <n v="126.482"/>
    <n v="119.146"/>
    <n v="119.53"/>
    <n v="112.032"/>
    <n v="112.989"/>
    <n v="63.475999999999999"/>
    <n v="63.536999999999999"/>
    <n v="36.524000000000001"/>
    <n v="36.463000000000001"/>
    <n v="14.388"/>
    <n v="13.715999999999999"/>
    <n v="36.463000000000001"/>
    <n v="36.524000000000001"/>
    <n v="11.458"/>
    <n v="10"/>
    <n v="10"/>
    <n v="10"/>
    <n v="10"/>
  </r>
  <r>
    <n v="283"/>
    <m/>
    <m/>
    <m/>
    <m/>
    <s v="G20"/>
    <s v="Parkinson's disease"/>
    <x v="67"/>
    <s v="M"/>
    <m/>
    <m/>
    <n v="47.543999999999997"/>
    <n v="50.076000000000001"/>
    <n v="97.257000000000005"/>
    <n v="98.352999999999994"/>
    <n v="86.355000000000004"/>
    <n v="87.471999999999994"/>
    <n v="105.97499999999999"/>
    <n v="105.944"/>
    <n v="63.783999999999999"/>
    <n v="66.352999999999994"/>
    <n v="36.216000000000001"/>
    <n v="33.646999999999998"/>
    <n v="13.691000000000001"/>
    <n v="16.7"/>
    <n v="33.646999999999998"/>
    <n v="36.216000000000001"/>
    <n v="8.4960000000000004"/>
    <n v="13"/>
    <n v="12"/>
    <n v="12"/>
    <n v="12"/>
  </r>
  <r>
    <n v="284"/>
    <m/>
    <m/>
    <m/>
    <m/>
    <s v="G20"/>
    <s v="Parkinson's disease"/>
    <x v="116"/>
    <s v="F"/>
    <m/>
    <m/>
    <n v="44.484999999999999"/>
    <n v="52.901000000000003"/>
    <n v="97.570999999999998"/>
    <n v="97.542000000000002"/>
    <n v="79.748000000000005"/>
    <n v="79.744"/>
    <n v="98.192999999999998"/>
    <n v="97.638000000000005"/>
    <n v="65.742999999999995"/>
    <n v="65.429000000000002"/>
    <n v="34.256999999999998"/>
    <n v="34.570999999999998"/>
    <n v="18.038"/>
    <n v="13.715"/>
    <n v="34.570999999999998"/>
    <n v="34.256999999999998"/>
    <n v="8.9499999999999993"/>
    <n v="12"/>
    <n v="12"/>
    <n v="12"/>
    <n v="12"/>
  </r>
  <r>
    <n v="285"/>
    <m/>
    <m/>
    <m/>
    <m/>
    <s v="NA"/>
    <s v="NA"/>
    <x v="35"/>
    <s v="NA"/>
    <m/>
    <m/>
    <n v="46.691000000000003"/>
    <n v="50.555999999999997"/>
    <n v="97.647000000000006"/>
    <n v="97.555999999999997"/>
    <n v="86.841999999999999"/>
    <n v="86.438000000000002"/>
    <n v="106.496"/>
    <n v="105.96599999999999"/>
    <n v="62.289000000000001"/>
    <n v="61.957999999999998"/>
    <n v="37.710999999999999"/>
    <n v="38.042000000000002"/>
    <n v="11.189"/>
    <n v="13.836"/>
    <n v="38.042000000000002"/>
    <n v="37.710999999999999"/>
    <n v="7.98"/>
    <n v="13"/>
    <n v="12"/>
    <n v="12"/>
    <n v="12"/>
  </r>
  <r>
    <n v="286"/>
    <m/>
    <m/>
    <m/>
    <m/>
    <s v="G20"/>
    <s v="Parkinson's disease"/>
    <x v="120"/>
    <s v="M"/>
    <m/>
    <m/>
    <n v="54.417000000000002"/>
    <n v="52.408999999999999"/>
    <n v="104.80800000000001"/>
    <n v="104.384"/>
    <n v="85.397000000000006"/>
    <n v="86.013999999999996"/>
    <n v="98.72"/>
    <n v="100.586"/>
    <n v="63.276000000000003"/>
    <n v="63.173000000000002"/>
    <n v="36.723999999999997"/>
    <n v="36.826999999999998"/>
    <n v="13.871"/>
    <n v="13.994"/>
    <n v="36.826999999999998"/>
    <n v="36.723999999999997"/>
    <n v="12.901999999999999"/>
    <n v="12"/>
    <n v="12"/>
    <n v="12"/>
    <n v="12"/>
  </r>
  <r>
    <n v="287"/>
    <m/>
    <m/>
    <m/>
    <m/>
    <s v="G20"/>
    <s v="Parkinson's disease"/>
    <x v="69"/>
    <s v="M"/>
    <m/>
    <m/>
    <n v="44.685000000000002"/>
    <n v="46.509"/>
    <n v="91.412999999999997"/>
    <n v="90.978999999999999"/>
    <n v="88.147000000000006"/>
    <n v="87.808999999999997"/>
    <n v="115.35299999999999"/>
    <n v="115.697"/>
    <n v="62.732999999999997"/>
    <n v="63.226999999999997"/>
    <n v="37.267000000000003"/>
    <n v="36.773000000000003"/>
    <n v="11.057"/>
    <n v="14.974"/>
    <n v="36.773000000000003"/>
    <n v="37.267000000000003"/>
    <n v="10.757999999999999"/>
    <n v="15"/>
    <n v="14"/>
    <n v="14"/>
    <n v="14"/>
  </r>
  <r>
    <n v="288"/>
    <m/>
    <m/>
    <m/>
    <m/>
    <s v="G20"/>
    <s v="Parkinson's disease"/>
    <x v="121"/>
    <s v="M"/>
    <m/>
    <m/>
    <n v="70.784000000000006"/>
    <n v="71.668999999999997"/>
    <n v="141.61199999999999"/>
    <n v="143.66999999999999"/>
    <n v="156.78800000000001"/>
    <n v="160.221"/>
    <n v="131.97300000000001"/>
    <n v="132.673"/>
    <n v="59.601999999999997"/>
    <n v="57.939"/>
    <n v="40.398000000000003"/>
    <n v="42.061"/>
    <n v="8.6820000000000004"/>
    <n v="8.7769999999999992"/>
    <n v="42.061"/>
    <n v="40.398000000000003"/>
    <n v="8.34"/>
    <n v="8"/>
    <n v="7"/>
    <n v="7"/>
    <n v="7"/>
  </r>
  <r>
    <n v="289"/>
    <m/>
    <m/>
    <m/>
    <m/>
    <s v="G24.1"/>
    <s v="Genetic torsion dystonia"/>
    <x v="122"/>
    <s v="M"/>
    <m/>
    <m/>
    <n v="52.765999999999998"/>
    <n v="49.656999999999996"/>
    <n v="102.072"/>
    <n v="103.20399999999999"/>
    <n v="78.436000000000007"/>
    <n v="78.730999999999995"/>
    <n v="91.989000000000004"/>
    <n v="91.447000000000003"/>
    <n v="66.295000000000002"/>
    <n v="65.498000000000005"/>
    <n v="33.704999999999998"/>
    <n v="34.502000000000002"/>
    <n v="17.558"/>
    <n v="14.404"/>
    <n v="34.502000000000002"/>
    <n v="33.704999999999998"/>
    <n v="22.423999999999999"/>
    <n v="13"/>
    <n v="12"/>
    <n v="12"/>
    <n v="12"/>
  </r>
  <r>
    <n v="290"/>
    <m/>
    <m/>
    <m/>
    <m/>
    <s v="R25.1"/>
    <s v="Tremor, unspecified"/>
    <x v="93"/>
    <s v="F"/>
    <m/>
    <m/>
    <n v="47.543999999999997"/>
    <n v="50.076000000000001"/>
    <n v="97.257000000000005"/>
    <n v="98.352999999999994"/>
    <n v="86.355000000000004"/>
    <n v="87.471999999999994"/>
    <n v="105.97499999999999"/>
    <n v="105.944"/>
    <n v="63.783999999999999"/>
    <n v="66.352999999999994"/>
    <n v="36.216000000000001"/>
    <n v="33.646999999999998"/>
    <n v="13.691000000000001"/>
    <n v="16.7"/>
    <n v="33.646999999999998"/>
    <n v="36.216000000000001"/>
    <n v="8.4960000000000004"/>
    <n v="13"/>
    <n v="12"/>
    <n v="12"/>
    <n v="12"/>
  </r>
  <r>
    <n v="291"/>
    <m/>
    <m/>
    <m/>
    <m/>
    <s v="NA"/>
    <s v="NA"/>
    <x v="35"/>
    <s v="NA"/>
    <m/>
    <m/>
    <n v="56.35"/>
    <n v="58.164999999999999"/>
    <n v="115.405"/>
    <n v="114.473"/>
    <n v="107.27800000000001"/>
    <n v="106.935"/>
    <n v="111.48099999999999"/>
    <n v="112.07599999999999"/>
    <n v="62.618000000000002"/>
    <n v="64.433000000000007"/>
    <n v="37.381999999999998"/>
    <n v="35.566000000000003"/>
    <n v="13.622999999999999"/>
    <n v="13.766"/>
    <n v="35.566000000000003"/>
    <n v="37.381999999999998"/>
    <n v="12.038"/>
    <n v="10"/>
    <n v="10"/>
    <n v="10"/>
    <n v="10"/>
  </r>
  <r>
    <n v="292"/>
    <m/>
    <m/>
    <m/>
    <m/>
    <s v="G20"/>
    <s v="Parkinson's disease"/>
    <x v="123"/>
    <s v="M"/>
    <m/>
    <m/>
    <n v="75.474000000000004"/>
    <n v="73.900000000000006"/>
    <n v="148.916"/>
    <n v="149.87700000000001"/>
    <n v="141.185"/>
    <n v="143.929"/>
    <n v="113.108"/>
    <n v="114.498"/>
    <n v="60.341000000000001"/>
    <n v="59.012999999999998"/>
    <n v="39.658999999999999"/>
    <n v="40.987000000000002"/>
    <n v="8.8230000000000004"/>
    <n v="10.879"/>
    <n v="40.987000000000002"/>
    <n v="39.658999999999999"/>
    <n v="12.974"/>
    <n v="8"/>
    <n v="7"/>
    <n v="7"/>
    <n v="7"/>
  </r>
  <r>
    <n v="293"/>
    <m/>
    <m/>
    <m/>
    <m/>
    <s v="G25.0"/>
    <s v="Essential tremor"/>
    <x v="124"/>
    <s v="M"/>
    <m/>
    <m/>
    <n v="55.567999999999998"/>
    <n v="56.401000000000003"/>
    <n v="112.38800000000001"/>
    <n v="111.583"/>
    <n v="106.73099999999999"/>
    <n v="105.315"/>
    <n v="113.43300000000001"/>
    <n v="112.467"/>
    <n v="63.152999999999999"/>
    <n v="62.01"/>
    <n v="36.847000000000001"/>
    <n v="37.99"/>
    <n v="13.08"/>
    <n v="12.172000000000001"/>
    <n v="37.99"/>
    <n v="36.847000000000001"/>
    <n v="15.396000000000001"/>
    <n v="10"/>
    <n v="12"/>
    <n v="10"/>
    <n v="10"/>
  </r>
  <r>
    <n v="294"/>
    <m/>
    <m/>
    <m/>
    <m/>
    <s v="G20"/>
    <s v="Parkinson's disease"/>
    <x v="125"/>
    <s v="F"/>
    <m/>
    <m/>
    <n v="56.14"/>
    <n v="54.112000000000002"/>
    <n v="110.005"/>
    <n v="111.90900000000001"/>
    <n v="100.925"/>
    <n v="102.458"/>
    <n v="109.456"/>
    <n v="108.821"/>
    <n v="65.459999999999994"/>
    <n v="62.463000000000001"/>
    <n v="34.54"/>
    <n v="37.536000000000001"/>
    <n v="12.635999999999999"/>
    <n v="15.7"/>
    <n v="37.536000000000001"/>
    <n v="34.54"/>
    <n v="6.4020000000000001"/>
    <n v="11"/>
    <n v="10"/>
    <n v="10"/>
    <n v="10"/>
  </r>
  <r>
    <n v="295"/>
    <m/>
    <m/>
    <m/>
    <m/>
    <s v="G20"/>
    <s v="Parkinson's disease"/>
    <x v="16"/>
    <s v="F"/>
    <m/>
    <m/>
    <n v="57.186999999999998"/>
    <n v="52.944000000000003"/>
    <n v="110.413"/>
    <n v="110.39700000000001"/>
    <n v="114.872"/>
    <n v="115.38200000000001"/>
    <n v="124.179"/>
    <n v="125.349"/>
    <n v="63.798999999999999"/>
    <n v="63.027000000000001"/>
    <n v="36.201000000000001"/>
    <n v="36.972999999999999"/>
    <n v="11.515000000000001"/>
    <n v="15.214"/>
    <n v="36.972999999999999"/>
    <n v="36.201000000000001"/>
    <n v="9.5"/>
    <n v="11"/>
    <n v="14"/>
    <n v="11"/>
    <n v="11"/>
  </r>
  <r>
    <n v="296"/>
    <m/>
    <m/>
    <m/>
    <m/>
    <s v="G24.1"/>
    <s v="Genetic torsion dystonia"/>
    <x v="126"/>
    <s v="M"/>
    <m/>
    <m/>
    <s v="NA"/>
    <s v="NA"/>
    <s v="NA"/>
    <s v="NA"/>
    <s v="NA"/>
    <s v="NA"/>
    <s v="NA"/>
    <s v="NA"/>
    <s v="NA"/>
    <s v="NA"/>
    <s v="NA"/>
    <s v="NA"/>
    <s v="NA"/>
    <s v="NA"/>
    <s v="NA"/>
    <s v="NA"/>
    <s v="NA"/>
    <s v="NA"/>
    <s v="NA"/>
    <s v="NA"/>
    <s v="NA"/>
  </r>
  <r>
    <n v="297"/>
    <m/>
    <m/>
    <m/>
    <m/>
    <s v="R25.1"/>
    <s v="Tremor, unspecified"/>
    <x v="52"/>
    <s v="M"/>
    <m/>
    <m/>
    <n v="59.908000000000001"/>
    <n v="55.228999999999999"/>
    <n v="116.74299999999999"/>
    <n v="113.23399999999999"/>
    <n v="120.36799999999999"/>
    <n v="117.178"/>
    <n v="122.905"/>
    <n v="122.657"/>
    <n v="61.183999999999997"/>
    <n v="62.305"/>
    <n v="38.816000000000003"/>
    <n v="37.695"/>
    <n v="10.829000000000001"/>
    <n v="11.983000000000001"/>
    <n v="37.695"/>
    <n v="38.816000000000003"/>
    <n v="8.8320000000000007"/>
    <n v="10"/>
    <n v="10"/>
    <n v="10"/>
    <n v="10"/>
  </r>
  <r>
    <n v="298"/>
    <m/>
    <m/>
    <m/>
    <m/>
    <s v="G20"/>
    <s v="Parkinson's disease"/>
    <x v="127"/>
    <s v="M"/>
    <m/>
    <m/>
    <n v="53.915999999999997"/>
    <n v="51.982999999999997"/>
    <n v="105.392"/>
    <n v="106.85"/>
    <n v="94.936000000000007"/>
    <n v="96.578999999999994"/>
    <n v="107.57599999999999"/>
    <n v="108.015"/>
    <n v="64.153999999999996"/>
    <n v="63.997999999999998"/>
    <n v="35.845999999999997"/>
    <n v="36.002000000000002"/>
    <n v="14.114000000000001"/>
    <n v="13.831"/>
    <n v="36.002000000000002"/>
    <n v="35.845999999999997"/>
    <n v="14.38"/>
    <n v="10"/>
    <n v="9"/>
    <n v="9"/>
    <n v="9"/>
  </r>
  <r>
    <n v="299"/>
    <m/>
    <m/>
    <m/>
    <m/>
    <s v="NA"/>
    <s v="NA"/>
    <x v="35"/>
    <s v="NA"/>
    <m/>
    <m/>
    <n v="52.515999999999998"/>
    <n v="52.832999999999998"/>
    <n v="105.40600000000001"/>
    <n v="105.235"/>
    <n v="101.07599999999999"/>
    <n v="101.001"/>
    <n v="114.619"/>
    <n v="114.925"/>
    <n v="63.396999999999998"/>
    <n v="65.33"/>
    <n v="36.601999999999997"/>
    <n v="34.67"/>
    <n v="15.246"/>
    <n v="13.766"/>
    <n v="34.67"/>
    <n v="36.601999999999997"/>
    <n v="9.9580000000000002"/>
    <n v="12"/>
    <n v="11"/>
    <n v="11"/>
    <n v="11"/>
  </r>
  <r>
    <n v="300"/>
    <m/>
    <m/>
    <m/>
    <m/>
    <s v="R25.1"/>
    <s v="Tremor, unspecified"/>
    <x v="99"/>
    <s v="M"/>
    <m/>
    <m/>
    <n v="64.902000000000001"/>
    <n v="63.411000000000001"/>
    <n v="128.22999999999999"/>
    <n v="127.852"/>
    <n v="135.46299999999999"/>
    <n v="135.542"/>
    <n v="126.642"/>
    <n v="126.88500000000001"/>
    <n v="61.552999999999997"/>
    <n v="61.497999999999998"/>
    <n v="38.447000000000003"/>
    <n v="38.502000000000002"/>
    <n v="12.231999999999999"/>
    <n v="11.188000000000001"/>
    <n v="38.502000000000002"/>
    <n v="38.447000000000003"/>
    <n v="16.207999999999998"/>
    <n v="11"/>
    <n v="10"/>
    <n v="10"/>
    <n v="10"/>
  </r>
  <r>
    <n v="301"/>
    <m/>
    <m/>
    <m/>
    <m/>
    <s v="G25.0"/>
    <s v="Essential tremor"/>
    <x v="128"/>
    <s v="M"/>
    <m/>
    <m/>
    <n v="59.579000000000001"/>
    <n v="55.091999999999999"/>
    <n v="114.233"/>
    <n v="114.629"/>
    <n v="107.04"/>
    <n v="107.425"/>
    <n v="112.26300000000001"/>
    <n v="111.94199999999999"/>
    <n v="61.887999999999998"/>
    <n v="63.570999999999998"/>
    <n v="38.112000000000002"/>
    <n v="36.429000000000002"/>
    <n v="12.189"/>
    <n v="12.976000000000001"/>
    <n v="36.429000000000002"/>
    <n v="38.112000000000002"/>
    <n v="11.314"/>
    <n v="12"/>
    <n v="10"/>
    <n v="10"/>
    <n v="10"/>
  </r>
  <r>
    <n v="302"/>
    <m/>
    <m/>
    <m/>
    <m/>
    <s v="R25.1"/>
    <s v="Tremor, unspecified"/>
    <x v="129"/>
    <s v="F"/>
    <m/>
    <m/>
    <n v="62.954000000000001"/>
    <n v="59.182000000000002"/>
    <n v="122.63800000000001"/>
    <n v="121.62"/>
    <n v="139.93"/>
    <n v="138.47"/>
    <n v="136.26400000000001"/>
    <n v="136.185"/>
    <n v="59.982999999999997"/>
    <n v="60.018999999999998"/>
    <n v="40.017000000000003"/>
    <n v="39.981000000000002"/>
    <n v="11.167999999999999"/>
    <n v="9.5299999999999994"/>
    <n v="39.981000000000002"/>
    <n v="40.017000000000003"/>
    <n v="7.5"/>
    <n v="10"/>
    <n v="10"/>
    <n v="10"/>
    <n v="10"/>
  </r>
  <r>
    <n v="303"/>
    <m/>
    <m/>
    <m/>
    <m/>
    <s v="G20"/>
    <s v="Parkinson's disease"/>
    <x v="130"/>
    <s v="F"/>
    <m/>
    <m/>
    <n v="47.889000000000003"/>
    <n v="44.587000000000003"/>
    <n v="91.563000000000002"/>
    <n v="92.58"/>
    <n v="57.817999999999998"/>
    <n v="58.511000000000003"/>
    <n v="75.403000000000006"/>
    <n v="75.495999999999995"/>
    <n v="64.614999999999995"/>
    <n v="65.19"/>
    <n v="35.384999999999998"/>
    <n v="34.81"/>
    <n v="14.21"/>
    <n v="15.794"/>
    <n v="34.81"/>
    <n v="35.384999999999998"/>
    <n v="11.367000000000001"/>
    <n v="8"/>
    <n v="9"/>
    <n v="8"/>
    <n v="8"/>
  </r>
  <r>
    <n v="304"/>
    <m/>
    <m/>
    <m/>
    <m/>
    <s v="G25.0"/>
    <s v="Essential tremor"/>
    <x v="131"/>
    <s v="F"/>
    <m/>
    <m/>
    <s v="NA"/>
    <s v="NA"/>
    <s v="NA"/>
    <s v="NA"/>
    <s v="NA"/>
    <s v="NA"/>
    <s v="NA"/>
    <s v="NA"/>
    <s v="NA"/>
    <s v="NA"/>
    <s v="NA"/>
    <s v="NA"/>
    <s v="NA"/>
    <s v="NA"/>
    <s v="NA"/>
    <s v="NA"/>
    <s v="NA"/>
    <s v="NA"/>
    <s v="NA"/>
    <s v="NA"/>
    <s v="NA"/>
  </r>
  <r>
    <n v="305"/>
    <m/>
    <m/>
    <m/>
    <m/>
    <s v="G20"/>
    <s v="Parkinson's disease"/>
    <x v="77"/>
    <s v="M"/>
    <m/>
    <m/>
    <n v="56.576000000000001"/>
    <n v="63.593000000000004"/>
    <n v="120.164"/>
    <n v="121.31"/>
    <n v="91.289000000000001"/>
    <n v="91.710999999999999"/>
    <n v="90.772999999999996"/>
    <n v="90.603999999999999"/>
    <n v="61.24"/>
    <n v="63.064999999999998"/>
    <n v="38.76"/>
    <n v="36.935000000000002"/>
    <n v="13.305999999999999"/>
    <n v="11.092000000000001"/>
    <n v="36.935000000000002"/>
    <n v="38.76"/>
    <n v="6.008"/>
    <n v="11"/>
    <n v="11"/>
    <n v="11"/>
    <n v="11"/>
  </r>
  <r>
    <n v="306"/>
    <m/>
    <m/>
    <m/>
    <m/>
    <s v="G24.3"/>
    <s v="Spasmodic torticollis"/>
    <x v="132"/>
    <s v="F"/>
    <m/>
    <m/>
    <n v="31.059000000000001"/>
    <n v="22.317"/>
    <n v="53.073"/>
    <n v="53.654000000000003"/>
    <n v="38.128"/>
    <n v="38.453000000000003"/>
    <n v="86.864999999999995"/>
    <n v="86.498999999999995"/>
    <n v="72.177000000000007"/>
    <n v="69.509"/>
    <n v="27.823"/>
    <n v="30.491"/>
    <n v="19.975000000000001"/>
    <n v="22.053000000000001"/>
    <n v="30.491"/>
    <n v="27.823"/>
    <n v="12.557"/>
    <n v="11"/>
    <n v="12"/>
    <n v="11"/>
    <n v="11"/>
  </r>
  <r>
    <n v="307"/>
    <m/>
    <m/>
    <m/>
    <m/>
    <s v="G25.0"/>
    <s v="Essential tremor"/>
    <x v="133"/>
    <s v="M"/>
    <m/>
    <m/>
    <n v="73.123000000000005"/>
    <n v="69.225999999999999"/>
    <n v="143.012"/>
    <n v="142.34899999999999"/>
    <n v="131.452"/>
    <n v="130.41200000000001"/>
    <n v="109.944"/>
    <n v="109.956"/>
    <n v="61.822000000000003"/>
    <n v="61.448"/>
    <n v="38.177999999999997"/>
    <n v="38.552"/>
    <n v="12.207000000000001"/>
    <n v="11.525"/>
    <n v="38.552"/>
    <n v="38.177999999999997"/>
    <n v="11.74"/>
    <n v="5"/>
    <n v="10"/>
    <n v="5"/>
    <n v="5"/>
  </r>
  <r>
    <n v="308"/>
    <m/>
    <m/>
    <m/>
    <m/>
    <s v="G20"/>
    <s v="Parkinson's disease"/>
    <x v="134"/>
    <s v="M"/>
    <m/>
    <m/>
    <n v="52.698999999999998"/>
    <n v="46.73"/>
    <n v="100.813"/>
    <n v="98.451999999999998"/>
    <n v="97.045000000000002"/>
    <n v="95.471999999999994"/>
    <n v="115.22799999999999"/>
    <n v="114.973"/>
    <n v="61.613"/>
    <n v="63.411000000000001"/>
    <n v="38.387"/>
    <n v="36.588000000000001"/>
    <n v="12.000999999999999"/>
    <n v="13.38"/>
    <n v="36.588000000000001"/>
    <n v="38.387"/>
    <n v="9.0350000000000001"/>
    <n v="9"/>
    <n v="9"/>
    <n v="9"/>
    <n v="9"/>
  </r>
  <r>
    <n v="309"/>
    <m/>
    <m/>
    <m/>
    <m/>
    <s v="G20"/>
    <s v="Parkinson's disease"/>
    <x v="67"/>
    <s v="M"/>
    <m/>
    <m/>
    <n v="58.978000000000002"/>
    <n v="61.125"/>
    <n v="118.714"/>
    <n v="121.44199999999999"/>
    <n v="107.149"/>
    <n v="109.97499999999999"/>
    <n v="107.541"/>
    <n v="107.486"/>
    <n v="59.506"/>
    <n v="62.673000000000002"/>
    <n v="40.494"/>
    <n v="37.326999999999998"/>
    <n v="10.044"/>
    <n v="11.895"/>
    <n v="37.326999999999998"/>
    <n v="40.494"/>
    <n v="13.284000000000001"/>
    <n v="9"/>
    <n v="9"/>
    <n v="9"/>
    <n v="9"/>
  </r>
  <r>
    <n v="310"/>
    <m/>
    <m/>
    <m/>
    <m/>
    <s v="NA"/>
    <s v="NA"/>
    <x v="35"/>
    <s v="NA"/>
    <m/>
    <m/>
    <n v="52.814999999999998"/>
    <n v="55.356999999999999"/>
    <n v="108.53400000000001"/>
    <n v="108.12"/>
    <n v="97.6"/>
    <n v="97.623999999999995"/>
    <n v="107.947"/>
    <n v="107.831"/>
    <n v="62.95"/>
    <n v="63.316000000000003"/>
    <n v="37.049999999999997"/>
    <n v="36.683999999999997"/>
    <n v="13.005000000000001"/>
    <n v="13.095000000000001"/>
    <n v="36.683999999999997"/>
    <n v="37.049999999999997"/>
    <n v="6.65"/>
    <n v="11"/>
    <n v="10"/>
    <n v="10"/>
    <n v="10"/>
  </r>
  <r>
    <n v="311"/>
    <m/>
    <m/>
    <m/>
    <m/>
    <s v="NA"/>
    <s v="NA"/>
    <x v="35"/>
    <s v="NA"/>
    <m/>
    <m/>
    <n v="27.768000000000001"/>
    <n v="29.474"/>
    <n v="56.64"/>
    <n v="58.100999999999999"/>
    <n v="62.442999999999998"/>
    <n v="64.177999999999997"/>
    <n v="130.71700000000001"/>
    <n v="131.36500000000001"/>
    <n v="60.957999999999998"/>
    <n v="68.263000000000005"/>
    <n v="39.042000000000002"/>
    <n v="31.736999999999998"/>
    <n v="12.41"/>
    <n v="17.309000000000001"/>
    <n v="31.736999999999998"/>
    <n v="39.042000000000002"/>
    <n v="9.9529999999999994"/>
    <n v="10"/>
    <n v="10"/>
    <n v="10"/>
    <n v="10"/>
  </r>
  <r>
    <n v="312"/>
    <m/>
    <m/>
    <m/>
    <m/>
    <s v="NA"/>
    <s v="NA"/>
    <x v="35"/>
    <s v="NA"/>
    <m/>
    <m/>
    <n v="67.454999999999998"/>
    <n v="65.067999999999998"/>
    <n v="132.721"/>
    <n v="132.27799999999999"/>
    <n v="136.244"/>
    <n v="135.953"/>
    <n v="122.85299999999999"/>
    <n v="122.637"/>
    <n v="61.046999999999997"/>
    <n v="63.381"/>
    <n v="38.953000000000003"/>
    <n v="36.619"/>
    <n v="13.077999999999999"/>
    <n v="12.281000000000001"/>
    <n v="36.619"/>
    <n v="38.953000000000003"/>
    <n v="16.436"/>
    <n v="9"/>
    <n v="7"/>
    <n v="7"/>
    <n v="7"/>
  </r>
  <r>
    <n v="313"/>
    <m/>
    <m/>
    <m/>
    <m/>
    <s v="G20"/>
    <s v="Parkinson's disease"/>
    <x v="135"/>
    <s v="M"/>
    <m/>
    <m/>
    <s v="NA"/>
    <s v="NA"/>
    <s v="NA"/>
    <s v="NA"/>
    <s v="NA"/>
    <s v="NA"/>
    <s v="NA"/>
    <s v="NA"/>
    <s v="NA"/>
    <s v="NA"/>
    <s v="NA"/>
    <s v="NA"/>
    <s v="NA"/>
    <s v="NA"/>
    <s v="NA"/>
    <s v="NA"/>
    <s v="NA"/>
    <s v="NA"/>
    <s v="NA"/>
    <s v="NA"/>
    <s v="NA"/>
  </r>
  <r>
    <n v="314"/>
    <m/>
    <m/>
    <m/>
    <m/>
    <s v="NA"/>
    <s v="NA"/>
    <x v="35"/>
    <s v="NA"/>
    <m/>
    <m/>
    <n v="31.23"/>
    <n v="23.835000000000001"/>
    <n v="55.104999999999997"/>
    <n v="55.49"/>
    <n v="39.460999999999999"/>
    <n v="39.845999999999997"/>
    <n v="86.031000000000006"/>
    <n v="85.555999999999997"/>
    <n v="70.655000000000001"/>
    <n v="73.715000000000003"/>
    <n v="29.344999999999999"/>
    <n v="26.285"/>
    <n v="20.645"/>
    <n v="23.49"/>
    <n v="26.285"/>
    <n v="29.344999999999999"/>
    <n v="11.927"/>
    <n v="15"/>
    <n v="15"/>
    <n v="15"/>
    <n v="15"/>
  </r>
  <r>
    <n v="315"/>
    <m/>
    <m/>
    <m/>
    <m/>
    <s v="NA"/>
    <s v="NA"/>
    <x v="35"/>
    <s v="NA"/>
    <m/>
    <m/>
    <n v="59.912999999999997"/>
    <n v="56.59"/>
    <n v="117.34"/>
    <n v="116.227"/>
    <n v="108.068"/>
    <n v="107.172"/>
    <n v="109.824"/>
    <n v="109.497"/>
    <n v="62.585000000000001"/>
    <n v="61.814999999999998"/>
    <n v="37.414999999999999"/>
    <n v="38.185000000000002"/>
    <n v="12.198"/>
    <n v="12.631"/>
    <n v="38.185000000000002"/>
    <n v="37.414999999999999"/>
    <n v="11.112"/>
    <n v="10"/>
    <n v="11"/>
    <n v="10"/>
    <n v="10"/>
  </r>
  <r>
    <n v="316"/>
    <m/>
    <m/>
    <m/>
    <m/>
    <s v="G25.0"/>
    <s v="Essential tremor"/>
    <x v="136"/>
    <s v="F"/>
    <m/>
    <m/>
    <n v="62.558"/>
    <n v="62.603000000000002"/>
    <n v="124.863"/>
    <n v="125.39100000000001"/>
    <n v="125.33"/>
    <n v="125.101"/>
    <n v="119.47799999999999"/>
    <n v="119.494"/>
    <n v="60.652000000000001"/>
    <n v="60.183"/>
    <n v="39.347999999999999"/>
    <n v="39.817"/>
    <n v="10.593"/>
    <n v="10.318"/>
    <n v="39.817"/>
    <n v="39.347999999999999"/>
    <n v="7.0460000000000003"/>
    <n v="9"/>
    <n v="9"/>
    <n v="9"/>
    <n v="9"/>
  </r>
  <r>
    <n v="317"/>
    <m/>
    <m/>
    <m/>
    <m/>
    <s v="G25.0"/>
    <s v="Essential tremor"/>
    <x v="137"/>
    <s v="M"/>
    <m/>
    <m/>
    <n v="67.021000000000001"/>
    <n v="64.103999999999999"/>
    <n v="130.78"/>
    <n v="131.09"/>
    <n v="107.38500000000001"/>
    <n v="107.616"/>
    <n v="98.423000000000002"/>
    <n v="98.537000000000006"/>
    <n v="63.268000000000001"/>
    <n v="62.369"/>
    <n v="36.731999999999999"/>
    <n v="37.631"/>
    <n v="12.617000000000001"/>
    <n v="12.577"/>
    <n v="37.631"/>
    <n v="36.731999999999999"/>
    <n v="6.0979999999999999"/>
    <n v="8"/>
    <n v="10"/>
    <n v="8"/>
    <n v="8"/>
  </r>
  <r>
    <n v="318"/>
    <m/>
    <m/>
    <m/>
    <m/>
    <s v="G25.0"/>
    <s v="Essential tremor"/>
    <x v="138"/>
    <s v="M"/>
    <m/>
    <m/>
    <n v="66.760999999999996"/>
    <n v="61.744999999999997"/>
    <n v="129.20500000000001"/>
    <n v="128.28200000000001"/>
    <n v="123.373"/>
    <n v="123.399"/>
    <n v="114.11499999999999"/>
    <n v="114.643"/>
    <n v="62.07"/>
    <n v="62.152000000000001"/>
    <n v="37.93"/>
    <n v="37.847999999999999"/>
    <n v="14.318"/>
    <n v="10.996"/>
    <n v="37.847999999999999"/>
    <n v="37.93"/>
    <n v="10.19"/>
    <n v="11"/>
    <n v="11"/>
    <n v="11"/>
    <n v="11"/>
  </r>
  <r>
    <n v="319"/>
    <m/>
    <m/>
    <m/>
    <m/>
    <s v="NA"/>
    <s v="NA"/>
    <x v="35"/>
    <s v="NA"/>
    <m/>
    <m/>
    <n v="62.673000000000002"/>
    <n v="55.119"/>
    <n v="117.914"/>
    <n v="117.77800000000001"/>
    <n v="107.04300000000001"/>
    <n v="106.81"/>
    <n v="108.30200000000001"/>
    <n v="108.19499999999999"/>
    <n v="62.728999999999999"/>
    <n v="61.27"/>
    <n v="37.271000000000001"/>
    <n v="38.729999999999997"/>
    <n v="10.132999999999999"/>
    <n v="13.891999999999999"/>
    <n v="38.729999999999997"/>
    <n v="37.271000000000001"/>
    <n v="15.502000000000001"/>
    <n v="10"/>
    <n v="10"/>
    <n v="10"/>
    <n v="10"/>
  </r>
  <r>
    <n v="320"/>
    <m/>
    <m/>
    <m/>
    <m/>
    <s v="NA"/>
    <s v="NA"/>
    <x v="99"/>
    <s v="M"/>
    <m/>
    <m/>
    <s v="NA"/>
    <s v="NA"/>
    <s v="NA"/>
    <s v="NA"/>
    <s v="NA"/>
    <s v="NA"/>
    <s v="NA"/>
    <s v="NA"/>
    <s v="NA"/>
    <s v="NA"/>
    <s v="NA"/>
    <s v="NA"/>
    <s v="NA"/>
    <s v="NA"/>
    <s v="NA"/>
    <s v="NA"/>
    <s v="NA"/>
    <s v="NA"/>
    <s v="NA"/>
    <s v="NA"/>
    <s v="NA"/>
  </r>
  <r>
    <n v="321"/>
    <m/>
    <m/>
    <m/>
    <m/>
    <s v="NA"/>
    <s v="NA"/>
    <x v="35"/>
    <s v="NA"/>
    <m/>
    <m/>
    <s v="NA"/>
    <s v="NA"/>
    <s v="NA"/>
    <s v="NA"/>
    <s v="NA"/>
    <s v="NA"/>
    <s v="NA"/>
    <s v="NA"/>
    <s v="NA"/>
    <s v="NA"/>
    <s v="NA"/>
    <s v="NA"/>
    <s v="NA"/>
    <s v="NA"/>
    <s v="NA"/>
    <s v="NA"/>
    <s v="NA"/>
    <s v="NA"/>
    <s v="NA"/>
    <s v="NA"/>
    <s v="NA"/>
  </r>
  <r>
    <n v="322"/>
    <m/>
    <m/>
    <m/>
    <m/>
    <s v="G20"/>
    <s v="Parkinson's disease"/>
    <x v="139"/>
    <s v="M"/>
    <m/>
    <m/>
    <n v="40.909999999999997"/>
    <n v="37.569000000000003"/>
    <n v="79.010999999999996"/>
    <n v="77.370999999999995"/>
    <n v="77.668000000000006"/>
    <n v="76.521000000000001"/>
    <n v="118.67700000000001"/>
    <n v="118.04900000000001"/>
    <n v="66.168000000000006"/>
    <n v="64.768000000000001"/>
    <n v="33.832000000000001"/>
    <n v="35.231999999999999"/>
    <n v="12.222"/>
    <n v="18.059000000000001"/>
    <n v="35.231999999999999"/>
    <n v="33.832000000000001"/>
    <n v="16.745000000000001"/>
    <n v="13"/>
    <n v="14"/>
    <n v="13"/>
    <n v="13"/>
  </r>
  <r>
    <n v="323"/>
    <m/>
    <m/>
    <m/>
    <m/>
    <s v="G20"/>
    <s v="Parkinson's disease"/>
    <x v="120"/>
    <s v="M"/>
    <m/>
    <m/>
    <n v="53.371000000000002"/>
    <n v="55.128"/>
    <n v="109.157"/>
    <n v="108.521"/>
    <n v="84.364999999999995"/>
    <n v="84.679000000000002"/>
    <n v="92.841999999999999"/>
    <n v="93.650999999999996"/>
    <n v="63.673000000000002"/>
    <n v="63.354999999999997"/>
    <n v="36.326999999999998"/>
    <n v="36.645000000000003"/>
    <n v="14.273999999999999"/>
    <n v="13.24"/>
    <n v="36.645000000000003"/>
    <n v="36.326999999999998"/>
    <n v="10.526"/>
    <n v="12"/>
    <n v="11"/>
    <n v="11"/>
    <n v="11"/>
  </r>
  <r>
    <n v="324"/>
    <m/>
    <m/>
    <m/>
    <m/>
    <s v="NA"/>
    <s v="NA"/>
    <x v="115"/>
    <s v="M"/>
    <m/>
    <m/>
    <s v="NA"/>
    <s v="NA"/>
    <s v="NA"/>
    <s v="NA"/>
    <s v="NA"/>
    <s v="NA"/>
    <s v="NA"/>
    <s v="NA"/>
    <s v="NA"/>
    <s v="NA"/>
    <s v="NA"/>
    <s v="NA"/>
    <s v="NA"/>
    <s v="NA"/>
    <s v="NA"/>
    <s v="NA"/>
    <s v="NA"/>
    <s v="NA"/>
    <s v="NA"/>
    <s v="NA"/>
    <s v="NA"/>
  </r>
  <r>
    <n v="325"/>
    <m/>
    <m/>
    <m/>
    <m/>
    <s v="G25.0"/>
    <s v="Essential tremor"/>
    <x v="140"/>
    <s v="F"/>
    <m/>
    <m/>
    <n v="47.603000000000002"/>
    <n v="48.305"/>
    <n v="96.623999999999995"/>
    <n v="95.74"/>
    <n v="94.378"/>
    <n v="93.463999999999999"/>
    <n v="116.872"/>
    <n v="116.837"/>
    <n v="64.792000000000002"/>
    <n v="63.905000000000001"/>
    <n v="35.207999999999998"/>
    <n v="36.094000000000001"/>
    <n v="14.106999999999999"/>
    <n v="14.659000000000001"/>
    <n v="36.094000000000001"/>
    <n v="35.207999999999998"/>
    <n v="11.294"/>
    <n v="13"/>
    <n v="14"/>
    <n v="13"/>
    <n v="13"/>
  </r>
  <r>
    <n v="326"/>
    <m/>
    <m/>
    <m/>
    <m/>
    <s v="G20"/>
    <s v="Parkinson's disease"/>
    <x v="141"/>
    <s v="F"/>
    <m/>
    <m/>
    <n v="30.745000000000001"/>
    <n v="35.854999999999997"/>
    <n v="67.768000000000001"/>
    <n v="66.424999999999997"/>
    <n v="53.93"/>
    <n v="53.055999999999997"/>
    <n v="94.554000000000002"/>
    <n v="94.804000000000002"/>
    <n v="66.105000000000004"/>
    <n v="66.096999999999994"/>
    <n v="33.895000000000003"/>
    <n v="33.902999999999999"/>
    <n v="16.802"/>
    <n v="15.481"/>
    <n v="33.902999999999999"/>
    <n v="33.895000000000003"/>
    <n v="11.727"/>
    <n v="17"/>
    <n v="18"/>
    <n v="17"/>
    <n v="17"/>
  </r>
  <r>
    <n v="327"/>
    <m/>
    <m/>
    <m/>
    <m/>
    <s v="G20"/>
    <s v="Parkinson's disease"/>
    <x v="142"/>
    <s v="M"/>
    <m/>
    <m/>
    <n v="58.164000000000001"/>
    <n v="62.371000000000002"/>
    <n v="121.79300000000001"/>
    <n v="120.55800000000001"/>
    <n v="131.80600000000001"/>
    <n v="130.941"/>
    <n v="129.774"/>
    <n v="129.88999999999999"/>
    <n v="61.98"/>
    <n v="62.55"/>
    <n v="38.020000000000003"/>
    <n v="37.450000000000003"/>
    <n v="12.345000000000001"/>
    <n v="12.54"/>
    <n v="37.450000000000003"/>
    <n v="38.020000000000003"/>
    <n v="13.385999999999999"/>
    <n v="10"/>
    <n v="11"/>
    <n v="10"/>
    <n v="10"/>
  </r>
  <r>
    <n v="328"/>
    <m/>
    <m/>
    <m/>
    <m/>
    <s v="G20"/>
    <s v="Parkinson's disease"/>
    <x v="143"/>
    <s v="M"/>
    <m/>
    <m/>
    <n v="62.658999999999999"/>
    <n v="60.554000000000002"/>
    <n v="123.696"/>
    <n v="123.908"/>
    <n v="124.16200000000001"/>
    <n v="124.73099999999999"/>
    <n v="119.919"/>
    <n v="119.13800000000001"/>
    <n v="59.451999999999998"/>
    <n v="61.534999999999997"/>
    <n v="40.548000000000002"/>
    <n v="38.465000000000003"/>
    <n v="10.746"/>
    <n v="11.087"/>
    <n v="38.465000000000003"/>
    <n v="40.548000000000002"/>
    <n v="12.327999999999999"/>
    <n v="10"/>
    <n v="10"/>
    <n v="10"/>
    <n v="10"/>
  </r>
  <r>
    <n v="329"/>
    <m/>
    <m/>
    <m/>
    <m/>
    <s v="NA"/>
    <s v="NA"/>
    <x v="35"/>
    <s v="NA"/>
    <m/>
    <m/>
    <n v="26.963000000000001"/>
    <n v="29.355"/>
    <n v="56.378"/>
    <n v="56.287999999999997"/>
    <n v="50.043999999999997"/>
    <n v="49.673999999999999"/>
    <n v="106.242"/>
    <n v="105.54300000000001"/>
    <n v="66.643000000000001"/>
    <n v="71.578000000000003"/>
    <n v="33.356999999999999"/>
    <n v="28.422000000000001"/>
    <n v="18.658999999999999"/>
    <n v="20.391999999999999"/>
    <n v="28.422000000000001"/>
    <n v="33.356999999999999"/>
    <n v="24.605"/>
    <n v="19"/>
    <n v="18"/>
    <n v="18"/>
    <n v="18"/>
  </r>
  <r>
    <n v="330"/>
    <m/>
    <m/>
    <m/>
    <m/>
    <s v="NA"/>
    <s v="NA"/>
    <x v="35"/>
    <s v="NA"/>
    <m/>
    <m/>
    <n v="48.512"/>
    <n v="43.128999999999998"/>
    <n v="92.391999999999996"/>
    <n v="91.659000000000006"/>
    <n v="73.043000000000006"/>
    <n v="73.548000000000002"/>
    <n v="95.177999999999997"/>
    <n v="95.787999999999997"/>
    <n v="64.894999999999996"/>
    <n v="67.429000000000002"/>
    <n v="35.104999999999997"/>
    <n v="32.570999999999998"/>
    <n v="15.084"/>
    <n v="17.422999999999998"/>
    <n v="32.570999999999998"/>
    <n v="35.104999999999997"/>
    <n v="16.693999999999999"/>
    <n v="14"/>
    <n v="14"/>
    <n v="14"/>
    <n v="14"/>
  </r>
  <r>
    <n v="331"/>
    <m/>
    <m/>
    <m/>
    <m/>
    <s v="NA"/>
    <s v="NA"/>
    <x v="37"/>
    <s v="F"/>
    <m/>
    <m/>
    <s v="NA"/>
    <s v="NA"/>
    <s v="NA"/>
    <s v="NA"/>
    <s v="NA"/>
    <s v="NA"/>
    <s v="NA"/>
    <s v="NA"/>
    <s v="NA"/>
    <s v="NA"/>
    <s v="NA"/>
    <s v="NA"/>
    <s v="NA"/>
    <s v="NA"/>
    <s v="NA"/>
    <s v="NA"/>
    <s v="NA"/>
    <s v="NA"/>
    <s v="NA"/>
    <s v="NA"/>
    <s v="NA"/>
  </r>
  <r>
    <n v="332"/>
    <m/>
    <m/>
    <m/>
    <m/>
    <s v="G20"/>
    <s v="Parkinson's disease"/>
    <x v="118"/>
    <s v="F"/>
    <m/>
    <m/>
    <n v="40.738999999999997"/>
    <n v="44.137999999999998"/>
    <n v="84.683999999999997"/>
    <n v="84.817999999999998"/>
    <n v="72.358000000000004"/>
    <n v="73.126000000000005"/>
    <n v="103.255"/>
    <n v="103.76900000000001"/>
    <n v="64.19"/>
    <n v="67.290000000000006"/>
    <n v="35.81"/>
    <n v="32.71"/>
    <n v="15.949"/>
    <n v="15.236000000000001"/>
    <n v="32.71"/>
    <n v="35.81"/>
    <n v="11.215"/>
    <n v="11"/>
    <n v="11"/>
    <n v="11"/>
    <n v="11"/>
  </r>
  <r>
    <n v="333"/>
    <m/>
    <m/>
    <m/>
    <m/>
    <s v="NA"/>
    <s v="NA"/>
    <x v="35"/>
    <s v="NA"/>
    <m/>
    <m/>
    <s v="NA"/>
    <s v="NA"/>
    <s v="NA"/>
    <s v="NA"/>
    <s v="NA"/>
    <s v="NA"/>
    <s v="NA"/>
    <s v="NA"/>
    <s v="NA"/>
    <s v="NA"/>
    <s v="NA"/>
    <s v="NA"/>
    <s v="NA"/>
    <s v="NA"/>
    <s v="NA"/>
    <s v="NA"/>
    <s v="NA"/>
    <s v="NA"/>
    <s v="NA"/>
    <s v="NA"/>
    <s v="NA"/>
  </r>
  <r>
    <n v="334"/>
    <m/>
    <m/>
    <m/>
    <m/>
    <s v="NA"/>
    <s v="NA"/>
    <x v="35"/>
    <s v="NA"/>
    <m/>
    <m/>
    <n v="40.375"/>
    <n v="29.242999999999999"/>
    <n v="67.269000000000005"/>
    <n v="67.608999999999995"/>
    <n v="78.103999999999999"/>
    <n v="79.504000000000005"/>
    <n v="161.87899999999999"/>
    <n v="161.553"/>
    <n v="67.165000000000006"/>
    <n v="60.152000000000001"/>
    <n v="32.835000000000001"/>
    <n v="39.847999999999999"/>
    <n v="14.849"/>
    <n v="13.472"/>
    <n v="39.847999999999999"/>
    <n v="32.835000000000001"/>
    <n v="17.603000000000002"/>
    <n v="24"/>
    <n v="24"/>
    <n v="24"/>
    <n v="24"/>
  </r>
  <r>
    <n v="335"/>
    <m/>
    <m/>
    <m/>
    <m/>
    <s v="R25.1"/>
    <s v="Tremor, unspecified"/>
    <x v="144"/>
    <s v="M"/>
    <m/>
    <m/>
    <n v="68.855000000000004"/>
    <n v="65.814999999999998"/>
    <n v="134.822"/>
    <n v="135.05799999999999"/>
    <n v="121.075"/>
    <n v="120.9"/>
    <n v="107.248"/>
    <n v="107.282"/>
    <n v="62.442"/>
    <n v="62.52"/>
    <n v="37.558"/>
    <n v="37.479999999999997"/>
    <n v="13.725"/>
    <n v="11.833"/>
    <n v="37.479999999999997"/>
    <n v="37.558"/>
    <n v="6.9249999999999998"/>
    <n v="11"/>
    <n v="12"/>
    <n v="11"/>
    <n v="11"/>
  </r>
  <r>
    <n v="336"/>
    <m/>
    <m/>
    <m/>
    <m/>
    <s v="NA"/>
    <s v="NA"/>
    <x v="145"/>
    <s v="F"/>
    <m/>
    <m/>
    <s v="NA"/>
    <s v="NA"/>
    <s v="NA"/>
    <s v="NA"/>
    <s v="NA"/>
    <s v="NA"/>
    <s v="NA"/>
    <s v="NA"/>
    <s v="NA"/>
    <s v="NA"/>
    <s v="NA"/>
    <s v="NA"/>
    <s v="NA"/>
    <s v="NA"/>
    <s v="NA"/>
    <s v="NA"/>
    <s v="NA"/>
    <s v="NA"/>
    <s v="NA"/>
    <s v="NA"/>
    <s v="NA"/>
  </r>
  <r>
    <n v="337"/>
    <m/>
    <m/>
    <m/>
    <m/>
    <s v="G20"/>
    <s v="Parkinson's disease"/>
    <x v="146"/>
    <s v="F"/>
    <m/>
    <m/>
    <n v="35.271999999999998"/>
    <n v="38.273000000000003"/>
    <n v="74.153999999999996"/>
    <n v="73.126999999999995"/>
    <n v="60.265999999999998"/>
    <n v="60.161999999999999"/>
    <n v="97"/>
    <n v="97.046999999999997"/>
    <n v="67.019000000000005"/>
    <n v="64.341999999999999"/>
    <n v="32.981000000000002"/>
    <n v="35.658000000000001"/>
    <n v="11.079000000000001"/>
    <n v="20.561"/>
    <n v="35.658000000000001"/>
    <n v="32.981000000000002"/>
    <n v="10.263"/>
    <n v="18"/>
    <n v="19"/>
    <n v="18"/>
    <n v="18"/>
  </r>
  <r>
    <n v="338"/>
    <m/>
    <m/>
    <m/>
    <m/>
    <s v="NA"/>
    <s v="NA"/>
    <x v="35"/>
    <s v="NA"/>
    <m/>
    <m/>
    <n v="60.994999999999997"/>
    <n v="63.988"/>
    <n v="125.33499999999999"/>
    <n v="125.19799999999999"/>
    <n v="117.80200000000001"/>
    <n v="117.62"/>
    <n v="112.196"/>
    <n v="112.01900000000001"/>
    <n v="61.765999999999998"/>
    <n v="63.06"/>
    <n v="38.234000000000002"/>
    <n v="36.94"/>
    <n v="12.769"/>
    <n v="12.198"/>
    <n v="36.94"/>
    <n v="38.234000000000002"/>
    <n v="11.182"/>
    <n v="10"/>
    <n v="10"/>
    <n v="10"/>
    <n v="10"/>
  </r>
  <r>
    <n v="339"/>
    <m/>
    <m/>
    <m/>
    <m/>
    <s v="NA"/>
    <s v="NA"/>
    <x v="147"/>
    <s v="F"/>
    <m/>
    <m/>
    <s v="NA"/>
    <s v="NA"/>
    <s v="NA"/>
    <s v="NA"/>
    <s v="NA"/>
    <s v="NA"/>
    <s v="NA"/>
    <s v="NA"/>
    <s v="NA"/>
    <s v="NA"/>
    <s v="NA"/>
    <s v="NA"/>
    <s v="NA"/>
    <s v="NA"/>
    <s v="NA"/>
    <s v="NA"/>
    <s v="NA"/>
    <s v="NA"/>
    <s v="NA"/>
    <s v="NA"/>
    <s v="NA"/>
  </r>
  <r>
    <n v="340"/>
    <m/>
    <m/>
    <m/>
    <m/>
    <s v="NA"/>
    <s v="NA"/>
    <x v="35"/>
    <s v="NA"/>
    <m/>
    <m/>
    <n v="52.334000000000003"/>
    <n v="49.465000000000003"/>
    <n v="102.033"/>
    <n v="101.583"/>
    <n v="99.88"/>
    <n v="99.114000000000004"/>
    <n v="116.95099999999999"/>
    <n v="115.712"/>
    <n v="64.248999999999995"/>
    <n v="62.384999999999998"/>
    <n v="35.750999999999998"/>
    <n v="37.615000000000002"/>
    <n v="12.423"/>
    <n v="15.063000000000001"/>
    <n v="37.615000000000002"/>
    <n v="35.750999999999998"/>
    <n v="17.27"/>
    <n v="13"/>
    <n v="12"/>
    <n v="12"/>
    <n v="12"/>
  </r>
  <r>
    <n v="341"/>
    <m/>
    <m/>
    <m/>
    <m/>
    <s v="G20"/>
    <s v="Parkinson's disease"/>
    <x v="148"/>
    <s v="F"/>
    <m/>
    <m/>
    <n v="45.478000000000002"/>
    <n v="50.95"/>
    <n v="96.884"/>
    <n v="96.433000000000007"/>
    <n v="86.462999999999994"/>
    <n v="86.031000000000006"/>
    <n v="106.14"/>
    <n v="106.193"/>
    <n v="64.843000000000004"/>
    <n v="63.662999999999997"/>
    <n v="35.156999999999996"/>
    <n v="36.337000000000003"/>
    <n v="15.198"/>
    <n v="13.742000000000001"/>
    <n v="36.337000000000003"/>
    <n v="35.156999999999996"/>
    <n v="12.704000000000001"/>
    <n v="11"/>
    <n v="14"/>
    <n v="11"/>
    <n v="11"/>
  </r>
  <r>
    <n v="342"/>
    <m/>
    <m/>
    <m/>
    <m/>
    <s v="G20"/>
    <s v="Parkinson's disease"/>
    <x v="32"/>
    <s v="M"/>
    <m/>
    <m/>
    <s v="NA"/>
    <s v="NA"/>
    <s v="NA"/>
    <s v="NA"/>
    <s v="NA"/>
    <s v="NA"/>
    <s v="NA"/>
    <s v="NA"/>
    <s v="NA"/>
    <s v="NA"/>
    <s v="NA"/>
    <s v="NA"/>
    <s v="NA"/>
    <s v="NA"/>
    <s v="NA"/>
    <s v="NA"/>
    <s v="NA"/>
    <s v="NA"/>
    <s v="NA"/>
    <s v="NA"/>
    <s v="NA"/>
  </r>
  <r>
    <n v="344"/>
    <m/>
    <m/>
    <m/>
    <m/>
    <s v="R25.1"/>
    <s v="Tremor, unspecified"/>
    <x v="149"/>
    <s v="M"/>
    <m/>
    <m/>
    <n v="64.942999999999998"/>
    <n v="65.760000000000005"/>
    <n v="130.483"/>
    <n v="131.29"/>
    <n v="120.46599999999999"/>
    <n v="121.19799999999999"/>
    <n v="110.089"/>
    <n v="110.28"/>
    <n v="61.844999999999999"/>
    <n v="62.478999999999999"/>
    <n v="38.155000000000001"/>
    <n v="37.521000000000001"/>
    <n v="11.116"/>
    <n v="13.472"/>
    <n v="37.521000000000001"/>
    <n v="38.155000000000001"/>
    <n v="8.0519999999999996"/>
    <n v="11"/>
    <n v="10"/>
    <n v="10"/>
    <n v="10"/>
  </r>
  <r>
    <n v="345"/>
    <m/>
    <m/>
    <m/>
    <m/>
    <s v="NA"/>
    <s v="NA"/>
    <x v="35"/>
    <s v="NA"/>
    <m/>
    <m/>
    <n v="37.042999999999999"/>
    <n v="35.332000000000001"/>
    <n v="73.739999999999995"/>
    <n v="73.197000000000003"/>
    <n v="53.246000000000002"/>
    <n v="52.991"/>
    <n v="87.844999999999999"/>
    <n v="86.915000000000006"/>
    <n v="65.409000000000006"/>
    <n v="64.13"/>
    <n v="34.591000000000001"/>
    <n v="35.869999999999997"/>
    <n v="15.839"/>
    <n v="14.76"/>
    <n v="35.869999999999997"/>
    <n v="34.591000000000001"/>
    <n v="10.936"/>
    <n v="13"/>
    <n v="13"/>
    <n v="13"/>
    <n v="13"/>
  </r>
  <r>
    <n v="346"/>
    <m/>
    <m/>
    <m/>
    <m/>
    <s v="NA"/>
    <s v="NA"/>
    <x v="35"/>
    <s v="NA"/>
    <m/>
    <m/>
    <s v="NA"/>
    <s v="NA"/>
    <s v="NA"/>
    <s v="NA"/>
    <s v="NA"/>
    <s v="NA"/>
    <s v="NA"/>
    <s v="NA"/>
    <s v="NA"/>
    <s v="NA"/>
    <s v="NA"/>
    <s v="NA"/>
    <s v="NA"/>
    <s v="NA"/>
    <s v="NA"/>
    <s v="NA"/>
    <s v="NA"/>
    <s v="NA"/>
    <s v="NA"/>
    <s v="NA"/>
    <s v="NA"/>
  </r>
  <r>
    <n v="347"/>
    <m/>
    <m/>
    <m/>
    <m/>
    <s v="G20"/>
    <s v="Parkinson's disease"/>
    <x v="150"/>
    <s v="M"/>
    <m/>
    <m/>
    <n v="39.529000000000003"/>
    <n v="39.811"/>
    <n v="79.162999999999997"/>
    <n v="78.861999999999995"/>
    <n v="66.262"/>
    <n v="66.322000000000003"/>
    <n v="99.837000000000003"/>
    <n v="100.98699999999999"/>
    <n v="70.052000000000007"/>
    <n v="67.477999999999994"/>
    <n v="29.948"/>
    <n v="32.521999999999998"/>
    <n v="18.39"/>
    <n v="19.989000000000001"/>
    <n v="32.521999999999998"/>
    <n v="29.948"/>
    <n v="13.243"/>
    <n v="11"/>
    <n v="12"/>
    <n v="11"/>
    <n v="11"/>
  </r>
  <r>
    <n v="348"/>
    <m/>
    <m/>
    <m/>
    <m/>
    <s v="NA"/>
    <s v="NA"/>
    <x v="35"/>
    <s v="NA"/>
    <m/>
    <m/>
    <s v="NA"/>
    <s v="NA"/>
    <s v="NA"/>
    <s v="NA"/>
    <s v="NA"/>
    <s v="NA"/>
    <s v="NA"/>
    <s v="NA"/>
    <s v="NA"/>
    <s v="NA"/>
    <s v="NA"/>
    <s v="NA"/>
    <s v="NA"/>
    <s v="NA"/>
    <s v="NA"/>
    <s v="NA"/>
    <s v="NA"/>
    <s v="NA"/>
    <s v="NA"/>
    <s v="NA"/>
    <s v="NA"/>
  </r>
  <r>
    <n v="349"/>
    <m/>
    <m/>
    <m/>
    <m/>
    <s v="NA"/>
    <s v="NA"/>
    <x v="151"/>
    <s v="M"/>
    <m/>
    <m/>
    <s v="NA"/>
    <s v="NA"/>
    <s v="NA"/>
    <s v="NA"/>
    <s v="NA"/>
    <s v="NA"/>
    <s v="NA"/>
    <s v="NA"/>
    <s v="NA"/>
    <s v="NA"/>
    <s v="NA"/>
    <s v="NA"/>
    <s v="NA"/>
    <s v="NA"/>
    <s v="NA"/>
    <s v="NA"/>
    <s v="NA"/>
    <s v="NA"/>
    <s v="NA"/>
    <s v="NA"/>
    <s v="NA"/>
  </r>
  <r>
    <n v="350"/>
    <m/>
    <m/>
    <m/>
    <m/>
    <s v="G20"/>
    <s v="Parkinson's disease"/>
    <x v="11"/>
    <s v="M"/>
    <m/>
    <m/>
    <n v="60.305999999999997"/>
    <n v="57.56"/>
    <n v="117.961"/>
    <n v="117.343"/>
    <n v="112.86199999999999"/>
    <n v="113.899"/>
    <n v="114.386"/>
    <n v="115.093"/>
    <n v="62.987000000000002"/>
    <n v="64.075999999999993"/>
    <n v="37.012999999999998"/>
    <n v="35.923999999999999"/>
    <n v="14.648999999999999"/>
    <n v="12.420999999999999"/>
    <n v="35.923999999999999"/>
    <n v="37.012999999999998"/>
    <n v="7.88"/>
    <n v="11"/>
    <n v="10"/>
    <n v="10"/>
    <n v="10"/>
  </r>
  <r>
    <n v="351"/>
    <m/>
    <m/>
    <m/>
    <m/>
    <s v="G25.0"/>
    <s v="Essential tremor"/>
    <x v="43"/>
    <s v="M"/>
    <m/>
    <m/>
    <n v="63.402999999999999"/>
    <n v="65.8"/>
    <n v="130.05799999999999"/>
    <n v="129.14699999999999"/>
    <n v="104.669"/>
    <n v="104.39700000000001"/>
    <n v="96.033000000000001"/>
    <n v="96.668000000000006"/>
    <n v="62.128999999999998"/>
    <n v="61.161000000000001"/>
    <n v="37.871000000000002"/>
    <n v="38.838999999999999"/>
    <n v="11.964"/>
    <n v="11.945"/>
    <n v="38.838999999999999"/>
    <n v="37.871000000000002"/>
    <n v="8.73"/>
    <n v="10"/>
    <n v="11"/>
    <n v="10"/>
    <n v="10"/>
  </r>
  <r>
    <n v="352"/>
    <m/>
    <m/>
    <m/>
    <m/>
    <s v="NA"/>
    <s v="NA"/>
    <x v="35"/>
    <s v="NA"/>
    <m/>
    <m/>
    <n v="50.064"/>
    <n v="50.698"/>
    <n v="100.64400000000001"/>
    <n v="101.502"/>
    <n v="90.545000000000002"/>
    <n v="91.191999999999993"/>
    <n v="107.408"/>
    <n v="107.46299999999999"/>
    <n v="64.238"/>
    <n v="62.701000000000001"/>
    <n v="35.762"/>
    <n v="37.298999999999999"/>
    <n v="13.407"/>
    <n v="14.23"/>
    <n v="37.298999999999999"/>
    <n v="35.762"/>
    <n v="14.602"/>
    <n v="12"/>
    <n v="11"/>
    <n v="11"/>
    <n v="11"/>
  </r>
  <r>
    <n v="353"/>
    <m/>
    <m/>
    <m/>
    <m/>
    <s v="G25.0"/>
    <s v="Essential tremor"/>
    <x v="122"/>
    <s v="F"/>
    <m/>
    <m/>
    <n v="61.146999999999998"/>
    <n v="58.521999999999998"/>
    <n v="119.917"/>
    <n v="118.982"/>
    <n v="129.06899999999999"/>
    <n v="127.696"/>
    <n v="128.99700000000001"/>
    <n v="127.876"/>
    <n v="61.487000000000002"/>
    <n v="61.048000000000002"/>
    <n v="38.512999999999998"/>
    <n v="38.951999999999998"/>
    <n v="11.186"/>
    <n v="11.817"/>
    <n v="38.951999999999998"/>
    <n v="38.512999999999998"/>
    <n v="9.85"/>
    <n v="10"/>
    <n v="9"/>
    <n v="9"/>
    <n v="9"/>
  </r>
  <r>
    <n v="354"/>
    <m/>
    <m/>
    <m/>
    <m/>
    <s v="NA"/>
    <s v="NA"/>
    <x v="35"/>
    <s v="NA"/>
    <m/>
    <m/>
    <s v="NA"/>
    <s v="NA"/>
    <s v="NA"/>
    <s v="NA"/>
    <s v="NA"/>
    <s v="NA"/>
    <s v="NA"/>
    <s v="NA"/>
    <s v="NA"/>
    <s v="NA"/>
    <s v="NA"/>
    <s v="NA"/>
    <s v="NA"/>
    <s v="NA"/>
    <s v="NA"/>
    <s v="NA"/>
    <s v="NA"/>
    <s v="NA"/>
    <s v="NA"/>
    <s v="NA"/>
    <s v="NA"/>
  </r>
  <r>
    <n v="355"/>
    <m/>
    <m/>
    <m/>
    <m/>
    <s v="NA"/>
    <s v="NA"/>
    <x v="152"/>
    <s v="M"/>
    <m/>
    <m/>
    <s v="NA"/>
    <s v="NA"/>
    <s v="NA"/>
    <s v="NA"/>
    <s v="NA"/>
    <s v="NA"/>
    <s v="NA"/>
    <s v="NA"/>
    <s v="NA"/>
    <s v="NA"/>
    <s v="NA"/>
    <s v="NA"/>
    <s v="NA"/>
    <s v="NA"/>
    <s v="NA"/>
    <s v="NA"/>
    <s v="NA"/>
    <s v="NA"/>
    <s v="NA"/>
    <s v="NA"/>
    <s v="NA"/>
  </r>
  <r>
    <n v="356"/>
    <m/>
    <m/>
    <m/>
    <m/>
    <s v="G20"/>
    <s v="Parkinson's disease"/>
    <x v="112"/>
    <s v="F"/>
    <m/>
    <m/>
    <n v="41.005000000000003"/>
    <n v="38.698999999999998"/>
    <n v="79.613"/>
    <n v="79.701999999999998"/>
    <n v="57.293999999999997"/>
    <n v="57.784999999999997"/>
    <n v="86.32"/>
    <n v="86.980999999999995"/>
    <n v="68.03"/>
    <n v="69.641000000000005"/>
    <n v="31.97"/>
    <n v="30.359000000000002"/>
    <n v="16.728000000000002"/>
    <n v="20.870999999999999"/>
    <n v="30.359000000000002"/>
    <n v="31.97"/>
    <n v="15.795"/>
    <n v="12"/>
    <n v="12"/>
    <n v="12"/>
    <n v="12"/>
  </r>
  <r>
    <n v="357"/>
    <m/>
    <m/>
    <m/>
    <m/>
    <s v="NA"/>
    <s v="NA"/>
    <x v="35"/>
    <s v="NA"/>
    <m/>
    <m/>
    <s v="NA"/>
    <s v="NA"/>
    <s v="NA"/>
    <s v="NA"/>
    <s v="NA"/>
    <s v="NA"/>
    <s v="NA"/>
    <s v="NA"/>
    <s v="NA"/>
    <s v="NA"/>
    <s v="NA"/>
    <s v="NA"/>
    <s v="NA"/>
    <s v="NA"/>
    <s v="NA"/>
    <s v="NA"/>
    <s v="NA"/>
    <s v="NA"/>
    <s v="NA"/>
    <s v="NA"/>
    <s v="NA"/>
  </r>
  <r>
    <n v="358"/>
    <m/>
    <m/>
    <m/>
    <m/>
    <s v="G20"/>
    <s v="Parkinson's disease"/>
    <x v="153"/>
    <s v="F"/>
    <m/>
    <m/>
    <n v="6.1070000000000002"/>
    <n v="19.991"/>
    <n v="26.994"/>
    <n v="27.387"/>
    <n v="13.618"/>
    <n v="13.891999999999999"/>
    <n v="76.882999999999996"/>
    <n v="61.985999999999997"/>
    <n v="81.290000000000006"/>
    <n v="78.057000000000002"/>
    <n v="18.71"/>
    <n v="21.943000000000001"/>
    <n v="28.231999999999999"/>
    <n v="32.375999999999998"/>
    <n v="21.943000000000001"/>
    <n v="18.71"/>
    <n v="10.388"/>
    <n v="10"/>
    <n v="8"/>
    <n v="8"/>
    <n v="8"/>
  </r>
  <r>
    <n v="359"/>
    <m/>
    <m/>
    <m/>
    <m/>
    <s v="NA"/>
    <s v="NA"/>
    <x v="154"/>
    <s v="M"/>
    <m/>
    <m/>
    <s v="NA"/>
    <s v="NA"/>
    <s v="NA"/>
    <s v="NA"/>
    <s v="NA"/>
    <s v="NA"/>
    <s v="NA"/>
    <s v="NA"/>
    <s v="NA"/>
    <s v="NA"/>
    <s v="NA"/>
    <s v="NA"/>
    <s v="NA"/>
    <s v="NA"/>
    <s v="NA"/>
    <s v="NA"/>
    <s v="NA"/>
    <s v="NA"/>
    <s v="NA"/>
    <s v="NA"/>
    <s v="NA"/>
  </r>
  <r>
    <n v="360"/>
    <m/>
    <m/>
    <m/>
    <m/>
    <s v="G62.9"/>
    <s v="Polyneuropathy, unspecified"/>
    <x v="155"/>
    <s v="M"/>
    <m/>
    <m/>
    <n v="66.614999999999995"/>
    <n v="62.994999999999997"/>
    <n v="130.102"/>
    <n v="128.62200000000001"/>
    <n v="123.57599999999999"/>
    <n v="123.67400000000001"/>
    <n v="113.687"/>
    <n v="115.14700000000001"/>
    <n v="62.119"/>
    <n v="62.521999999999998"/>
    <n v="37.881"/>
    <n v="37.478000000000002"/>
    <n v="12.625999999999999"/>
    <n v="11.722"/>
    <n v="37.478000000000002"/>
    <n v="37.881"/>
    <n v="10.302"/>
    <n v="10"/>
    <n v="9"/>
    <n v="9"/>
    <n v="9"/>
  </r>
  <r>
    <n v="361"/>
    <m/>
    <m/>
    <m/>
    <m/>
    <s v="NA"/>
    <s v="NA"/>
    <x v="156"/>
    <s v="M"/>
    <m/>
    <m/>
    <s v="NA"/>
    <s v="NA"/>
    <s v="NA"/>
    <s v="NA"/>
    <s v="NA"/>
    <s v="NA"/>
    <s v="NA"/>
    <s v="NA"/>
    <s v="NA"/>
    <s v="NA"/>
    <s v="NA"/>
    <s v="NA"/>
    <s v="NA"/>
    <s v="NA"/>
    <s v="NA"/>
    <s v="NA"/>
    <s v="NA"/>
    <s v="NA"/>
    <s v="NA"/>
    <s v="NA"/>
    <s v="NA"/>
  </r>
  <r>
    <n v="362"/>
    <m/>
    <m/>
    <m/>
    <m/>
    <s v="NA"/>
    <s v="NA"/>
    <x v="77"/>
    <s v="M"/>
    <m/>
    <m/>
    <s v="NA"/>
    <s v="NA"/>
    <s v="NA"/>
    <s v="NA"/>
    <s v="NA"/>
    <s v="NA"/>
    <s v="NA"/>
    <s v="NA"/>
    <s v="NA"/>
    <s v="NA"/>
    <s v="NA"/>
    <s v="NA"/>
    <s v="NA"/>
    <s v="NA"/>
    <s v="NA"/>
    <s v="NA"/>
    <s v="NA"/>
    <s v="NA"/>
    <s v="NA"/>
    <s v="NA"/>
    <s v="NA"/>
  </r>
  <r>
    <n v="363"/>
    <m/>
    <m/>
    <m/>
    <m/>
    <s v="NA"/>
    <s v="NA"/>
    <x v="35"/>
    <s v="NA"/>
    <m/>
    <m/>
    <n v="39.085999999999999"/>
    <n v="33.558999999999997"/>
    <n v="72.528000000000006"/>
    <n v="73.043000000000006"/>
    <n v="52.933"/>
    <n v="53.378"/>
    <n v="88.188000000000002"/>
    <n v="88.49"/>
    <n v="66.649000000000001"/>
    <n v="66.748000000000005"/>
    <n v="33.350999999999999"/>
    <n v="33.252000000000002"/>
    <n v="17.081"/>
    <n v="16.811"/>
    <n v="33.252000000000002"/>
    <n v="33.350999999999999"/>
    <n v="13.138"/>
    <n v="13"/>
    <n v="13"/>
    <n v="13"/>
    <n v="13"/>
  </r>
  <r>
    <n v="364"/>
    <m/>
    <m/>
    <m/>
    <m/>
    <s v="G24.3"/>
    <s v="Spasmodic torticollis"/>
    <x v="88"/>
    <s v="F"/>
    <m/>
    <m/>
    <n v="54.252000000000002"/>
    <n v="50.918999999999997"/>
    <n v="105.931"/>
    <n v="105.035"/>
    <n v="93.736000000000004"/>
    <n v="92.421000000000006"/>
    <n v="105.746"/>
    <n v="105.533"/>
    <n v="62.493000000000002"/>
    <n v="63.179000000000002"/>
    <n v="37.506999999999998"/>
    <n v="36.820999999999998"/>
    <n v="13.987"/>
    <n v="11.538"/>
    <n v="36.820999999999998"/>
    <n v="37.506999999999998"/>
    <n v="7.6120000000000001"/>
    <n v="12"/>
    <n v="12"/>
    <n v="12"/>
    <n v="12"/>
  </r>
  <r>
    <n v="365"/>
    <m/>
    <m/>
    <m/>
    <m/>
    <s v="NA"/>
    <s v="NA"/>
    <x v="35"/>
    <s v="F"/>
    <m/>
    <m/>
    <n v="52.481000000000002"/>
    <n v="49.832999999999998"/>
    <n v="102.871"/>
    <n v="102.804"/>
    <n v="91.421000000000006"/>
    <n v="91.927000000000007"/>
    <n v="106.51600000000001"/>
    <n v="107.2"/>
    <n v="63.904000000000003"/>
    <n v="63.850999999999999"/>
    <n v="36.095999999999997"/>
    <n v="36.149000000000001"/>
    <n v="14.282999999999999"/>
    <n v="13.833"/>
    <n v="36.149000000000001"/>
    <n v="36.095999999999997"/>
    <n v="13.103999999999999"/>
    <n v="12"/>
    <n v="15"/>
    <n v="12"/>
    <n v="12"/>
  </r>
  <r>
    <n v="366"/>
    <m/>
    <m/>
    <m/>
    <m/>
    <s v="NA"/>
    <s v="NA"/>
    <x v="35"/>
    <s v="NA"/>
    <m/>
    <m/>
    <n v="60.796999999999997"/>
    <n v="61.481999999999999"/>
    <n v="123.19799999999999"/>
    <n v="122.11199999999999"/>
    <n v="95.942999999999998"/>
    <n v="96.018000000000001"/>
    <n v="93.111999999999995"/>
    <n v="93.552999999999997"/>
    <n v="63.36"/>
    <n v="62.005000000000003"/>
    <n v="36.64"/>
    <n v="37.994999999999997"/>
    <n v="13.904"/>
    <n v="11.951000000000001"/>
    <n v="37.994999999999997"/>
    <n v="36.64"/>
    <n v="16.812000000000001"/>
    <n v="10"/>
    <n v="10"/>
    <n v="10"/>
    <n v="10"/>
  </r>
  <r>
    <n v="367"/>
    <m/>
    <m/>
    <m/>
    <m/>
    <s v="G25.0"/>
    <s v="Essential tremor"/>
    <x v="150"/>
    <s v="F"/>
    <m/>
    <m/>
    <n v="35.83"/>
    <n v="37.936"/>
    <n v="74.132000000000005"/>
    <n v="73.980999999999995"/>
    <n v="59.588000000000001"/>
    <n v="60.738"/>
    <n v="96.323999999999998"/>
    <n v="98.081999999999994"/>
    <n v="70.283000000000001"/>
    <n v="69.484999999999999"/>
    <n v="29.716999999999999"/>
    <n v="30.515000000000001"/>
    <n v="21.085000000000001"/>
    <n v="18.989999999999998"/>
    <n v="30.515000000000001"/>
    <n v="29.716999999999999"/>
    <n v="7.82"/>
    <n v="15"/>
    <n v="17"/>
    <n v="15"/>
    <n v="15"/>
  </r>
  <r>
    <n v="368"/>
    <m/>
    <m/>
    <m/>
    <m/>
    <s v="G25.0"/>
    <s v="Essential tremor"/>
    <x v="157"/>
    <s v="M"/>
    <m/>
    <m/>
    <n v="66.183999999999997"/>
    <n v="66.388000000000005"/>
    <n v="132.46100000000001"/>
    <n v="133.108"/>
    <n v="110.488"/>
    <n v="110.351"/>
    <n v="99.19"/>
    <n v="99.013999999999996"/>
    <n v="62.573"/>
    <n v="62.405000000000001"/>
    <n v="37.427"/>
    <n v="37.594999999999999"/>
    <n v="12.688000000000001"/>
    <n v="12.026"/>
    <n v="37.594999999999999"/>
    <n v="37.427"/>
    <n v="11.912000000000001"/>
    <n v="9"/>
    <n v="10"/>
    <n v="9"/>
    <n v="9"/>
  </r>
  <r>
    <n v="369"/>
    <m/>
    <m/>
    <m/>
    <m/>
    <s v="G24.3"/>
    <s v="Spasmodic torticollis"/>
    <x v="93"/>
    <s v="F"/>
    <m/>
    <m/>
    <n v="47.06"/>
    <n v="47.387"/>
    <n v="94.367000000000004"/>
    <n v="94.802000000000007"/>
    <n v="82.510999999999996"/>
    <n v="82.826999999999998"/>
    <n v="104.532"/>
    <n v="103.687"/>
    <n v="64.593000000000004"/>
    <n v="62.322000000000003"/>
    <n v="35.406999999999996"/>
    <n v="37.677999999999997"/>
    <n v="13.888999999999999"/>
    <n v="12.95"/>
    <n v="37.677999999999997"/>
    <n v="35.406999999999996"/>
    <n v="7.008"/>
    <n v="15"/>
    <n v="13"/>
    <n v="13"/>
    <n v="13"/>
  </r>
  <r>
    <n v="370"/>
    <m/>
    <m/>
    <m/>
    <m/>
    <s v="G24.01"/>
    <s v="Drug induced subacute dyskinesia"/>
    <x v="158"/>
    <s v="F"/>
    <m/>
    <m/>
    <n v="60.222999999999999"/>
    <n v="55.392000000000003"/>
    <n v="114.712"/>
    <n v="117.70399999999999"/>
    <n v="111.42"/>
    <n v="113.56100000000001"/>
    <n v="118.28100000000001"/>
    <n v="116.29"/>
    <n v="62.344999999999999"/>
    <n v="60.994"/>
    <n v="37.655000000000001"/>
    <n v="39.006"/>
    <n v="12.839"/>
    <n v="10.263"/>
    <n v="39.006"/>
    <n v="37.655000000000001"/>
    <n v="10.314"/>
    <n v="12"/>
    <n v="10"/>
    <n v="10"/>
    <n v="10"/>
  </r>
  <r>
    <n v="371"/>
    <m/>
    <m/>
    <m/>
    <m/>
    <s v="G20"/>
    <s v="Parkinson's disease"/>
    <x v="112"/>
    <s v="M"/>
    <m/>
    <m/>
    <n v="58.756"/>
    <n v="60.148000000000003"/>
    <n v="118.86799999999999"/>
    <n v="119.51300000000001"/>
    <n v="109.42700000000001"/>
    <n v="109.828"/>
    <n v="110.366"/>
    <n v="110.139"/>
    <n v="63.067999999999998"/>
    <n v="62.923000000000002"/>
    <n v="36.932000000000002"/>
    <n v="37.076999999999998"/>
    <n v="12.566000000000001"/>
    <n v="13.677"/>
    <n v="37.076999999999998"/>
    <n v="36.932000000000002"/>
    <n v="7.532"/>
    <n v="10"/>
    <n v="10"/>
    <n v="10"/>
    <n v="10"/>
  </r>
  <r>
    <n v="372"/>
    <m/>
    <m/>
    <m/>
    <m/>
    <s v="NA"/>
    <s v="NA"/>
    <x v="35"/>
    <s v="NA"/>
    <m/>
    <m/>
    <n v="54.817"/>
    <n v="58.741"/>
    <n v="112.95"/>
    <n v="113.64700000000001"/>
    <n v="104.935"/>
    <n v="107.501"/>
    <n v="113.07599999999999"/>
    <n v="114.45399999999999"/>
    <n v="63.429000000000002"/>
    <n v="60.875999999999998"/>
    <n v="36.570999999999998"/>
    <n v="39.124000000000002"/>
    <n v="10.361000000000001"/>
    <n v="14.269"/>
    <n v="39.124000000000002"/>
    <n v="36.570999999999998"/>
    <n v="10.067"/>
    <n v="5"/>
    <n v="4"/>
    <n v="4"/>
    <n v="4"/>
  </r>
  <r>
    <n v="373"/>
    <m/>
    <m/>
    <m/>
    <m/>
    <s v="NA"/>
    <s v="NA"/>
    <x v="35"/>
    <s v="NA"/>
    <m/>
    <m/>
    <n v="53.366999999999997"/>
    <n v="58.768999999999998"/>
    <n v="114.477"/>
    <n v="110.76300000000001"/>
    <n v="101.828"/>
    <n v="101.128"/>
    <n v="109.4"/>
    <n v="110.05"/>
    <n v="61.442"/>
    <n v="62.308999999999997"/>
    <n v="38.558"/>
    <n v="37.691000000000003"/>
    <n v="13.244"/>
    <n v="11.852"/>
    <n v="37.691000000000003"/>
    <n v="38.558"/>
    <n v="11.154999999999999"/>
    <n v="10"/>
    <n v="11"/>
    <n v="10"/>
    <n v="10"/>
  </r>
  <r>
    <n v="374"/>
    <m/>
    <m/>
    <m/>
    <m/>
    <s v="NA"/>
    <s v="NA"/>
    <x v="159"/>
    <s v="F"/>
    <m/>
    <m/>
    <n v="61.774999999999999"/>
    <n v="57.604999999999997"/>
    <n v="119.134"/>
    <n v="120.89400000000001"/>
    <n v="100.7"/>
    <n v="102.831"/>
    <n v="102.273"/>
    <n v="103.453"/>
    <n v="61.164000000000001"/>
    <n v="63.506"/>
    <n v="38.835999999999999"/>
    <n v="36.494"/>
    <n v="12.638999999999999"/>
    <n v="12.785"/>
    <n v="36.494"/>
    <n v="38.835999999999999"/>
    <n v="12.557"/>
    <n v="7"/>
    <n v="6"/>
    <n v="5"/>
    <n v="5"/>
  </r>
  <r>
    <n v="375"/>
    <m/>
    <m/>
    <m/>
    <m/>
    <s v="NA"/>
    <s v="NA"/>
    <x v="35"/>
    <s v="NA"/>
    <m/>
    <m/>
    <s v="NA"/>
    <s v="NA"/>
    <s v="NA"/>
    <s v="NA"/>
    <s v="NA"/>
    <s v="NA"/>
    <s v="NA"/>
    <s v="NA"/>
    <s v="NA"/>
    <s v="NA"/>
    <s v="NA"/>
    <s v="NA"/>
    <s v="NA"/>
    <s v="NA"/>
    <s v="NA"/>
    <s v="NA"/>
    <s v="NA"/>
    <s v="NA"/>
    <s v="NA"/>
    <s v="NA"/>
    <s v="NA"/>
  </r>
  <r>
    <n v="376"/>
    <m/>
    <m/>
    <m/>
    <m/>
    <s v="NA"/>
    <s v="NA"/>
    <x v="35"/>
    <s v="NA"/>
    <m/>
    <m/>
    <s v="NA"/>
    <s v="NA"/>
    <s v="NA"/>
    <s v="NA"/>
    <s v="NA"/>
    <s v="NA"/>
    <s v="NA"/>
    <s v="NA"/>
    <s v="NA"/>
    <s v="NA"/>
    <s v="NA"/>
    <s v="NA"/>
    <s v="NA"/>
    <s v="NA"/>
    <s v="NA"/>
    <s v="NA"/>
    <s v="NA"/>
    <s v="NA"/>
    <s v="NA"/>
    <s v="NA"/>
    <s v="NA"/>
  </r>
  <r>
    <n v="377"/>
    <m/>
    <m/>
    <m/>
    <m/>
    <s v="NA"/>
    <s v="NA"/>
    <x v="35"/>
    <s v="NA"/>
    <m/>
    <m/>
    <n v="28.815999999999999"/>
    <n v="36.088999999999999"/>
    <n v="64.805999999999997"/>
    <n v="64.477999999999994"/>
    <n v="52.634999999999998"/>
    <n v="51.832999999999998"/>
    <n v="97.093000000000004"/>
    <n v="96.716999999999999"/>
    <n v="65.108999999999995"/>
    <n v="64.971000000000004"/>
    <n v="34.890999999999998"/>
    <n v="35.029000000000003"/>
    <n v="16.106000000000002"/>
    <n v="14.507999999999999"/>
    <n v="35.029000000000003"/>
    <n v="34.890999999999998"/>
    <n v="18.728000000000002"/>
    <n v="13"/>
    <n v="14"/>
    <n v="13"/>
    <n v="13"/>
  </r>
  <r>
    <n v="378"/>
    <m/>
    <m/>
    <m/>
    <m/>
    <s v="NA"/>
    <s v="NA"/>
    <x v="35"/>
    <s v="NA"/>
    <m/>
    <m/>
    <n v="56.456000000000003"/>
    <n v="55.637999999999998"/>
    <n v="111.986"/>
    <n v="112.501"/>
    <n v="82.531000000000006"/>
    <n v="83.382000000000005"/>
    <n v="87.631"/>
    <n v="89.001000000000005"/>
    <n v="61.752000000000002"/>
    <n v="63.698999999999998"/>
    <n v="38.247999999999998"/>
    <n v="36.301000000000002"/>
    <n v="13.648999999999999"/>
    <n v="12.394"/>
    <n v="36.301000000000002"/>
    <n v="38.247999999999998"/>
    <n v="19.984000000000002"/>
    <n v="9"/>
    <n v="14"/>
    <n v="9"/>
    <n v="9"/>
  </r>
  <r>
    <n v="379"/>
    <m/>
    <m/>
    <m/>
    <m/>
    <s v="NA"/>
    <s v="NA"/>
    <x v="160"/>
    <s v="M"/>
    <m/>
    <m/>
    <s v="NA"/>
    <s v="NA"/>
    <s v="NA"/>
    <s v="NA"/>
    <s v="NA"/>
    <s v="NA"/>
    <s v="NA"/>
    <s v="NA"/>
    <s v="NA"/>
    <s v="NA"/>
    <s v="NA"/>
    <s v="NA"/>
    <s v="NA"/>
    <s v="NA"/>
    <s v="NA"/>
    <s v="NA"/>
    <s v="NA"/>
    <s v="NA"/>
    <s v="NA"/>
    <s v="NA"/>
    <s v="NA"/>
  </r>
  <r>
    <n v="380"/>
    <m/>
    <m/>
    <m/>
    <m/>
    <s v="NA"/>
    <s v="NA"/>
    <x v="35"/>
    <s v="NA"/>
    <m/>
    <m/>
    <n v="59.517000000000003"/>
    <n v="58.305"/>
    <n v="117.947"/>
    <n v="118.346"/>
    <n v="112.53400000000001"/>
    <n v="111.441"/>
    <n v="114.133"/>
    <n v="113.959"/>
    <n v="60.05"/>
    <n v="60.822000000000003"/>
    <n v="39.950000000000003"/>
    <n v="39.177999999999997"/>
    <n v="10.496"/>
    <n v="11.138"/>
    <n v="39.177999999999997"/>
    <n v="39.950000000000003"/>
    <n v="10.93"/>
    <n v="7"/>
    <n v="7"/>
    <n v="7"/>
    <n v="7"/>
  </r>
  <r>
    <n v="381"/>
    <m/>
    <m/>
    <m/>
    <m/>
    <s v="NA"/>
    <s v="NA"/>
    <x v="35"/>
    <s v="NA"/>
    <m/>
    <m/>
    <n v="65.873000000000005"/>
    <n v="70.754000000000005"/>
    <n v="136.589"/>
    <n v="134.85300000000001"/>
    <n v="105.504"/>
    <n v="107.654"/>
    <n v="93.430999999999997"/>
    <n v="95.379000000000005"/>
    <n v="62.121000000000002"/>
    <n v="62.421999999999997"/>
    <n v="37.878999999999998"/>
    <n v="37.578000000000003"/>
    <n v="12.393000000000001"/>
    <n v="10.754"/>
    <n v="37.578000000000003"/>
    <n v="37.878999999999998"/>
    <n v="13.987"/>
    <n v="7"/>
    <n v="4"/>
    <n v="4"/>
    <n v="4"/>
  </r>
  <r>
    <n v="382"/>
    <m/>
    <m/>
    <m/>
    <m/>
    <s v="NA"/>
    <s v="NA"/>
    <x v="35"/>
    <s v="NA"/>
    <m/>
    <m/>
    <s v="NA"/>
    <s v="NA"/>
    <s v="NA"/>
    <s v="NA"/>
    <s v="NA"/>
    <s v="NA"/>
    <s v="NA"/>
    <s v="NA"/>
    <s v="NA"/>
    <s v="NA"/>
    <s v="NA"/>
    <s v="NA"/>
    <s v="NA"/>
    <s v="NA"/>
    <s v="NA"/>
    <s v="NA"/>
    <s v="NA"/>
    <s v="NA"/>
    <s v="NA"/>
    <s v="NA"/>
    <s v="NA"/>
  </r>
  <r>
    <n v="383"/>
    <m/>
    <m/>
    <m/>
    <m/>
    <s v="NA"/>
    <s v="NA"/>
    <x v="35"/>
    <s v="NA"/>
    <m/>
    <m/>
    <n v="34.802999999999997"/>
    <n v="40.481999999999999"/>
    <n v="75.721999999999994"/>
    <n v="76.564999999999998"/>
    <n v="80.394999999999996"/>
    <n v="79.236999999999995"/>
    <n v="126.09399999999999"/>
    <n v="126.114"/>
    <n v="61.44"/>
    <n v="64.962000000000003"/>
    <n v="38.56"/>
    <n v="35.037999999999997"/>
    <n v="13.922000000000001"/>
    <n v="12.676"/>
    <n v="35.037999999999997"/>
    <n v="38.56"/>
    <n v="17.504000000000001"/>
    <n v="19"/>
    <n v="20"/>
    <n v="19"/>
    <n v="19"/>
  </r>
  <r>
    <n v="384"/>
    <m/>
    <m/>
    <m/>
    <m/>
    <s v="NA"/>
    <s v="NA"/>
    <x v="35"/>
    <s v="NA"/>
    <m/>
    <m/>
    <s v="NA"/>
    <s v="NA"/>
    <s v="NA"/>
    <s v="NA"/>
    <s v="NA"/>
    <s v="NA"/>
    <s v="NA"/>
    <s v="NA"/>
    <s v="NA"/>
    <s v="NA"/>
    <s v="NA"/>
    <s v="NA"/>
    <s v="NA"/>
    <s v="NA"/>
    <s v="NA"/>
    <s v="NA"/>
    <s v="NA"/>
    <s v="NA"/>
    <s v="NA"/>
    <s v="NA"/>
    <s v="NA"/>
  </r>
  <r>
    <n v="385"/>
    <m/>
    <m/>
    <m/>
    <m/>
    <s v="NA"/>
    <s v="NA"/>
    <x v="35"/>
    <s v="NA"/>
    <m/>
    <m/>
    <n v="26.631"/>
    <n v="32.095999999999997"/>
    <n v="57.134999999999998"/>
    <n v="58.991"/>
    <n v="45.213000000000001"/>
    <n v="45.183999999999997"/>
    <n v="94.742000000000004"/>
    <n v="93.66"/>
    <n v="66.191000000000003"/>
    <n v="64.054000000000002"/>
    <n v="33.808999999999997"/>
    <n v="35.945999999999998"/>
    <n v="14.146000000000001"/>
    <n v="16.247"/>
    <n v="35.945999999999998"/>
    <n v="33.808999999999997"/>
    <n v="16.172000000000001"/>
    <n v="26"/>
    <n v="25"/>
    <n v="25"/>
    <n v="25"/>
  </r>
  <r>
    <n v="386"/>
    <m/>
    <m/>
    <m/>
    <m/>
    <s v="NA"/>
    <s v="NA"/>
    <x v="35"/>
    <s v="NA"/>
    <m/>
    <m/>
    <n v="55.884"/>
    <n v="56.972999999999999"/>
    <n v="112.899"/>
    <n v="112.497"/>
    <n v="118.675"/>
    <n v="117.428"/>
    <n v="127.64400000000001"/>
    <n v="126.542"/>
    <n v="61.243000000000002"/>
    <n v="57.674999999999997"/>
    <n v="38.756999999999998"/>
    <n v="42.325000000000003"/>
    <n v="10.148999999999999"/>
    <n v="9.0730000000000004"/>
    <n v="42.325000000000003"/>
    <n v="38.756999999999998"/>
    <n v="13.034000000000001"/>
    <n v="13"/>
    <n v="15"/>
    <n v="13"/>
    <n v="13"/>
  </r>
  <r>
    <n v="387"/>
    <m/>
    <m/>
    <m/>
    <m/>
    <s v="NA"/>
    <s v="NA"/>
    <x v="35"/>
    <s v="NA"/>
    <m/>
    <m/>
    <n v="26.811"/>
    <n v="26.486000000000001"/>
    <n v="53.392000000000003"/>
    <n v="53.35"/>
    <n v="50.289000000000001"/>
    <n v="50.454999999999998"/>
    <n v="112.273"/>
    <n v="112.178"/>
    <n v="65.921000000000006"/>
    <n v="65.397000000000006"/>
    <n v="34.079000000000001"/>
    <n v="34.603000000000002"/>
    <n v="15.717000000000001"/>
    <n v="16.044"/>
    <n v="34.603000000000002"/>
    <n v="34.079000000000001"/>
    <n v="13.494"/>
    <n v="21"/>
    <n v="18"/>
    <n v="18"/>
    <n v="18"/>
  </r>
  <r>
    <n v="388"/>
    <m/>
    <m/>
    <m/>
    <m/>
    <s v="NA"/>
    <s v="NA"/>
    <x v="35"/>
    <s v="NA"/>
    <m/>
    <m/>
    <s v="NA"/>
    <s v="NA"/>
    <s v="NA"/>
    <s v="NA"/>
    <s v="NA"/>
    <s v="NA"/>
    <s v="NA"/>
    <s v="NA"/>
    <s v="NA"/>
    <s v="NA"/>
    <s v="NA"/>
    <s v="NA"/>
    <s v="NA"/>
    <s v="NA"/>
    <s v="NA"/>
    <s v="NA"/>
    <s v="NA"/>
    <s v="NA"/>
    <s v="NA"/>
    <s v="NA"/>
    <s v="NA"/>
  </r>
  <r>
    <n v="389"/>
    <m/>
    <m/>
    <m/>
    <m/>
    <s v="NA"/>
    <s v="NA"/>
    <x v="35"/>
    <s v="NA"/>
    <m/>
    <m/>
    <n v="65.686000000000007"/>
    <n v="63.808999999999997"/>
    <n v="132.03899999999999"/>
    <n v="128.29300000000001"/>
    <n v="115.438"/>
    <n v="112.95"/>
    <n v="105.611"/>
    <n v="105.574"/>
    <n v="59.884999999999998"/>
    <n v="62.036999999999999"/>
    <n v="40.115000000000002"/>
    <n v="37.963000000000001"/>
    <n v="11.396000000000001"/>
    <n v="10.840999999999999"/>
    <n v="37.963000000000001"/>
    <n v="40.115000000000002"/>
    <n v="11.651"/>
    <n v="11"/>
    <n v="10"/>
    <n v="10"/>
    <n v="10"/>
  </r>
  <r>
    <n v="390"/>
    <m/>
    <m/>
    <m/>
    <m/>
    <s v="NA"/>
    <s v="NA"/>
    <x v="35"/>
    <s v="NA"/>
    <m/>
    <m/>
    <s v="NA"/>
    <s v="NA"/>
    <s v="NA"/>
    <s v="NA"/>
    <s v="NA"/>
    <s v="NA"/>
    <s v="NA"/>
    <s v="NA"/>
    <s v="NA"/>
    <s v="NA"/>
    <s v="NA"/>
    <s v="NA"/>
    <s v="NA"/>
    <s v="NA"/>
    <s v="NA"/>
    <s v="NA"/>
    <s v="NA"/>
    <s v="NA"/>
    <s v="NA"/>
    <s v="NA"/>
    <s v="NA"/>
  </r>
  <r>
    <n v="391"/>
    <m/>
    <m/>
    <m/>
    <m/>
    <s v="NA"/>
    <s v="NA"/>
    <x v="35"/>
    <s v="NA"/>
    <m/>
    <m/>
    <n v="70.438999999999993"/>
    <n v="70.625"/>
    <n v="141.25700000000001"/>
    <n v="142.52500000000001"/>
    <n v="138.59700000000001"/>
    <n v="141.779"/>
    <n v="117.377"/>
    <n v="119.548"/>
    <n v="60.506999999999998"/>
    <n v="60.917999999999999"/>
    <n v="39.493000000000002"/>
    <n v="39.082000000000001"/>
    <n v="10.79"/>
    <n v="10.987"/>
    <n v="39.082000000000001"/>
    <n v="39.493000000000002"/>
    <n v="15.372999999999999"/>
    <n v="18"/>
    <n v="12"/>
    <n v="12"/>
    <n v="12"/>
  </r>
  <r>
    <n v="392"/>
    <m/>
    <m/>
    <m/>
    <m/>
    <s v="NA"/>
    <s v="NA"/>
    <x v="35"/>
    <s v="NA"/>
    <m/>
    <m/>
    <n v="43.866"/>
    <n v="47.631"/>
    <n v="92.179000000000002"/>
    <n v="91.685000000000002"/>
    <n v="71.337999999999994"/>
    <n v="71.05"/>
    <n v="91.641000000000005"/>
    <n v="92.543000000000006"/>
    <n v="65.257999999999996"/>
    <n v="61.121000000000002"/>
    <n v="34.741999999999997"/>
    <n v="38.878999999999998"/>
    <n v="12.013999999999999"/>
    <n v="14.824"/>
    <n v="38.878999999999998"/>
    <n v="34.741999999999997"/>
    <n v="12.163"/>
    <n v="8"/>
    <n v="9"/>
    <n v="8"/>
    <n v="8"/>
  </r>
  <r>
    <n v="393"/>
    <m/>
    <m/>
    <m/>
    <m/>
    <s v="NA"/>
    <s v="NA"/>
    <x v="35"/>
    <s v="NA"/>
    <m/>
    <m/>
    <n v="42.996000000000002"/>
    <n v="45.512"/>
    <n v="89.096000000000004"/>
    <n v="88.07"/>
    <n v="87.731999999999999"/>
    <n v="87.363"/>
    <n v="119.221"/>
    <n v="118.83499999999999"/>
    <n v="61.735999999999997"/>
    <n v="62.874000000000002"/>
    <n v="38.264000000000003"/>
    <n v="37.125999999999998"/>
    <n v="13.842000000000001"/>
    <n v="10.68"/>
    <n v="37.125999999999998"/>
    <n v="38.264000000000003"/>
    <n v="28.026"/>
    <n v="22"/>
    <n v="21"/>
    <n v="21"/>
    <n v="21"/>
  </r>
  <r>
    <n v="395"/>
    <m/>
    <m/>
    <m/>
    <m/>
    <s v="NA"/>
    <s v="NA"/>
    <x v="35"/>
    <s v="NA"/>
    <m/>
    <m/>
    <n v="61.162999999999997"/>
    <n v="58.853999999999999"/>
    <n v="120.148"/>
    <n v="118.288"/>
    <n v="130.21899999999999"/>
    <n v="132.85300000000001"/>
    <n v="132.46199999999999"/>
    <n v="134.08500000000001"/>
    <n v="58.831000000000003"/>
    <n v="59.021999999999998"/>
    <n v="41.168999999999997"/>
    <n v="40.978000000000002"/>
    <n v="10.130000000000001"/>
    <n v="8.0009999999999994"/>
    <n v="40.978000000000002"/>
    <n v="41.168999999999997"/>
    <n v="10.727"/>
    <n v="6"/>
    <n v="5"/>
    <n v="5"/>
    <n v="5"/>
  </r>
  <r>
    <n v="396"/>
    <m/>
    <m/>
    <m/>
    <m/>
    <s v="NA"/>
    <s v="NA"/>
    <x v="35"/>
    <s v="NA"/>
    <m/>
    <m/>
    <n v="25.507000000000001"/>
    <n v="24.463000000000001"/>
    <n v="51.752000000000002"/>
    <n v="49.732999999999997"/>
    <n v="43.563000000000002"/>
    <n v="43.332000000000001"/>
    <n v="101.861"/>
    <n v="102.49299999999999"/>
    <n v="63.957999999999998"/>
    <n v="66.447000000000003"/>
    <n v="36.042000000000002"/>
    <n v="33.552999999999997"/>
    <n v="14.428000000000001"/>
    <n v="16.061"/>
    <n v="33.552999999999997"/>
    <n v="36.042000000000002"/>
    <n v="21.068000000000001"/>
    <n v="20"/>
    <n v="22"/>
    <n v="20"/>
    <n v="20"/>
  </r>
  <r>
    <n v="397"/>
    <m/>
    <m/>
    <m/>
    <m/>
    <s v="NA"/>
    <s v="NA"/>
    <x v="35"/>
    <s v="NA"/>
    <m/>
    <m/>
    <s v="NA"/>
    <s v="NA"/>
    <s v="NA"/>
    <s v="NA"/>
    <s v="NA"/>
    <s v="NA"/>
    <s v="NA"/>
    <s v="NA"/>
    <s v="NA"/>
    <s v="NA"/>
    <s v="NA"/>
    <s v="NA"/>
    <s v="NA"/>
    <s v="NA"/>
    <s v="NA"/>
    <s v="NA"/>
    <s v="NA"/>
    <s v="NA"/>
    <s v="NA"/>
    <s v="NA"/>
    <s v="NA"/>
  </r>
  <r>
    <n v="398"/>
    <m/>
    <m/>
    <m/>
    <m/>
    <s v="G20"/>
    <s v="Parkinson's disease"/>
    <x v="92"/>
    <s v="F"/>
    <m/>
    <m/>
    <n v="42.521000000000001"/>
    <n v="43.219000000000001"/>
    <n v="85.866"/>
    <n v="85.716999999999999"/>
    <n v="59.067999999999998"/>
    <n v="58.268000000000001"/>
    <n v="82.268000000000001"/>
    <n v="81.525999999999996"/>
    <n v="67.257999999999996"/>
    <n v="69.12"/>
    <n v="32.741999999999997"/>
    <n v="30.88"/>
    <n v="20.428000000000001"/>
    <n v="16.446000000000002"/>
    <n v="30.88"/>
    <n v="32.741999999999997"/>
    <n v="7.9039999999999999"/>
    <n v="12"/>
    <n v="14"/>
    <n v="12"/>
    <n v="12"/>
  </r>
  <r>
    <n v="399"/>
    <m/>
    <m/>
    <m/>
    <m/>
    <s v="R25.1"/>
    <s v="Tremor, unspecified"/>
    <x v="22"/>
    <s v="M"/>
    <m/>
    <m/>
    <n v="61.939"/>
    <n v="65.14"/>
    <n v="126.8"/>
    <n v="127.702"/>
    <n v="121.98"/>
    <n v="123.29"/>
    <n v="114.82299999999999"/>
    <n v="115.327"/>
    <n v="63.338999999999999"/>
    <n v="63.363999999999997"/>
    <n v="36.661000000000001"/>
    <n v="36.636000000000003"/>
    <n v="13.553000000000001"/>
    <n v="13.215"/>
    <n v="36.636000000000003"/>
    <n v="36.661000000000001"/>
    <n v="13.834"/>
    <n v="9"/>
    <n v="8"/>
    <n v="8"/>
    <n v="8"/>
  </r>
  <r>
    <n v="400"/>
    <m/>
    <m/>
    <m/>
    <m/>
    <s v="G20"/>
    <s v="Parkinson's disease"/>
    <x v="161"/>
    <s v="M"/>
    <m/>
    <m/>
    <n v="57.530999999999999"/>
    <n v="55.612000000000002"/>
    <n v="111.977"/>
    <n v="114.74"/>
    <n v="111.325"/>
    <n v="112.932"/>
    <n v="118.44"/>
    <n v="118.471"/>
    <n v="62.676000000000002"/>
    <n v="64.590999999999994"/>
    <n v="37.323999999999998"/>
    <n v="35.408999999999999"/>
    <n v="13.15"/>
    <n v="14.145"/>
    <n v="35.408999999999999"/>
    <n v="37.323999999999998"/>
    <n v="12.077999999999999"/>
    <n v="9"/>
    <n v="10"/>
    <n v="9"/>
    <n v="9"/>
  </r>
  <r>
    <n v="401"/>
    <m/>
    <m/>
    <m/>
    <m/>
    <s v="G20"/>
    <s v="Parkinson's disease"/>
    <x v="162"/>
    <s v="F"/>
    <m/>
    <m/>
    <n v="34.701000000000001"/>
    <n v="34.195"/>
    <n v="68.966999999999999"/>
    <n v="68.817999999999998"/>
    <n v="74.361999999999995"/>
    <n v="74.393000000000001"/>
    <n v="129.07"/>
    <n v="128.51599999999999"/>
    <n v="68.549000000000007"/>
    <n v="66.084999999999994"/>
    <n v="31.451000000000001"/>
    <n v="33.914999999999999"/>
    <n v="17.326000000000001"/>
    <n v="17.504000000000001"/>
    <n v="33.914999999999999"/>
    <n v="31.451000000000001"/>
    <n v="10.912000000000001"/>
    <n v="18"/>
    <n v="15"/>
    <n v="15"/>
    <n v="15"/>
  </r>
  <r>
    <n v="402"/>
    <m/>
    <m/>
    <m/>
    <m/>
    <s v="G20"/>
    <s v="Parkinson's disease"/>
    <x v="163"/>
    <s v="M"/>
    <m/>
    <m/>
    <n v="70.468999999999994"/>
    <n v="72.506"/>
    <n v="143.28700000000001"/>
    <n v="142.71899999999999"/>
    <n v="129.78299999999999"/>
    <n v="128.215"/>
    <n v="108.286"/>
    <n v="106.76600000000001"/>
    <n v="60.82"/>
    <n v="61.901000000000003"/>
    <n v="39.18"/>
    <n v="38.098999999999997"/>
    <n v="11.699"/>
    <n v="11.936"/>
    <n v="38.098999999999997"/>
    <n v="39.18"/>
    <n v="12.087"/>
    <n v="9"/>
    <n v="10"/>
    <n v="9"/>
    <n v="9"/>
  </r>
  <r>
    <n v="403"/>
    <m/>
    <m/>
    <m/>
    <m/>
    <s v="G20"/>
    <s v="Parkinson's disease"/>
    <x v="164"/>
    <s v="M"/>
    <m/>
    <m/>
    <s v="NA"/>
    <s v="NA"/>
    <s v="NA"/>
    <s v="NA"/>
    <s v="NA"/>
    <s v="NA"/>
    <s v="NA"/>
    <s v="NA"/>
    <s v="NA"/>
    <s v="NA"/>
    <s v="NA"/>
    <s v="NA"/>
    <s v="NA"/>
    <s v="NA"/>
    <s v="NA"/>
    <s v="NA"/>
    <s v="NA"/>
    <s v="NA"/>
    <s v="NA"/>
    <s v="NA"/>
    <s v="NA"/>
  </r>
  <r>
    <n v="404"/>
    <m/>
    <m/>
    <m/>
    <m/>
    <s v="G20"/>
    <s v="Parkinson's disease"/>
    <x v="164"/>
    <s v="F"/>
    <m/>
    <m/>
    <n v="41.225000000000001"/>
    <n v="35.901000000000003"/>
    <n v="77.25"/>
    <n v="77.295000000000002"/>
    <n v="65.483000000000004"/>
    <n v="65.364999999999995"/>
    <n v="101.355"/>
    <n v="101.432"/>
    <n v="65.277000000000001"/>
    <n v="65.864999999999995"/>
    <n v="34.722999999999999"/>
    <n v="34.134999999999998"/>
    <n v="16.302"/>
    <n v="15.016999999999999"/>
    <n v="34.134999999999998"/>
    <n v="34.722999999999999"/>
    <n v="7.85"/>
    <n v="15"/>
    <n v="15"/>
    <n v="15"/>
    <n v="15"/>
  </r>
  <r>
    <n v="405"/>
    <m/>
    <m/>
    <m/>
    <m/>
    <s v="G20"/>
    <s v="Parkinson's disease"/>
    <x v="25"/>
    <s v="M"/>
    <m/>
    <m/>
    <n v="30.213999999999999"/>
    <n v="32.226999999999997"/>
    <n v="62.886000000000003"/>
    <n v="62.256999999999998"/>
    <n v="62.841999999999999"/>
    <n v="62.710999999999999"/>
    <n v="119.736"/>
    <n v="119.876"/>
    <n v="62.606000000000002"/>
    <n v="64.632000000000005"/>
    <n v="37.393999999999998"/>
    <n v="35.368000000000002"/>
    <n v="14.553000000000001"/>
    <n v="12.571"/>
    <n v="35.368000000000002"/>
    <n v="37.393999999999998"/>
    <n v="10.618"/>
    <n v="17"/>
    <n v="18"/>
    <n v="17"/>
    <n v="17"/>
  </r>
  <r>
    <n v="406"/>
    <m/>
    <m/>
    <m/>
    <m/>
    <s v="NA"/>
    <s v="NA"/>
    <x v="35"/>
    <s v="NA"/>
    <m/>
    <m/>
    <n v="55.353999999999999"/>
    <n v="61.753"/>
    <n v="118.154"/>
    <n v="116.26"/>
    <n v="116.346"/>
    <n v="114.51300000000001"/>
    <n v="118.86199999999999"/>
    <n v="117.627"/>
    <n v="61.622999999999998"/>
    <n v="60.103000000000002"/>
    <n v="38.377000000000002"/>
    <n v="39.896999999999998"/>
    <n v="12.292"/>
    <n v="10.446"/>
    <n v="39.896999999999998"/>
    <n v="38.377000000000002"/>
    <n v="13.358000000000001"/>
    <n v="10"/>
    <n v="10"/>
    <n v="10"/>
    <n v="10"/>
  </r>
  <r>
    <n v="407"/>
    <m/>
    <m/>
    <m/>
    <m/>
    <s v="G25.2"/>
    <s v="Other specified forms of tremor"/>
    <x v="165"/>
    <s v="F"/>
    <m/>
    <m/>
    <n v="27.305"/>
    <n v="33.421999999999997"/>
    <n v="62.682000000000002"/>
    <n v="60.728999999999999"/>
    <n v="29.472999999999999"/>
    <n v="29.143000000000001"/>
    <n v="56.781999999999996"/>
    <n v="57.691000000000003"/>
    <n v="72.63"/>
    <n v="74.007999999999996"/>
    <n v="27.37"/>
    <n v="25.992000000000001"/>
    <n v="22.885000000000002"/>
    <n v="24.864999999999998"/>
    <n v="25.992000000000001"/>
    <n v="27.37"/>
    <n v="14.77"/>
    <n v="11"/>
    <n v="14"/>
    <n v="11"/>
    <n v="11"/>
  </r>
  <r>
    <n v="408"/>
    <m/>
    <m/>
    <m/>
    <m/>
    <s v="R25.1"/>
    <s v="Tremor, unspecified"/>
    <x v="63"/>
    <s v="F"/>
    <m/>
    <m/>
    <n v="48.164999999999999"/>
    <n v="46.731999999999999"/>
    <n v="95.221000000000004"/>
    <n v="94.206000000000003"/>
    <n v="70.438999999999993"/>
    <n v="69.665999999999997"/>
    <n v="88.944000000000003"/>
    <n v="88.962999999999994"/>
    <n v="65.977000000000004"/>
    <n v="66.432000000000002"/>
    <n v="34.021999999999998"/>
    <n v="33.567999999999998"/>
    <n v="15.962"/>
    <n v="16.951000000000001"/>
    <n v="33.567999999999998"/>
    <n v="34.021999999999998"/>
    <n v="13.04"/>
    <n v="14"/>
    <n v="15"/>
    <n v="14"/>
    <n v="14"/>
  </r>
  <r>
    <n v="409"/>
    <m/>
    <m/>
    <m/>
    <m/>
    <s v="G20"/>
    <s v="Parkinson's disease"/>
    <x v="146"/>
    <s v="M"/>
    <m/>
    <m/>
    <n v="50.204999999999998"/>
    <n v="54.366"/>
    <n v="104.47199999999999"/>
    <n v="103.99"/>
    <n v="89.102000000000004"/>
    <n v="89.242999999999995"/>
    <n v="102.03"/>
    <n v="102.384"/>
    <n v="66.346999999999994"/>
    <n v="65.320999999999998"/>
    <n v="33.652999999999999"/>
    <n v="34.679000000000002"/>
    <n v="18.638000000000002"/>
    <n v="12.571"/>
    <n v="34.679000000000002"/>
    <n v="33.652999999999999"/>
    <n v="10.074"/>
    <n v="12"/>
    <n v="12"/>
    <n v="12"/>
    <n v="12"/>
  </r>
  <r>
    <n v="410"/>
    <m/>
    <m/>
    <m/>
    <m/>
    <s v="G20"/>
    <s v="Parkinson's disease"/>
    <x v="150"/>
    <s v="M"/>
    <m/>
    <m/>
    <n v="38.677"/>
    <n v="38.069000000000003"/>
    <n v="76.959999999999994"/>
    <n v="77.144999999999996"/>
    <n v="74.564999999999998"/>
    <n v="74.778000000000006"/>
    <n v="116.262"/>
    <n v="116.911"/>
    <n v="65.899000000000001"/>
    <n v="65.585999999999999"/>
    <n v="34.100999999999999"/>
    <n v="34.414000000000001"/>
    <n v="14.847"/>
    <n v="16.867999999999999"/>
    <n v="34.414000000000001"/>
    <n v="34.100999999999999"/>
    <n v="9.48"/>
    <n v="15"/>
    <n v="15"/>
    <n v="15"/>
    <n v="15"/>
  </r>
  <r>
    <n v="411"/>
    <m/>
    <m/>
    <m/>
    <m/>
    <s v="G20"/>
    <s v="Parkinson's disease"/>
    <x v="166"/>
    <s v="M"/>
    <m/>
    <m/>
    <n v="62.975999999999999"/>
    <n v="64.421999999999997"/>
    <n v="127.93"/>
    <n v="127.48"/>
    <n v="120.554"/>
    <n v="120.584"/>
    <n v="112.562"/>
    <n v="113.152"/>
    <n v="63.366"/>
    <n v="63.616999999999997"/>
    <n v="36.634"/>
    <n v="36.383000000000003"/>
    <n v="13.733000000000001"/>
    <n v="13.347"/>
    <n v="36.383000000000003"/>
    <n v="36.634"/>
    <n v="7.3319999999999999"/>
    <n v="10"/>
    <n v="10"/>
    <n v="10"/>
    <n v="10"/>
  </r>
  <r>
    <n v="412"/>
    <m/>
    <m/>
    <m/>
    <m/>
    <s v="G25.0"/>
    <s v="Essential tremor"/>
    <x v="167"/>
    <s v="M"/>
    <m/>
    <m/>
    <n v="40.56"/>
    <n v="35.549999999999997"/>
    <n v="75.835999999999999"/>
    <n v="76.150999999999996"/>
    <n v="69.194999999999993"/>
    <n v="70.319000000000003"/>
    <n v="109.62"/>
    <n v="110.797"/>
    <n v="65.119"/>
    <n v="63.774999999999999"/>
    <n v="34.881"/>
    <n v="36.225000000000001"/>
    <n v="15"/>
    <n v="13.88"/>
    <n v="36.225000000000001"/>
    <n v="34.881"/>
    <n v="13.18"/>
    <n v="16"/>
    <n v="19"/>
    <n v="16"/>
    <n v="16"/>
  </r>
  <r>
    <n v="413"/>
    <m/>
    <m/>
    <m/>
    <m/>
    <s v="G25.0"/>
    <s v="Essential tremor"/>
    <x v="106"/>
    <s v="M"/>
    <m/>
    <m/>
    <n v="39.015999999999998"/>
    <n v="35.792000000000002"/>
    <n v="74.539000000000001"/>
    <n v="74.878"/>
    <n v="57.262"/>
    <n v="57.575000000000003"/>
    <n v="92.137"/>
    <n v="91.947000000000003"/>
    <n v="67.984999999999999"/>
    <n v="67.84"/>
    <n v="32.015000000000001"/>
    <n v="32.159999999999997"/>
    <n v="17.635000000000002"/>
    <n v="18.175000000000001"/>
    <n v="32.159999999999997"/>
    <n v="32.015000000000001"/>
    <n v="20.094999999999999"/>
    <n v="14"/>
    <n v="15"/>
    <n v="14"/>
    <n v="14"/>
  </r>
  <r>
    <n v="414"/>
    <m/>
    <m/>
    <m/>
    <m/>
    <s v="G20"/>
    <s v="Parkinson's disease"/>
    <x v="93"/>
    <s v="M"/>
    <m/>
    <m/>
    <s v="NA"/>
    <s v="NA"/>
    <s v="NA"/>
    <s v="NA"/>
    <s v="NA"/>
    <s v="NA"/>
    <s v="NA"/>
    <s v="NA"/>
    <s v="NA"/>
    <s v="NA"/>
    <s v="NA"/>
    <s v="NA"/>
    <s v="NA"/>
    <s v="NA"/>
    <s v="NA"/>
    <s v="NA"/>
    <s v="NA"/>
    <s v="NA"/>
    <s v="NA"/>
    <s v="NA"/>
    <s v="NA"/>
  </r>
  <r>
    <n v="415"/>
    <m/>
    <m/>
    <m/>
    <m/>
    <s v="G20"/>
    <s v="Parkinson's disease"/>
    <x v="168"/>
    <s v="M"/>
    <m/>
    <m/>
    <s v="NA"/>
    <s v="NA"/>
    <s v="NA"/>
    <s v="NA"/>
    <s v="NA"/>
    <s v="NA"/>
    <s v="NA"/>
    <s v="NA"/>
    <s v="NA"/>
    <s v="NA"/>
    <s v="NA"/>
    <s v="NA"/>
    <s v="NA"/>
    <s v="NA"/>
    <s v="NA"/>
    <s v="NA"/>
    <s v="NA"/>
    <s v="NA"/>
    <s v="NA"/>
    <s v="NA"/>
    <s v="NA"/>
  </r>
  <r>
    <n v="416"/>
    <m/>
    <m/>
    <m/>
    <m/>
    <s v="R25.1"/>
    <s v="Tremor, unspecified"/>
    <x v="10"/>
    <s v="F"/>
    <m/>
    <m/>
    <n v="44.226999999999997"/>
    <n v="46.366"/>
    <n v="90.658000000000001"/>
    <n v="91.5"/>
    <n v="73.811999999999998"/>
    <n v="73.58"/>
    <n v="97.125"/>
    <n v="95.623000000000005"/>
    <n v="66.129000000000005"/>
    <n v="65.137"/>
    <n v="33.871000000000002"/>
    <n v="34.863"/>
    <n v="14.835000000000001"/>
    <n v="16.109000000000002"/>
    <n v="34.863"/>
    <n v="33.871000000000002"/>
    <n v="20.774000000000001"/>
    <n v="13"/>
    <n v="12"/>
    <n v="12"/>
    <n v="12"/>
  </r>
  <r>
    <n v="417"/>
    <m/>
    <m/>
    <m/>
    <m/>
    <s v="G20"/>
    <s v="Parkinson's disease"/>
    <x v="28"/>
    <s v="F"/>
    <m/>
    <m/>
    <s v="NA"/>
    <s v="NA"/>
    <s v="NA"/>
    <s v="NA"/>
    <s v="NA"/>
    <s v="NA"/>
    <s v="NA"/>
    <s v="NA"/>
    <s v="NA"/>
    <s v="NA"/>
    <s v="NA"/>
    <s v="NA"/>
    <s v="NA"/>
    <s v="NA"/>
    <s v="NA"/>
    <s v="NA"/>
    <s v="NA"/>
    <s v="NA"/>
    <s v="NA"/>
    <s v="NA"/>
    <s v="NA"/>
  </r>
  <r>
    <n v="418"/>
    <m/>
    <m/>
    <m/>
    <m/>
    <s v="R25.1"/>
    <s v="Tremor, unspecified"/>
    <x v="103"/>
    <s v="M"/>
    <m/>
    <m/>
    <n v="50.7"/>
    <n v="48.116999999999997"/>
    <n v="98.034000000000006"/>
    <n v="99.084000000000003"/>
    <n v="93.125"/>
    <n v="94.186000000000007"/>
    <n v="113.261"/>
    <n v="113.643"/>
    <n v="65.641000000000005"/>
    <n v="64.144999999999996"/>
    <n v="34.359000000000002"/>
    <n v="35.854999999999997"/>
    <n v="15.054"/>
    <n v="14.967000000000001"/>
    <n v="35.854999999999997"/>
    <n v="34.359000000000002"/>
    <n v="16.268000000000001"/>
    <n v="11"/>
    <n v="11"/>
    <n v="11"/>
    <n v="11"/>
  </r>
  <r>
    <n v="419"/>
    <m/>
    <m/>
    <m/>
    <m/>
    <s v="G20"/>
    <s v="Parkinson's disease"/>
    <x v="169"/>
    <s v="M"/>
    <m/>
    <m/>
    <n v="58.481999999999999"/>
    <n v="64.483000000000004"/>
    <n v="123.023"/>
    <n v="123.125"/>
    <n v="121.92100000000001"/>
    <n v="121.46"/>
    <n v="119.35299999999999"/>
    <n v="119.681"/>
    <n v="59.298999999999999"/>
    <n v="62.353999999999999"/>
    <n v="40.701000000000001"/>
    <n v="37.646000000000001"/>
    <n v="9.5489999999999995"/>
    <n v="12.366"/>
    <n v="37.646000000000001"/>
    <n v="40.701000000000001"/>
    <n v="17.792000000000002"/>
    <n v="10"/>
    <n v="9"/>
    <n v="9"/>
    <n v="9"/>
  </r>
  <r>
    <n v="420"/>
    <m/>
    <m/>
    <m/>
    <m/>
    <s v="G20"/>
    <s v="Parkinson's disease"/>
    <x v="69"/>
    <s v="M"/>
    <m/>
    <m/>
    <n v="62.776000000000003"/>
    <n v="64.364999999999995"/>
    <n v="126.90300000000001"/>
    <n v="126.91"/>
    <n v="118.328"/>
    <n v="117.59699999999999"/>
    <n v="113.107"/>
    <n v="111.366"/>
    <n v="63.000999999999998"/>
    <n v="61.826999999999998"/>
    <n v="36.999000000000002"/>
    <n v="38.173000000000002"/>
    <n v="12.933"/>
    <n v="11.683"/>
    <n v="38.173000000000002"/>
    <n v="36.999000000000002"/>
    <n v="7.7080000000000002"/>
    <n v="10"/>
    <n v="7"/>
    <n v="7"/>
    <n v="7"/>
  </r>
  <r>
    <n v="421"/>
    <m/>
    <m/>
    <m/>
    <m/>
    <s v="NA"/>
    <s v="NA"/>
    <x v="35"/>
    <s v="NA"/>
    <m/>
    <m/>
    <n v="55.722999999999999"/>
    <n v="56.7"/>
    <n v="111.663"/>
    <n v="112.80800000000001"/>
    <n v="94.81"/>
    <n v="95.950999999999993"/>
    <n v="101.071"/>
    <n v="101.777"/>
    <n v="63.402999999999999"/>
    <n v="65.091999999999999"/>
    <n v="36.597000000000001"/>
    <n v="34.908000000000001"/>
    <n v="14.471"/>
    <n v="14.331"/>
    <n v="34.908000000000001"/>
    <n v="36.597000000000001"/>
    <n v="15.71"/>
    <n v="9"/>
    <n v="9"/>
    <n v="9"/>
    <n v="9"/>
  </r>
  <r>
    <n v="422"/>
    <m/>
    <m/>
    <m/>
    <m/>
    <s v="NA"/>
    <s v="NA"/>
    <x v="35"/>
    <s v="NA"/>
    <m/>
    <m/>
    <n v="52.396999999999998"/>
    <n v="49.978000000000002"/>
    <n v="102.913"/>
    <n v="102.223"/>
    <n v="89.879000000000005"/>
    <n v="89.236999999999995"/>
    <n v="104.03400000000001"/>
    <n v="104.494"/>
    <n v="64.025000000000006"/>
    <n v="62.701000000000001"/>
    <n v="35.975000000000001"/>
    <n v="37.298999999999999"/>
    <n v="12.961"/>
    <n v="14.772"/>
    <n v="37.298999999999999"/>
    <n v="35.975000000000001"/>
    <n v="6.1139999999999999"/>
    <n v="10"/>
    <n v="11"/>
    <n v="10"/>
    <n v="10"/>
  </r>
  <r>
    <n v="423"/>
    <m/>
    <m/>
    <m/>
    <m/>
    <s v="G20"/>
    <s v="Parkinson's disease"/>
    <x v="170"/>
    <s v="M"/>
    <m/>
    <m/>
    <n v="43.334000000000003"/>
    <n v="35.398000000000003"/>
    <n v="78.486999999999995"/>
    <n v="78.772000000000006"/>
    <n v="67.41"/>
    <n v="67.194000000000003"/>
    <n v="102.855"/>
    <n v="101.681"/>
    <n v="66.405000000000001"/>
    <n v="64.727000000000004"/>
    <n v="33.594999999999999"/>
    <n v="35.273000000000003"/>
    <n v="16.443000000000001"/>
    <n v="15.337999999999999"/>
    <n v="35.273000000000003"/>
    <n v="33.594999999999999"/>
    <n v="16.734000000000002"/>
    <n v="14"/>
    <n v="12"/>
    <n v="12"/>
    <n v="12"/>
  </r>
  <r>
    <n v="424"/>
    <m/>
    <m/>
    <m/>
    <m/>
    <s v="NA"/>
    <s v="NA"/>
    <x v="35"/>
    <s v="NA"/>
    <m/>
    <m/>
    <n v="53.972000000000001"/>
    <n v="55.996000000000002"/>
    <n v="110.544"/>
    <n v="109.023"/>
    <n v="111.22"/>
    <n v="111.363"/>
    <n v="120.776"/>
    <n v="122.449"/>
    <n v="60.896000000000001"/>
    <n v="63.124000000000002"/>
    <n v="39.103999999999999"/>
    <n v="36.875999999999998"/>
    <n v="12.726000000000001"/>
    <n v="11.55"/>
    <n v="36.875999999999998"/>
    <n v="39.103999999999999"/>
    <n v="10.194000000000001"/>
    <n v="10"/>
    <n v="10"/>
    <n v="10"/>
    <n v="10"/>
  </r>
  <r>
    <n v="425"/>
    <m/>
    <m/>
    <m/>
    <m/>
    <s v="G20"/>
    <s v="Parkinson's disease"/>
    <x v="38"/>
    <s v="F"/>
    <m/>
    <m/>
    <n v="26.827999999999999"/>
    <n v="27.035"/>
    <n v="53.902000000000001"/>
    <n v="53.689"/>
    <n v="56.067999999999998"/>
    <n v="56.061999999999998"/>
    <n v="124.614"/>
    <n v="124.733"/>
    <n v="68.248999999999995"/>
    <n v="67.39"/>
    <n v="31.751000000000001"/>
    <n v="32.61"/>
    <n v="17.736999999999998"/>
    <n v="17.806000000000001"/>
    <n v="32.61"/>
    <n v="31.751000000000001"/>
    <n v="23.988"/>
    <n v="19"/>
    <n v="18"/>
    <n v="18"/>
    <n v="18"/>
  </r>
  <r>
    <n v="426"/>
    <m/>
    <m/>
    <m/>
    <m/>
    <s v="G20"/>
    <s v="Parkinson's disease"/>
    <x v="45"/>
    <s v="M"/>
    <m/>
    <m/>
    <n v="18.468"/>
    <n v="17.003"/>
    <n v="35.625999999999998"/>
    <n v="36.19"/>
    <n v="36.515000000000001"/>
    <n v="37.634"/>
    <n v="124.334"/>
    <n v="125.039"/>
    <n v="70.477999999999994"/>
    <n v="70.301000000000002"/>
    <n v="29.521999999999998"/>
    <n v="29.699000000000002"/>
    <n v="26.995000000000001"/>
    <n v="15.962"/>
    <n v="29.699000000000002"/>
    <n v="29.521999999999998"/>
    <n v="12.898"/>
    <n v="32"/>
    <n v="30"/>
    <n v="30"/>
    <n v="30"/>
  </r>
  <r>
    <n v="427"/>
    <m/>
    <m/>
    <m/>
    <m/>
    <s v="R25.1"/>
    <s v="Tremor, unspecified"/>
    <x v="43"/>
    <s v="M"/>
    <m/>
    <m/>
    <s v="NA"/>
    <s v="NA"/>
    <s v="NA"/>
    <s v="NA"/>
    <s v="NA"/>
    <s v="NA"/>
    <s v="NA"/>
    <s v="NA"/>
    <s v="NA"/>
    <s v="NA"/>
    <s v="NA"/>
    <s v="NA"/>
    <s v="NA"/>
    <s v="NA"/>
    <s v="NA"/>
    <s v="NA"/>
    <s v="NA"/>
    <s v="NA"/>
    <s v="NA"/>
    <s v="NA"/>
    <s v="NA"/>
  </r>
  <r>
    <n v="428"/>
    <m/>
    <m/>
    <m/>
    <m/>
    <s v="G25.0"/>
    <s v="Essential tremor"/>
    <x v="8"/>
    <s v="F"/>
    <m/>
    <m/>
    <n v="54.646999999999998"/>
    <n v="51.503"/>
    <n v="106.843"/>
    <n v="105.593"/>
    <n v="91.986999999999995"/>
    <n v="91.302999999999997"/>
    <n v="103.241"/>
    <n v="103.69799999999999"/>
    <n v="65.518000000000001"/>
    <n v="64.188000000000002"/>
    <n v="34.481999999999999"/>
    <n v="35.811999999999998"/>
    <n v="14.536"/>
    <n v="15.031000000000001"/>
    <n v="35.811999999999998"/>
    <n v="34.481999999999999"/>
    <n v="14.3"/>
    <n v="10"/>
    <n v="10"/>
    <n v="10"/>
    <n v="10"/>
  </r>
  <r>
    <n v="429"/>
    <m/>
    <m/>
    <m/>
    <m/>
    <s v="NA"/>
    <s v="NA"/>
    <x v="35"/>
    <s v="NA"/>
    <m/>
    <m/>
    <n v="38.781999999999996"/>
    <n v="43.176000000000002"/>
    <n v="81.763000000000005"/>
    <n v="81.599999999999994"/>
    <n v="76.918000000000006"/>
    <n v="77.450999999999993"/>
    <n v="113.474"/>
    <n v="113.727"/>
    <n v="63.463000000000001"/>
    <n v="64"/>
    <n v="36.536999999999999"/>
    <n v="36"/>
    <n v="15.851000000000001"/>
    <n v="11.664"/>
    <n v="36"/>
    <n v="36.536999999999999"/>
    <n v="14.098000000000001"/>
    <n v="17"/>
    <n v="14"/>
    <n v="14"/>
    <n v="14"/>
  </r>
  <r>
    <n v="430"/>
    <m/>
    <m/>
    <m/>
    <m/>
    <s v="G25.0"/>
    <s v="Essential tremor"/>
    <x v="75"/>
    <s v="M"/>
    <m/>
    <m/>
    <n v="55.970999999999997"/>
    <n v="60.085000000000001"/>
    <n v="116.39100000000001"/>
    <n v="116.40300000000001"/>
    <n v="96.218000000000004"/>
    <n v="96.703000000000003"/>
    <n v="99.188000000000002"/>
    <n v="98.942999999999998"/>
    <n v="63.75"/>
    <n v="62.639000000000003"/>
    <n v="36.25"/>
    <n v="37.360999999999997"/>
    <n v="13.351000000000001"/>
    <n v="13.228999999999999"/>
    <n v="37.360999999999997"/>
    <n v="36.25"/>
    <n v="8.6199999999999992"/>
    <n v="9"/>
    <n v="10"/>
    <n v="9"/>
    <n v="9"/>
  </r>
  <r>
    <n v="431"/>
    <m/>
    <m/>
    <m/>
    <m/>
    <s v="NA"/>
    <s v="NA"/>
    <x v="35"/>
    <s v="NA"/>
    <m/>
    <m/>
    <n v="41.545000000000002"/>
    <n v="40.229999999999997"/>
    <n v="82.116"/>
    <n v="80.384"/>
    <n v="64.123999999999995"/>
    <n v="63.954999999999998"/>
    <n v="94.873000000000005"/>
    <n v="95.239000000000004"/>
    <n v="65.759"/>
    <n v="60.988999999999997"/>
    <n v="34.241"/>
    <n v="39.011000000000003"/>
    <n v="15.144"/>
    <n v="12.287000000000001"/>
    <n v="39.011000000000003"/>
    <n v="34.241"/>
    <n v="10.776"/>
    <n v="15"/>
    <n v="15"/>
    <n v="15"/>
    <n v="15"/>
  </r>
  <r>
    <n v="432"/>
    <m/>
    <m/>
    <m/>
    <m/>
    <s v="G20"/>
    <s v="Parkinson's disease"/>
    <x v="171"/>
    <s v="M"/>
    <m/>
    <m/>
    <n v="67.918999999999997"/>
    <n v="65.198999999999998"/>
    <n v="133.55000000000001"/>
    <n v="132.577"/>
    <n v="112.947"/>
    <n v="112.611"/>
    <n v="100.867"/>
    <n v="101.187"/>
    <n v="62.475000000000001"/>
    <n v="62.765999999999998"/>
    <n v="37.524999999999999"/>
    <n v="37.234000000000002"/>
    <n v="11.619"/>
    <n v="13.462999999999999"/>
    <n v="37.234000000000002"/>
    <n v="37.524999999999999"/>
    <n v="19.704000000000001"/>
    <n v="10"/>
    <n v="6"/>
    <n v="6"/>
    <n v="6"/>
  </r>
  <r>
    <n v="433"/>
    <m/>
    <m/>
    <m/>
    <m/>
    <s v="R25.1"/>
    <s v="Tremor, unspecified"/>
    <x v="49"/>
    <s v="M"/>
    <m/>
    <m/>
    <n v="66.325999999999993"/>
    <n v="66.456000000000003"/>
    <n v="133.97900000000001"/>
    <n v="132.28800000000001"/>
    <n v="117.53100000000001"/>
    <n v="115.39100000000001"/>
    <n v="105.16500000000001"/>
    <n v="103.714"/>
    <n v="61.939"/>
    <n v="61.834000000000003"/>
    <n v="38.061"/>
    <n v="38.165999999999997"/>
    <n v="12.397"/>
    <n v="11.696999999999999"/>
    <n v="38.165999999999997"/>
    <n v="38.061"/>
    <n v="10.086"/>
    <n v="7"/>
    <n v="8"/>
    <n v="7"/>
    <n v="7"/>
  </r>
  <r>
    <n v="434"/>
    <m/>
    <m/>
    <m/>
    <m/>
    <s v="NA"/>
    <s v="NA"/>
    <x v="35"/>
    <s v="NA"/>
    <m/>
    <m/>
    <n v="38.813000000000002"/>
    <n v="31.201000000000001"/>
    <n v="69.302999999999997"/>
    <n v="70.457999999999998"/>
    <n v="48.921999999999997"/>
    <n v="49.552"/>
    <n v="83.168999999999997"/>
    <n v="83.191999999999993"/>
    <n v="71.162000000000006"/>
    <n v="66.52"/>
    <n v="28.838000000000001"/>
    <n v="33.479999999999997"/>
    <n v="21.626000000000001"/>
    <n v="15.601000000000001"/>
    <n v="33.479999999999997"/>
    <n v="28.838000000000001"/>
    <n v="10.882"/>
    <n v="15"/>
    <n v="15"/>
    <n v="15"/>
    <n v="15"/>
  </r>
  <r>
    <n v="435"/>
    <m/>
    <m/>
    <m/>
    <m/>
    <s v="NA"/>
    <s v="NA"/>
    <x v="35"/>
    <s v="NA"/>
    <m/>
    <m/>
    <n v="57.276000000000003"/>
    <n v="49.972000000000001"/>
    <n v="108.04900000000001"/>
    <n v="107.379"/>
    <n v="105.971"/>
    <n v="104.932"/>
    <n v="116.57"/>
    <n v="117.544"/>
    <n v="64.352999999999994"/>
    <n v="62.249000000000002"/>
    <n v="35.646999999999998"/>
    <n v="37.752000000000002"/>
    <n v="14.407"/>
    <n v="12.561"/>
    <n v="37.752000000000002"/>
    <n v="35.646999999999998"/>
    <n v="17.152000000000001"/>
    <n v="11"/>
    <n v="10"/>
    <n v="10"/>
    <n v="10"/>
  </r>
  <r>
    <n v="436"/>
    <m/>
    <m/>
    <m/>
    <m/>
    <s v="G25.0"/>
    <s v="Essential tremor"/>
    <x v="172"/>
    <s v="M"/>
    <m/>
    <m/>
    <n v="54.468000000000004"/>
    <n v="55.85"/>
    <n v="110.313"/>
    <n v="110.77200000000001"/>
    <n v="92.563999999999993"/>
    <n v="92.207999999999998"/>
    <n v="100.432"/>
    <n v="100.11499999999999"/>
    <n v="64.429000000000002"/>
    <n v="62.411999999999999"/>
    <n v="35.570999999999998"/>
    <n v="37.588000000000001"/>
    <n v="13.523999999999999"/>
    <n v="13.193"/>
    <n v="37.588000000000001"/>
    <n v="35.570999999999998"/>
    <n v="17.399999999999999"/>
    <n v="10"/>
    <n v="10"/>
    <n v="10"/>
    <n v="10"/>
  </r>
  <r>
    <n v="437"/>
    <m/>
    <m/>
    <m/>
    <m/>
    <s v="R25.1"/>
    <s v="Tremor, unspecified"/>
    <x v="173"/>
    <s v="F"/>
    <m/>
    <m/>
    <n v="43.554000000000002"/>
    <n v="40.975999999999999"/>
    <n v="84.456000000000003"/>
    <n v="84.683999999999997"/>
    <n v="70.335999999999999"/>
    <n v="70.391000000000005"/>
    <n v="99.903999999999996"/>
    <n v="99.483999999999995"/>
    <n v="64.912999999999997"/>
    <n v="66.600999999999999"/>
    <n v="35.087000000000003"/>
    <n v="33.399000000000001"/>
    <n v="15.888"/>
    <n v="16.254999999999999"/>
    <n v="33.399000000000001"/>
    <n v="35.087000000000003"/>
    <n v="12.172000000000001"/>
    <n v="12"/>
    <n v="11"/>
    <n v="11"/>
    <n v="11"/>
  </r>
  <r>
    <n v="438"/>
    <m/>
    <m/>
    <m/>
    <m/>
    <s v="G20"/>
    <s v="Parkinson's disease"/>
    <x v="122"/>
    <s v="M"/>
    <m/>
    <m/>
    <n v="47.317"/>
    <n v="44.375999999999998"/>
    <n v="91.926000000000002"/>
    <n v="91.700999999999993"/>
    <n v="92.912999999999997"/>
    <n v="92.65"/>
    <n v="121.367"/>
    <n v="121.01900000000001"/>
    <n v="62.969000000000001"/>
    <n v="61.573999999999998"/>
    <n v="37.030999999999999"/>
    <n v="38.426000000000002"/>
    <n v="12.308"/>
    <n v="12.46"/>
    <n v="38.426000000000002"/>
    <n v="37.030999999999999"/>
    <n v="9.9719999999999995"/>
    <n v="11"/>
    <n v="14"/>
    <n v="11"/>
    <n v="11"/>
  </r>
  <r>
    <n v="439"/>
    <m/>
    <m/>
    <m/>
    <m/>
    <s v="G20"/>
    <s v="Parkinson's disease"/>
    <x v="102"/>
    <s v="M"/>
    <m/>
    <m/>
    <n v="39.972999999999999"/>
    <n v="48.183999999999997"/>
    <n v="89.102000000000004"/>
    <n v="89.596000000000004"/>
    <n v="100.52500000000001"/>
    <n v="100.459"/>
    <n v="133.43199999999999"/>
    <n v="134.047"/>
    <n v="64.876999999999995"/>
    <n v="61.063000000000002"/>
    <n v="35.122999999999998"/>
    <n v="38.936999999999998"/>
    <n v="13.361000000000001"/>
    <n v="13.189"/>
    <n v="38.936999999999998"/>
    <n v="35.122999999999998"/>
    <n v="16.994"/>
    <n v="13"/>
    <n v="13"/>
    <n v="13"/>
    <n v="13"/>
  </r>
  <r>
    <n v="440"/>
    <m/>
    <m/>
    <m/>
    <m/>
    <s v="NA"/>
    <s v="NA"/>
    <x v="35"/>
    <s v="NA"/>
    <m/>
    <m/>
    <s v="NA"/>
    <s v="NA"/>
    <s v="NA"/>
    <s v="NA"/>
    <s v="NA"/>
    <s v="NA"/>
    <s v="NA"/>
    <s v="NA"/>
    <s v="NA"/>
    <s v="NA"/>
    <s v="NA"/>
    <s v="NA"/>
    <s v="NA"/>
    <s v="NA"/>
    <s v="NA"/>
    <s v="NA"/>
    <s v="NA"/>
    <s v="NA"/>
    <s v="NA"/>
    <s v="NA"/>
    <s v="NA"/>
  </r>
  <r>
    <n v="441"/>
    <m/>
    <m/>
    <m/>
    <m/>
    <s v="NA"/>
    <s v="NA"/>
    <x v="35"/>
    <s v="NA"/>
    <m/>
    <m/>
    <n v="45.107999999999997"/>
    <n v="51.755000000000003"/>
    <n v="96.358000000000004"/>
    <n v="97.106999999999999"/>
    <n v="77.281999999999996"/>
    <n v="78.403999999999996"/>
    <n v="96.438999999999993"/>
    <n v="96.483999999999995"/>
    <n v="64.646000000000001"/>
    <n v="63.438000000000002"/>
    <n v="35.353999999999999"/>
    <n v="36.561999999999998"/>
    <n v="14.525"/>
    <n v="13.586"/>
    <n v="36.561999999999998"/>
    <n v="35.353999999999999"/>
    <n v="12.86"/>
    <n v="14"/>
    <n v="13"/>
    <n v="13"/>
    <n v="13"/>
  </r>
  <r>
    <n v="442"/>
    <m/>
    <m/>
    <m/>
    <m/>
    <s v="R25.1"/>
    <s v="Tremor, unspecified"/>
    <x v="96"/>
    <s v="F"/>
    <m/>
    <m/>
    <n v="53.731999999999999"/>
    <n v="48.307000000000002"/>
    <n v="102.09399999999999"/>
    <n v="101.86"/>
    <n v="97.727999999999994"/>
    <n v="97.616"/>
    <n v="114.218"/>
    <n v="113.998"/>
    <n v="65.427000000000007"/>
    <n v="60.929000000000002"/>
    <n v="34.573"/>
    <n v="39.070999999999998"/>
    <n v="14.430999999999999"/>
    <n v="12.516999999999999"/>
    <n v="39.070999999999998"/>
    <n v="34.573"/>
    <n v="10.8"/>
    <n v="10"/>
    <n v="11"/>
    <n v="10"/>
    <n v="10"/>
  </r>
  <r>
    <n v="443"/>
    <m/>
    <m/>
    <m/>
    <m/>
    <s v="G20"/>
    <s v="Parkinson's disease"/>
    <x v="174"/>
    <s v="M"/>
    <m/>
    <m/>
    <n v="64.460999999999999"/>
    <n v="73.010000000000005"/>
    <n v="138.18299999999999"/>
    <n v="137.70599999999999"/>
    <n v="118.751"/>
    <n v="118.38800000000001"/>
    <n v="102.9"/>
    <n v="102.895"/>
    <n v="63.587000000000003"/>
    <n v="62.851999999999997"/>
    <n v="36.412999999999997"/>
    <n v="37.148000000000003"/>
    <n v="12.513"/>
    <n v="13.769"/>
    <n v="37.148000000000003"/>
    <n v="36.412999999999997"/>
    <n v="11.444000000000001"/>
    <n v="10"/>
    <n v="7"/>
    <n v="7"/>
    <n v="7"/>
  </r>
  <r>
    <n v="444"/>
    <m/>
    <m/>
    <m/>
    <m/>
    <s v="NA"/>
    <s v="NA"/>
    <x v="35"/>
    <s v="NA"/>
    <m/>
    <m/>
    <n v="63.942"/>
    <n v="61.444000000000003"/>
    <n v="126.962"/>
    <n v="124.774"/>
    <n v="128.83799999999999"/>
    <n v="129.99199999999999"/>
    <n v="122.255"/>
    <n v="124.973"/>
    <n v="59.137999999999998"/>
    <n v="61.354999999999997"/>
    <n v="40.862000000000002"/>
    <n v="38.645000000000003"/>
    <n v="10.420999999999999"/>
    <n v="11.547000000000001"/>
    <n v="38.645000000000003"/>
    <n v="40.862000000000002"/>
    <n v="13.648"/>
    <n v="7"/>
    <n v="10"/>
    <n v="7"/>
    <n v="7"/>
  </r>
  <r>
    <n v="446"/>
    <m/>
    <m/>
    <m/>
    <m/>
    <s v="NA"/>
    <s v="NA"/>
    <x v="35"/>
    <s v="NA"/>
    <m/>
    <m/>
    <n v="39.267000000000003"/>
    <n v="46.362000000000002"/>
    <n v="84.313000000000002"/>
    <n v="85.275000000000006"/>
    <n v="72.948999999999998"/>
    <n v="74.326999999999998"/>
    <n v="103.136"/>
    <n v="103.77800000000001"/>
    <n v="63.615000000000002"/>
    <n v="64.796000000000006"/>
    <n v="36.384999999999998"/>
    <n v="35.204000000000001"/>
    <n v="15.217000000000001"/>
    <n v="13.763999999999999"/>
    <n v="35.204000000000001"/>
    <n v="36.384999999999998"/>
    <n v="9.2379999999999995"/>
    <n v="12"/>
    <n v="14"/>
    <n v="12"/>
    <n v="12"/>
  </r>
  <r>
    <n v="447"/>
    <m/>
    <m/>
    <m/>
    <m/>
    <s v="NA"/>
    <s v="NA"/>
    <x v="35"/>
    <s v="NA"/>
    <m/>
    <m/>
    <n v="67.888000000000005"/>
    <n v="66.611999999999995"/>
    <n v="135.178"/>
    <n v="133.94499999999999"/>
    <n v="130.88999999999999"/>
    <n v="130.42099999999999"/>
    <n v="115.873"/>
    <n v="116.774"/>
    <n v="61.460999999999999"/>
    <n v="60.271999999999998"/>
    <n v="38.539000000000001"/>
    <n v="39.728000000000002"/>
    <n v="11.018000000000001"/>
    <n v="10.808999999999999"/>
    <n v="39.728000000000002"/>
    <n v="38.539000000000001"/>
    <n v="11.992000000000001"/>
    <n v="10"/>
    <n v="9"/>
    <n v="9"/>
    <n v="9"/>
  </r>
  <r>
    <n v="448"/>
    <m/>
    <m/>
    <m/>
    <m/>
    <s v="R25.9"/>
    <s v="Unspecified abnormal involuntary movements"/>
    <x v="115"/>
    <s v="F"/>
    <m/>
    <m/>
    <n v="42.634"/>
    <n v="46.960999999999999"/>
    <n v="89.674999999999997"/>
    <n v="90.144000000000005"/>
    <n v="56.418999999999997"/>
    <n v="56.996000000000002"/>
    <n v="75.308999999999997"/>
    <n v="75.316000000000003"/>
    <n v="66.936000000000007"/>
    <n v="67.510999999999996"/>
    <n v="33.064"/>
    <n v="32.488999999999997"/>
    <n v="17.747"/>
    <n v="16.847999999999999"/>
    <n v="32.488999999999997"/>
    <n v="33.064"/>
    <n v="11.798"/>
    <n v="14"/>
    <n v="11"/>
    <n v="11"/>
    <n v="11"/>
  </r>
  <r>
    <n v="449"/>
    <m/>
    <m/>
    <m/>
    <m/>
    <s v="NA"/>
    <s v="NA"/>
    <x v="35"/>
    <s v="NA"/>
    <m/>
    <m/>
    <n v="69.613"/>
    <n v="69.789000000000001"/>
    <n v="138.79499999999999"/>
    <n v="139.958"/>
    <n v="132.16300000000001"/>
    <n v="132.346"/>
    <n v="113.902"/>
    <n v="113.05800000000001"/>
    <n v="61.896999999999998"/>
    <n v="60.533000000000001"/>
    <n v="38.103000000000002"/>
    <n v="39.466999999999999"/>
    <n v="11.143000000000001"/>
    <n v="11.433"/>
    <n v="39.466999999999999"/>
    <n v="38.103000000000002"/>
    <n v="7.49"/>
    <n v="10"/>
    <n v="7"/>
    <n v="7"/>
    <n v="7"/>
  </r>
  <r>
    <n v="450"/>
    <m/>
    <m/>
    <m/>
    <m/>
    <s v="G25.0"/>
    <s v="Essential tremor"/>
    <x v="67"/>
    <s v="M"/>
    <m/>
    <m/>
    <n v="63.372999999999998"/>
    <n v="58.619"/>
    <n v="121.89100000000001"/>
    <n v="121.72499999999999"/>
    <n v="92.066000000000003"/>
    <n v="93.070999999999998"/>
    <n v="90.177000000000007"/>
    <n v="91.004999999999995"/>
    <n v="64.412999999999997"/>
    <n v="63.365000000000002"/>
    <n v="35.587000000000003"/>
    <n v="36.634999999999998"/>
    <n v="13.157"/>
    <n v="15.446"/>
    <n v="36.634999999999998"/>
    <n v="35.587000000000003"/>
    <n v="11.91"/>
    <n v="10"/>
    <n v="8"/>
    <n v="8"/>
    <n v="8"/>
  </r>
  <r>
    <n v="451"/>
    <m/>
    <m/>
    <m/>
    <m/>
    <s v="G25.0"/>
    <s v="Essential tremor"/>
    <x v="175"/>
    <s v="F"/>
    <m/>
    <m/>
    <s v="NA"/>
    <s v="NA"/>
    <s v="NA"/>
    <s v="NA"/>
    <s v="NA"/>
    <s v="NA"/>
    <s v="NA"/>
    <s v="NA"/>
    <s v="NA"/>
    <s v="NA"/>
    <s v="NA"/>
    <s v="NA"/>
    <s v="NA"/>
    <s v="NA"/>
    <s v="NA"/>
    <s v="NA"/>
    <s v="NA"/>
    <s v="NA"/>
    <s v="NA"/>
    <s v="NA"/>
    <s v="NA"/>
  </r>
  <r>
    <n v="452"/>
    <m/>
    <m/>
    <m/>
    <m/>
    <s v="NA"/>
    <s v="NA"/>
    <x v="35"/>
    <s v="NA"/>
    <m/>
    <m/>
    <n v="64.881"/>
    <n v="65.724000000000004"/>
    <n v="130.965"/>
    <n v="130.19800000000001"/>
    <n v="109.435"/>
    <n v="108.161"/>
    <n v="100.098"/>
    <n v="100.056"/>
    <n v="64.076999999999998"/>
    <n v="63.085999999999999"/>
    <n v="35.923000000000002"/>
    <n v="36.914000000000001"/>
    <n v="14.04"/>
    <n v="13.779"/>
    <n v="36.914000000000001"/>
    <n v="35.923000000000002"/>
    <n v="12.497999999999999"/>
    <n v="10"/>
    <n v="7"/>
    <n v="7"/>
    <n v="7"/>
  </r>
  <r>
    <n v="453"/>
    <m/>
    <m/>
    <m/>
    <m/>
    <s v="NA"/>
    <s v="NA"/>
    <x v="35"/>
    <s v="NA"/>
    <m/>
    <m/>
    <s v="NA"/>
    <s v="NA"/>
    <s v="NA"/>
    <s v="NA"/>
    <s v="NA"/>
    <s v="NA"/>
    <s v="NA"/>
    <s v="NA"/>
    <s v="NA"/>
    <s v="NA"/>
    <s v="NA"/>
    <s v="NA"/>
    <s v="NA"/>
    <s v="NA"/>
    <s v="NA"/>
    <s v="NA"/>
    <s v="NA"/>
    <s v="NA"/>
    <s v="NA"/>
    <s v="NA"/>
    <s v="NA"/>
  </r>
  <r>
    <n v="454"/>
    <m/>
    <m/>
    <m/>
    <m/>
    <s v="NA"/>
    <s v="NA"/>
    <x v="35"/>
    <s v="NA"/>
    <m/>
    <m/>
    <n v="38.643000000000001"/>
    <n v="45.371000000000002"/>
    <n v="84.07"/>
    <n v="83.760999999999996"/>
    <n v="88.331999999999994"/>
    <n v="88.286000000000001"/>
    <n v="126.511"/>
    <n v="126.38"/>
    <n v="57.59"/>
    <n v="62.180999999999997"/>
    <n v="42.41"/>
    <n v="37.819000000000003"/>
    <n v="8.7430000000000003"/>
    <n v="11.801"/>
    <n v="37.819000000000003"/>
    <n v="42.41"/>
    <n v="10.798"/>
    <n v="13"/>
    <n v="13"/>
    <n v="13"/>
    <n v="13"/>
  </r>
  <r>
    <n v="455"/>
    <m/>
    <m/>
    <m/>
    <m/>
    <s v="G20"/>
    <s v="Parkinson's disease"/>
    <x v="176"/>
    <s v="F"/>
    <m/>
    <m/>
    <n v="44.607999999999997"/>
    <n v="39.801000000000002"/>
    <n v="84.622"/>
    <n v="84.706000000000003"/>
    <n v="71.447999999999993"/>
    <n v="71.162999999999997"/>
    <n v="101.877"/>
    <n v="101.89700000000001"/>
    <n v="64.736000000000004"/>
    <n v="65.198999999999998"/>
    <n v="35.264000000000003"/>
    <n v="34.801000000000002"/>
    <n v="15.736000000000001"/>
    <n v="14.898"/>
    <n v="34.801000000000002"/>
    <n v="35.264000000000003"/>
    <n v="6.5659999999999998"/>
    <n v="14"/>
    <n v="11"/>
    <n v="11"/>
    <n v="11"/>
  </r>
  <r>
    <n v="456"/>
    <m/>
    <m/>
    <m/>
    <m/>
    <s v="G20"/>
    <s v="Parkinson's disease"/>
    <x v="1"/>
    <s v="F"/>
    <m/>
    <m/>
    <n v="56.514000000000003"/>
    <n v="60.167000000000002"/>
    <n v="117.077"/>
    <n v="117.134"/>
    <n v="96.337000000000003"/>
    <n v="96.227000000000004"/>
    <n v="98.602000000000004"/>
    <n v="98.299000000000007"/>
    <n v="64.679000000000002"/>
    <n v="59.277000000000001"/>
    <n v="35.320999999999998"/>
    <n v="40.722999999999999"/>
    <n v="13.82"/>
    <n v="10.853999999999999"/>
    <n v="40.722999999999999"/>
    <n v="35.320999999999998"/>
    <n v="12.364000000000001"/>
    <n v="10"/>
    <n v="10"/>
    <n v="10"/>
    <n v="10"/>
  </r>
  <r>
    <n v="457"/>
    <m/>
    <m/>
    <m/>
    <m/>
    <s v="R25.1"/>
    <s v="Tremor, unspecified"/>
    <x v="177"/>
    <s v="M"/>
    <m/>
    <m/>
    <n v="46.753"/>
    <n v="53.252000000000002"/>
    <n v="99.805000000000007"/>
    <n v="100.20099999999999"/>
    <n v="72.692999999999998"/>
    <n v="73.460999999999999"/>
    <n v="87.242000000000004"/>
    <n v="87.652000000000001"/>
    <n v="64.629000000000005"/>
    <n v="67.224000000000004"/>
    <n v="35.371000000000002"/>
    <n v="32.776000000000003"/>
    <n v="16.898"/>
    <n v="15.84"/>
    <n v="32.776000000000003"/>
    <n v="35.371000000000002"/>
    <n v="8.3339999999999996"/>
    <n v="10"/>
    <n v="10"/>
    <n v="10"/>
    <n v="10"/>
  </r>
  <r>
    <n v="458"/>
    <m/>
    <m/>
    <m/>
    <m/>
    <s v="G24.5"/>
    <s v="Blepharospasm"/>
    <x v="178"/>
    <s v="M"/>
    <m/>
    <m/>
    <n v="63.786000000000001"/>
    <n v="62.491"/>
    <n v="126.935"/>
    <n v="126.462"/>
    <n v="120.849"/>
    <n v="120.554"/>
    <n v="114.848"/>
    <n v="114.351"/>
    <n v="62.369"/>
    <n v="60.523000000000003"/>
    <n v="37.631"/>
    <n v="39.476999999999997"/>
    <n v="11.869"/>
    <n v="11.295"/>
    <n v="39.476999999999997"/>
    <n v="37.631"/>
    <n v="14.468"/>
    <n v="9"/>
    <n v="8"/>
    <n v="8"/>
    <n v="8"/>
  </r>
  <r>
    <n v="459"/>
    <m/>
    <m/>
    <m/>
    <m/>
    <s v="R25.1"/>
    <s v="Tremor, unspecified"/>
    <x v="4"/>
    <s v="M"/>
    <m/>
    <m/>
    <n v="48.201999999999998"/>
    <n v="45.387"/>
    <n v="92.384"/>
    <n v="94.332999999999998"/>
    <n v="91.802999999999997"/>
    <n v="93.344999999999999"/>
    <n v="119.64700000000001"/>
    <n v="119.292"/>
    <n v="65.078000000000003"/>
    <n v="62.837000000000003"/>
    <n v="34.921999999999997"/>
    <n v="37.162999999999997"/>
    <n v="14.611000000000001"/>
    <n v="13.864000000000001"/>
    <n v="37.162999999999997"/>
    <n v="34.921999999999997"/>
    <n v="12.096"/>
    <n v="12"/>
    <n v="13"/>
    <n v="12"/>
    <n v="12"/>
  </r>
  <r>
    <n v="460"/>
    <m/>
    <m/>
    <m/>
    <m/>
    <s v="G25.0"/>
    <s v="Essential tremor"/>
    <x v="1"/>
    <s v="F"/>
    <m/>
    <m/>
    <n v="44.884"/>
    <n v="45.814"/>
    <n v="90.305000000000007"/>
    <n v="90.542000000000002"/>
    <n v="69.488"/>
    <n v="70.156000000000006"/>
    <n v="92.78"/>
    <n v="93.459000000000003"/>
    <n v="65.119"/>
    <n v="65.230999999999995"/>
    <n v="34.881"/>
    <n v="34.768999999999998"/>
    <n v="16.135999999999999"/>
    <n v="14.686999999999999"/>
    <n v="34.768999999999998"/>
    <n v="34.881"/>
    <n v="16.588000000000001"/>
    <n v="13"/>
    <n v="12"/>
    <n v="12"/>
    <n v="12"/>
  </r>
  <r>
    <n v="461"/>
    <m/>
    <m/>
    <m/>
    <m/>
    <s v="G20"/>
    <s v="Parkinson's disease"/>
    <x v="71"/>
    <s v="M"/>
    <m/>
    <m/>
    <n v="30.626000000000001"/>
    <n v="23.89"/>
    <n v="54.66"/>
    <n v="54.811"/>
    <n v="76.653000000000006"/>
    <n v="77.028999999999996"/>
    <n v="167.56399999999999"/>
    <n v="167.80799999999999"/>
    <n v="64.088999999999999"/>
    <n v="63.286999999999999"/>
    <n v="35.911000000000001"/>
    <n v="36.713000000000001"/>
    <n v="15.287000000000001"/>
    <n v="12.035"/>
    <n v="36.713000000000001"/>
    <n v="35.911000000000001"/>
    <n v="10.885999999999999"/>
    <n v="23"/>
    <n v="22"/>
    <n v="22"/>
    <n v="22"/>
  </r>
  <r>
    <n v="462"/>
    <m/>
    <m/>
    <m/>
    <m/>
    <s v="NA"/>
    <s v="NA"/>
    <x v="35"/>
    <s v="NA"/>
    <m/>
    <m/>
    <n v="58.731999999999999"/>
    <n v="57.944000000000003"/>
    <n v="117.127"/>
    <n v="116.923"/>
    <n v="116.562"/>
    <n v="115.977"/>
    <n v="118.92"/>
    <n v="118.892"/>
    <n v="61.219000000000001"/>
    <n v="63.17"/>
    <n v="38.780999999999999"/>
    <n v="36.83"/>
    <n v="12.696999999999999"/>
    <n v="12.816000000000001"/>
    <n v="36.83"/>
    <n v="38.780999999999999"/>
    <n v="10.029999999999999"/>
    <n v="10"/>
    <n v="11"/>
    <n v="10"/>
    <n v="10"/>
  </r>
  <r>
    <n v="463"/>
    <m/>
    <m/>
    <m/>
    <m/>
    <s v="G20"/>
    <s v="Parkinson's disease"/>
    <x v="32"/>
    <s v="M"/>
    <m/>
    <m/>
    <n v="9.7880000000000003"/>
    <n v="11.372"/>
    <n v="21.190999999999999"/>
    <n v="21.129000000000001"/>
    <n v="28.411999999999999"/>
    <n v="28.332999999999998"/>
    <n v="160.95699999999999"/>
    <n v="161.56399999999999"/>
    <n v="70.203000000000003"/>
    <n v="69.995000000000005"/>
    <n v="29.797000000000001"/>
    <n v="30.004999999999999"/>
    <n v="17.852"/>
    <n v="22.32"/>
    <n v="30.004999999999999"/>
    <n v="29.797000000000001"/>
    <n v="24.341999999999999"/>
    <n v="51"/>
    <n v="50"/>
    <n v="50"/>
    <n v="50"/>
  </r>
  <r>
    <n v="464"/>
    <m/>
    <m/>
    <m/>
    <m/>
    <s v="G25.0"/>
    <s v="Essential tremor"/>
    <x v="179"/>
    <s v="F"/>
    <m/>
    <m/>
    <n v="53.802"/>
    <n v="56.058999999999997"/>
    <n v="110.681"/>
    <n v="109.34699999999999"/>
    <n v="88.754999999999995"/>
    <n v="87.968000000000004"/>
    <n v="96.531000000000006"/>
    <n v="96.561000000000007"/>
    <n v="67.661000000000001"/>
    <n v="66.131"/>
    <n v="32.338999999999999"/>
    <n v="33.869999999999997"/>
    <n v="17.134"/>
    <n v="16.702999999999999"/>
    <n v="33.869999999999997"/>
    <n v="32.338999999999999"/>
    <n v="11.53"/>
    <n v="10"/>
    <n v="10"/>
    <n v="10"/>
    <n v="10"/>
  </r>
  <r>
    <n v="465"/>
    <m/>
    <m/>
    <m/>
    <m/>
    <s v="NA"/>
    <s v="NA"/>
    <x v="35"/>
    <s v="NA"/>
    <m/>
    <m/>
    <n v="61.500999999999998"/>
    <n v="58.055999999999997"/>
    <n v="119.416"/>
    <n v="120.271"/>
    <n v="108.974"/>
    <n v="109.69499999999999"/>
    <n v="109.166"/>
    <n v="109.155"/>
    <n v="62.972000000000001"/>
    <n v="62.054000000000002"/>
    <n v="37.027999999999999"/>
    <n v="37.945999999999998"/>
    <n v="13.305999999999999"/>
    <n v="12.279"/>
    <n v="37.945999999999998"/>
    <n v="37.027999999999999"/>
    <n v="15.57"/>
    <n v="9"/>
    <n v="10"/>
    <n v="9"/>
    <n v="9"/>
  </r>
  <r>
    <n v="466"/>
    <m/>
    <m/>
    <m/>
    <m/>
    <s v="NA"/>
    <s v="NA"/>
    <x v="35"/>
    <s v="NA"/>
    <m/>
    <m/>
    <n v="52.005000000000003"/>
    <n v="55.213999999999999"/>
    <n v="106.55500000000001"/>
    <n v="106.82899999999999"/>
    <n v="97.344999999999999"/>
    <n v="97.322000000000003"/>
    <n v="109.642"/>
    <n v="108.846"/>
    <n v="63.914999999999999"/>
    <n v="63.328000000000003"/>
    <n v="36.085000000000001"/>
    <n v="36.671999999999997"/>
    <n v="13.76"/>
    <n v="13.115"/>
    <n v="36.671999999999997"/>
    <n v="36.085000000000001"/>
    <n v="11.9"/>
    <n v="11"/>
    <n v="11"/>
    <n v="11"/>
    <n v="11"/>
  </r>
  <r>
    <n v="467"/>
    <m/>
    <m/>
    <m/>
    <m/>
    <s v="NA"/>
    <s v="NA"/>
    <x v="35"/>
    <s v="NA"/>
    <m/>
    <m/>
    <n v="27.516999999999999"/>
    <n v="24.206"/>
    <n v="51.936"/>
    <n v="51.834000000000003"/>
    <n v="44.308"/>
    <n v="44.585000000000001"/>
    <n v="103.396"/>
    <n v="103.709"/>
    <n v="68.876999999999995"/>
    <n v="68.013999999999996"/>
    <n v="31.123000000000001"/>
    <n v="31.986000000000001"/>
    <n v="17.638999999999999"/>
    <n v="19.053000000000001"/>
    <n v="31.986000000000001"/>
    <n v="31.123000000000001"/>
    <n v="11.45"/>
    <n v="20"/>
    <n v="17"/>
    <n v="17"/>
    <n v="17"/>
  </r>
  <r>
    <n v="468"/>
    <m/>
    <m/>
    <m/>
    <m/>
    <s v="NA"/>
    <s v="NA"/>
    <x v="35"/>
    <s v="NA"/>
    <m/>
    <m/>
    <n v="30.885999999999999"/>
    <n v="33.369"/>
    <n v="64.108999999999995"/>
    <n v="64.703000000000003"/>
    <n v="71.28"/>
    <n v="71.239000000000004"/>
    <n v="134.77600000000001"/>
    <n v="133.55699999999999"/>
    <n v="67.001000000000005"/>
    <n v="67.611999999999995"/>
    <n v="32.999000000000002"/>
    <n v="32.387999999999998"/>
    <n v="15.923999999999999"/>
    <n v="18.951000000000001"/>
    <n v="32.387999999999998"/>
    <n v="32.999000000000002"/>
    <n v="13.337999999999999"/>
    <n v="18"/>
    <n v="17"/>
    <n v="17"/>
    <n v="17"/>
  </r>
  <r>
    <n v="469"/>
    <m/>
    <m/>
    <m/>
    <m/>
    <s v="R25.1"/>
    <s v="Tremor, unspecified"/>
    <x v="180"/>
    <s v="F"/>
    <m/>
    <m/>
    <n v="55.621000000000002"/>
    <n v="56.192999999999998"/>
    <n v="111.25700000000001"/>
    <n v="112.59"/>
    <n v="111.038"/>
    <n v="111.411"/>
    <n v="119.18899999999999"/>
    <n v="118.95699999999999"/>
    <n v="62.521999999999998"/>
    <n v="62.094999999999999"/>
    <n v="37.478000000000002"/>
    <n v="37.905000000000001"/>
    <n v="12.48"/>
    <n v="12.792999999999999"/>
    <n v="37.905000000000001"/>
    <n v="37.478000000000002"/>
    <n v="9.89"/>
    <n v="10"/>
    <n v="10"/>
    <n v="10"/>
    <n v="10"/>
  </r>
  <r>
    <n v="470"/>
    <m/>
    <m/>
    <m/>
    <m/>
    <s v="R25.1"/>
    <s v="Tremor, unspecified"/>
    <x v="181"/>
    <s v="M"/>
    <m/>
    <m/>
    <n v="53.7"/>
    <n v="54.398000000000003"/>
    <n v="108.39400000000001"/>
    <n v="108.29900000000001"/>
    <n v="100.401"/>
    <n v="100.794"/>
    <n v="110.901"/>
    <n v="110.976"/>
    <n v="63.631"/>
    <n v="64.066000000000003"/>
    <n v="36.369"/>
    <n v="35.933999999999997"/>
    <n v="14.25"/>
    <n v="13.471"/>
    <n v="35.933999999999997"/>
    <n v="36.369"/>
    <n v="17.57"/>
    <n v="11"/>
    <n v="10"/>
    <n v="10"/>
    <n v="10"/>
  </r>
  <r>
    <n v="471"/>
    <m/>
    <m/>
    <m/>
    <m/>
    <s v="R25.1"/>
    <s v="Tremor, unspecified"/>
    <x v="48"/>
    <s v="F"/>
    <m/>
    <m/>
    <n v="57.350999999999999"/>
    <n v="60.38"/>
    <n v="117.35"/>
    <n v="118.033"/>
    <n v="105.742"/>
    <n v="105.327"/>
    <n v="108.256"/>
    <n v="107.491"/>
    <n v="65.564999999999998"/>
    <n v="64.010999999999996"/>
    <n v="34.435000000000002"/>
    <n v="35.988999999999997"/>
    <n v="14.452"/>
    <n v="15.427"/>
    <n v="35.988999999999997"/>
    <n v="34.435000000000002"/>
    <n v="8.86"/>
    <n v="8"/>
    <n v="9"/>
    <n v="8"/>
    <n v="8"/>
  </r>
  <r>
    <n v="472"/>
    <m/>
    <m/>
    <m/>
    <m/>
    <s v="R25.1"/>
    <s v="Tremor, unspecified"/>
    <x v="54"/>
    <s v="M"/>
    <m/>
    <m/>
    <n v="44.771000000000001"/>
    <n v="50.167999999999999"/>
    <n v="95.075000000000003"/>
    <n v="95.081000000000003"/>
    <n v="91.468999999999994"/>
    <n v="90.542000000000002"/>
    <n v="114.72799999999999"/>
    <n v="114.852"/>
    <n v="65.516000000000005"/>
    <n v="66.510999999999996"/>
    <n v="34.484000000000002"/>
    <n v="33.488999999999997"/>
    <n v="15.760999999999999"/>
    <n v="15.739000000000001"/>
    <n v="33.488999999999997"/>
    <n v="34.484000000000002"/>
    <n v="14.978"/>
    <n v="10"/>
    <n v="10"/>
    <n v="10"/>
    <n v="10"/>
  </r>
  <r>
    <n v="473"/>
    <m/>
    <m/>
    <m/>
    <m/>
    <s v="G24.02"/>
    <s v="Drug induced acute dystonia"/>
    <x v="182"/>
    <s v="F"/>
    <m/>
    <m/>
    <n v="53.731000000000002"/>
    <n v="57.243000000000002"/>
    <n v="110.392"/>
    <n v="111.014"/>
    <n v="111.76600000000001"/>
    <n v="111.15600000000001"/>
    <n v="121.611"/>
    <n v="119.92"/>
    <n v="60.737000000000002"/>
    <n v="62.863"/>
    <n v="39.262999999999998"/>
    <n v="37.137"/>
    <n v="11.194000000000001"/>
    <n v="12.768000000000001"/>
    <n v="37.137"/>
    <n v="39.262999999999998"/>
    <n v="14.958"/>
    <n v="10"/>
    <n v="11"/>
    <n v="10"/>
    <n v="10"/>
  </r>
  <r>
    <n v="474"/>
    <m/>
    <m/>
    <m/>
    <m/>
    <s v="G25.0"/>
    <s v="Essential tremor"/>
    <x v="183"/>
    <s v="M"/>
    <m/>
    <m/>
    <n v="48.72"/>
    <n v="49.85"/>
    <n v="99.338999999999999"/>
    <n v="98.102000000000004"/>
    <n v="96.543999999999997"/>
    <n v="95.817999999999998"/>
    <n v="116.932"/>
    <n v="116.252"/>
    <n v="63.15"/>
    <n v="64.088999999999999"/>
    <n v="36.85"/>
    <n v="35.911000000000001"/>
    <n v="13.631"/>
    <n v="13.233000000000001"/>
    <n v="35.911000000000001"/>
    <n v="36.85"/>
    <n v="17.408000000000001"/>
    <n v="10"/>
    <n v="10"/>
    <n v="10"/>
    <n v="10"/>
  </r>
  <r>
    <n v="475"/>
    <m/>
    <m/>
    <m/>
    <m/>
    <s v="R25.1"/>
    <s v="Tremor, unspecified"/>
    <x v="184"/>
    <s v="F"/>
    <m/>
    <m/>
    <n v="53.741"/>
    <n v="53.334000000000003"/>
    <n v="106.473"/>
    <n v="108.05500000000001"/>
    <n v="114.86"/>
    <n v="116.626"/>
    <n v="128.13999999999999"/>
    <n v="127.961"/>
    <n v="64.067999999999998"/>
    <n v="61.984999999999999"/>
    <n v="35.932000000000002"/>
    <n v="38.015000000000001"/>
    <n v="13.733000000000001"/>
    <n v="12.159000000000001"/>
    <n v="38.015000000000001"/>
    <n v="35.932000000000002"/>
    <n v="17.102"/>
    <n v="9"/>
    <n v="10"/>
    <n v="9"/>
    <n v="9"/>
  </r>
  <r>
    <n v="476"/>
    <m/>
    <m/>
    <m/>
    <m/>
    <s v="R25.1"/>
    <s v="Tremor, unspecified"/>
    <x v="136"/>
    <s v="M"/>
    <m/>
    <m/>
    <n v="64.700999999999993"/>
    <n v="63.414000000000001"/>
    <n v="129.67099999999999"/>
    <n v="126.39400000000001"/>
    <n v="123.80800000000001"/>
    <n v="122.035"/>
    <n v="114.426"/>
    <n v="115.97799999999999"/>
    <n v="60.451000000000001"/>
    <n v="59.57"/>
    <n v="39.548999999999999"/>
    <n v="40.43"/>
    <n v="10.166"/>
    <n v="10.183"/>
    <n v="40.43"/>
    <n v="39.548999999999999"/>
    <n v="9.8439999999999994"/>
    <n v="10"/>
    <n v="9"/>
    <n v="9"/>
    <n v="9"/>
  </r>
  <r>
    <n v="477"/>
    <m/>
    <m/>
    <m/>
    <m/>
    <s v="G25.0"/>
    <s v="Essential tremor"/>
    <x v="140"/>
    <s v="M"/>
    <m/>
    <m/>
    <n v="37.386000000000003"/>
    <n v="34.564"/>
    <n v="72.096000000000004"/>
    <n v="71.012"/>
    <n v="63.13"/>
    <n v="63.25"/>
    <n v="106.526"/>
    <n v="106.27200000000001"/>
    <n v="65.614999999999995"/>
    <n v="68.393000000000001"/>
    <n v="34.384999999999998"/>
    <n v="31.606999999999999"/>
    <n v="16.968"/>
    <n v="16.940999999999999"/>
    <n v="31.606999999999999"/>
    <n v="34.384999999999998"/>
    <n v="9.94"/>
    <n v="14"/>
    <n v="13"/>
    <n v="13"/>
    <n v="13"/>
  </r>
  <r>
    <n v="478"/>
    <m/>
    <m/>
    <m/>
    <m/>
    <s v="G20"/>
    <s v="Parkinson's disease"/>
    <x v="178"/>
    <s v="M"/>
    <m/>
    <m/>
    <n v="31.827000000000002"/>
    <n v="35.868000000000002"/>
    <n v="68.183000000000007"/>
    <n v="67.756"/>
    <n v="60.902999999999999"/>
    <n v="60.185000000000002"/>
    <n v="106.221"/>
    <n v="105.694"/>
    <n v="67.686000000000007"/>
    <n v="67.057000000000002"/>
    <n v="32.314"/>
    <n v="32.942999999999998"/>
    <n v="18.239999999999998"/>
    <n v="16.364000000000001"/>
    <n v="32.942999999999998"/>
    <n v="32.314"/>
    <n v="12.818"/>
    <n v="15"/>
    <n v="15"/>
    <n v="15"/>
    <n v="15"/>
  </r>
  <r>
    <n v="479"/>
    <m/>
    <m/>
    <m/>
    <m/>
    <s v="NA"/>
    <s v="NA"/>
    <x v="35"/>
    <s v="NA"/>
    <m/>
    <m/>
    <n v="28.876999999999999"/>
    <n v="29.318999999999999"/>
    <n v="58.432000000000002"/>
    <n v="58.554000000000002"/>
    <n v="51.883000000000003"/>
    <n v="51.814"/>
    <n v="104.866"/>
    <n v="106.172"/>
    <n v="65.242999999999995"/>
    <n v="65.716999999999999"/>
    <n v="34.756999999999998"/>
    <n v="34.283000000000001"/>
    <n v="13.651999999999999"/>
    <n v="17.303000000000001"/>
    <n v="34.283000000000001"/>
    <n v="34.756999999999998"/>
    <n v="10.15"/>
    <n v="17"/>
    <n v="16"/>
    <n v="16"/>
    <n v="16"/>
  </r>
  <r>
    <n v="480"/>
    <m/>
    <m/>
    <m/>
    <m/>
    <s v="G25.3"/>
    <s v="Myoclonus"/>
    <x v="185"/>
    <s v="M"/>
    <m/>
    <m/>
    <n v="47.606999999999999"/>
    <n v="50.220999999999997"/>
    <n v="98.406000000000006"/>
    <n v="97.605000000000004"/>
    <n v="89.114000000000004"/>
    <n v="89.025000000000006"/>
    <n v="108.184"/>
    <n v="108.377"/>
    <n v="64.174000000000007"/>
    <n v="62.216999999999999"/>
    <n v="35.826000000000001"/>
    <n v="37.783000000000001"/>
    <n v="13.608000000000001"/>
    <n v="13.134"/>
    <n v="37.783000000000001"/>
    <n v="35.826000000000001"/>
    <n v="11.726000000000001"/>
    <n v="13"/>
    <n v="13"/>
    <n v="13"/>
    <n v="13"/>
  </r>
  <r>
    <n v="481"/>
    <m/>
    <m/>
    <m/>
    <m/>
    <s v="R25.1"/>
    <s v="Tremor, unspecified"/>
    <x v="122"/>
    <s v="M"/>
    <m/>
    <m/>
    <n v="33.176000000000002"/>
    <n v="30.931000000000001"/>
    <n v="63.904000000000003"/>
    <n v="63.673999999999999"/>
    <n v="28.411000000000001"/>
    <n v="28.713000000000001"/>
    <n v="53.078000000000003"/>
    <n v="54.186"/>
    <n v="74.701999999999998"/>
    <n v="75.369"/>
    <n v="25.297999999999998"/>
    <n v="24.631"/>
    <n v="25.747"/>
    <n v="24.568000000000001"/>
    <n v="24.631"/>
    <n v="25.297999999999998"/>
    <n v="13.648"/>
    <n v="14"/>
    <n v="14"/>
    <n v="14"/>
    <n v="14"/>
  </r>
  <r>
    <n v="482"/>
    <m/>
    <m/>
    <m/>
    <m/>
    <s v="G20"/>
    <s v="Parkinson's disease"/>
    <x v="19"/>
    <s v="M"/>
    <m/>
    <m/>
    <n v="62.802"/>
    <n v="62.844999999999999"/>
    <n v="125.715"/>
    <n v="125.63"/>
    <n v="131.405"/>
    <n v="131.93799999999999"/>
    <n v="124.59399999999999"/>
    <n v="125.611"/>
    <n v="60.555"/>
    <n v="60.505000000000003"/>
    <n v="39.445"/>
    <n v="39.494999999999997"/>
    <n v="11.074"/>
    <n v="10.803000000000001"/>
    <n v="39.494999999999997"/>
    <n v="39.445"/>
    <n v="16.295999999999999"/>
    <n v="10"/>
    <n v="10"/>
    <n v="10"/>
    <n v="10"/>
  </r>
  <r>
    <n v="483"/>
    <m/>
    <m/>
    <m/>
    <m/>
    <s v="G24.1"/>
    <s v="Genetic torsion dystonia"/>
    <x v="186"/>
    <s v="M"/>
    <m/>
    <m/>
    <n v="39.548999999999999"/>
    <n v="37.972999999999999"/>
    <n v="77.555000000000007"/>
    <n v="77.647999999999996"/>
    <n v="59.238999999999997"/>
    <n v="61.52"/>
    <n v="94.082999999999998"/>
    <n v="96.058999999999997"/>
    <n v="64.849999999999994"/>
    <n v="65.658000000000001"/>
    <n v="35.15"/>
    <n v="34.341999999999999"/>
    <n v="17.395"/>
    <n v="12.243"/>
    <n v="34.341999999999999"/>
    <n v="35.15"/>
    <n v="12.256"/>
    <n v="14"/>
    <n v="11"/>
    <n v="11"/>
    <n v="11"/>
  </r>
  <r>
    <n v="484"/>
    <m/>
    <m/>
    <m/>
    <m/>
    <s v="R25.1"/>
    <s v="Tremor, unspecified"/>
    <x v="31"/>
    <s v="F"/>
    <m/>
    <m/>
    <n v="37.881999999999998"/>
    <n v="37.634999999999998"/>
    <n v="75.757999999999996"/>
    <n v="75.316000000000003"/>
    <n v="78.409000000000006"/>
    <n v="77.793000000000006"/>
    <n v="123.979"/>
    <n v="123.5"/>
    <n v="67.465999999999994"/>
    <n v="65.647000000000006"/>
    <n v="32.533999999999999"/>
    <n v="34.353000000000002"/>
    <n v="15.926"/>
    <n v="17.420999999999999"/>
    <n v="34.353000000000002"/>
    <n v="32.533999999999999"/>
    <n v="9.07"/>
    <n v="15"/>
    <n v="16"/>
    <n v="15"/>
    <n v="15"/>
  </r>
  <r>
    <n v="485"/>
    <m/>
    <m/>
    <m/>
    <m/>
    <s v="R25.1"/>
    <s v="Tremor, unspecified"/>
    <x v="187"/>
    <s v="F"/>
    <m/>
    <m/>
    <n v="36.969000000000001"/>
    <n v="38.543999999999997"/>
    <n v="75.692999999999998"/>
    <n v="75.19"/>
    <n v="64.936999999999998"/>
    <n v="64.701999999999998"/>
    <n v="103.93"/>
    <n v="104.627"/>
    <n v="73.100999999999999"/>
    <n v="70.099000000000004"/>
    <n v="26.899000000000001"/>
    <n v="29.901"/>
    <n v="25.012"/>
    <n v="18.667999999999999"/>
    <n v="29.901"/>
    <n v="26.899000000000001"/>
    <n v="23.933"/>
    <n v="9"/>
    <n v="7"/>
    <n v="7"/>
    <n v="7"/>
  </r>
  <r>
    <n v="486"/>
    <m/>
    <m/>
    <m/>
    <m/>
    <s v="G20"/>
    <s v="Parkinson's disease"/>
    <x v="12"/>
    <s v="M"/>
    <m/>
    <m/>
    <n v="49.058"/>
    <n v="52.51"/>
    <n v="100.43300000000001"/>
    <n v="102.72499999999999"/>
    <n v="109.389"/>
    <n v="111.47199999999999"/>
    <n v="130.273"/>
    <n v="130.12700000000001"/>
    <n v="61.936999999999998"/>
    <n v="62.814999999999998"/>
    <n v="38.063000000000002"/>
    <n v="37.185000000000002"/>
    <n v="12.081"/>
    <n v="13.154"/>
    <n v="37.185000000000002"/>
    <n v="38.063000000000002"/>
    <n v="10.992000000000001"/>
    <n v="11"/>
    <n v="10"/>
    <n v="10"/>
    <n v="10"/>
  </r>
  <r>
    <n v="487"/>
    <m/>
    <m/>
    <m/>
    <m/>
    <s v="R25.1"/>
    <s v="Tremor, unspecified"/>
    <x v="177"/>
    <s v="M"/>
    <m/>
    <m/>
    <n v="63.481000000000002"/>
    <n v="55.835999999999999"/>
    <n v="119.40600000000001"/>
    <n v="119.355"/>
    <n v="105.411"/>
    <n v="105.413"/>
    <n v="105.53100000000001"/>
    <n v="105.48699999999999"/>
    <n v="63.292999999999999"/>
    <n v="62.218000000000004"/>
    <n v="36.707000000000001"/>
    <n v="37.781999999999996"/>
    <n v="10.597"/>
    <n v="15.148"/>
    <n v="37.781999999999996"/>
    <n v="36.707000000000001"/>
    <n v="13.564"/>
    <n v="10"/>
    <n v="10"/>
    <n v="10"/>
    <n v="10"/>
  </r>
  <r>
    <n v="488"/>
    <m/>
    <m/>
    <m/>
    <m/>
    <s v="NA"/>
    <s v="NA"/>
    <x v="35"/>
    <s v="NA"/>
    <m/>
    <m/>
    <n v="66.483000000000004"/>
    <n v="59.664000000000001"/>
    <n v="126.967"/>
    <n v="125.596"/>
    <n v="117.73"/>
    <n v="117.375"/>
    <n v="110.89700000000001"/>
    <n v="112.004"/>
    <n v="62.274000000000001"/>
    <n v="60.807000000000002"/>
    <n v="37.725999999999999"/>
    <n v="39.192999999999998"/>
    <n v="13.475"/>
    <n v="10.103999999999999"/>
    <n v="39.192999999999998"/>
    <n v="37.725999999999999"/>
    <n v="9.1080000000000005"/>
    <n v="10"/>
    <n v="10"/>
    <n v="10"/>
    <n v="10"/>
  </r>
  <r>
    <n v="489"/>
    <m/>
    <m/>
    <m/>
    <m/>
    <s v="R26.81"/>
    <s v="Unsteadiness on feet"/>
    <x v="188"/>
    <s v="F"/>
    <m/>
    <m/>
    <n v="59.110999999999997"/>
    <n v="57.878"/>
    <n v="117.128"/>
    <n v="117.124"/>
    <n v="115.911"/>
    <n v="116.696"/>
    <n v="118.35599999999999"/>
    <n v="119.23099999999999"/>
    <n v="61.798999999999999"/>
    <n v="63.408000000000001"/>
    <n v="38.201000000000001"/>
    <n v="36.591999999999999"/>
    <n v="12.564"/>
    <n v="13.409000000000001"/>
    <n v="36.591999999999999"/>
    <n v="38.201000000000001"/>
    <n v="11.56"/>
    <n v="10"/>
    <n v="10"/>
    <n v="10"/>
    <n v="10"/>
  </r>
  <r>
    <n v="490"/>
    <m/>
    <m/>
    <m/>
    <m/>
    <s v="G25.0"/>
    <s v="Essential tremor"/>
    <x v="2"/>
    <s v="M"/>
    <m/>
    <m/>
    <n v="67.754000000000005"/>
    <n v="64.805000000000007"/>
    <n v="132.71100000000001"/>
    <n v="133.256"/>
    <n v="109.81399999999999"/>
    <n v="109.81699999999999"/>
    <n v="99.491"/>
    <n v="98.760999999999996"/>
    <n v="64.304000000000002"/>
    <n v="63.75"/>
    <n v="35.695999999999998"/>
    <n v="36.25"/>
    <n v="14.784000000000001"/>
    <n v="14.247999999999999"/>
    <n v="36.25"/>
    <n v="35.695999999999998"/>
    <n v="13.878"/>
    <n v="10"/>
    <n v="10"/>
    <n v="10"/>
    <n v="10"/>
  </r>
  <r>
    <n v="491"/>
    <m/>
    <m/>
    <m/>
    <m/>
    <s v="G20"/>
    <s v="Parkinson's disease"/>
    <x v="13"/>
    <s v="F"/>
    <m/>
    <m/>
    <n v="40.81"/>
    <n v="39.204999999999998"/>
    <n v="79.997"/>
    <n v="78.793000000000006"/>
    <n v="79.814999999999998"/>
    <n v="78.724000000000004"/>
    <n v="118.721"/>
    <n v="118.676"/>
    <n v="61.058999999999997"/>
    <n v="62.182000000000002"/>
    <n v="38.941000000000003"/>
    <n v="37.817999999999998"/>
    <n v="10.833"/>
    <n v="12.901"/>
    <n v="37.817999999999998"/>
    <n v="38.941000000000003"/>
    <n v="9.798"/>
    <n v="15"/>
    <n v="14"/>
    <n v="14"/>
    <n v="14"/>
  </r>
  <r>
    <n v="492"/>
    <m/>
    <m/>
    <m/>
    <m/>
    <s v="G20"/>
    <s v="Parkinson's disease"/>
    <x v="74"/>
    <s v="M"/>
    <m/>
    <m/>
    <n v="44.692999999999998"/>
    <n v="47.334000000000003"/>
    <n v="91.826999999999998"/>
    <n v="92.144000000000005"/>
    <n v="93.789000000000001"/>
    <n v="93.626999999999995"/>
    <n v="121.84099999999999"/>
    <n v="121.364"/>
    <n v="62.139000000000003"/>
    <n v="63.835999999999999"/>
    <n v="37.860999999999997"/>
    <n v="36.164000000000001"/>
    <n v="11.935"/>
    <n v="14.252000000000001"/>
    <n v="36.164000000000001"/>
    <n v="37.860999999999997"/>
    <n v="14.128"/>
    <n v="14"/>
    <n v="13"/>
    <n v="13"/>
    <n v="13"/>
  </r>
  <r>
    <n v="493"/>
    <m/>
    <m/>
    <m/>
    <m/>
    <s v="G20"/>
    <s v="Parkinson's disease"/>
    <x v="55"/>
    <s v="F"/>
    <m/>
    <m/>
    <n v="17.263000000000002"/>
    <n v="10.545999999999999"/>
    <n v="27.777999999999999"/>
    <n v="27.809000000000001"/>
    <n v="30.518000000000001"/>
    <n v="30.507999999999999"/>
    <n v="131.279"/>
    <n v="131.398"/>
    <n v="70.289000000000001"/>
    <n v="70.588999999999999"/>
    <n v="29.710999999999999"/>
    <n v="29.411000000000001"/>
    <n v="18.846"/>
    <n v="21.843"/>
    <n v="29.411000000000001"/>
    <n v="29.710999999999999"/>
    <n v="10.284000000000001"/>
    <n v="30"/>
    <n v="35"/>
    <n v="30"/>
    <n v="30"/>
  </r>
  <r>
    <n v="494"/>
    <m/>
    <m/>
    <m/>
    <m/>
    <s v="R25.1"/>
    <s v="Tremor, unspecified"/>
    <x v="35"/>
    <s v="NA"/>
    <m/>
    <m/>
    <n v="57.793999999999997"/>
    <n v="58.344999999999999"/>
    <n v="116.14400000000001"/>
    <n v="116.749"/>
    <n v="111.26300000000001"/>
    <n v="111.137"/>
    <n v="114.327"/>
    <n v="113.989"/>
    <n v="61.353000000000002"/>
    <n v="60.371000000000002"/>
    <n v="38.646999999999998"/>
    <n v="39.628999999999998"/>
    <n v="9.7579999999999991"/>
    <n v="11.702999999999999"/>
    <n v="39.628999999999998"/>
    <n v="38.646999999999998"/>
    <n v="8.8379999999999992"/>
    <n v="10"/>
    <n v="10"/>
    <n v="10"/>
    <n v="10"/>
  </r>
  <r>
    <n v="495"/>
    <m/>
    <m/>
    <m/>
    <m/>
    <s v="R25.1"/>
    <s v="Tremor, unspecified"/>
    <x v="189"/>
    <s v="F"/>
    <m/>
    <m/>
    <n v="62.463000000000001"/>
    <n v="60.338000000000001"/>
    <n v="123.69499999999999"/>
    <n v="121.958"/>
    <n v="118.23399999999999"/>
    <n v="116.985"/>
    <n v="114.64700000000001"/>
    <n v="114.643"/>
    <n v="59.741"/>
    <n v="62.420999999999999"/>
    <n v="40.259"/>
    <n v="37.579000000000001"/>
    <n v="11.932"/>
    <n v="10.965999999999999"/>
    <n v="37.579000000000001"/>
    <n v="40.259"/>
    <n v="12.102"/>
    <n v="10"/>
    <n v="9"/>
    <n v="9"/>
    <n v="9"/>
  </r>
  <r>
    <n v="496"/>
    <m/>
    <m/>
    <m/>
    <m/>
    <s v="G24.3"/>
    <s v="Spasmodic torticollis"/>
    <x v="11"/>
    <s v="F"/>
    <m/>
    <m/>
    <n v="34.447000000000003"/>
    <n v="26.896000000000001"/>
    <n v="61.070999999999998"/>
    <n v="63.502000000000002"/>
    <n v="57.247999999999998"/>
    <n v="60.189"/>
    <n v="112.61799999999999"/>
    <n v="114.483"/>
    <n v="65.882999999999996"/>
    <n v="65.912000000000006"/>
    <n v="34.116999999999997"/>
    <n v="34.088000000000001"/>
    <n v="11.983000000000001"/>
    <n v="20.395"/>
    <n v="34.088000000000001"/>
    <n v="34.116999999999997"/>
    <n v="13.222"/>
    <n v="28"/>
    <n v="24"/>
    <n v="24"/>
    <n v="24"/>
  </r>
  <r>
    <n v="497"/>
    <m/>
    <m/>
    <m/>
    <m/>
    <s v="NA"/>
    <s v="NA"/>
    <x v="35"/>
    <s v="NA"/>
    <m/>
    <m/>
    <n v="56.914000000000001"/>
    <n v="61.939"/>
    <n v="119.001"/>
    <n v="119.291"/>
    <n v="79.388000000000005"/>
    <n v="78.924999999999997"/>
    <n v="79.736999999999995"/>
    <n v="79.325000000000003"/>
    <n v="65.8"/>
    <n v="65.649000000000001"/>
    <n v="34.200000000000003"/>
    <n v="34.350999999999999"/>
    <n v="16.739000000000001"/>
    <n v="15.295"/>
    <n v="34.350999999999999"/>
    <n v="34.200000000000003"/>
    <n v="12.042999999999999"/>
    <n v="17"/>
    <n v="18"/>
    <n v="17"/>
    <n v="17"/>
  </r>
  <r>
    <n v="498"/>
    <m/>
    <m/>
    <m/>
    <m/>
    <s v="G20"/>
    <s v="Parkinson's disease"/>
    <x v="190"/>
    <s v="M"/>
    <m/>
    <m/>
    <n v="60.146999999999998"/>
    <n v="57.688000000000002"/>
    <n v="118.41"/>
    <n v="118.53"/>
    <n v="115.215"/>
    <n v="114.69499999999999"/>
    <n v="116.581"/>
    <n v="115.971"/>
    <n v="63.438000000000002"/>
    <n v="63.491"/>
    <n v="36.561999999999998"/>
    <n v="36.509"/>
    <n v="12.766"/>
    <n v="14.369"/>
    <n v="36.509"/>
    <n v="36.561999999999998"/>
    <n v="12.659000000000001"/>
    <n v="24"/>
    <n v="22"/>
    <n v="22"/>
    <n v="22"/>
  </r>
  <r>
    <n v="499"/>
    <m/>
    <m/>
    <m/>
    <m/>
    <s v="G20"/>
    <s v="Parkinson's disease"/>
    <x v="149"/>
    <s v="M"/>
    <m/>
    <m/>
    <n v="22.321000000000002"/>
    <n v="20.373999999999999"/>
    <n v="42.103999999999999"/>
    <n v="43.392000000000003"/>
    <n v="46.563000000000002"/>
    <n v="47.192"/>
    <n v="133.459"/>
    <n v="130.84399999999999"/>
    <n v="67.567999999999998"/>
    <n v="68.281000000000006"/>
    <n v="32.432000000000002"/>
    <n v="31.719000000000001"/>
    <n v="17.475999999999999"/>
    <n v="18.550999999999998"/>
    <n v="31.719000000000001"/>
    <n v="32.432000000000002"/>
    <n v="9.6150000000000002"/>
    <n v="15"/>
    <n v="15"/>
    <n v="15"/>
    <n v="15"/>
  </r>
  <r>
    <n v="500"/>
    <m/>
    <m/>
    <m/>
    <m/>
    <s v="R25.1"/>
    <s v="Tremor, unspecified"/>
    <x v="179"/>
    <s v="F"/>
    <m/>
    <m/>
    <n v="39.420999999999999"/>
    <n v="42.654000000000003"/>
    <n v="81.444000000000003"/>
    <n v="81.796999999999997"/>
    <n v="52.673000000000002"/>
    <n v="52.527999999999999"/>
    <n v="77.441000000000003"/>
    <n v="76.947000000000003"/>
    <n v="64.584000000000003"/>
    <n v="66.33"/>
    <n v="35.415999999999997"/>
    <n v="33.67"/>
    <n v="18.088999999999999"/>
    <n v="13.016"/>
    <n v="33.67"/>
    <n v="35.415999999999997"/>
    <n v="10.6"/>
    <n v="12"/>
    <n v="14"/>
    <n v="12"/>
    <n v="12"/>
  </r>
  <r>
    <n v="501"/>
    <m/>
    <m/>
    <m/>
    <m/>
    <s v="G24.1"/>
    <s v="Genetic torsion dystonia"/>
    <x v="191"/>
    <s v="F"/>
    <m/>
    <m/>
    <n v="52.825000000000003"/>
    <n v="51.161000000000001"/>
    <n v="104.322"/>
    <n v="105.038"/>
    <n v="93.16"/>
    <n v="94.325999999999993"/>
    <n v="107.422"/>
    <n v="107.779"/>
    <n v="63.338000000000001"/>
    <n v="62.758000000000003"/>
    <n v="36.661999999999999"/>
    <n v="37.241"/>
    <n v="14.747999999999999"/>
    <n v="11.661"/>
    <n v="37.241"/>
    <n v="36.661999999999999"/>
    <n v="9.3360000000000003"/>
    <n v="17"/>
    <n v="15"/>
    <n v="15"/>
    <n v="15"/>
  </r>
  <r>
    <n v="502"/>
    <m/>
    <m/>
    <m/>
    <m/>
    <s v="NA"/>
    <s v="NA"/>
    <x v="35"/>
    <s v="NA"/>
    <m/>
    <m/>
    <n v="48.716999999999999"/>
    <n v="51.058999999999997"/>
    <n v="99.816000000000003"/>
    <n v="99.86"/>
    <n v="90.962000000000003"/>
    <n v="91.224000000000004"/>
    <n v="109.444"/>
    <n v="109.548"/>
    <n v="67.001000000000005"/>
    <n v="65.116"/>
    <n v="32.999000000000002"/>
    <n v="34.884"/>
    <n v="16.757999999999999"/>
    <n v="15.43"/>
    <n v="34.884"/>
    <n v="32.999000000000002"/>
    <n v="11.004"/>
    <n v="16"/>
    <n v="17"/>
    <n v="16"/>
    <n v="16"/>
  </r>
  <r>
    <n v="503"/>
    <m/>
    <m/>
    <m/>
    <m/>
    <s v="NA"/>
    <s v="NA"/>
    <x v="35"/>
    <s v="NA"/>
    <m/>
    <m/>
    <n v="46.743000000000002"/>
    <n v="46.94"/>
    <n v="93.317999999999998"/>
    <n v="94.707999999999998"/>
    <n v="84.179000000000002"/>
    <n v="85.009"/>
    <n v="107.932"/>
    <n v="107.872"/>
    <n v="64.382999999999996"/>
    <n v="64.25"/>
    <n v="35.616999999999997"/>
    <n v="35.75"/>
    <n v="14.117000000000001"/>
    <n v="14.842000000000001"/>
    <n v="35.75"/>
    <n v="35.616999999999997"/>
    <n v="7.7350000000000003"/>
    <n v="13"/>
    <n v="13"/>
    <n v="13"/>
    <n v="13"/>
  </r>
  <r>
    <n v="504"/>
    <m/>
    <m/>
    <m/>
    <m/>
    <s v="G20"/>
    <s v="Parkinson's disease"/>
    <x v="170"/>
    <s v="M"/>
    <m/>
    <m/>
    <n v="70.367000000000004"/>
    <n v="64.245999999999995"/>
    <n v="134.88999999999999"/>
    <n v="135.26499999999999"/>
    <n v="122.43300000000001"/>
    <n v="122.633"/>
    <n v="108.51300000000001"/>
    <n v="108.74"/>
    <n v="61.179000000000002"/>
    <n v="61.85"/>
    <n v="38.820999999999998"/>
    <n v="38.15"/>
    <n v="12.509"/>
    <n v="11.071999999999999"/>
    <n v="38.15"/>
    <n v="38.820999999999998"/>
    <n v="9.07"/>
    <n v="15"/>
    <n v="15"/>
    <n v="15"/>
    <n v="15"/>
  </r>
  <r>
    <n v="505"/>
    <m/>
    <m/>
    <m/>
    <m/>
    <s v="G20"/>
    <s v="Parkinson's disease"/>
    <x v="192"/>
    <s v="M"/>
    <m/>
    <m/>
    <n v="34.563000000000002"/>
    <n v="29.260999999999999"/>
    <n v="64.915000000000006"/>
    <n v="63.085999999999999"/>
    <n v="63.124000000000002"/>
    <n v="62.445"/>
    <n v="115.666"/>
    <n v="116.175"/>
    <n v="63.222000000000001"/>
    <n v="64.281000000000006"/>
    <n v="36.777999999999999"/>
    <n v="35.719000000000001"/>
    <n v="14.262"/>
    <n v="13.635999999999999"/>
    <n v="35.719000000000001"/>
    <n v="36.777999999999999"/>
    <n v="9.8369999999999997"/>
    <n v="15"/>
    <n v="16"/>
    <n v="15"/>
    <n v="15"/>
  </r>
  <r>
    <n v="506"/>
    <m/>
    <m/>
    <m/>
    <m/>
    <s v="G20"/>
    <s v="Parkinson's disease"/>
    <x v="193"/>
    <s v="F"/>
    <m/>
    <m/>
    <n v="49.677"/>
    <n v="51.075000000000003"/>
    <n v="101.16200000000001"/>
    <n v="100.782"/>
    <n v="92.436000000000007"/>
    <n v="92.850999999999999"/>
    <n v="110.80800000000001"/>
    <n v="109.98699999999999"/>
    <n v="60.381999999999998"/>
    <n v="62.845999999999997"/>
    <n v="39.618000000000002"/>
    <n v="37.154000000000003"/>
    <n v="11.087"/>
    <n v="12.08"/>
    <n v="37.154000000000003"/>
    <n v="39.618000000000002"/>
    <n v="11.175000000000001"/>
    <n v="11"/>
    <n v="12"/>
    <n v="11"/>
    <n v="11"/>
  </r>
  <r>
    <n v="507"/>
    <m/>
    <m/>
    <m/>
    <m/>
    <s v="G20"/>
    <s v="Parkinson's disease"/>
    <x v="58"/>
    <s v="M"/>
    <m/>
    <m/>
    <n v="52.703000000000003"/>
    <n v="57.869"/>
    <n v="110.60599999999999"/>
    <n v="110.699"/>
    <n v="107.3"/>
    <n v="107.289"/>
    <n v="116.386"/>
    <n v="116.45099999999999"/>
    <n v="61.978999999999999"/>
    <n v="62.999000000000002"/>
    <n v="38.021000000000001"/>
    <n v="37.000999999999998"/>
    <n v="11.452999999999999"/>
    <n v="13.92"/>
    <n v="37.000999999999998"/>
    <n v="38.021000000000001"/>
    <n v="10.55"/>
    <n v="17"/>
    <n v="17"/>
    <n v="17"/>
    <n v="17"/>
  </r>
  <r>
    <n v="508"/>
    <m/>
    <m/>
    <m/>
    <m/>
    <s v="G20"/>
    <s v="Parkinson's disease"/>
    <x v="1"/>
    <s v="M"/>
    <m/>
    <m/>
    <n v="60.786000000000001"/>
    <n v="57.296999999999997"/>
    <n v="118.001"/>
    <n v="118.301"/>
    <n v="112.242"/>
    <n v="112.818"/>
    <n v="114.533"/>
    <n v="114.545"/>
    <n v="65.983000000000004"/>
    <n v="61.886000000000003"/>
    <n v="34.017000000000003"/>
    <n v="38.113999999999997"/>
    <n v="14.755000000000001"/>
    <n v="13.448"/>
    <n v="38.113999999999997"/>
    <n v="34.017000000000003"/>
    <n v="11.069000000000001"/>
    <n v="21"/>
    <n v="20"/>
    <n v="20"/>
    <n v="20"/>
  </r>
  <r>
    <n v="509"/>
    <m/>
    <m/>
    <m/>
    <m/>
    <s v="G25.0"/>
    <s v="Essential tremor"/>
    <x v="66"/>
    <s v="M"/>
    <m/>
    <m/>
    <n v="41.399000000000001"/>
    <n v="45.84"/>
    <n v="88.113"/>
    <n v="87.387"/>
    <n v="66.19"/>
    <n v="66.132000000000005"/>
    <n v="89.86"/>
    <n v="90.587000000000003"/>
    <n v="65.911000000000001"/>
    <n v="62.354999999999997"/>
    <n v="34.088999999999999"/>
    <n v="37.645000000000003"/>
    <n v="11.502000000000001"/>
    <n v="16.77"/>
    <n v="37.645000000000003"/>
    <n v="34.088999999999999"/>
    <n v="16.196999999999999"/>
    <n v="15"/>
    <n v="16"/>
    <n v="15"/>
    <n v="15"/>
  </r>
  <r>
    <n v="510"/>
    <m/>
    <m/>
    <m/>
    <m/>
    <s v="NA"/>
    <s v="NA"/>
    <x v="35"/>
    <s v="NA"/>
    <m/>
    <m/>
    <s v="NA"/>
    <s v="NA"/>
    <s v="NA"/>
    <s v="NA"/>
    <s v="NA"/>
    <s v="NA"/>
    <s v="NA"/>
    <s v="NA"/>
    <s v="NA"/>
    <s v="NA"/>
    <s v="NA"/>
    <s v="NA"/>
    <s v="NA"/>
    <s v="NA"/>
    <s v="NA"/>
    <s v="NA"/>
    <s v="NA"/>
    <s v="NA"/>
    <s v="NA"/>
    <s v="NA"/>
    <s v="NA"/>
  </r>
  <r>
    <n v="511"/>
    <m/>
    <m/>
    <m/>
    <m/>
    <s v="G25.0"/>
    <s v="Essential tremor"/>
    <x v="122"/>
    <s v="F"/>
    <m/>
    <m/>
    <n v="53.561"/>
    <n v="55.506"/>
    <n v="109.146"/>
    <n v="109.367"/>
    <n v="99.747"/>
    <n v="99.867000000000004"/>
    <n v="109.68"/>
    <n v="109.56100000000001"/>
    <n v="63.573999999999998"/>
    <n v="62.655000000000001"/>
    <n v="36.426000000000002"/>
    <n v="37.344999999999999"/>
    <n v="13.295999999999999"/>
    <n v="12.935"/>
    <n v="37.344999999999999"/>
    <n v="36.426000000000002"/>
    <n v="6.8680000000000003"/>
    <n v="19"/>
    <n v="18"/>
    <n v="18"/>
    <n v="18"/>
  </r>
  <r>
    <n v="512"/>
    <m/>
    <m/>
    <m/>
    <m/>
    <s v="G25.0"/>
    <s v="Essential tremor"/>
    <x v="194"/>
    <s v="M"/>
    <m/>
    <m/>
    <n v="27.895"/>
    <n v="29.032"/>
    <n v="57.018999999999998"/>
    <n v="59.49"/>
    <n v="32.369"/>
    <n v="32.44"/>
    <n v="66.268000000000001"/>
    <n v="67.039000000000001"/>
    <n v="72.927000000000007"/>
    <n v="71.927999999999997"/>
    <n v="27.073"/>
    <n v="28.071999999999999"/>
    <n v="24.504000000000001"/>
    <n v="19.791"/>
    <n v="28.071999999999999"/>
    <n v="27.073"/>
    <n v="15.715"/>
    <n v="13"/>
    <n v="11"/>
    <n v="11"/>
    <n v="11"/>
  </r>
  <r>
    <n v="513"/>
    <m/>
    <m/>
    <m/>
    <m/>
    <s v="G25.0"/>
    <s v="Essential tremor"/>
    <x v="195"/>
    <s v="M"/>
    <m/>
    <m/>
    <n v="52.91"/>
    <n v="56.243000000000002"/>
    <n v="109.044"/>
    <n v="108.592"/>
    <n v="85.423000000000002"/>
    <n v="84.518000000000001"/>
    <n v="93.311000000000007"/>
    <n v="92.96"/>
    <n v="65.978999999999999"/>
    <n v="64.69"/>
    <n v="34.021000000000001"/>
    <n v="35.31"/>
    <n v="15.779"/>
    <n v="15.226000000000001"/>
    <n v="35.31"/>
    <n v="34.021000000000001"/>
    <n v="16.73"/>
    <n v="16"/>
    <n v="13"/>
    <n v="13"/>
    <n v="13"/>
  </r>
  <r>
    <n v="514"/>
    <m/>
    <m/>
    <m/>
    <m/>
    <s v="G25.0"/>
    <s v="Essential tremor"/>
    <x v="151"/>
    <s v="M"/>
    <m/>
    <m/>
    <n v="58.279000000000003"/>
    <n v="57.76"/>
    <n v="117.724"/>
    <n v="116.086"/>
    <n v="88.433999999999997"/>
    <n v="87.644999999999996"/>
    <n v="90.096999999999994"/>
    <n v="90.076999999999998"/>
    <n v="63.252000000000002"/>
    <n v="65.409000000000006"/>
    <n v="36.747999999999998"/>
    <n v="34.591000000000001"/>
    <n v="14.27"/>
    <n v="15.1"/>
    <n v="34.591000000000001"/>
    <n v="36.747999999999998"/>
    <n v="10.917999999999999"/>
    <n v="13"/>
    <n v="15"/>
    <n v="13"/>
    <n v="13"/>
  </r>
  <r>
    <n v="515"/>
    <m/>
    <m/>
    <m/>
    <m/>
    <s v="G25.0"/>
    <s v="Essential tremor"/>
    <x v="26"/>
    <s v="M"/>
    <m/>
    <m/>
    <n v="55.838000000000001"/>
    <n v="60.033999999999999"/>
    <n v="116.67"/>
    <n v="116.33499999999999"/>
    <n v="121.358"/>
    <n v="121.285"/>
    <n v="124.76600000000001"/>
    <n v="124.68"/>
    <n v="65.36"/>
    <n v="61.030999999999999"/>
    <n v="34.64"/>
    <n v="38.969000000000001"/>
    <n v="13.592000000000001"/>
    <n v="13.368"/>
    <n v="38.969000000000001"/>
    <n v="34.64"/>
    <n v="12.676"/>
    <n v="20"/>
    <n v="22"/>
    <n v="20"/>
    <n v="20"/>
  </r>
  <r>
    <n v="516"/>
    <m/>
    <m/>
    <m/>
    <m/>
    <s v="G20"/>
    <s v="Parkinson's disease"/>
    <x v="196"/>
    <s v="M"/>
    <m/>
    <m/>
    <n v="62.070999999999998"/>
    <n v="65.433000000000007"/>
    <n v="127.16500000000001"/>
    <n v="128.154"/>
    <n v="127.90900000000001"/>
    <n v="129.30500000000001"/>
    <n v="120.429"/>
    <n v="121.089"/>
    <n v="62.143000000000001"/>
    <n v="63.325000000000003"/>
    <n v="37.856999999999999"/>
    <n v="36.674999999999997"/>
    <n v="13.17"/>
    <n v="12.731999999999999"/>
    <n v="36.674999999999997"/>
    <n v="37.856999999999999"/>
    <n v="11.218"/>
    <n v="25"/>
    <n v="25"/>
    <n v="25"/>
    <n v="25"/>
  </r>
  <r>
    <n v="517"/>
    <m/>
    <m/>
    <m/>
    <m/>
    <s v="G25.0"/>
    <s v="Essential tremor"/>
    <x v="39"/>
    <s v="F"/>
    <m/>
    <m/>
    <n v="57.959000000000003"/>
    <n v="56.015000000000001"/>
    <n v="113.724"/>
    <n v="114.56"/>
    <n v="101.069"/>
    <n v="102.515"/>
    <n v="106.917"/>
    <n v="107.268"/>
    <n v="60.643000000000001"/>
    <n v="62.128999999999998"/>
    <n v="39.356999999999999"/>
    <n v="37.871000000000002"/>
    <n v="11.132"/>
    <n v="12.117000000000001"/>
    <n v="37.871000000000002"/>
    <n v="39.356999999999999"/>
    <n v="10.564"/>
    <n v="22"/>
    <n v="18"/>
    <n v="18"/>
    <n v="18"/>
  </r>
  <r>
    <n v="518"/>
    <m/>
    <m/>
    <m/>
    <m/>
    <s v="G20"/>
    <s v="Parkinson's disease"/>
    <x v="197"/>
    <s v="M"/>
    <m/>
    <m/>
    <n v="52.82"/>
    <n v="51.167999999999999"/>
    <n v="103.25"/>
    <n v="104.3"/>
    <n v="100.339"/>
    <n v="100.78"/>
    <n v="115.91"/>
    <n v="115.753"/>
    <n v="63.734000000000002"/>
    <n v="63.579000000000001"/>
    <n v="36.265999999999998"/>
    <n v="36.420999999999999"/>
    <n v="13.962"/>
    <n v="13.327"/>
    <n v="36.420999999999999"/>
    <n v="36.265999999999998"/>
    <n v="9.5129999999999999"/>
    <n v="20"/>
    <n v="22"/>
    <n v="20"/>
    <n v="20"/>
  </r>
  <r>
    <n v="519"/>
    <m/>
    <m/>
    <m/>
    <m/>
    <s v="G20"/>
    <s v="Parkinson's disease"/>
    <x v="122"/>
    <s v="M"/>
    <m/>
    <m/>
    <n v="63.241"/>
    <n v="68.885000000000005"/>
    <n v="131.66"/>
    <n v="134.11199999999999"/>
    <n v="126.017"/>
    <n v="127.523"/>
    <n v="114.48099999999999"/>
    <n v="114.32899999999999"/>
    <n v="62.87"/>
    <n v="63.527000000000001"/>
    <n v="37.130000000000003"/>
    <n v="36.472999999999999"/>
    <n v="13.066000000000001"/>
    <n v="13.917999999999999"/>
    <n v="36.472999999999999"/>
    <n v="37.130000000000003"/>
    <n v="10.401999999999999"/>
    <n v="22"/>
    <n v="20"/>
    <n v="20"/>
    <n v="20"/>
  </r>
  <r>
    <n v="520"/>
    <m/>
    <m/>
    <m/>
    <m/>
    <s v="G20"/>
    <s v="Parkinson's disease"/>
    <x v="13"/>
    <s v="M"/>
    <m/>
    <m/>
    <n v="60.642000000000003"/>
    <n v="51.643999999999998"/>
    <n v="111.806"/>
    <n v="112.938"/>
    <n v="95.305999999999997"/>
    <n v="95.370999999999995"/>
    <n v="102.087"/>
    <n v="101.48"/>
    <n v="62.588999999999999"/>
    <n v="63.588000000000001"/>
    <n v="37.411000000000001"/>
    <n v="36.411999999999999"/>
    <n v="12.631"/>
    <n v="14.175000000000001"/>
    <n v="36.411999999999999"/>
    <n v="37.411000000000001"/>
    <n v="8.4969999999999999"/>
    <n v="21"/>
    <n v="21"/>
    <n v="21"/>
    <n v="21"/>
  </r>
  <r>
    <n v="521"/>
    <m/>
    <m/>
    <m/>
    <m/>
    <s v="G25.0"/>
    <s v="Essential tremor"/>
    <x v="198"/>
    <s v="M"/>
    <m/>
    <m/>
    <n v="60.64"/>
    <n v="59.683"/>
    <n v="120.798"/>
    <n v="120.259"/>
    <n v="106.604"/>
    <n v="106.562"/>
    <n v="106.267"/>
    <n v="106.08799999999999"/>
    <n v="62.411000000000001"/>
    <n v="63.58"/>
    <n v="37.588999999999999"/>
    <n v="36.42"/>
    <n v="12.615"/>
    <n v="13.619"/>
    <n v="36.42"/>
    <n v="37.588999999999999"/>
    <n v="14.313000000000001"/>
    <n v="20"/>
    <n v="18"/>
    <n v="18"/>
    <n v="18"/>
  </r>
  <r>
    <n v="522"/>
    <m/>
    <m/>
    <m/>
    <m/>
    <s v="G25.0"/>
    <s v="Essential tremor"/>
    <x v="199"/>
    <s v="M"/>
    <m/>
    <m/>
    <n v="67.097999999999999"/>
    <n v="71.484999999999999"/>
    <n v="137.91200000000001"/>
    <n v="139.83500000000001"/>
    <n v="129.07300000000001"/>
    <n v="129.91399999999999"/>
    <n v="111.384"/>
    <n v="110.982"/>
    <n v="59.695999999999998"/>
    <n v="62.156999999999996"/>
    <n v="40.304000000000002"/>
    <n v="37.843000000000004"/>
    <n v="10.358000000000001"/>
    <n v="11.497"/>
    <n v="37.843000000000004"/>
    <n v="40.304000000000002"/>
    <n v="11.494999999999999"/>
    <n v="15"/>
    <n v="17"/>
    <n v="15"/>
    <n v="15"/>
  </r>
  <r>
    <n v="523"/>
    <m/>
    <m/>
    <m/>
    <m/>
    <s v="G25.0"/>
    <s v="Essential tremor"/>
    <x v="69"/>
    <s v="M"/>
    <m/>
    <m/>
    <n v="44.805999999999997"/>
    <n v="45.161000000000001"/>
    <n v="90.542000000000002"/>
    <n v="89.709000000000003"/>
    <n v="71.596000000000004"/>
    <n v="70.765000000000001"/>
    <n v="94.846999999999994"/>
    <n v="94.442999999999998"/>
    <n v="67.864000000000004"/>
    <n v="65.254999999999995"/>
    <n v="32.136000000000003"/>
    <n v="34.744999999999997"/>
    <n v="16.945"/>
    <n v="16.007000000000001"/>
    <n v="34.744999999999997"/>
    <n v="32.136000000000003"/>
    <n v="12.401999999999999"/>
    <n v="15"/>
    <n v="17"/>
    <n v="15"/>
    <n v="15"/>
  </r>
  <r>
    <n v="524"/>
    <m/>
    <m/>
    <m/>
    <m/>
    <s v="G20"/>
    <s v="Parkinson's disease"/>
    <x v="150"/>
    <s v="M"/>
    <m/>
    <m/>
    <n v="48.381999999999998"/>
    <n v="46.271999999999998"/>
    <n v="94.911000000000001"/>
    <n v="94.825999999999993"/>
    <n v="91.912999999999997"/>
    <n v="91.471999999999994"/>
    <n v="116.875"/>
    <n v="115.9"/>
    <n v="65.233000000000004"/>
    <n v="64.513999999999996"/>
    <n v="34.767000000000003"/>
    <n v="35.485999999999997"/>
    <n v="15.199"/>
    <n v="14.648"/>
    <n v="35.485999999999997"/>
    <n v="34.767000000000003"/>
    <n v="10.807"/>
    <n v="24"/>
    <n v="24"/>
    <n v="24"/>
    <n v="24"/>
  </r>
  <r>
    <n v="525"/>
    <m/>
    <m/>
    <m/>
    <m/>
    <s v="R26.89"/>
    <s v="Other abnormalities of gait and mobility"/>
    <x v="89"/>
    <s v="M"/>
    <m/>
    <m/>
    <n v="53.506"/>
    <n v="57.554000000000002"/>
    <n v="110.633"/>
    <n v="111.322"/>
    <n v="84.313000000000002"/>
    <n v="84.382999999999996"/>
    <n v="91.031000000000006"/>
    <n v="90.977999999999994"/>
    <n v="64.543000000000006"/>
    <n v="63.811999999999998"/>
    <n v="35.457000000000001"/>
    <n v="36.188000000000002"/>
    <n v="13.496"/>
    <n v="14.827999999999999"/>
    <n v="36.188000000000002"/>
    <n v="35.457000000000001"/>
    <n v="12.28"/>
    <n v="17"/>
    <n v="17"/>
    <n v="17"/>
    <n v="17"/>
  </r>
  <r>
    <n v="526"/>
    <m/>
    <m/>
    <m/>
    <m/>
    <s v="G20"/>
    <s v="Parkinson's disease"/>
    <x v="76"/>
    <s v="F"/>
    <m/>
    <m/>
    <n v="36.100999999999999"/>
    <n v="38.765999999999998"/>
    <n v="74.936000000000007"/>
    <n v="75.623999999999995"/>
    <n v="67.625"/>
    <n v="67.355999999999995"/>
    <n v="107.944"/>
    <n v="107.22799999999999"/>
    <n v="63.204999999999998"/>
    <n v="65.341999999999999"/>
    <n v="36.795000000000002"/>
    <n v="34.658000000000001"/>
    <n v="13.686999999999999"/>
    <n v="15.074"/>
    <n v="34.658000000000001"/>
    <n v="36.795000000000002"/>
    <n v="12.287000000000001"/>
    <n v="20"/>
    <n v="19"/>
    <n v="19"/>
    <n v="19"/>
  </r>
  <r>
    <n v="527"/>
    <m/>
    <m/>
    <m/>
    <m/>
    <s v="G25.0"/>
    <s v="Essential tremor"/>
    <x v="103"/>
    <s v="F"/>
    <m/>
    <m/>
    <n v="52.311"/>
    <n v="49.993000000000002"/>
    <n v="102.399"/>
    <n v="103.047"/>
    <n v="98.774000000000001"/>
    <n v="98.733000000000004"/>
    <n v="115.749"/>
    <n v="114.879"/>
    <n v="61.692999999999998"/>
    <n v="63.790999999999997"/>
    <n v="38.307000000000002"/>
    <n v="36.209000000000003"/>
    <n v="13.186999999999999"/>
    <n v="12.757"/>
    <n v="36.209000000000003"/>
    <n v="38.307000000000002"/>
    <n v="12.382"/>
    <n v="22"/>
    <n v="22"/>
    <n v="22"/>
    <n v="22"/>
  </r>
  <r>
    <n v="528"/>
    <m/>
    <m/>
    <m/>
    <m/>
    <s v="G25.0"/>
    <s v="Essential tremor"/>
    <x v="200"/>
    <s v="F"/>
    <m/>
    <m/>
    <n v="54.582999999999998"/>
    <n v="53.884"/>
    <n v="108.364"/>
    <n v="108.77"/>
    <n v="90.965000000000003"/>
    <n v="90.863"/>
    <n v="100.834"/>
    <n v="100.258"/>
    <n v="63.787999999999997"/>
    <n v="63.981999999999999"/>
    <n v="36.213000000000001"/>
    <n v="36.018000000000001"/>
    <n v="13.815"/>
    <n v="13.901999999999999"/>
    <n v="36.018000000000001"/>
    <n v="36.213000000000001"/>
    <n v="12.185"/>
    <n v="14"/>
    <n v="15"/>
    <n v="14"/>
    <n v="14"/>
  </r>
  <r>
    <n v="529"/>
    <m/>
    <m/>
    <m/>
    <m/>
    <s v="G24.1"/>
    <s v="Genetic torsion dystonia"/>
    <x v="114"/>
    <s v="F"/>
    <m/>
    <m/>
    <n v="30.62"/>
    <n v="30.981999999999999"/>
    <n v="61.511000000000003"/>
    <n v="61.838999999999999"/>
    <n v="45.625"/>
    <n v="45.198999999999998"/>
    <n v="88.563999999999993"/>
    <n v="88.632000000000005"/>
    <n v="71.546999999999997"/>
    <n v="70.662000000000006"/>
    <n v="28.452999999999999"/>
    <n v="29.338000000000001"/>
    <n v="20.949000000000002"/>
    <n v="20.629000000000001"/>
    <n v="29.338000000000001"/>
    <n v="28.452999999999999"/>
    <n v="22.213000000000001"/>
    <n v="23"/>
    <n v="23"/>
    <n v="23"/>
    <n v="23"/>
  </r>
  <r>
    <n v="530"/>
    <m/>
    <m/>
    <m/>
    <m/>
    <s v="NA"/>
    <s v="NA"/>
    <x v="35"/>
    <s v="NA"/>
    <m/>
    <m/>
    <n v="43.223999999999997"/>
    <n v="45.212000000000003"/>
    <n v="87.846999999999994"/>
    <n v="89.143000000000001"/>
    <n v="76.492999999999995"/>
    <n v="76.781000000000006"/>
    <n v="103.816"/>
    <n v="102.816"/>
    <n v="65.334000000000003"/>
    <n v="66.715000000000003"/>
    <n v="34.665999999999997"/>
    <n v="33.284999999999997"/>
    <n v="15.731"/>
    <n v="16.446000000000002"/>
    <n v="33.284999999999997"/>
    <n v="34.665999999999997"/>
    <n v="12.417999999999999"/>
    <n v="15"/>
    <n v="16"/>
    <n v="15"/>
    <n v="15"/>
  </r>
  <r>
    <n v="531"/>
    <m/>
    <m/>
    <m/>
    <m/>
    <s v="G20"/>
    <s v="Parkinson's disease"/>
    <x v="201"/>
    <s v="F"/>
    <m/>
    <m/>
    <s v="NA"/>
    <s v="NA"/>
    <s v="NA"/>
    <s v="NA"/>
    <s v="NA"/>
    <s v="NA"/>
    <s v="NA"/>
    <s v="NA"/>
    <s v="NA"/>
    <s v="NA"/>
    <s v="NA"/>
    <s v="NA"/>
    <s v="NA"/>
    <s v="NA"/>
    <s v="NA"/>
    <s v="NA"/>
    <s v="NA"/>
    <s v="NA"/>
    <s v="NA"/>
    <s v="NA"/>
    <s v="NA"/>
  </r>
  <r>
    <n v="532"/>
    <m/>
    <m/>
    <m/>
    <m/>
    <s v="G20"/>
    <s v="Parkinson's disease"/>
    <x v="96"/>
    <s v="M"/>
    <m/>
    <m/>
    <s v="NA"/>
    <s v="NA"/>
    <s v="NA"/>
    <s v="NA"/>
    <s v="NA"/>
    <s v="NA"/>
    <s v="NA"/>
    <s v="NA"/>
    <s v="NA"/>
    <s v="NA"/>
    <s v="NA"/>
    <s v="NA"/>
    <s v="NA"/>
    <s v="NA"/>
    <s v="NA"/>
    <s v="NA"/>
    <s v="NA"/>
    <s v="NA"/>
    <s v="NA"/>
    <s v="NA"/>
    <s v="NA"/>
  </r>
  <r>
    <n v="533"/>
    <m/>
    <m/>
    <m/>
    <m/>
    <s v="NA"/>
    <s v="NA"/>
    <x v="35"/>
    <s v="NA"/>
    <m/>
    <m/>
    <s v="NA"/>
    <s v="NA"/>
    <s v="NA"/>
    <s v="NA"/>
    <s v="NA"/>
    <s v="NA"/>
    <s v="NA"/>
    <s v="NA"/>
    <s v="NA"/>
    <s v="NA"/>
    <s v="NA"/>
    <s v="NA"/>
    <s v="NA"/>
    <s v="NA"/>
    <s v="NA"/>
    <s v="NA"/>
    <s v="NA"/>
    <s v="NA"/>
    <s v="NA"/>
    <s v="NA"/>
    <s v="NA"/>
  </r>
  <r>
    <n v="534"/>
    <m/>
    <m/>
    <m/>
    <m/>
    <s v="NA"/>
    <s v="NA"/>
    <x v="35"/>
    <s v="NA"/>
    <m/>
    <m/>
    <s v="NA"/>
    <s v="NA"/>
    <s v="NA"/>
    <s v="NA"/>
    <s v="NA"/>
    <s v="NA"/>
    <s v="NA"/>
    <s v="NA"/>
    <s v="NA"/>
    <s v="NA"/>
    <s v="NA"/>
    <s v="NA"/>
    <s v="NA"/>
    <s v="NA"/>
    <s v="NA"/>
    <s v="NA"/>
    <s v="NA"/>
    <s v="NA"/>
    <s v="NA"/>
    <s v="NA"/>
    <s v="NA"/>
  </r>
  <r>
    <n v="535"/>
    <m/>
    <m/>
    <m/>
    <m/>
    <s v="G25.0"/>
    <s v="Essential tremor"/>
    <x v="54"/>
    <s v="F"/>
    <m/>
    <m/>
    <n v="41.963000000000001"/>
    <n v="40.906999999999996"/>
    <n v="82.763999999999996"/>
    <n v="83.046000000000006"/>
    <n v="67.286000000000001"/>
    <n v="67.519000000000005"/>
    <n v="97.515000000000001"/>
    <n v="97.489000000000004"/>
    <n v="66.716999999999999"/>
    <n v="68.156999999999996"/>
    <n v="33.283000000000001"/>
    <n v="31.843"/>
    <n v="16.431999999999999"/>
    <n v="18.137"/>
    <n v="31.843"/>
    <n v="33.283000000000001"/>
    <n v="5.5250000000000004"/>
    <n v="20"/>
    <n v="17"/>
    <n v="17"/>
    <n v="17"/>
  </r>
  <r>
    <n v="536"/>
    <m/>
    <m/>
    <m/>
    <m/>
    <s v="G20"/>
    <s v="Parkinson's disease"/>
    <x v="55"/>
    <s v="M"/>
    <m/>
    <m/>
    <n v="37.701000000000001"/>
    <n v="27.983000000000001"/>
    <n v="65.596999999999994"/>
    <n v="65.614000000000004"/>
    <n v="62.773000000000003"/>
    <n v="62.893000000000001"/>
    <n v="113.435"/>
    <n v="114.215"/>
    <n v="65.525000000000006"/>
    <n v="64.028000000000006"/>
    <n v="34.475000000000001"/>
    <n v="35.972000000000001"/>
    <n v="14.353"/>
    <n v="14.823"/>
    <n v="35.972000000000001"/>
    <n v="34.475000000000001"/>
    <n v="12.935"/>
    <n v="17"/>
    <n v="18"/>
    <n v="17"/>
    <n v="17"/>
  </r>
  <r>
    <n v="537"/>
    <m/>
    <m/>
    <m/>
    <m/>
    <s v="G25.0"/>
    <s v="Essential tremor"/>
    <x v="202"/>
    <s v="M"/>
    <m/>
    <m/>
    <n v="80.709000000000003"/>
    <n v="76.475999999999999"/>
    <n v="157.471"/>
    <n v="157.84299999999999"/>
    <n v="145.602"/>
    <n v="146.00399999999999"/>
    <n v="110.754"/>
    <n v="110.173"/>
    <n v="60.488"/>
    <n v="59.664999999999999"/>
    <n v="39.512"/>
    <n v="40.335000000000001"/>
    <n v="9.1319999999999997"/>
    <n v="11.444000000000001"/>
    <n v="40.335000000000001"/>
    <n v="39.512"/>
    <n v="17.684999999999999"/>
    <n v="10"/>
    <n v="12"/>
    <n v="10"/>
    <n v="10"/>
  </r>
  <r>
    <n v="538"/>
    <m/>
    <m/>
    <m/>
    <m/>
    <s v="G20"/>
    <s v="Parkinson's disease"/>
    <x v="196"/>
    <s v="F"/>
    <m/>
    <m/>
    <n v="51.231000000000002"/>
    <n v="48.332000000000001"/>
    <n v="99.906000000000006"/>
    <n v="99.513999999999996"/>
    <n v="106.46899999999999"/>
    <n v="106.99"/>
    <n v="127.946"/>
    <n v="128.38999999999999"/>
    <n v="60.881999999999998"/>
    <n v="60.622999999999998"/>
    <n v="39.118000000000002"/>
    <n v="39.377000000000002"/>
    <n v="11.244999999999999"/>
    <n v="10.255000000000001"/>
    <n v="39.377000000000002"/>
    <n v="39.118000000000002"/>
    <n v="11.833"/>
    <n v="21"/>
    <n v="21"/>
    <n v="21"/>
    <n v="21"/>
  </r>
  <r>
    <n v="539"/>
    <m/>
    <m/>
    <m/>
    <m/>
    <s v="G24.3"/>
    <s v="Spasmodic torticollis"/>
    <x v="203"/>
    <s v="M"/>
    <m/>
    <m/>
    <n v="39.942"/>
    <n v="35.28"/>
    <n v="75.606999999999999"/>
    <n v="75.253"/>
    <n v="54.715000000000003"/>
    <n v="53.920999999999999"/>
    <n v="85.540999999999997"/>
    <n v="85.105999999999995"/>
    <n v="70.774000000000001"/>
    <n v="69.569999999999993"/>
    <n v="29.225999999999999"/>
    <n v="30.43"/>
    <n v="17.917000000000002"/>
    <n v="21.073"/>
    <n v="30.43"/>
    <n v="29.225999999999999"/>
    <n v="17.285"/>
    <n v="15"/>
    <n v="18"/>
    <n v="15"/>
    <n v="15"/>
  </r>
  <r>
    <n v="540"/>
    <m/>
    <m/>
    <m/>
    <m/>
    <s v="G25.3"/>
    <s v="Myoclonus"/>
    <x v="14"/>
    <s v="M"/>
    <m/>
    <m/>
    <n v="45.929000000000002"/>
    <n v="45.401000000000003"/>
    <n v="91.489000000000004"/>
    <n v="91.367999999999995"/>
    <n v="66.965000000000003"/>
    <n v="67.016999999999996"/>
    <n v="87.638000000000005"/>
    <n v="87.900999999999996"/>
    <n v="67.903999999999996"/>
    <n v="65.950999999999993"/>
    <n v="32.095999999999997"/>
    <n v="34.048999999999999"/>
    <n v="18.152999999999999"/>
    <n v="15.976000000000001"/>
    <n v="34.048999999999999"/>
    <n v="32.095999999999997"/>
    <n v="12.31"/>
    <n v="14"/>
    <n v="15"/>
    <n v="14"/>
    <n v="14"/>
  </r>
  <r>
    <n v="541"/>
    <m/>
    <m/>
    <m/>
    <m/>
    <s v="G20"/>
    <s v="Parkinson's disease"/>
    <x v="204"/>
    <s v="F"/>
    <m/>
    <m/>
    <n v="27.387"/>
    <n v="24.574999999999999"/>
    <n v="52.32"/>
    <n v="51.515999999999998"/>
    <n v="47.220999999999997"/>
    <n v="46.356000000000002"/>
    <n v="107.941"/>
    <n v="108.107"/>
    <n v="67.56"/>
    <n v="67.129000000000005"/>
    <n v="32.44"/>
    <n v="32.871000000000002"/>
    <n v="16.308"/>
    <n v="18.702999999999999"/>
    <n v="32.871000000000002"/>
    <n v="32.44"/>
    <n v="11.782999999999999"/>
    <n v="18"/>
    <n v="18"/>
    <n v="18"/>
    <n v="18"/>
  </r>
  <r>
    <n v="542"/>
    <m/>
    <m/>
    <m/>
    <m/>
    <s v="G24.3"/>
    <s v="Spasmodic torticollis"/>
    <x v="90"/>
    <s v="M"/>
    <m/>
    <m/>
    <n v="62.445"/>
    <n v="69.766000000000005"/>
    <n v="132.98500000000001"/>
    <n v="132.54400000000001"/>
    <n v="113.214"/>
    <n v="112.43899999999999"/>
    <n v="102.694"/>
    <n v="102.48099999999999"/>
    <n v="63.366"/>
    <n v="61.832000000000001"/>
    <n v="36.634"/>
    <n v="38.167999999999999"/>
    <n v="11.803000000000001"/>
    <n v="13.398999999999999"/>
    <n v="38.167999999999999"/>
    <n v="36.634"/>
    <n v="13.276"/>
    <n v="16"/>
    <n v="20"/>
    <n v="16"/>
    <n v="16"/>
  </r>
  <r>
    <n v="543"/>
    <m/>
    <m/>
    <m/>
    <m/>
    <s v="NA"/>
    <s v="NA"/>
    <x v="35"/>
    <s v="NA"/>
    <m/>
    <m/>
    <s v="NA"/>
    <s v="NA"/>
    <s v="NA"/>
    <s v="NA"/>
    <s v="NA"/>
    <s v="NA"/>
    <s v="NA"/>
    <s v="NA"/>
    <s v="NA"/>
    <s v="NA"/>
    <s v="NA"/>
    <s v="NA"/>
    <s v="NA"/>
    <s v="NA"/>
    <s v="NA"/>
    <s v="NA"/>
    <s v="NA"/>
    <s v="NA"/>
    <s v="NA"/>
    <s v="NA"/>
    <s v="NA"/>
  </r>
  <r>
    <n v="544"/>
    <m/>
    <m/>
    <m/>
    <m/>
    <s v="G20"/>
    <s v="Parkinson's disease"/>
    <x v="205"/>
    <s v="F"/>
    <m/>
    <m/>
    <n v="42.204000000000001"/>
    <n v="44.369"/>
    <n v="86.421000000000006"/>
    <n v="86.742000000000004"/>
    <n v="84.477999999999994"/>
    <n v="84.385000000000005"/>
    <n v="116.91500000000001"/>
    <n v="116.754"/>
    <n v="60.781999999999996"/>
    <n v="65.210999999999999"/>
    <n v="39.218000000000004"/>
    <n v="34.789000000000001"/>
    <n v="14.656000000000001"/>
    <n v="11.622999999999999"/>
    <n v="34.789000000000001"/>
    <n v="39.218000000000004"/>
    <n v="14.836"/>
    <n v="17"/>
    <n v="17"/>
    <n v="17"/>
    <n v="17"/>
  </r>
  <r>
    <n v="545"/>
    <m/>
    <m/>
    <m/>
    <m/>
    <s v="G20"/>
    <s v="Parkinson's disease"/>
    <x v="206"/>
    <s v="F"/>
    <m/>
    <m/>
    <n v="11.407"/>
    <n v="-1.5589999999999999"/>
    <n v="9.6880000000000006"/>
    <n v="9.9139999999999997"/>
    <n v="6.9880000000000004"/>
    <n v="6.9189999999999996"/>
    <n v="85.614000000000004"/>
    <n v="82.406999999999996"/>
    <n v="85.001000000000005"/>
    <n v="83.400999999999996"/>
    <n v="14.999000000000001"/>
    <n v="16.599"/>
    <n v="25.606000000000002"/>
    <n v="43.58"/>
    <n v="16.599"/>
    <n v="14.999000000000001"/>
    <n v="12.2"/>
    <n v="25"/>
    <n v="26"/>
    <n v="25"/>
    <n v="25"/>
  </r>
  <r>
    <n v="546"/>
    <m/>
    <m/>
    <m/>
    <m/>
    <s v="G25.2"/>
    <s v="Other specified forms of tremor"/>
    <x v="117"/>
    <s v="M"/>
    <m/>
    <m/>
    <n v="27.672000000000001"/>
    <n v="0"/>
    <n v="58.029000000000003"/>
    <n v="0"/>
    <n v="48.338999999999999"/>
    <n v="0"/>
    <n v="100.517"/>
    <n v="0"/>
    <n v="72.688000000000002"/>
    <n v="0"/>
    <n v="27.312000000000001"/>
    <n v="0"/>
    <n v="15.343999999999999"/>
    <n v="0"/>
    <n v="39.08"/>
    <n v="0"/>
    <n v="19.997"/>
    <n v="22"/>
    <n v="23"/>
    <n v="21"/>
    <n v="20"/>
  </r>
  <r>
    <n v="547"/>
    <m/>
    <m/>
    <m/>
    <m/>
    <s v="G25.0"/>
    <s v="Essential tremor"/>
    <x v="5"/>
    <s v="M"/>
    <m/>
    <m/>
    <n v="64.608999999999995"/>
    <n v="62.796999999999997"/>
    <n v="127.622"/>
    <n v="126.639"/>
    <n v="110.131"/>
    <n v="109.468"/>
    <n v="104.036"/>
    <n v="104.11499999999999"/>
    <n v="62.460999999999999"/>
    <n v="62.171999999999997"/>
    <n v="37.539000000000001"/>
    <n v="37.828000000000003"/>
    <n v="12.794"/>
    <n v="12.968999999999999"/>
    <n v="37.828000000000003"/>
    <n v="37.539000000000001"/>
    <n v="13.971"/>
    <n v="14"/>
    <n v="14"/>
    <n v="14"/>
    <n v="14"/>
  </r>
  <r>
    <n v="548"/>
    <m/>
    <m/>
    <m/>
    <m/>
    <s v="G25.0"/>
    <s v="Essential tremor"/>
    <x v="130"/>
    <s v="F"/>
    <m/>
    <m/>
    <n v="57.973999999999997"/>
    <n v="56.790999999999997"/>
    <n v="114.95399999999999"/>
    <n v="115.73699999999999"/>
    <n v="113.279"/>
    <n v="114.00700000000001"/>
    <n v="117.976"/>
    <n v="117.804"/>
    <n v="61.656999999999996"/>
    <n v="62.067999999999998"/>
    <n v="38.343000000000004"/>
    <n v="37.932000000000002"/>
    <n v="12.228999999999999"/>
    <n v="11.994999999999999"/>
    <n v="37.932000000000002"/>
    <n v="38.343000000000004"/>
    <n v="9.4529999999999994"/>
    <n v="17"/>
    <n v="13"/>
    <n v="13"/>
    <n v="13"/>
  </r>
  <r>
    <n v="549"/>
    <m/>
    <m/>
    <m/>
    <m/>
    <s v="NA"/>
    <s v="NA"/>
    <x v="35"/>
    <s v="NA"/>
    <m/>
    <m/>
    <n v="34.036000000000001"/>
    <n v="30.484999999999999"/>
    <n v="64.804000000000002"/>
    <n v="64.650000000000006"/>
    <n v="60.698"/>
    <n v="60.566000000000003"/>
    <n v="112.405"/>
    <n v="112.547"/>
    <n v="64.353999999999999"/>
    <n v="64.938999999999993"/>
    <n v="35.646000000000001"/>
    <n v="35.061"/>
    <n v="13.981999999999999"/>
    <n v="15.305"/>
    <n v="35.061"/>
    <n v="35.646000000000001"/>
    <n v="12.122"/>
    <n v="18"/>
    <n v="19"/>
    <n v="18"/>
    <n v="18"/>
  </r>
  <r>
    <n v="550"/>
    <m/>
    <m/>
    <m/>
    <m/>
    <s v="NA"/>
    <s v="NA"/>
    <x v="35"/>
    <s v="NA"/>
    <m/>
    <m/>
    <n v="43.420999999999999"/>
    <n v="42.918999999999997"/>
    <n v="86.781000000000006"/>
    <n v="86.873000000000005"/>
    <n v="72.903000000000006"/>
    <n v="73.096999999999994"/>
    <n v="100.28700000000001"/>
    <n v="100.45399999999999"/>
    <n v="64.448999999999998"/>
    <n v="64.477000000000004"/>
    <n v="35.551000000000002"/>
    <n v="35.523000000000003"/>
    <n v="14.564"/>
    <n v="14.481"/>
    <n v="35.523000000000003"/>
    <n v="35.551000000000002"/>
    <n v="13.72"/>
    <n v="14"/>
    <n v="13"/>
    <n v="13"/>
    <n v="13"/>
  </r>
  <r>
    <n v="551"/>
    <m/>
    <m/>
    <m/>
    <m/>
    <s v="NA"/>
    <s v="NA"/>
    <x v="35"/>
    <s v="NA"/>
    <m/>
    <m/>
    <s v="NA"/>
    <s v="NA"/>
    <s v="NA"/>
    <s v="NA"/>
    <s v="NA"/>
    <s v="NA"/>
    <s v="NA"/>
    <s v="NA"/>
    <s v="NA"/>
    <s v="NA"/>
    <s v="NA"/>
    <s v="NA"/>
    <s v="NA"/>
    <s v="NA"/>
    <s v="NA"/>
    <s v="NA"/>
    <s v="NA"/>
    <s v="NA"/>
    <s v="NA"/>
    <s v="NA"/>
    <s v="NA"/>
  </r>
  <r>
    <n v="552"/>
    <m/>
    <m/>
    <m/>
    <m/>
    <s v="G20"/>
    <s v="Parkinson's disease"/>
    <x v="207"/>
    <s v="F"/>
    <m/>
    <m/>
    <n v="49.695999999999998"/>
    <n v="48.704999999999998"/>
    <n v="99.105999999999995"/>
    <n v="98.400999999999996"/>
    <n v="102.491"/>
    <n v="101.453"/>
    <n v="123.498"/>
    <n v="124.021"/>
    <n v="64.447999999999993"/>
    <n v="62.438000000000002"/>
    <n v="35.552"/>
    <n v="37.561999999999998"/>
    <n v="13.023"/>
    <n v="13.471"/>
    <n v="37.561999999999998"/>
    <n v="35.552"/>
    <n v="9.0920000000000005"/>
    <n v="12"/>
    <n v="18"/>
    <n v="12"/>
    <n v="12"/>
  </r>
  <r>
    <n v="553"/>
    <m/>
    <m/>
    <m/>
    <m/>
    <s v="G25.3"/>
    <s v="Myoclonus"/>
    <x v="208"/>
    <s v="F"/>
    <m/>
    <m/>
    <n v="58.320999999999998"/>
    <n v="60.570999999999998"/>
    <n v="118.85599999999999"/>
    <n v="118.72199999999999"/>
    <n v="102.846"/>
    <n v="102.741"/>
    <n v="103.10899999999999"/>
    <n v="103.09"/>
    <n v="62.606999999999999"/>
    <n v="62.792999999999999"/>
    <n v="37.393000000000001"/>
    <n v="37.207000000000001"/>
    <n v="12.332000000000001"/>
    <n v="13.007999999999999"/>
    <n v="37.207000000000001"/>
    <n v="37.393000000000001"/>
    <n v="8.3930000000000007"/>
    <n v="17"/>
    <n v="16"/>
    <n v="16"/>
    <n v="16"/>
  </r>
  <r>
    <n v="554"/>
    <m/>
    <m/>
    <m/>
    <m/>
    <s v="G20"/>
    <s v="Parkinson's disease"/>
    <x v="209"/>
    <s v="M"/>
    <m/>
    <m/>
    <n v="65.44"/>
    <n v="66.938000000000002"/>
    <n v="131.57900000000001"/>
    <n v="132.17599999999999"/>
    <n v="123.244"/>
    <n v="122.914"/>
    <n v="112.333"/>
    <n v="111.61499999999999"/>
    <n v="61.642000000000003"/>
    <n v="63.195"/>
    <n v="38.357999999999997"/>
    <n v="36.805"/>
    <n v="12.837"/>
    <n v="12.236000000000001"/>
    <n v="36.805"/>
    <n v="38.357999999999997"/>
    <n v="10.704000000000001"/>
    <n v="15"/>
    <n v="15"/>
    <n v="15"/>
    <n v="15"/>
  </r>
  <r>
    <n v="555"/>
    <m/>
    <m/>
    <m/>
    <m/>
    <s v="G20"/>
    <s v="Parkinson's disease"/>
    <x v="119"/>
    <s v="M"/>
    <m/>
    <m/>
    <n v="65.379000000000005"/>
    <n v="66.052000000000007"/>
    <n v="132.35"/>
    <n v="130.98599999999999"/>
    <n v="109.08"/>
    <n v="108.021"/>
    <n v="98.77"/>
    <n v="98.492000000000004"/>
    <n v="60.091000000000001"/>
    <n v="60.74"/>
    <n v="39.908999999999999"/>
    <n v="39.26"/>
    <n v="11.113"/>
    <n v="10.352"/>
    <n v="39.26"/>
    <n v="39.908999999999999"/>
    <n v="7.98"/>
    <n v="14"/>
    <n v="14"/>
    <n v="14"/>
    <n v="14"/>
  </r>
  <r>
    <n v="556"/>
    <m/>
    <m/>
    <m/>
    <m/>
    <s v="NA"/>
    <s v="NA"/>
    <x v="35"/>
    <s v="NA"/>
    <m/>
    <m/>
    <n v="64.2"/>
    <n v="63.408999999999999"/>
    <n v="127.357"/>
    <n v="128.215"/>
    <n v="117.17"/>
    <n v="117.649"/>
    <n v="109.788"/>
    <n v="109.979"/>
    <n v="61.726999999999997"/>
    <n v="62.427999999999997"/>
    <n v="38.273000000000003"/>
    <n v="37.572000000000003"/>
    <n v="12.728"/>
    <n v="11.821999999999999"/>
    <n v="37.572000000000003"/>
    <n v="38.273000000000003"/>
    <n v="14.581"/>
    <n v="14"/>
    <n v="14"/>
    <n v="14"/>
    <n v="14"/>
  </r>
  <r>
    <n v="557"/>
    <m/>
    <m/>
    <m/>
    <m/>
    <s v="G20"/>
    <s v="Parkinson's disease"/>
    <x v="25"/>
    <s v="M"/>
    <m/>
    <m/>
    <n v="47.505000000000003"/>
    <n v="57.804000000000002"/>
    <n v="105.55200000000001"/>
    <n v="104.501"/>
    <n v="82.596999999999994"/>
    <n v="81.088999999999999"/>
    <n v="93.906000000000006"/>
    <n v="92.915999999999997"/>
    <n v="64.436999999999998"/>
    <n v="67.748000000000005"/>
    <n v="35.563000000000002"/>
    <n v="32.252000000000002"/>
    <n v="13.781000000000001"/>
    <n v="18.076000000000001"/>
    <n v="32.252000000000002"/>
    <n v="35.563000000000002"/>
    <n v="19.684000000000001"/>
    <n v="12"/>
    <n v="13"/>
    <n v="12"/>
    <n v="12"/>
  </r>
  <r>
    <n v="558"/>
    <m/>
    <m/>
    <m/>
    <m/>
    <s v="G25.3"/>
    <s v="Myoclonus"/>
    <x v="148"/>
    <s v="F"/>
    <m/>
    <m/>
    <n v="30.126999999999999"/>
    <n v="24.408000000000001"/>
    <n v="54.832999999999998"/>
    <n v="54.609000000000002"/>
    <n v="35.090000000000003"/>
    <n v="34.649000000000001"/>
    <n v="76.355999999999995"/>
    <n v="75.861000000000004"/>
    <n v="72.448999999999998"/>
    <n v="75.790000000000006"/>
    <n v="27.550999999999998"/>
    <n v="24.21"/>
    <n v="25.207000000000001"/>
    <n v="23.225000000000001"/>
    <n v="24.21"/>
    <n v="27.550999999999998"/>
    <n v="16.228000000000002"/>
    <n v="17"/>
    <n v="18"/>
    <n v="17"/>
    <n v="17"/>
  </r>
  <r>
    <n v="559"/>
    <m/>
    <m/>
    <m/>
    <m/>
    <s v="G25.0"/>
    <s v="Essential tremor"/>
    <x v="176"/>
    <s v="F"/>
    <m/>
    <m/>
    <n v="35.122999999999998"/>
    <n v="31.984000000000002"/>
    <n v="67.783000000000001"/>
    <n v="66.766000000000005"/>
    <n v="65.210999999999999"/>
    <n v="64.853999999999999"/>
    <n v="116.327"/>
    <n v="116.10599999999999"/>
    <n v="64.751999999999995"/>
    <n v="70.168999999999997"/>
    <n v="35.247999999999998"/>
    <n v="29.831"/>
    <n v="17.651"/>
    <n v="17.114999999999998"/>
    <n v="29.831"/>
    <n v="35.247999999999998"/>
    <n v="22.25"/>
    <n v="19"/>
    <n v="19"/>
    <n v="19"/>
    <n v="19"/>
  </r>
  <r>
    <n v="560"/>
    <m/>
    <m/>
    <m/>
    <m/>
    <s v="G20"/>
    <s v="Parkinson's disease"/>
    <x v="7"/>
    <s v="M"/>
    <m/>
    <m/>
    <s v="NA"/>
    <s v="NA"/>
    <s v="NA"/>
    <s v="NA"/>
    <s v="NA"/>
    <s v="NA"/>
    <s v="NA"/>
    <s v="NA"/>
    <s v="NA"/>
    <s v="NA"/>
    <s v="NA"/>
    <s v="NA"/>
    <s v="NA"/>
    <s v="NA"/>
    <s v="NA"/>
    <s v="NA"/>
    <s v="NA"/>
    <s v="NA"/>
    <s v="NA"/>
    <s v="NA"/>
    <s v="NA"/>
  </r>
  <r>
    <n v="561"/>
    <m/>
    <m/>
    <m/>
    <m/>
    <s v="NA"/>
    <s v="NA"/>
    <x v="35"/>
    <s v="NA"/>
    <m/>
    <m/>
    <s v="NA"/>
    <s v="NA"/>
    <s v="NA"/>
    <s v="NA"/>
    <s v="NA"/>
    <s v="NA"/>
    <s v="NA"/>
    <s v="NA"/>
    <s v="NA"/>
    <s v="NA"/>
    <s v="NA"/>
    <s v="NA"/>
    <s v="NA"/>
    <s v="NA"/>
    <s v="NA"/>
    <s v="NA"/>
    <s v="NA"/>
    <s v="NA"/>
    <s v="NA"/>
    <s v="NA"/>
    <s v="NA"/>
  </r>
  <r>
    <n v="562"/>
    <m/>
    <m/>
    <m/>
    <m/>
    <s v="G20"/>
    <s v="Parkinson's disease"/>
    <x v="105"/>
    <s v="F"/>
    <m/>
    <m/>
    <n v="52.335000000000001"/>
    <n v="56.427"/>
    <n v="108.44799999999999"/>
    <n v="109.60299999999999"/>
    <n v="106.88200000000001"/>
    <n v="108.029"/>
    <n v="118.47"/>
    <n v="117.11199999999999"/>
    <n v="63.936"/>
    <n v="63.850999999999999"/>
    <n v="36.064"/>
    <n v="36.149000000000001"/>
    <n v="15.138999999999999"/>
    <n v="13.428000000000001"/>
    <n v="36.149000000000001"/>
    <n v="36.064"/>
    <n v="12.313000000000001"/>
    <n v="21"/>
    <n v="20"/>
    <n v="20"/>
    <n v="20"/>
  </r>
  <r>
    <n v="563"/>
    <m/>
    <m/>
    <m/>
    <m/>
    <s v="G20"/>
    <s v="Parkinson's disease"/>
    <x v="210"/>
    <s v="M"/>
    <m/>
    <m/>
    <n v="53.795000000000002"/>
    <n v="54.624000000000002"/>
    <n v="110.748"/>
    <n v="106.008"/>
    <n v="79.885999999999996"/>
    <n v="80.215000000000003"/>
    <n v="88.572999999999993"/>
    <n v="89.271000000000001"/>
    <n v="63.552999999999997"/>
    <n v="64.760000000000005"/>
    <n v="36.447000000000003"/>
    <n v="35.24"/>
    <n v="12.695"/>
    <n v="15.401999999999999"/>
    <n v="35.24"/>
    <n v="36.447000000000003"/>
    <n v="10.89"/>
    <n v="15"/>
    <n v="13"/>
    <n v="13"/>
    <n v="13"/>
  </r>
  <r>
    <n v="564"/>
    <m/>
    <m/>
    <m/>
    <m/>
    <s v="G25.0"/>
    <s v="Essential tremor"/>
    <x v="153"/>
    <s v="F"/>
    <m/>
    <m/>
    <s v="NA"/>
    <s v="NA"/>
    <s v="NA"/>
    <s v="NA"/>
    <s v="NA"/>
    <s v="NA"/>
    <s v="NA"/>
    <s v="NA"/>
    <s v="NA"/>
    <s v="NA"/>
    <s v="NA"/>
    <s v="NA"/>
    <s v="NA"/>
    <s v="NA"/>
    <s v="NA"/>
    <s v="NA"/>
    <s v="NA"/>
    <s v="NA"/>
    <s v="NA"/>
    <s v="NA"/>
    <s v="NA"/>
  </r>
  <r>
    <n v="565"/>
    <m/>
    <m/>
    <m/>
    <m/>
    <s v="G25.0"/>
    <s v="Essential tremor"/>
    <x v="68"/>
    <s v="F"/>
    <m/>
    <m/>
    <n v="49.49"/>
    <n v="52.847999999999999"/>
    <n v="102.28400000000001"/>
    <n v="102.806"/>
    <n v="97.742000000000004"/>
    <n v="97.754999999999995"/>
    <n v="114.658"/>
    <n v="114.26"/>
    <n v="63.042000000000002"/>
    <n v="64.171999999999997"/>
    <n v="36.957999999999998"/>
    <n v="35.828000000000003"/>
    <n v="13.679"/>
    <n v="13.432"/>
    <n v="35.828000000000003"/>
    <n v="36.957999999999998"/>
    <n v="9.66"/>
    <n v="20"/>
    <n v="22"/>
    <n v="20"/>
    <n v="20"/>
  </r>
  <r>
    <n v="566"/>
    <m/>
    <m/>
    <m/>
    <m/>
    <s v="NA"/>
    <s v="NA"/>
    <x v="35"/>
    <s v="NA"/>
    <m/>
    <m/>
    <n v="60.935000000000002"/>
    <n v="65.191000000000003"/>
    <n v="126.166"/>
    <n v="126.67"/>
    <n v="110.767"/>
    <n v="111.218"/>
    <n v="105.60299999999999"/>
    <n v="105.18600000000001"/>
    <n v="63.384999999999998"/>
    <n v="64.724000000000004"/>
    <n v="36.615000000000002"/>
    <n v="35.276000000000003"/>
    <n v="14.164"/>
    <n v="13.878"/>
    <n v="35.276000000000003"/>
    <n v="36.615000000000002"/>
    <n v="10.48"/>
    <n v="16"/>
    <n v="13"/>
    <n v="13"/>
    <n v="13"/>
  </r>
  <r>
    <n v="567"/>
    <m/>
    <m/>
    <m/>
    <m/>
    <s v="G24.3"/>
    <s v="Spasmodic torticollis"/>
    <x v="112"/>
    <s v="F"/>
    <m/>
    <m/>
    <n v="62.646000000000001"/>
    <n v="62.43"/>
    <n v="125.50700000000001"/>
    <n v="125.20699999999999"/>
    <n v="121.03100000000001"/>
    <n v="120.697"/>
    <n v="115.77200000000001"/>
    <n v="115.181"/>
    <n v="62.662999999999997"/>
    <n v="63.64"/>
    <n v="37.337000000000003"/>
    <n v="36.36"/>
    <n v="13.65"/>
    <n v="12.826000000000001"/>
    <n v="36.36"/>
    <n v="37.337000000000003"/>
    <n v="10.019"/>
    <n v="17"/>
    <n v="21"/>
    <n v="17"/>
    <n v="17"/>
  </r>
  <r>
    <n v="568"/>
    <m/>
    <m/>
    <m/>
    <m/>
    <s v="NA"/>
    <s v="NA"/>
    <x v="35"/>
    <s v="NA"/>
    <m/>
    <m/>
    <s v="NA"/>
    <s v="NA"/>
    <s v="NA"/>
    <s v="NA"/>
    <s v="NA"/>
    <s v="NA"/>
    <s v="NA"/>
    <s v="NA"/>
    <s v="NA"/>
    <s v="NA"/>
    <s v="NA"/>
    <s v="NA"/>
    <s v="NA"/>
    <s v="NA"/>
    <s v="NA"/>
    <s v="NA"/>
    <s v="NA"/>
    <s v="NA"/>
    <s v="NA"/>
    <s v="NA"/>
    <s v="NA"/>
  </r>
  <r>
    <n v="569"/>
    <m/>
    <m/>
    <m/>
    <m/>
    <s v="G20"/>
    <s v="Parkinson's disease"/>
    <x v="211"/>
    <s v="F"/>
    <m/>
    <m/>
    <n v="45.156999999999996"/>
    <n v="49.948999999999998"/>
    <n v="97.091999999999999"/>
    <n v="94.84"/>
    <n v="58.713000000000001"/>
    <n v="57.731000000000002"/>
    <n v="73.951999999999998"/>
    <n v="74.195999999999998"/>
    <n v="68.108000000000004"/>
    <n v="66.102999999999994"/>
    <n v="31.891999999999999"/>
    <n v="33.896999999999998"/>
    <n v="17.029"/>
    <n v="17.565000000000001"/>
    <n v="33.896999999999998"/>
    <n v="31.891999999999999"/>
    <n v="6.3440000000000003"/>
    <n v="15"/>
    <n v="16"/>
    <n v="15"/>
    <n v="15"/>
  </r>
  <r>
    <n v="570"/>
    <m/>
    <m/>
    <m/>
    <m/>
    <s v="G20"/>
    <s v="Parkinson's disease"/>
    <x v="212"/>
    <s v="M"/>
    <m/>
    <m/>
    <n v="43.085000000000001"/>
    <n v="48.273000000000003"/>
    <n v="91.423000000000002"/>
    <n v="91.245999999999995"/>
    <n v="108.416"/>
    <n v="108.18"/>
    <n v="142.125"/>
    <n v="141.99600000000001"/>
    <n v="60.624000000000002"/>
    <n v="61.319000000000003"/>
    <n v="39.375999999999998"/>
    <n v="38.680999999999997"/>
    <n v="9.68"/>
    <n v="12.422000000000001"/>
    <n v="38.680999999999997"/>
    <n v="39.375999999999998"/>
    <n v="13.425000000000001"/>
    <n v="23"/>
    <n v="23"/>
    <n v="23"/>
    <n v="23"/>
  </r>
  <r>
    <n v="571"/>
    <m/>
    <m/>
    <m/>
    <m/>
    <s v="G20"/>
    <s v="Parkinson's disease"/>
    <x v="213"/>
    <s v="F"/>
    <m/>
    <m/>
    <n v="56.881"/>
    <n v="61.837000000000003"/>
    <n v="118.768"/>
    <n v="118.78400000000001"/>
    <n v="94.78"/>
    <n v="94.905000000000001"/>
    <n v="95.706000000000003"/>
    <n v="96.323999999999998"/>
    <n v="63.088999999999999"/>
    <n v="61.536000000000001"/>
    <n v="36.911000000000001"/>
    <n v="38.463999999999999"/>
    <n v="12.117000000000001"/>
    <n v="13.215"/>
    <n v="38.463999999999999"/>
    <n v="36.911000000000001"/>
    <n v="8.91"/>
    <n v="8"/>
    <n v="9"/>
    <n v="8"/>
    <n v="8"/>
  </r>
  <r>
    <n v="572"/>
    <m/>
    <m/>
    <m/>
    <m/>
    <s v="G20"/>
    <s v="Parkinson's disease"/>
    <x v="58"/>
    <s v="M"/>
    <m/>
    <m/>
    <n v="60.052"/>
    <n v="63.643000000000001"/>
    <n v="123.55"/>
    <n v="124.98399999999999"/>
    <n v="117.123"/>
    <n v="117.736"/>
    <n v="113.76600000000001"/>
    <n v="113.117"/>
    <n v="63.176000000000002"/>
    <n v="62.125"/>
    <n v="36.823999999999998"/>
    <n v="37.875"/>
    <n v="13.192"/>
    <n v="12"/>
    <n v="37.875"/>
    <n v="36.823999999999998"/>
    <n v="8.4009999999999998"/>
    <n v="21"/>
    <n v="17"/>
    <n v="17"/>
    <n v="17"/>
  </r>
  <r>
    <n v="573"/>
    <m/>
    <m/>
    <m/>
    <m/>
    <s v="G20"/>
    <s v="Parkinson's disease"/>
    <x v="214"/>
    <s v="M"/>
    <m/>
    <m/>
    <s v="NA"/>
    <s v="NA"/>
    <s v="NA"/>
    <s v="NA"/>
    <s v="NA"/>
    <s v="NA"/>
    <s v="NA"/>
    <s v="NA"/>
    <s v="NA"/>
    <s v="NA"/>
    <s v="NA"/>
    <s v="NA"/>
    <s v="NA"/>
    <s v="NA"/>
    <s v="NA"/>
    <s v="NA"/>
    <s v="NA"/>
    <s v="NA"/>
    <s v="NA"/>
    <s v="NA"/>
    <s v="NA"/>
  </r>
  <r>
    <n v="574"/>
    <m/>
    <m/>
    <m/>
    <m/>
    <s v="R26.89"/>
    <s v="Other abnormalities of gait and mobility"/>
    <x v="215"/>
    <s v="F"/>
    <m/>
    <m/>
    <s v="NA"/>
    <s v="NA"/>
    <s v="NA"/>
    <s v="NA"/>
    <s v="NA"/>
    <s v="NA"/>
    <s v="NA"/>
    <s v="NA"/>
    <s v="NA"/>
    <s v="NA"/>
    <s v="NA"/>
    <s v="NA"/>
    <s v="NA"/>
    <s v="NA"/>
    <s v="NA"/>
    <s v="NA"/>
    <s v="NA"/>
    <s v="NA"/>
    <s v="NA"/>
    <s v="NA"/>
    <s v="NA"/>
  </r>
  <r>
    <n v="575"/>
    <m/>
    <m/>
    <m/>
    <m/>
    <s v="G20"/>
    <s v="Parkinson's disease"/>
    <x v="216"/>
    <s v="F"/>
    <m/>
    <m/>
    <s v="NA"/>
    <s v="NA"/>
    <s v="NA"/>
    <s v="NA"/>
    <s v="NA"/>
    <s v="NA"/>
    <s v="NA"/>
    <s v="NA"/>
    <s v="NA"/>
    <s v="NA"/>
    <s v="NA"/>
    <s v="NA"/>
    <s v="NA"/>
    <s v="NA"/>
    <s v="NA"/>
    <s v="NA"/>
    <s v="NA"/>
    <s v="NA"/>
    <s v="NA"/>
    <s v="NA"/>
    <s v="NA"/>
  </r>
  <r>
    <n v="578"/>
    <m/>
    <m/>
    <m/>
    <m/>
    <s v="G20"/>
    <s v="Parkinson's disease"/>
    <x v="217"/>
    <s v="M"/>
    <m/>
    <m/>
    <s v="NA"/>
    <s v="NA"/>
    <s v="NA"/>
    <s v="NA"/>
    <s v="NA"/>
    <s v="NA"/>
    <s v="NA"/>
    <s v="NA"/>
    <s v="NA"/>
    <s v="NA"/>
    <s v="NA"/>
    <s v="NA"/>
    <s v="NA"/>
    <s v="NA"/>
    <s v="NA"/>
    <s v="NA"/>
    <s v="NA"/>
    <s v="NA"/>
    <s v="NA"/>
    <s v="NA"/>
    <s v="NA"/>
  </r>
  <r>
    <n v="579"/>
    <m/>
    <m/>
    <m/>
    <m/>
    <s v="G20"/>
    <s v="Parkinson's disease"/>
    <x v="218"/>
    <s v="F"/>
    <m/>
    <m/>
    <s v="NA"/>
    <s v="NA"/>
    <s v="NA"/>
    <s v="NA"/>
    <s v="NA"/>
    <s v="NA"/>
    <s v="NA"/>
    <s v="NA"/>
    <s v="NA"/>
    <s v="NA"/>
    <s v="NA"/>
    <s v="NA"/>
    <s v="NA"/>
    <s v="NA"/>
    <s v="NA"/>
    <s v="NA"/>
    <s v="NA"/>
    <s v="NA"/>
    <s v="NA"/>
    <s v="NA"/>
    <s v="NA"/>
  </r>
  <r>
    <n v="580"/>
    <m/>
    <m/>
    <m/>
    <m/>
    <s v="NA"/>
    <s v="NA"/>
    <x v="35"/>
    <s v="NA"/>
    <m/>
    <m/>
    <s v="NA"/>
    <s v="NA"/>
    <s v="NA"/>
    <s v="NA"/>
    <s v="NA"/>
    <s v="NA"/>
    <s v="NA"/>
    <s v="NA"/>
    <s v="NA"/>
    <s v="NA"/>
    <s v="NA"/>
    <s v="NA"/>
    <s v="NA"/>
    <s v="NA"/>
    <s v="NA"/>
    <s v="NA"/>
    <s v="NA"/>
    <s v="NA"/>
    <s v="NA"/>
    <s v="NA"/>
    <s v="NA"/>
  </r>
  <r>
    <n v="581"/>
    <m/>
    <m/>
    <m/>
    <m/>
    <s v="G25.0"/>
    <s v="Essential tremor"/>
    <x v="219"/>
    <s v="F"/>
    <m/>
    <m/>
    <s v="NA"/>
    <s v="NA"/>
    <s v="NA"/>
    <s v="NA"/>
    <s v="NA"/>
    <s v="NA"/>
    <s v="NA"/>
    <s v="NA"/>
    <s v="NA"/>
    <s v="NA"/>
    <s v="NA"/>
    <s v="NA"/>
    <s v="NA"/>
    <s v="NA"/>
    <s v="NA"/>
    <s v="NA"/>
    <s v="NA"/>
    <s v="NA"/>
    <s v="NA"/>
    <s v="NA"/>
    <s v="NA"/>
  </r>
  <r>
    <n v="582"/>
    <m/>
    <m/>
    <m/>
    <m/>
    <s v="R25.1"/>
    <s v="Tremor, unspecified"/>
    <x v="220"/>
    <s v="F"/>
    <m/>
    <m/>
    <s v="NA"/>
    <s v="NA"/>
    <s v="NA"/>
    <s v="NA"/>
    <s v="NA"/>
    <s v="NA"/>
    <s v="NA"/>
    <s v="NA"/>
    <s v="NA"/>
    <s v="NA"/>
    <s v="NA"/>
    <s v="NA"/>
    <s v="NA"/>
    <s v="NA"/>
    <s v="NA"/>
    <s v="NA"/>
    <s v="NA"/>
    <s v="NA"/>
    <s v="NA"/>
    <s v="NA"/>
    <s v="NA"/>
  </r>
  <r>
    <n v="583"/>
    <m/>
    <m/>
    <m/>
    <m/>
    <s v="R26.0"/>
    <s v="Ataxic gait"/>
    <x v="102"/>
    <s v="F"/>
    <m/>
    <m/>
    <s v="NA"/>
    <s v="NA"/>
    <s v="NA"/>
    <s v="NA"/>
    <s v="NA"/>
    <s v="NA"/>
    <s v="NA"/>
    <s v="NA"/>
    <s v="NA"/>
    <s v="NA"/>
    <s v="NA"/>
    <s v="NA"/>
    <s v="NA"/>
    <s v="NA"/>
    <s v="NA"/>
    <s v="NA"/>
    <s v="NA"/>
    <s v="NA"/>
    <s v="NA"/>
    <s v="NA"/>
    <s v="NA"/>
  </r>
  <r>
    <n v="584"/>
    <m/>
    <m/>
    <m/>
    <m/>
    <s v="G20"/>
    <s v="Parkinson's disease"/>
    <x v="221"/>
    <s v="M"/>
    <m/>
    <m/>
    <s v="NA"/>
    <s v="NA"/>
    <s v="NA"/>
    <s v="NA"/>
    <s v="NA"/>
    <s v="NA"/>
    <s v="NA"/>
    <s v="NA"/>
    <s v="NA"/>
    <s v="NA"/>
    <s v="NA"/>
    <s v="NA"/>
    <s v="NA"/>
    <s v="NA"/>
    <s v="NA"/>
    <s v="NA"/>
    <s v="NA"/>
    <s v="NA"/>
    <s v="NA"/>
    <s v="NA"/>
    <s v="NA"/>
  </r>
  <r>
    <n v="585"/>
    <m/>
    <m/>
    <m/>
    <m/>
    <s v="G24.1"/>
    <s v="Genetic torsion dystonia"/>
    <x v="44"/>
    <s v="M"/>
    <m/>
    <m/>
    <s v="NA"/>
    <s v="NA"/>
    <s v="NA"/>
    <s v="NA"/>
    <s v="NA"/>
    <s v="NA"/>
    <s v="NA"/>
    <s v="NA"/>
    <s v="NA"/>
    <s v="NA"/>
    <s v="NA"/>
    <s v="NA"/>
    <s v="NA"/>
    <s v="NA"/>
    <s v="NA"/>
    <s v="NA"/>
    <s v="NA"/>
    <s v="NA"/>
    <s v="NA"/>
    <s v="NA"/>
    <s v="NA"/>
  </r>
  <r>
    <n v="586"/>
    <m/>
    <m/>
    <m/>
    <m/>
    <s v="G20"/>
    <s v="Parkinson's disease"/>
    <x v="222"/>
    <s v="F"/>
    <m/>
    <m/>
    <s v="NA"/>
    <s v="NA"/>
    <s v="NA"/>
    <s v="NA"/>
    <s v="NA"/>
    <s v="NA"/>
    <s v="NA"/>
    <s v="NA"/>
    <s v="NA"/>
    <s v="NA"/>
    <s v="NA"/>
    <s v="NA"/>
    <s v="NA"/>
    <s v="NA"/>
    <s v="NA"/>
    <s v="NA"/>
    <s v="NA"/>
    <s v="NA"/>
    <s v="NA"/>
    <s v="NA"/>
    <s v="NA"/>
  </r>
  <r>
    <n v="587"/>
    <m/>
    <m/>
    <m/>
    <m/>
    <s v="G25.0"/>
    <s v="Essential tremor"/>
    <x v="223"/>
    <s v="F"/>
    <m/>
    <m/>
    <s v="NA"/>
    <s v="NA"/>
    <s v="NA"/>
    <s v="NA"/>
    <s v="NA"/>
    <s v="NA"/>
    <s v="NA"/>
    <s v="NA"/>
    <s v="NA"/>
    <s v="NA"/>
    <s v="NA"/>
    <s v="NA"/>
    <s v="NA"/>
    <s v="NA"/>
    <s v="NA"/>
    <s v="NA"/>
    <s v="NA"/>
    <s v="NA"/>
    <s v="NA"/>
    <s v="NA"/>
    <s v="NA"/>
  </r>
  <r>
    <n v="588"/>
    <m/>
    <m/>
    <m/>
    <m/>
    <s v="G25.0"/>
    <s v="Essential tremor"/>
    <x v="224"/>
    <s v="F"/>
    <m/>
    <m/>
    <n v="69.405000000000001"/>
    <n v="70.48"/>
    <n v="140.00800000000001"/>
    <n v="139.881"/>
    <n v="145.59100000000001"/>
    <n v="145.64099999999999"/>
    <n v="124.929"/>
    <n v="125.407"/>
    <n v="60.326999999999998"/>
    <n v="59.600999999999999"/>
    <n v="39.673000000000002"/>
    <n v="40.399000000000001"/>
    <n v="10.234"/>
    <n v="9.7539999999999996"/>
    <n v="40.399000000000001"/>
    <n v="39.673000000000002"/>
    <n v="8.1679999999999993"/>
    <n v="21"/>
    <n v="24"/>
    <n v="21"/>
    <n v="21"/>
  </r>
  <r>
    <n v="589"/>
    <m/>
    <m/>
    <m/>
    <m/>
    <s v="G25.0"/>
    <s v="Essential tremor"/>
    <x v="65"/>
    <s v="M"/>
    <m/>
    <m/>
    <n v="58.866"/>
    <n v="61.31"/>
    <n v="120.226"/>
    <n v="120.855"/>
    <n v="106.08499999999999"/>
    <n v="106.474"/>
    <n v="105.40300000000001"/>
    <n v="105.419"/>
    <n v="63.484999999999999"/>
    <n v="63.969000000000001"/>
    <n v="36.515000000000001"/>
    <n v="36.030999999999999"/>
    <n v="12.722"/>
    <n v="15.035"/>
    <n v="36.030999999999999"/>
    <n v="36.515000000000001"/>
    <n v="11.186"/>
    <n v="21"/>
    <n v="22"/>
    <n v="21"/>
    <n v="21"/>
  </r>
  <r>
    <n v="590"/>
    <m/>
    <m/>
    <m/>
    <m/>
    <s v="G20"/>
    <s v="Parkinson's disease"/>
    <x v="225"/>
    <s v="M"/>
    <m/>
    <m/>
    <n v="68.332999999999998"/>
    <n v="56.789000000000001"/>
    <n v="125.77800000000001"/>
    <n v="125.117"/>
    <n v="114.379"/>
    <n v="114.057"/>
    <n v="109.941"/>
    <n v="109.438"/>
    <n v="62.378"/>
    <n v="61.360999999999997"/>
    <n v="37.622"/>
    <n v="38.639000000000003"/>
    <n v="10.135"/>
    <n v="13.903"/>
    <n v="38.639000000000003"/>
    <n v="37.622"/>
    <n v="15.946"/>
    <n v="18"/>
    <n v="20"/>
    <n v="18"/>
    <n v="18"/>
  </r>
  <r>
    <n v="591"/>
    <m/>
    <m/>
    <m/>
    <m/>
    <s v="G20"/>
    <s v="Parkinson's disease"/>
    <x v="226"/>
    <s v="M"/>
    <m/>
    <m/>
    <n v="8.6419999999999995"/>
    <n v="15.788"/>
    <n v="25.44"/>
    <n v="24.138999999999999"/>
    <n v="28.187000000000001"/>
    <n v="27.097999999999999"/>
    <n v="137.941"/>
    <n v="139.898"/>
    <n v="74.099000000000004"/>
    <n v="72.400999999999996"/>
    <n v="25.901"/>
    <n v="27.599"/>
    <n v="23.812999999999999"/>
    <n v="22.402999999999999"/>
    <n v="27.599"/>
    <n v="25.901"/>
    <n v="15.84"/>
    <n v="18"/>
    <n v="19"/>
    <n v="18"/>
    <n v="18"/>
  </r>
  <r>
    <n v="592"/>
    <m/>
    <m/>
    <m/>
    <m/>
    <s v="G20"/>
    <s v="Parkinson's disease"/>
    <x v="184"/>
    <s v="M"/>
    <m/>
    <m/>
    <n v="67.587000000000003"/>
    <n v="71.481999999999999"/>
    <n v="139.65299999999999"/>
    <n v="138.77799999999999"/>
    <n v="127.084"/>
    <n v="125.923"/>
    <n v="108.9"/>
    <n v="108.84099999999999"/>
    <n v="60.377000000000002"/>
    <n v="60.287999999999997"/>
    <n v="39.622999999999998"/>
    <n v="39.712000000000003"/>
    <n v="10.631"/>
    <n v="10.385"/>
    <n v="39.712000000000003"/>
    <n v="39.622999999999998"/>
    <n v="8.6519999999999992"/>
    <n v="15"/>
    <n v="16"/>
    <n v="15"/>
    <n v="15"/>
  </r>
  <r>
    <n v="593"/>
    <m/>
    <m/>
    <m/>
    <m/>
    <s v="G25.0"/>
    <s v="Essential tremor"/>
    <x v="72"/>
    <s v="F"/>
    <m/>
    <m/>
    <s v="NA"/>
    <s v="NA"/>
    <s v="NA"/>
    <s v="NA"/>
    <s v="NA"/>
    <s v="NA"/>
    <s v="NA"/>
    <s v="NA"/>
    <s v="NA"/>
    <s v="NA"/>
    <s v="NA"/>
    <s v="NA"/>
    <s v="NA"/>
    <s v="NA"/>
    <s v="NA"/>
    <s v="NA"/>
    <s v="NA"/>
    <s v="NA"/>
    <s v="NA"/>
    <s v="NA"/>
    <s v="NA"/>
  </r>
  <r>
    <n v="594"/>
    <m/>
    <m/>
    <m/>
    <m/>
    <s v="G20"/>
    <s v="Parkinson's disease"/>
    <x v="76"/>
    <s v="M"/>
    <m/>
    <m/>
    <n v="65.850999999999999"/>
    <n v="66.302999999999997"/>
    <n v="133.11199999999999"/>
    <n v="132.31200000000001"/>
    <n v="124.782"/>
    <n v="124.643"/>
    <n v="113.20699999999999"/>
    <n v="113.47799999999999"/>
    <n v="62.654000000000003"/>
    <n v="62.826999999999998"/>
    <n v="37.345999999999997"/>
    <n v="37.173000000000002"/>
    <n v="13.715999999999999"/>
    <n v="12.029"/>
    <n v="37.173000000000002"/>
    <n v="37.345999999999997"/>
    <n v="13.788"/>
    <n v="15"/>
    <n v="18"/>
    <n v="15"/>
    <n v="15"/>
  </r>
  <r>
    <n v="595"/>
    <m/>
    <m/>
    <m/>
    <m/>
    <s v="G25.0"/>
    <s v="Essential tremor"/>
    <x v="63"/>
    <s v="F"/>
    <m/>
    <m/>
    <n v="56.488"/>
    <n v="56.435000000000002"/>
    <n v="113.29300000000001"/>
    <n v="113.22199999999999"/>
    <n v="108.64100000000001"/>
    <n v="108.554"/>
    <n v="115.23399999999999"/>
    <n v="114.511"/>
    <n v="61.65"/>
    <n v="62.561"/>
    <n v="38.35"/>
    <n v="37.439"/>
    <n v="12.513"/>
    <n v="11.996"/>
    <n v="37.439"/>
    <n v="38.35"/>
    <n v="7.42"/>
    <n v="16"/>
    <n v="17"/>
    <n v="16"/>
    <n v="16"/>
  </r>
  <r>
    <n v="596"/>
    <m/>
    <m/>
    <m/>
    <m/>
    <s v="G20"/>
    <s v="Parkinson's disease"/>
    <x v="130"/>
    <s v="M"/>
    <m/>
    <m/>
    <n v="45.167999999999999"/>
    <n v="44.338000000000001"/>
    <n v="89.584000000000003"/>
    <n v="89.795000000000002"/>
    <n v="77.561999999999998"/>
    <n v="77.784000000000006"/>
    <n v="103.764"/>
    <n v="103.714"/>
    <n v="64.103999999999999"/>
    <n v="62.835999999999999"/>
    <n v="35.896000000000001"/>
    <n v="37.164000000000001"/>
    <n v="12.606999999999999"/>
    <n v="14.327"/>
    <n v="37.164000000000001"/>
    <n v="35.896000000000001"/>
    <n v="10.352"/>
    <n v="23"/>
    <n v="22"/>
    <n v="22"/>
    <n v="22"/>
  </r>
  <r>
    <n v="597"/>
    <m/>
    <m/>
    <m/>
    <m/>
    <s v="G24.1"/>
    <s v="Genetic torsion dystonia"/>
    <x v="55"/>
    <s v="M"/>
    <m/>
    <m/>
    <n v="28.344999999999999"/>
    <n v="41.783000000000001"/>
    <n v="69.66"/>
    <n v="70.156999999999996"/>
    <n v="37.341999999999999"/>
    <n v="37.731000000000002"/>
    <n v="63.994999999999997"/>
    <n v="64.572999999999993"/>
    <n v="55.134"/>
    <n v="73.513000000000005"/>
    <n v="44.866"/>
    <n v="26.486999999999998"/>
    <n v="13.098000000000001"/>
    <n v="16.024000000000001"/>
    <n v="26.486999999999998"/>
    <n v="44.866"/>
    <n v="23.385000000000002"/>
    <n v="12"/>
    <n v="13"/>
    <n v="12"/>
    <n v="12"/>
  </r>
  <r>
    <n v="598"/>
    <m/>
    <m/>
    <m/>
    <m/>
    <s v="G25.0"/>
    <s v="Essential tremor"/>
    <x v="227"/>
    <s v="M"/>
    <m/>
    <m/>
    <n v="66.183000000000007"/>
    <n v="60.88"/>
    <n v="127.099"/>
    <n v="127.279"/>
    <n v="121.786"/>
    <n v="121.94499999999999"/>
    <n v="114.38"/>
    <n v="114.49"/>
    <n v="62.996000000000002"/>
    <n v="61.802999999999997"/>
    <n v="37.003999999999998"/>
    <n v="38.197000000000003"/>
    <n v="13.069000000000001"/>
    <n v="12.481"/>
    <n v="38.197000000000003"/>
    <n v="37.003999999999998"/>
    <n v="13.504"/>
    <n v="15"/>
    <n v="17"/>
    <n v="15"/>
    <n v="15"/>
  </r>
  <r>
    <n v="599"/>
    <m/>
    <m/>
    <m/>
    <m/>
    <s v="G20"/>
    <s v="Parkinson's disease"/>
    <x v="228"/>
    <s v="M"/>
    <m/>
    <m/>
    <n v="50.238"/>
    <n v="59.17"/>
    <n v="109.842"/>
    <n v="110.251"/>
    <n v="98.677999999999997"/>
    <n v="98.82"/>
    <n v="107.545"/>
    <n v="107.26900000000001"/>
    <n v="63.04"/>
    <n v="63.476999999999997"/>
    <n v="36.96"/>
    <n v="36.523000000000003"/>
    <n v="12.412000000000001"/>
    <n v="14.276999999999999"/>
    <n v="36.523000000000003"/>
    <n v="36.96"/>
    <n v="12.577999999999999"/>
    <n v="22"/>
    <n v="22"/>
    <n v="22"/>
    <n v="22"/>
  </r>
  <r>
    <n v="600"/>
    <m/>
    <m/>
    <m/>
    <m/>
    <s v="G20"/>
    <s v="Parkinson's disease"/>
    <x v="229"/>
    <s v="F"/>
    <m/>
    <m/>
    <n v="64.353999999999999"/>
    <n v="58.533000000000001"/>
    <n v="123.583"/>
    <n v="122.71299999999999"/>
    <n v="114.718"/>
    <n v="113.626"/>
    <n v="111.06399999999999"/>
    <n v="110.911"/>
    <n v="64.597999999999999"/>
    <n v="63.412999999999997"/>
    <n v="35.402000000000001"/>
    <n v="36.587000000000003"/>
    <n v="12.944000000000001"/>
    <n v="15.233000000000001"/>
    <n v="36.587000000000003"/>
    <n v="35.402000000000001"/>
    <n v="11.003"/>
    <n v="19"/>
    <n v="19"/>
    <n v="19"/>
    <n v="19"/>
  </r>
  <r>
    <n v="601"/>
    <m/>
    <m/>
    <m/>
    <m/>
    <s v="G25.2"/>
    <s v="Other specified forms of tremor"/>
    <x v="35"/>
    <s v="NA"/>
    <m/>
    <m/>
    <n v="21.061"/>
    <n v="33.814999999999998"/>
    <n v="55.698"/>
    <n v="54.649000000000001"/>
    <n v="32.209000000000003"/>
    <n v="32.228000000000002"/>
    <n v="69.783000000000001"/>
    <n v="70.412999999999997"/>
    <n v="80.316000000000003"/>
    <n v="73.614999999999995"/>
    <n v="19.684000000000001"/>
    <n v="26.385000000000002"/>
    <n v="28.748999999999999"/>
    <n v="25.454999999999998"/>
    <n v="26.385000000000002"/>
    <n v="19.684000000000001"/>
    <n v="13.172000000000001"/>
    <n v="22"/>
    <n v="23"/>
    <n v="22"/>
    <n v="22"/>
  </r>
  <r>
    <n v="602"/>
    <m/>
    <m/>
    <m/>
    <m/>
    <s v="G25.0"/>
    <s v="Essential tremor"/>
    <x v="37"/>
    <s v="F"/>
    <m/>
    <m/>
    <n v="41.292000000000002"/>
    <n v="42.610999999999997"/>
    <n v="83.388999999999996"/>
    <n v="84.176000000000002"/>
    <n v="65.17"/>
    <n v="65.274000000000001"/>
    <n v="93.349000000000004"/>
    <n v="92.983999999999995"/>
    <n v="65.269000000000005"/>
    <n v="65.647000000000006"/>
    <n v="34.731000000000002"/>
    <n v="34.353000000000002"/>
    <n v="15.989000000000001"/>
    <n v="14.766"/>
    <n v="34.353000000000002"/>
    <n v="34.731000000000002"/>
    <n v="11.43"/>
    <n v="13"/>
    <n v="16"/>
    <n v="13"/>
    <n v="13"/>
  </r>
  <r>
    <n v="603"/>
    <m/>
    <m/>
    <m/>
    <m/>
    <s v="G25.0"/>
    <s v="Essential tremor"/>
    <x v="227"/>
    <s v="F"/>
    <m/>
    <m/>
    <n v="44.447000000000003"/>
    <n v="42.938000000000002"/>
    <n v="87.387"/>
    <n v="87.734999999999999"/>
    <n v="77.527000000000001"/>
    <n v="78.194000000000003"/>
    <n v="106.268"/>
    <n v="106.416"/>
    <n v="63.414000000000001"/>
    <n v="63.423999999999999"/>
    <n v="36.585999999999999"/>
    <n v="36.576000000000001"/>
    <n v="14.49"/>
    <n v="12.644"/>
    <n v="36.576000000000001"/>
    <n v="36.585999999999999"/>
    <n v="17.216999999999999"/>
    <n v="23"/>
    <n v="18"/>
    <n v="18"/>
    <n v="18"/>
  </r>
  <r>
    <n v="604"/>
    <m/>
    <m/>
    <m/>
    <m/>
    <s v="G20"/>
    <s v="Parkinson's disease"/>
    <x v="230"/>
    <s v="M"/>
    <m/>
    <m/>
    <n v="67.298000000000002"/>
    <n v="67.3"/>
    <n v="133.00200000000001"/>
    <n v="135.28700000000001"/>
    <n v="113.544"/>
    <n v="113.61"/>
    <n v="102.42700000000001"/>
    <n v="101.202"/>
    <n v="63.689"/>
    <n v="61.863"/>
    <n v="36.311"/>
    <n v="38.137"/>
    <n v="14.637"/>
    <n v="12.122"/>
    <n v="38.137"/>
    <n v="36.311"/>
    <n v="10.766999999999999"/>
    <n v="14"/>
    <n v="15"/>
    <n v="14"/>
    <n v="14"/>
  </r>
  <r>
    <n v="605"/>
    <m/>
    <m/>
    <m/>
    <m/>
    <s v="G24.3"/>
    <s v="Spasmodic torticollis"/>
    <x v="231"/>
    <s v="F"/>
    <m/>
    <m/>
    <n v="61.264000000000003"/>
    <n v="58.832000000000001"/>
    <n v="119.914"/>
    <n v="120.401"/>
    <n v="135.58799999999999"/>
    <n v="136.22300000000001"/>
    <n v="135.88300000000001"/>
    <n v="136.38300000000001"/>
    <n v="60.598999999999997"/>
    <n v="59.22"/>
    <n v="39.401000000000003"/>
    <n v="40.78"/>
    <n v="9.8119999999999994"/>
    <n v="10.361000000000001"/>
    <n v="40.78"/>
    <n v="39.401000000000003"/>
    <n v="12.116"/>
    <n v="21"/>
    <n v="23"/>
    <n v="21"/>
    <n v="21"/>
  </r>
  <r>
    <n v="606"/>
    <m/>
    <m/>
    <m/>
    <m/>
    <s v="G20"/>
    <s v="Parkinson's disease"/>
    <x v="232"/>
    <s v="M"/>
    <m/>
    <m/>
    <n v="76.724999999999994"/>
    <n v="77.009"/>
    <n v="154.053"/>
    <n v="154.369"/>
    <n v="141.97800000000001"/>
    <n v="143.41200000000001"/>
    <n v="109.90600000000001"/>
    <n v="110.887"/>
    <n v="61.42"/>
    <n v="61.582999999999998"/>
    <n v="38.58"/>
    <n v="38.417000000000002"/>
    <n v="12.042999999999999"/>
    <n v="11.863"/>
    <n v="38.417000000000002"/>
    <n v="38.58"/>
    <n v="14.705"/>
    <n v="14"/>
    <n v="12"/>
    <n v="12"/>
    <n v="12"/>
  </r>
  <r>
    <n v="607"/>
    <m/>
    <m/>
    <m/>
    <m/>
    <s v="G24.3"/>
    <s v="Spasmodic torticollis"/>
    <x v="1"/>
    <s v="F"/>
    <m/>
    <m/>
    <n v="54.920999999999999"/>
    <n v="56.36"/>
    <n v="111.11499999999999"/>
    <n v="111.69"/>
    <n v="90.287999999999997"/>
    <n v="90.028000000000006"/>
    <n v="96.867999999999995"/>
    <n v="96.257999999999996"/>
    <n v="63.960999999999999"/>
    <n v="64.661000000000001"/>
    <n v="36.039000000000001"/>
    <n v="35.338999999999999"/>
    <n v="14.776"/>
    <n v="14.35"/>
    <n v="35.338999999999999"/>
    <n v="36.039000000000001"/>
    <n v="8.9"/>
    <n v="10"/>
    <n v="10"/>
    <n v="10"/>
    <n v="10"/>
  </r>
  <r>
    <n v="608"/>
    <m/>
    <m/>
    <m/>
    <m/>
    <s v="NA"/>
    <s v="NA"/>
    <x v="35"/>
    <s v="NA"/>
    <m/>
    <m/>
    <n v="63.552"/>
    <n v="64.486999999999995"/>
    <n v="128.435"/>
    <n v="128.59899999999999"/>
    <n v="122.169"/>
    <n v="122.24299999999999"/>
    <n v="114.82599999999999"/>
    <n v="114.461"/>
    <n v="60.658000000000001"/>
    <n v="61.151000000000003"/>
    <n v="39.341999999999999"/>
    <n v="38.848999999999997"/>
    <n v="10.557"/>
    <n v="11.602"/>
    <n v="38.848999999999997"/>
    <n v="39.341999999999999"/>
    <n v="14.393000000000001"/>
    <n v="20"/>
    <n v="20"/>
    <n v="20"/>
    <n v="20"/>
  </r>
  <r>
    <n v="609"/>
    <m/>
    <m/>
    <m/>
    <m/>
    <s v="G25.0"/>
    <s v="Essential tremor"/>
    <x v="233"/>
    <s v="M"/>
    <m/>
    <m/>
    <n v="56.78"/>
    <n v="55.064"/>
    <n v="112.312"/>
    <n v="111.685"/>
    <n v="100.511"/>
    <n v="100.533"/>
    <n v="107.628"/>
    <n v="108.30500000000001"/>
    <n v="61.66"/>
    <n v="63.689"/>
    <n v="38.340000000000003"/>
    <n v="36.311"/>
    <n v="13.711"/>
    <n v="11.95"/>
    <n v="36.311"/>
    <n v="38.340000000000003"/>
    <n v="12.851000000000001"/>
    <n v="20"/>
    <n v="19"/>
    <n v="19"/>
    <n v="19"/>
  </r>
  <r>
    <n v="610"/>
    <m/>
    <m/>
    <m/>
    <m/>
    <s v="G20"/>
    <s v="Parkinson's disease"/>
    <x v="234"/>
    <s v="F"/>
    <m/>
    <m/>
    <n v="50.271999999999998"/>
    <n v="54.533000000000001"/>
    <n v="104.89100000000001"/>
    <n v="105.518"/>
    <n v="100.239"/>
    <n v="101.012"/>
    <n v="114.846"/>
    <n v="114.547"/>
    <n v="63.668999999999997"/>
    <n v="62.481000000000002"/>
    <n v="36.331000000000003"/>
    <n v="37.518999999999998"/>
    <n v="15.026999999999999"/>
    <n v="11.218999999999999"/>
    <n v="37.518999999999998"/>
    <n v="36.331000000000003"/>
    <n v="13.558"/>
    <n v="14"/>
    <n v="17"/>
    <n v="14"/>
    <n v="14"/>
  </r>
  <r>
    <n v="611"/>
    <m/>
    <m/>
    <m/>
    <m/>
    <s v="G24.3"/>
    <s v="Spasmodic torticollis"/>
    <x v="63"/>
    <s v="F"/>
    <m/>
    <m/>
    <n v="45.491"/>
    <n v="42.61"/>
    <n v="87.944999999999993"/>
    <n v="88.724999999999994"/>
    <n v="73.948999999999998"/>
    <n v="73.975999999999999"/>
    <n v="100.89100000000001"/>
    <n v="100.78700000000001"/>
    <n v="66.691000000000003"/>
    <n v="64.869"/>
    <n v="33.308999999999997"/>
    <n v="35.131"/>
    <n v="15.295999999999999"/>
    <n v="16.068999999999999"/>
    <n v="35.131"/>
    <n v="33.308999999999997"/>
    <n v="19.334"/>
    <n v="18"/>
    <n v="19"/>
    <n v="18"/>
    <n v="18"/>
  </r>
  <r>
    <n v="612"/>
    <m/>
    <m/>
    <m/>
    <m/>
    <s v="G20"/>
    <s v="Parkinson's disease"/>
    <x v="235"/>
    <s v="M"/>
    <m/>
    <m/>
    <n v="59.36"/>
    <n v="60.451999999999998"/>
    <n v="119.678"/>
    <n v="119.661"/>
    <n v="128.83699999999999"/>
    <n v="128.38800000000001"/>
    <n v="129.35900000000001"/>
    <n v="128.96100000000001"/>
    <n v="60.951999999999998"/>
    <n v="64.290999999999997"/>
    <n v="39.048000000000002"/>
    <n v="35.709000000000003"/>
    <n v="13.317"/>
    <n v="12.372999999999999"/>
    <n v="35.709000000000003"/>
    <n v="39.048000000000002"/>
    <n v="13.127000000000001"/>
    <n v="18"/>
    <n v="19"/>
    <n v="18"/>
    <n v="18"/>
  </r>
  <r>
    <n v="613"/>
    <m/>
    <m/>
    <m/>
    <m/>
    <s v="G24.1"/>
    <s v="Genetic torsion dystonia"/>
    <x v="236"/>
    <s v="M"/>
    <m/>
    <m/>
    <n v="62.698"/>
    <n v="64.572999999999993"/>
    <n v="127.239"/>
    <n v="127.123"/>
    <n v="97.253"/>
    <n v="96.944000000000003"/>
    <n v="92.022000000000006"/>
    <n v="91.274000000000001"/>
    <n v="59.555"/>
    <n v="63.570999999999998"/>
    <n v="40.445"/>
    <n v="36.429000000000002"/>
    <n v="8.68"/>
    <n v="14.215"/>
    <n v="36.429000000000002"/>
    <n v="40.445"/>
    <n v="15.82"/>
    <n v="10"/>
    <n v="12"/>
    <n v="10"/>
    <n v="10"/>
  </r>
  <r>
    <n v="615"/>
    <m/>
    <m/>
    <m/>
    <m/>
    <s v="R25.1"/>
    <s v="Tremor, unspecified"/>
    <x v="80"/>
    <s v="M"/>
    <m/>
    <m/>
    <n v="43.56"/>
    <n v="52.125"/>
    <n v="95.795000000000002"/>
    <n v="95.963999999999999"/>
    <n v="66.093000000000004"/>
    <n v="66.668999999999997"/>
    <n v="83.143000000000001"/>
    <n v="83.335999999999999"/>
    <n v="74.265000000000001"/>
    <n v="58.468000000000004"/>
    <n v="25.734999999999999"/>
    <n v="41.531999999999996"/>
    <n v="18.393000000000001"/>
    <n v="14.525"/>
    <n v="41.531999999999996"/>
    <n v="25.734999999999999"/>
    <n v="16.524000000000001"/>
    <n v="18"/>
    <n v="17"/>
    <n v="17"/>
    <n v="17"/>
  </r>
  <r>
    <n v="616"/>
    <m/>
    <m/>
    <m/>
    <m/>
    <s v="G25.0"/>
    <s v="Essential tremor"/>
    <x v="154"/>
    <s v="M"/>
    <m/>
    <m/>
    <n v="39.798999999999999"/>
    <n v="43.234999999999999"/>
    <n v="83.355999999999995"/>
    <n v="82.951999999999998"/>
    <n v="75.707999999999998"/>
    <n v="75.558999999999997"/>
    <n v="109.506"/>
    <n v="109.449"/>
    <n v="63.357999999999997"/>
    <n v="70.638000000000005"/>
    <n v="36.642000000000003"/>
    <n v="29.361999999999998"/>
    <n v="20.32"/>
    <n v="13.801"/>
    <n v="29.361999999999998"/>
    <n v="36.642000000000003"/>
    <n v="22.876000000000001"/>
    <n v="20"/>
    <n v="20"/>
    <n v="20"/>
    <n v="20"/>
  </r>
  <r>
    <n v="617"/>
    <m/>
    <m/>
    <m/>
    <m/>
    <s v="G24.1"/>
    <s v="Genetic torsion dystonia"/>
    <x v="115"/>
    <s v="M"/>
    <m/>
    <m/>
    <n v="58.210999999999999"/>
    <n v="57.482999999999997"/>
    <n v="115.99"/>
    <n v="115.14400000000001"/>
    <n v="106.72499999999999"/>
    <n v="106.21"/>
    <n v="110.373"/>
    <n v="110.461"/>
    <n v="62.777999999999999"/>
    <n v="61.029000000000003"/>
    <n v="37.222000000000001"/>
    <n v="38.970999999999997"/>
    <n v="11.956"/>
    <n v="11.894"/>
    <n v="38.970999999999997"/>
    <n v="37.222000000000001"/>
    <n v="12.295999999999999"/>
    <n v="26"/>
    <n v="23"/>
    <n v="23"/>
    <n v="23"/>
  </r>
  <r>
    <n v="618"/>
    <m/>
    <m/>
    <m/>
    <m/>
    <s v="R25.1"/>
    <s v="Tremor, unspecified"/>
    <x v="237"/>
    <s v="F"/>
    <m/>
    <m/>
    <n v="57.683"/>
    <n v="60.356000000000002"/>
    <n v="118.07899999999999"/>
    <n v="117.974"/>
    <n v="119.491"/>
    <n v="119.636"/>
    <n v="121.786"/>
    <n v="121.664"/>
    <n v="61.069000000000003"/>
    <n v="62.668999999999997"/>
    <n v="38.930999999999997"/>
    <n v="37.331000000000003"/>
    <n v="12.303000000000001"/>
    <n v="11.372"/>
    <n v="37.331000000000003"/>
    <n v="38.930999999999997"/>
    <n v="10.842000000000001"/>
    <n v="18"/>
    <n v="15"/>
    <n v="15"/>
    <n v="15"/>
  </r>
  <r>
    <n v="619"/>
    <m/>
    <m/>
    <m/>
    <m/>
    <s v="G20"/>
    <s v="Parkinson's disease"/>
    <x v="48"/>
    <s v="M"/>
    <m/>
    <m/>
    <n v="48.97"/>
    <n v="50.459000000000003"/>
    <n v="99.31"/>
    <n v="99.438000000000002"/>
    <n v="94.885000000000005"/>
    <n v="95.155000000000001"/>
    <n v="114.452"/>
    <n v="114.303"/>
    <n v="60.609000000000002"/>
    <n v="63.1"/>
    <n v="39.390999999999998"/>
    <n v="36.9"/>
    <n v="12.061999999999999"/>
    <n v="11.744999999999999"/>
    <n v="36.9"/>
    <n v="39.390999999999998"/>
    <n v="15.525"/>
    <n v="20"/>
    <n v="20"/>
    <n v="20"/>
    <n v="20"/>
  </r>
  <r>
    <n v="620"/>
    <m/>
    <m/>
    <m/>
    <m/>
    <s v="G40.409"/>
    <s v="Other generalized epilepsy and epileptic syndromes, not intractable, without status epilepticus"/>
    <x v="73"/>
    <s v="F"/>
    <m/>
    <m/>
    <n v="38.908999999999999"/>
    <n v="27.562999999999999"/>
    <n v="70.945999999999998"/>
    <n v="67.668999999999997"/>
    <n v="37.99"/>
    <n v="37.728999999999999"/>
    <n v="61.110999999999997"/>
    <n v="62.195"/>
    <n v="72.956000000000003"/>
    <n v="77.334000000000003"/>
    <n v="27.044"/>
    <n v="22.666"/>
    <n v="20.754999999999999"/>
    <n v="30.074999999999999"/>
    <n v="22.666"/>
    <n v="27.044"/>
    <n v="23.545000000000002"/>
    <n v="10"/>
    <n v="12"/>
    <n v="10"/>
    <n v="10"/>
  </r>
  <r>
    <n v="621"/>
    <m/>
    <m/>
    <m/>
    <m/>
    <s v="G20"/>
    <s v="Parkinson's disease"/>
    <x v="122"/>
    <s v="M"/>
    <m/>
    <m/>
    <n v="66.929000000000002"/>
    <n v="61.655999999999999"/>
    <n v="128.50299999999999"/>
    <n v="129.541"/>
    <n v="97.165999999999997"/>
    <n v="96.965000000000003"/>
    <n v="90.474999999999994"/>
    <n v="90.185000000000002"/>
    <n v="61.847000000000001"/>
    <n v="64.016999999999996"/>
    <n v="38.152999999999999"/>
    <n v="35.982999999999997"/>
    <n v="11.301"/>
    <n v="14.971"/>
    <n v="35.982999999999997"/>
    <n v="38.152999999999999"/>
    <n v="12.773"/>
    <n v="16"/>
    <n v="15"/>
    <n v="15"/>
    <n v="15"/>
  </r>
  <r>
    <n v="622"/>
    <m/>
    <m/>
    <m/>
    <m/>
    <s v="R25.8"/>
    <s v="Other abnormal involuntary movements"/>
    <x v="238"/>
    <s v="F"/>
    <m/>
    <m/>
    <n v="67.591999999999999"/>
    <n v="72.906000000000006"/>
    <n v="142.02500000000001"/>
    <n v="140.351"/>
    <n v="144.19900000000001"/>
    <n v="142.589"/>
    <n v="123.312"/>
    <n v="123.369"/>
    <n v="62.984000000000002"/>
    <n v="63.551000000000002"/>
    <n v="37.015999999999998"/>
    <n v="36.448999999999998"/>
    <n v="14.263999999999999"/>
    <n v="12.292"/>
    <n v="36.448999999999998"/>
    <n v="37.015999999999998"/>
    <n v="14.04"/>
    <n v="18"/>
    <n v="17"/>
    <n v="17"/>
    <n v="17"/>
  </r>
  <r>
    <n v="623"/>
    <m/>
    <m/>
    <m/>
    <m/>
    <s v="G20"/>
    <s v="Parkinson's disease"/>
    <x v="239"/>
    <s v="M"/>
    <m/>
    <m/>
    <n v="67.167000000000002"/>
    <n v="70.334000000000003"/>
    <n v="137.94999999999999"/>
    <n v="137.18100000000001"/>
    <n v="123.429"/>
    <n v="124.318"/>
    <n v="107.441"/>
    <n v="108.29900000000001"/>
    <n v="62.606999999999999"/>
    <n v="61.603999999999999"/>
    <n v="37.393000000000001"/>
    <n v="38.396000000000001"/>
    <n v="11.743"/>
    <n v="12.239000000000001"/>
    <n v="38.396000000000001"/>
    <n v="37.393000000000001"/>
    <n v="10.250999999999999"/>
    <n v="16"/>
    <n v="14"/>
    <n v="14"/>
    <n v="14"/>
  </r>
  <r>
    <n v="624"/>
    <m/>
    <m/>
    <m/>
    <m/>
    <s v="G20"/>
    <s v="Parkinson's disease"/>
    <x v="170"/>
    <s v="M"/>
    <m/>
    <m/>
    <n v="50.774000000000001"/>
    <n v="50.207999999999998"/>
    <n v="101.361"/>
    <n v="100.84399999999999"/>
    <n v="101.28700000000001"/>
    <n v="99.058000000000007"/>
    <n v="120.61199999999999"/>
    <n v="118.726"/>
    <n v="64.120999999999995"/>
    <n v="64.983000000000004"/>
    <n v="35.878999999999998"/>
    <n v="35.017000000000003"/>
    <n v="14.651999999999999"/>
    <n v="14.943"/>
    <n v="35.017000000000003"/>
    <n v="35.878999999999998"/>
    <n v="7.6970000000000001"/>
    <n v="19"/>
    <n v="21"/>
    <n v="19"/>
    <n v="19"/>
  </r>
  <r>
    <n v="625"/>
    <m/>
    <m/>
    <m/>
    <m/>
    <s v="G20"/>
    <s v="Parkinson's disease"/>
    <x v="240"/>
    <s v="F"/>
    <m/>
    <m/>
    <n v="53.74"/>
    <n v="55.554000000000002"/>
    <n v="109.146"/>
    <n v="109.422"/>
    <n v="97.063000000000002"/>
    <n v="97.597999999999999"/>
    <n v="106.71599999999999"/>
    <n v="106.886"/>
    <n v="63.914000000000001"/>
    <n v="64.165999999999997"/>
    <n v="36.085999999999999"/>
    <n v="35.834000000000003"/>
    <n v="13.831"/>
    <n v="14.754"/>
    <n v="35.834000000000003"/>
    <n v="36.085999999999999"/>
    <n v="14.477"/>
    <n v="18"/>
    <n v="20"/>
    <n v="18"/>
    <n v="18"/>
  </r>
  <r>
    <n v="626"/>
    <m/>
    <m/>
    <m/>
    <m/>
    <s v="G20"/>
    <s v="Parkinson's disease"/>
    <x v="241"/>
    <s v="F"/>
    <m/>
    <m/>
    <s v="NA"/>
    <s v="NA"/>
    <s v="NA"/>
    <s v="NA"/>
    <s v="NA"/>
    <s v="NA"/>
    <s v="NA"/>
    <s v="NA"/>
    <s v="NA"/>
    <s v="NA"/>
    <s v="NA"/>
    <s v="NA"/>
    <s v="NA"/>
    <s v="NA"/>
    <s v="NA"/>
    <s v="NA"/>
    <s v="NA"/>
    <s v="NA"/>
    <s v="NA"/>
    <s v="NA"/>
    <s v="NA"/>
  </r>
  <r>
    <n v="627"/>
    <m/>
    <m/>
    <m/>
    <m/>
    <s v="R26.81"/>
    <s v="Unsteadiness on feet"/>
    <x v="242"/>
    <s v="M"/>
    <m/>
    <m/>
    <n v="42.945"/>
    <n v="41.838000000000001"/>
    <n v="84.712000000000003"/>
    <n v="84.572999999999993"/>
    <n v="82.203000000000003"/>
    <n v="82.01"/>
    <n v="116.349"/>
    <n v="115.95"/>
    <n v="65.323999999999998"/>
    <n v="61.997"/>
    <n v="34.676000000000002"/>
    <n v="38.003"/>
    <n v="13.919"/>
    <n v="13.170999999999999"/>
    <n v="38.003"/>
    <n v="34.676000000000002"/>
    <n v="16.283999999999999"/>
    <n v="22"/>
    <n v="24"/>
    <n v="22"/>
    <n v="22"/>
  </r>
  <r>
    <n v="628"/>
    <m/>
    <m/>
    <m/>
    <m/>
    <s v="G20"/>
    <s v="Parkinson's disease"/>
    <x v="243"/>
    <s v="M"/>
    <m/>
    <m/>
    <n v="32.764000000000003"/>
    <n v="41.862000000000002"/>
    <n v="73.587999999999994"/>
    <n v="74.822999999999993"/>
    <n v="70.067999999999998"/>
    <n v="70.308000000000007"/>
    <n v="114.52"/>
    <n v="113.899"/>
    <n v="64.953999999999994"/>
    <n v="62.813000000000002"/>
    <n v="35.045999999999999"/>
    <n v="37.186999999999998"/>
    <n v="14.502000000000001"/>
    <n v="13.531000000000001"/>
    <n v="37.186999999999998"/>
    <n v="35.045999999999999"/>
    <n v="12.394"/>
    <n v="24"/>
    <n v="25"/>
    <n v="24"/>
    <n v="24"/>
  </r>
  <r>
    <n v="629"/>
    <m/>
    <m/>
    <m/>
    <m/>
    <s v="G20"/>
    <s v="Parkinson's disease"/>
    <x v="65"/>
    <s v="M"/>
    <m/>
    <m/>
    <n v="46.274000000000001"/>
    <n v="52.512999999999998"/>
    <n v="98.968000000000004"/>
    <n v="98.188999999999993"/>
    <n v="99.763999999999996"/>
    <n v="99.051000000000002"/>
    <n v="120.749"/>
    <n v="121.142"/>
    <n v="63.637"/>
    <n v="64.313999999999993"/>
    <n v="36.363"/>
    <n v="35.686"/>
    <n v="14.81"/>
    <n v="13.121"/>
    <n v="35.686"/>
    <n v="36.363"/>
    <n v="7.68"/>
    <n v="18"/>
    <n v="18"/>
    <n v="18"/>
    <n v="18"/>
  </r>
  <r>
    <n v="630"/>
    <m/>
    <m/>
    <m/>
    <m/>
    <s v="G20"/>
    <s v="Parkinson's disease"/>
    <x v="156"/>
    <s v="F"/>
    <m/>
    <m/>
    <n v="56.521000000000001"/>
    <n v="54.515999999999998"/>
    <n v="110.149"/>
    <n v="115.786"/>
    <n v="88.805999999999997"/>
    <n v="89.893000000000001"/>
    <n v="96.634"/>
    <n v="95.813999999999993"/>
    <n v="61.154000000000003"/>
    <n v="60.203000000000003"/>
    <n v="38.845999999999997"/>
    <n v="39.796999999999997"/>
    <n v="12.638"/>
    <n v="9.5359999999999996"/>
    <n v="39.796999999999997"/>
    <n v="38.845999999999997"/>
    <n v="8.7279999999999998"/>
    <n v="22"/>
    <n v="18"/>
    <n v="18"/>
    <n v="18"/>
  </r>
  <r>
    <n v="631"/>
    <m/>
    <m/>
    <m/>
    <m/>
    <s v="NA"/>
    <s v="NA"/>
    <x v="35"/>
    <s v="NA"/>
    <m/>
    <m/>
    <n v="64.552000000000007"/>
    <n v="59.091000000000001"/>
    <n v="123.544"/>
    <n v="124.423"/>
    <n v="100.64400000000001"/>
    <n v="101.407"/>
    <n v="98.492999999999995"/>
    <n v="98.048000000000002"/>
    <n v="60.210999999999999"/>
    <n v="63.043999999999997"/>
    <n v="39.789000000000001"/>
    <n v="36.956000000000003"/>
    <n v="9.9459999999999997"/>
    <n v="13.781000000000001"/>
    <n v="36.956000000000003"/>
    <n v="39.789000000000001"/>
    <n v="15.092000000000001"/>
    <n v="19"/>
    <n v="15"/>
    <n v="15"/>
    <n v="15"/>
  </r>
  <r>
    <n v="632"/>
    <m/>
    <m/>
    <m/>
    <m/>
    <s v="G20"/>
    <s v="Parkinson's disease"/>
    <x v="244"/>
    <s v="M"/>
    <m/>
    <m/>
    <n v="50.210999999999999"/>
    <n v="47.113"/>
    <n v="98.088999999999999"/>
    <n v="97.117999999999995"/>
    <n v="111.08499999999999"/>
    <n v="110.69199999999999"/>
    <n v="136.404"/>
    <n v="137.96100000000001"/>
    <n v="59.088000000000001"/>
    <n v="59.728999999999999"/>
    <n v="40.911999999999999"/>
    <n v="40.271000000000001"/>
    <n v="10.417"/>
    <n v="8.7629999999999999"/>
    <n v="40.271000000000001"/>
    <n v="40.911999999999999"/>
    <n v="9.6039999999999992"/>
    <n v="25"/>
    <n v="27"/>
    <n v="25"/>
    <n v="25"/>
  </r>
  <r>
    <n v="633"/>
    <m/>
    <m/>
    <m/>
    <m/>
    <s v="G25.0"/>
    <s v="Essential tremor"/>
    <x v="54"/>
    <s v="M"/>
    <m/>
    <m/>
    <n v="66.168000000000006"/>
    <n v="67.186000000000007"/>
    <n v="133.459"/>
    <n v="135.018"/>
    <n v="137.24700000000001"/>
    <n v="138.09399999999999"/>
    <n v="123.191"/>
    <n v="123.026"/>
    <n v="61.970999999999997"/>
    <n v="61"/>
    <n v="38.029000000000003"/>
    <n v="39"/>
    <n v="11.573"/>
    <n v="11.808999999999999"/>
    <n v="39"/>
    <n v="38.029000000000003"/>
    <n v="11.827999999999999"/>
    <n v="13"/>
    <n v="12"/>
    <n v="12"/>
    <n v="12"/>
  </r>
  <r>
    <n v="634"/>
    <m/>
    <m/>
    <m/>
    <m/>
    <s v="NA"/>
    <s v="NA"/>
    <x v="35"/>
    <s v="NA"/>
    <m/>
    <m/>
    <s v="NA"/>
    <s v="NA"/>
    <s v="NA"/>
    <s v="NA"/>
    <s v="NA"/>
    <s v="NA"/>
    <s v="NA"/>
    <s v="NA"/>
    <s v="NA"/>
    <s v="NA"/>
    <s v="NA"/>
    <s v="NA"/>
    <s v="NA"/>
    <s v="NA"/>
    <s v="NA"/>
    <s v="NA"/>
    <s v="NA"/>
    <s v="NA"/>
    <s v="NA"/>
    <s v="NA"/>
    <s v="NA"/>
  </r>
  <r>
    <n v="635"/>
    <m/>
    <m/>
    <m/>
    <m/>
    <s v="G25.0"/>
    <s v="Essential tremor"/>
    <x v="153"/>
    <s v="M"/>
    <m/>
    <m/>
    <n v="61.203000000000003"/>
    <n v="59.078000000000003"/>
    <n v="120.402"/>
    <n v="121.25700000000001"/>
    <n v="111.667"/>
    <n v="112.33"/>
    <n v="110.99299999999999"/>
    <n v="111.377"/>
    <n v="64.835999999999999"/>
    <n v="62.7"/>
    <n v="35.164000000000001"/>
    <n v="37.299999999999997"/>
    <n v="13.24"/>
    <n v="14.978999999999999"/>
    <n v="37.299999999999997"/>
    <n v="35.164000000000001"/>
    <n v="11.79"/>
    <n v="20"/>
    <n v="16"/>
    <n v="16"/>
    <n v="16"/>
  </r>
  <r>
    <n v="636"/>
    <m/>
    <m/>
    <m/>
    <m/>
    <s v="G25.0"/>
    <s v="Essential tremor"/>
    <x v="132"/>
    <s v="F"/>
    <m/>
    <m/>
    <n v="43.664000000000001"/>
    <n v="43.771999999999998"/>
    <n v="87.515000000000001"/>
    <n v="87.665999999999997"/>
    <n v="89.081999999999994"/>
    <n v="89.191000000000003"/>
    <n v="122.303"/>
    <n v="122.3"/>
    <n v="65.506"/>
    <n v="63.720999999999997"/>
    <n v="34.494"/>
    <n v="36.279000000000003"/>
    <n v="15.397"/>
    <n v="14.082000000000001"/>
    <n v="36.279000000000003"/>
    <n v="34.494"/>
    <n v="10.35"/>
    <n v="19"/>
    <n v="18"/>
    <n v="18"/>
    <n v="18"/>
  </r>
  <r>
    <n v="637"/>
    <m/>
    <m/>
    <m/>
    <m/>
    <s v="G20"/>
    <s v="Parkinson's disease"/>
    <x v="108"/>
    <s v="M"/>
    <m/>
    <m/>
    <s v="NA"/>
    <s v="NA"/>
    <s v="NA"/>
    <s v="NA"/>
    <s v="NA"/>
    <s v="NA"/>
    <s v="NA"/>
    <s v="NA"/>
    <s v="NA"/>
    <s v="NA"/>
    <s v="NA"/>
    <s v="NA"/>
    <s v="NA"/>
    <s v="NA"/>
    <s v="NA"/>
    <s v="NA"/>
    <s v="NA"/>
    <s v="NA"/>
    <s v="NA"/>
    <s v="NA"/>
    <s v="NA"/>
  </r>
  <r>
    <n v="638"/>
    <m/>
    <m/>
    <m/>
    <m/>
    <s v="NA"/>
    <s v="NA"/>
    <x v="35"/>
    <s v="NA"/>
    <m/>
    <m/>
    <s v="NA"/>
    <s v="NA"/>
    <s v="NA"/>
    <s v="NA"/>
    <s v="NA"/>
    <s v="NA"/>
    <s v="NA"/>
    <s v="NA"/>
    <s v="NA"/>
    <s v="NA"/>
    <s v="NA"/>
    <s v="NA"/>
    <s v="NA"/>
    <s v="NA"/>
    <s v="NA"/>
    <s v="NA"/>
    <s v="NA"/>
    <s v="NA"/>
    <s v="NA"/>
    <s v="NA"/>
    <s v="NA"/>
  </r>
  <r>
    <n v="639"/>
    <m/>
    <m/>
    <m/>
    <m/>
    <s v="G20"/>
    <s v="Parkinson's disease"/>
    <x v="27"/>
    <s v="M"/>
    <m/>
    <m/>
    <s v="NA"/>
    <s v="NA"/>
    <s v="NA"/>
    <s v="NA"/>
    <s v="NA"/>
    <s v="NA"/>
    <s v="NA"/>
    <s v="NA"/>
    <s v="NA"/>
    <s v="NA"/>
    <s v="NA"/>
    <s v="NA"/>
    <s v="NA"/>
    <s v="NA"/>
    <s v="NA"/>
    <s v="NA"/>
    <s v="NA"/>
    <s v="NA"/>
    <s v="NA"/>
    <s v="NA"/>
    <s v="NA"/>
  </r>
  <r>
    <n v="640"/>
    <m/>
    <m/>
    <m/>
    <m/>
    <s v="G20"/>
    <s v="Parkinson's disease"/>
    <x v="123"/>
    <s v="M"/>
    <m/>
    <m/>
    <n v="45.883000000000003"/>
    <n v="49.59"/>
    <n v="95.126000000000005"/>
    <n v="95.522000000000006"/>
    <n v="78.411000000000001"/>
    <n v="78.289000000000001"/>
    <n v="98.896000000000001"/>
    <n v="98.784000000000006"/>
    <n v="62.898000000000003"/>
    <n v="65.805000000000007"/>
    <n v="37.101999999999997"/>
    <n v="34.195"/>
    <n v="13.673"/>
    <n v="15.084"/>
    <n v="34.195"/>
    <n v="37.101999999999997"/>
    <n v="12.92"/>
    <n v="20"/>
    <n v="19"/>
    <n v="19"/>
    <n v="19"/>
  </r>
  <r>
    <n v="641"/>
    <m/>
    <m/>
    <m/>
    <m/>
    <s v="G20"/>
    <s v="Parkinson's disease"/>
    <x v="228"/>
    <s v="M"/>
    <m/>
    <m/>
    <n v="1.3680000000000001"/>
    <n v="16.274000000000001"/>
    <n v="18.149000000000001"/>
    <n v="17.308"/>
    <n v="10.45"/>
    <n v="9.3350000000000009"/>
    <n v="72.257000000000005"/>
    <n v="68.971000000000004"/>
    <n v="78.992000000000004"/>
    <n v="75.852999999999994"/>
    <n v="21.007999999999999"/>
    <n v="24.146999999999998"/>
    <n v="24.666"/>
    <n v="28.774000000000001"/>
    <n v="24.146999999999998"/>
    <n v="21.007999999999999"/>
    <n v="11.393000000000001"/>
    <n v="10"/>
    <n v="8"/>
    <n v="8"/>
    <n v="8"/>
  </r>
  <r>
    <n v="642"/>
    <m/>
    <m/>
    <m/>
    <m/>
    <s v="G25.0"/>
    <s v="Essential tremor"/>
    <x v="245"/>
    <s v="F"/>
    <m/>
    <m/>
    <n v="21.305"/>
    <n v="20.38"/>
    <n v="42.168999999999997"/>
    <n v="41.183999999999997"/>
    <n v="33.478000000000002"/>
    <n v="33.156999999999996"/>
    <n v="97.716999999999999"/>
    <n v="97.570999999999998"/>
    <n v="71.823999999999998"/>
    <n v="68.984999999999999"/>
    <n v="28.175999999999998"/>
    <n v="31.015000000000001"/>
    <n v="20.850999999999999"/>
    <n v="20.582000000000001"/>
    <n v="31.015000000000001"/>
    <n v="28.175999999999998"/>
    <n v="19.841999999999999"/>
    <n v="22"/>
    <n v="21"/>
    <n v="21"/>
    <n v="21"/>
  </r>
  <r>
    <n v="643"/>
    <m/>
    <m/>
    <m/>
    <m/>
    <s v="G25.0"/>
    <s v="Essential tremor"/>
    <x v="246"/>
    <s v="F"/>
    <m/>
    <m/>
    <s v="NA"/>
    <s v="NA"/>
    <s v="NA"/>
    <s v="NA"/>
    <s v="NA"/>
    <s v="NA"/>
    <s v="NA"/>
    <s v="NA"/>
    <s v="NA"/>
    <s v="NA"/>
    <s v="NA"/>
    <s v="NA"/>
    <s v="NA"/>
    <s v="NA"/>
    <s v="NA"/>
    <s v="NA"/>
    <s v="NA"/>
    <s v="NA"/>
    <s v="NA"/>
    <s v="NA"/>
    <s v="NA"/>
  </r>
  <r>
    <n v="644"/>
    <m/>
    <m/>
    <m/>
    <m/>
    <s v="G20"/>
    <s v="Parkinson's disease"/>
    <x v="247"/>
    <s v="F"/>
    <m/>
    <m/>
    <n v="46.496000000000002"/>
    <n v="36.956000000000003"/>
    <n v="83.575999999999993"/>
    <n v="83.233999999999995"/>
    <n v="65.3"/>
    <n v="64.491"/>
    <n v="93.631"/>
    <n v="93.242000000000004"/>
    <n v="64.858000000000004"/>
    <n v="64.322999999999993"/>
    <n v="35.142000000000003"/>
    <n v="35.677"/>
    <n v="13.058999999999999"/>
    <n v="16.792999999999999"/>
    <n v="35.677"/>
    <n v="35.142000000000003"/>
    <n v="11.887"/>
    <n v="14"/>
    <n v="14"/>
    <n v="14"/>
    <n v="14"/>
  </r>
  <r>
    <n v="645"/>
    <m/>
    <m/>
    <m/>
    <m/>
    <s v="G25.0"/>
    <s v="Essential tremor"/>
    <x v="178"/>
    <s v="F"/>
    <m/>
    <m/>
    <n v="51.850999999999999"/>
    <n v="54.753999999999998"/>
    <n v="106.483"/>
    <n v="106.60599999999999"/>
    <n v="94.772000000000006"/>
    <n v="94.629000000000005"/>
    <n v="106.34"/>
    <n v="106.452"/>
    <n v="63.564999999999998"/>
    <n v="62.656999999999996"/>
    <n v="36.435000000000002"/>
    <n v="37.343000000000004"/>
    <n v="13.082000000000001"/>
    <n v="13.451000000000001"/>
    <n v="37.343000000000004"/>
    <n v="36.435000000000002"/>
    <n v="9.7349999999999994"/>
    <n v="11"/>
    <n v="15"/>
    <n v="11"/>
    <n v="11"/>
  </r>
  <r>
    <n v="647"/>
    <m/>
    <m/>
    <m/>
    <m/>
    <s v="G25.0"/>
    <s v="Essential tremor"/>
    <x v="248"/>
    <s v="M"/>
    <m/>
    <m/>
    <n v="32.31"/>
    <n v="36.07"/>
    <n v="68.679000000000002"/>
    <n v="68.635000000000005"/>
    <n v="49.890999999999998"/>
    <n v="49.168999999999997"/>
    <n v="85.501999999999995"/>
    <n v="84.86"/>
    <n v="68.445999999999998"/>
    <n v="68.575000000000003"/>
    <n v="31.553999999999998"/>
    <n v="31.425000000000001"/>
    <n v="19.158999999999999"/>
    <n v="17.745999999999999"/>
    <n v="31.425000000000001"/>
    <n v="31.553999999999998"/>
    <n v="15.007"/>
    <n v="14"/>
    <n v="14"/>
    <n v="14"/>
    <n v="14"/>
  </r>
  <r>
    <n v="648"/>
    <m/>
    <m/>
    <m/>
    <m/>
    <s v="NA"/>
    <s v="NA"/>
    <x v="35"/>
    <s v="NA"/>
    <m/>
    <m/>
    <n v="56.679000000000002"/>
    <n v="54.454999999999998"/>
    <n v="111.255"/>
    <n v="111.345"/>
    <n v="101.322"/>
    <n v="102.03100000000001"/>
    <n v="109.03100000000001"/>
    <n v="109.622"/>
    <n v="62.253"/>
    <n v="61.35"/>
    <n v="37.747"/>
    <n v="38.65"/>
    <n v="11.849"/>
    <n v="12.068"/>
    <n v="38.65"/>
    <n v="37.747"/>
    <n v="12.202999999999999"/>
    <n v="15"/>
    <n v="15"/>
    <n v="15"/>
    <n v="15"/>
  </r>
  <r>
    <n v="649"/>
    <m/>
    <m/>
    <m/>
    <m/>
    <s v="G20"/>
    <s v="Parkinson's disease"/>
    <x v="249"/>
    <s v="M"/>
    <m/>
    <m/>
    <n v="32.624000000000002"/>
    <n v="36.963000000000001"/>
    <n v="69.382000000000005"/>
    <n v="69.988"/>
    <n v="74.986000000000004"/>
    <n v="75.834000000000003"/>
    <n v="129.006"/>
    <n v="129.511"/>
    <n v="63.947000000000003"/>
    <n v="63.65"/>
    <n v="36.052999999999997"/>
    <n v="36.35"/>
    <n v="11.955"/>
    <n v="15.92"/>
    <n v="36.35"/>
    <n v="36.052999999999997"/>
    <n v="16.149999999999999"/>
    <n v="20"/>
    <n v="20"/>
    <n v="20"/>
    <n v="20"/>
  </r>
  <r>
    <n v="650"/>
    <m/>
    <m/>
    <m/>
    <m/>
    <s v="G25.0"/>
    <s v="Essential tremor"/>
    <x v="250"/>
    <s v="M"/>
    <m/>
    <m/>
    <n v="45.744999999999997"/>
    <n v="47.856000000000002"/>
    <n v="94.278000000000006"/>
    <n v="93.504000000000005"/>
    <n v="83.427999999999997"/>
    <n v="83.537999999999997"/>
    <n v="106.28"/>
    <n v="106.78100000000001"/>
    <n v="62.387"/>
    <n v="63.051000000000002"/>
    <n v="37.613"/>
    <n v="36.948999999999998"/>
    <n v="12.648999999999999"/>
    <n v="13.42"/>
    <n v="36.948999999999998"/>
    <n v="37.613"/>
    <n v="10.163"/>
    <n v="18"/>
    <n v="20"/>
    <n v="18"/>
    <n v="18"/>
  </r>
  <r>
    <n v="651"/>
    <m/>
    <m/>
    <m/>
    <m/>
    <s v="G25.0"/>
    <s v="Essential tremor"/>
    <x v="210"/>
    <s v="M"/>
    <m/>
    <m/>
    <s v="NA"/>
    <s v="NA"/>
    <s v="NA"/>
    <s v="NA"/>
    <s v="NA"/>
    <s v="NA"/>
    <s v="NA"/>
    <s v="NA"/>
    <s v="NA"/>
    <s v="NA"/>
    <s v="NA"/>
    <s v="NA"/>
    <s v="NA"/>
    <s v="NA"/>
    <s v="NA"/>
    <s v="NA"/>
    <s v="NA"/>
    <s v="NA"/>
    <s v="NA"/>
    <s v="NA"/>
    <s v="NA"/>
  </r>
  <r>
    <n v="652"/>
    <m/>
    <m/>
    <m/>
    <m/>
    <s v="R25.1"/>
    <s v="Tremor, unspecified"/>
    <x v="169"/>
    <s v="F"/>
    <m/>
    <m/>
    <n v="54.110999999999997"/>
    <n v="52.631999999999998"/>
    <n v="106.767"/>
    <n v="106.871"/>
    <n v="92.15"/>
    <n v="92.066000000000003"/>
    <n v="103.47799999999999"/>
    <n v="103.304"/>
    <n v="64.534000000000006"/>
    <n v="63.908000000000001"/>
    <n v="35.466000000000001"/>
    <n v="36.091999999999999"/>
    <n v="15.172000000000001"/>
    <n v="13.382"/>
    <n v="36.091999999999999"/>
    <n v="35.466000000000001"/>
    <n v="12.273999999999999"/>
    <n v="15"/>
    <n v="15"/>
    <n v="15"/>
    <n v="15"/>
  </r>
  <r>
    <n v="653"/>
    <m/>
    <m/>
    <m/>
    <m/>
    <s v="G20"/>
    <s v="Parkinson's disease"/>
    <x v="251"/>
    <s v="M"/>
    <m/>
    <m/>
    <n v="60.588000000000001"/>
    <n v="60.454999999999998"/>
    <n v="120.864"/>
    <n v="121.093"/>
    <n v="96.334000000000003"/>
    <n v="96.816000000000003"/>
    <n v="95.981999999999999"/>
    <n v="95.572999999999993"/>
    <n v="66.272000000000006"/>
    <n v="65.448999999999998"/>
    <n v="33.728000000000002"/>
    <n v="34.551000000000002"/>
    <n v="16.561"/>
    <n v="15.241"/>
    <n v="34.551000000000002"/>
    <n v="33.728000000000002"/>
    <n v="9.6929999999999996"/>
    <n v="16"/>
    <n v="13"/>
    <n v="13"/>
    <n v="13"/>
  </r>
  <r>
    <n v="654"/>
    <m/>
    <m/>
    <m/>
    <m/>
    <s v="G20"/>
    <s v="Parkinson's disease"/>
    <x v="50"/>
    <s v="M"/>
    <m/>
    <m/>
    <n v="10.87"/>
    <n v="14.063000000000001"/>
    <n v="25.105"/>
    <n v="25.018000000000001"/>
    <n v="23.169"/>
    <n v="23.248000000000001"/>
    <n v="111.84"/>
    <n v="111.428"/>
    <n v="71.019000000000005"/>
    <n v="72.064999999999998"/>
    <n v="28.981000000000002"/>
    <n v="27.934000000000001"/>
    <n v="25.242000000000001"/>
    <n v="17.946000000000002"/>
    <n v="27.934000000000001"/>
    <n v="28.981000000000002"/>
    <n v="13.09"/>
    <n v="24"/>
    <n v="24"/>
    <n v="24"/>
    <n v="24"/>
  </r>
  <r>
    <n v="655"/>
    <m/>
    <m/>
    <m/>
    <m/>
    <s v="G25.2"/>
    <s v="Other specified forms of tremor"/>
    <x v="252"/>
    <s v="F"/>
    <m/>
    <m/>
    <s v="NA"/>
    <s v="NA"/>
    <s v="NA"/>
    <s v="NA"/>
    <s v="NA"/>
    <s v="NA"/>
    <s v="NA"/>
    <s v="NA"/>
    <s v="NA"/>
    <s v="NA"/>
    <s v="NA"/>
    <s v="NA"/>
    <s v="NA"/>
    <s v="NA"/>
    <s v="NA"/>
    <s v="NA"/>
    <s v="NA"/>
    <s v="NA"/>
    <s v="NA"/>
    <s v="NA"/>
    <s v="NA"/>
  </r>
  <r>
    <n v="656"/>
    <m/>
    <m/>
    <m/>
    <m/>
    <s v="G25.0"/>
    <s v="Essential tremor"/>
    <x v="253"/>
    <s v="M"/>
    <m/>
    <m/>
    <n v="60.171999999999997"/>
    <n v="59.912999999999997"/>
    <n v="120.167"/>
    <n v="120.22"/>
    <n v="105.623"/>
    <n v="105.453"/>
    <n v="105.761"/>
    <n v="105.389"/>
    <n v="62.453000000000003"/>
    <n v="62.783000000000001"/>
    <n v="37.546999999999997"/>
    <n v="37.216999999999999"/>
    <n v="13.164999999999999"/>
    <n v="12.252000000000001"/>
    <n v="37.216999999999999"/>
    <n v="37.546999999999997"/>
    <n v="11.718999999999999"/>
    <n v="20"/>
    <n v="15"/>
    <n v="15"/>
    <n v="15"/>
  </r>
  <r>
    <n v="658"/>
    <m/>
    <m/>
    <m/>
    <m/>
    <s v="R25.1"/>
    <s v="Tremor, unspecified"/>
    <x v="254"/>
    <s v="F"/>
    <m/>
    <m/>
    <n v="28.06"/>
    <n v="34.768999999999998"/>
    <n v="63.241"/>
    <n v="62.55"/>
    <n v="50.076999999999998"/>
    <n v="48.75"/>
    <n v="94.552999999999997"/>
    <n v="92.831000000000003"/>
    <n v="71.138000000000005"/>
    <n v="70.087999999999994"/>
    <n v="28.861999999999998"/>
    <n v="29.911999999999999"/>
    <n v="21.696000000000002"/>
    <n v="19.728999999999999"/>
    <n v="29.911999999999999"/>
    <n v="28.861999999999998"/>
    <n v="22.378"/>
    <n v="15"/>
    <n v="14"/>
    <n v="14"/>
    <n v="14"/>
  </r>
  <r>
    <n v="659"/>
    <m/>
    <m/>
    <m/>
    <m/>
    <s v="G20"/>
    <s v="Parkinson's disease"/>
    <x v="29"/>
    <s v="F"/>
    <m/>
    <m/>
    <n v="49.661999999999999"/>
    <n v="49.539000000000001"/>
    <n v="99.132999999999996"/>
    <n v="99.667000000000002"/>
    <n v="94.677000000000007"/>
    <n v="95.087000000000003"/>
    <n v="113.767"/>
    <n v="114.328"/>
    <n v="62.378"/>
    <n v="63.817"/>
    <n v="37.622"/>
    <n v="36.183"/>
    <n v="12.695"/>
    <n v="13.686999999999999"/>
    <n v="36.183"/>
    <n v="37.622"/>
    <n v="8.2759999999999998"/>
    <n v="12"/>
    <n v="12"/>
    <n v="12"/>
    <n v="12"/>
  </r>
  <r>
    <n v="660"/>
    <m/>
    <m/>
    <m/>
    <m/>
    <s v="G24.9"/>
    <s v="Dystonia, unspecified"/>
    <x v="79"/>
    <s v="M"/>
    <m/>
    <m/>
    <n v="65.573999999999998"/>
    <n v="62.185000000000002"/>
    <n v="128.09200000000001"/>
    <n v="127.82899999999999"/>
    <n v="105.94499999999999"/>
    <n v="105.806"/>
    <n v="98.575999999999993"/>
    <n v="98.480999999999995"/>
    <n v="63.048999999999999"/>
    <n v="64.194000000000003"/>
    <n v="36.951000000000001"/>
    <n v="35.805999999999997"/>
    <n v="12.237"/>
    <n v="15.539"/>
    <n v="35.805999999999997"/>
    <n v="36.951000000000001"/>
    <n v="16.547999999999998"/>
    <n v="8"/>
    <n v="7"/>
    <n v="7"/>
    <n v="7"/>
  </r>
  <r>
    <n v="661"/>
    <m/>
    <m/>
    <m/>
    <m/>
    <s v="G20"/>
    <s v="Parkinson's disease"/>
    <x v="176"/>
    <s v="M"/>
    <m/>
    <m/>
    <n v="39.783999999999999"/>
    <n v="46.058999999999997"/>
    <n v="85.372"/>
    <n v="86.314999999999998"/>
    <n v="85.638000000000005"/>
    <n v="86.182000000000002"/>
    <n v="121.044"/>
    <n v="118.98"/>
    <n v="64.813000000000002"/>
    <n v="65.373000000000005"/>
    <n v="35.186999999999998"/>
    <n v="34.627000000000002"/>
    <n v="15.407"/>
    <n v="15.023999999999999"/>
    <n v="34.627000000000002"/>
    <n v="35.186999999999998"/>
    <n v="15.446"/>
    <n v="14"/>
    <n v="15"/>
    <n v="14"/>
    <n v="14"/>
  </r>
  <r>
    <n v="662"/>
    <m/>
    <m/>
    <m/>
    <m/>
    <s v="G25.0"/>
    <s v="Essential tremor"/>
    <x v="204"/>
    <s v="F"/>
    <m/>
    <m/>
    <n v="29.082999999999998"/>
    <n v="28.998999999999999"/>
    <n v="58.511000000000003"/>
    <n v="57.962000000000003"/>
    <n v="56.387999999999998"/>
    <n v="56.722999999999999"/>
    <n v="116.026"/>
    <n v="116.029"/>
    <n v="68.548000000000002"/>
    <n v="67.135000000000005"/>
    <n v="31.452000000000002"/>
    <n v="32.865000000000002"/>
    <n v="16.655000000000001"/>
    <n v="18.655999999999999"/>
    <n v="32.865000000000002"/>
    <n v="31.452000000000002"/>
    <n v="18.896000000000001"/>
    <n v="17"/>
    <n v="17"/>
    <n v="17"/>
    <n v="17"/>
  </r>
  <r>
    <n v="663"/>
    <m/>
    <m/>
    <m/>
    <m/>
    <s v="NA"/>
    <s v="NA"/>
    <x v="35"/>
    <s v="NA"/>
    <m/>
    <m/>
    <n v="58.301000000000002"/>
    <n v="57.912999999999997"/>
    <n v="115.114"/>
    <n v="116.776"/>
    <n v="98.257000000000005"/>
    <n v="98.463999999999999"/>
    <n v="102.334"/>
    <n v="101.404"/>
    <n v="62.131"/>
    <n v="61.725999999999999"/>
    <n v="37.869"/>
    <n v="38.274000000000001"/>
    <n v="12.51"/>
    <n v="12.484999999999999"/>
    <n v="38.274000000000001"/>
    <n v="37.869"/>
    <n v="9.0079999999999991"/>
    <n v="6"/>
    <n v="9"/>
    <n v="6"/>
    <n v="6"/>
  </r>
  <r>
    <n v="664"/>
    <m/>
    <m/>
    <m/>
    <m/>
    <s v="G20"/>
    <s v="Parkinson's disease"/>
    <x v="74"/>
    <s v="M"/>
    <m/>
    <m/>
    <n v="65.42"/>
    <n v="64.661000000000001"/>
    <n v="130.476"/>
    <n v="130.22200000000001"/>
    <n v="123.65"/>
    <n v="123.944"/>
    <n v="113.044"/>
    <n v="113.809"/>
    <n v="61.110999999999997"/>
    <n v="61.284999999999997"/>
    <n v="38.889000000000003"/>
    <n v="38.715000000000003"/>
    <n v="11.590999999999999"/>
    <n v="10.82"/>
    <n v="38.715000000000003"/>
    <n v="38.889000000000003"/>
    <n v="9.1780000000000008"/>
    <n v="9"/>
    <n v="10"/>
    <n v="9"/>
    <n v="9"/>
  </r>
  <r>
    <n v="665"/>
    <m/>
    <m/>
    <m/>
    <m/>
    <s v="R25.1"/>
    <s v="Tremor, unspecified"/>
    <x v="255"/>
    <s v="F"/>
    <m/>
    <m/>
    <n v="52.000999999999998"/>
    <n v="53.3"/>
    <n v="105.57899999999999"/>
    <n v="105.197"/>
    <n v="95.180999999999997"/>
    <n v="94.947000000000003"/>
    <n v="108.071"/>
    <n v="108.455"/>
    <n v="62.448999999999998"/>
    <n v="63.238"/>
    <n v="37.551000000000002"/>
    <n v="36.762"/>
    <n v="14.08"/>
    <n v="12.920999999999999"/>
    <n v="36.762"/>
    <n v="37.551000000000002"/>
    <n v="10.808"/>
    <n v="12"/>
    <n v="12"/>
    <n v="12"/>
    <n v="12"/>
  </r>
  <r>
    <n v="666"/>
    <m/>
    <m/>
    <m/>
    <m/>
    <s v="R25.1"/>
    <s v="Tremor, unspecified"/>
    <x v="256"/>
    <s v="F"/>
    <m/>
    <m/>
    <n v="42.664000000000001"/>
    <n v="33.427999999999997"/>
    <n v="76.052999999999997"/>
    <n v="75.369"/>
    <n v="65.584999999999994"/>
    <n v="64.869"/>
    <n v="104.411"/>
    <n v="103.224"/>
    <n v="67.754000000000005"/>
    <n v="64.102000000000004"/>
    <n v="32.246000000000002"/>
    <n v="35.898000000000003"/>
    <n v="18.341999999999999"/>
    <n v="14.49"/>
    <n v="35.898000000000003"/>
    <n v="32.246000000000002"/>
    <n v="12.933999999999999"/>
    <n v="16"/>
    <n v="16"/>
    <n v="16"/>
    <n v="16"/>
  </r>
  <r>
    <n v="667"/>
    <m/>
    <m/>
    <m/>
    <m/>
    <s v="G20"/>
    <s v="Parkinson's disease"/>
    <x v="257"/>
    <s v="M"/>
    <m/>
    <m/>
    <s v="NA"/>
    <s v="NA"/>
    <s v="NA"/>
    <s v="NA"/>
    <s v="NA"/>
    <s v="NA"/>
    <s v="NA"/>
    <s v="NA"/>
    <s v="NA"/>
    <s v="NA"/>
    <s v="NA"/>
    <s v="NA"/>
    <s v="NA"/>
    <s v="NA"/>
    <s v="NA"/>
    <s v="NA"/>
    <s v="NA"/>
    <s v="NA"/>
    <s v="NA"/>
    <s v="NA"/>
    <s v="NA"/>
  </r>
  <r>
    <n v="668"/>
    <m/>
    <m/>
    <m/>
    <m/>
    <s v="G20"/>
    <s v="Parkinson's disease"/>
    <x v="170"/>
    <s v="M"/>
    <m/>
    <m/>
    <n v="45.055999999999997"/>
    <n v="42.816000000000003"/>
    <n v="86.748000000000005"/>
    <n v="88.51"/>
    <n v="88.620999999999995"/>
    <n v="89.334999999999994"/>
    <n v="124.277"/>
    <n v="123.232"/>
    <n v="62.935000000000002"/>
    <n v="60.777999999999999"/>
    <n v="37.064999999999998"/>
    <n v="39.222000000000001"/>
    <n v="14.105"/>
    <n v="10.58"/>
    <n v="39.222000000000001"/>
    <n v="37.064999999999998"/>
    <n v="13.348000000000001"/>
    <n v="12"/>
    <n v="13"/>
    <n v="12"/>
    <n v="12"/>
  </r>
  <r>
    <n v="669"/>
    <m/>
    <m/>
    <m/>
    <m/>
    <s v="G20"/>
    <s v="Parkinson's disease"/>
    <x v="31"/>
    <s v="M"/>
    <m/>
    <m/>
    <n v="44.878"/>
    <n v="46.98"/>
    <n v="93.448999999999998"/>
    <n v="90.816999999999993"/>
    <n v="73.534999999999997"/>
    <n v="72.796999999999997"/>
    <n v="95.123999999999995"/>
    <n v="95.653999999999996"/>
    <n v="66.747"/>
    <n v="62.616999999999997"/>
    <n v="33.253"/>
    <n v="37.383000000000003"/>
    <n v="14.699"/>
    <n v="15.435"/>
    <n v="37.383000000000003"/>
    <n v="33.253"/>
    <n v="8.75"/>
    <n v="11"/>
    <n v="13"/>
    <n v="11"/>
    <n v="11"/>
  </r>
  <r>
    <n v="670"/>
    <m/>
    <m/>
    <m/>
    <m/>
    <s v="NA"/>
    <s v="NA"/>
    <x v="35"/>
    <s v="NA"/>
    <m/>
    <m/>
    <n v="57.481000000000002"/>
    <n v="56.652000000000001"/>
    <n v="114.25"/>
    <n v="114.276"/>
    <n v="104.605"/>
    <n v="105.01300000000001"/>
    <n v="110.53700000000001"/>
    <n v="110.989"/>
    <n v="63.158000000000001"/>
    <n v="65.179000000000002"/>
    <n v="36.841999999999999"/>
    <n v="34.820999999999998"/>
    <n v="12.507"/>
    <n v="16.09"/>
    <n v="34.820999999999998"/>
    <n v="36.841999999999999"/>
    <n v="11.055999999999999"/>
    <n v="10"/>
    <n v="10"/>
    <n v="10"/>
    <n v="10"/>
  </r>
  <r>
    <n v="671"/>
    <m/>
    <m/>
    <m/>
    <m/>
    <s v="NA"/>
    <s v="NA"/>
    <x v="35"/>
    <s v="NA"/>
    <m/>
    <m/>
    <n v="37.915999999999997"/>
    <n v="38.594999999999999"/>
    <n v="76.325000000000003"/>
    <n v="76.444999999999993"/>
    <n v="62.881999999999998"/>
    <n v="63.677"/>
    <n v="99.183999999999997"/>
    <n v="99.775000000000006"/>
    <n v="66.128"/>
    <n v="67.272000000000006"/>
    <n v="33.872"/>
    <n v="32.728000000000002"/>
    <n v="15.702999999999999"/>
    <n v="17.876999999999999"/>
    <n v="32.728000000000002"/>
    <n v="33.872"/>
    <n v="12.89"/>
    <n v="15"/>
    <n v="18"/>
    <n v="15"/>
    <n v="15"/>
  </r>
  <r>
    <n v="672"/>
    <m/>
    <m/>
    <m/>
    <m/>
    <s v="G20"/>
    <s v="Parkinson's disease"/>
    <x v="258"/>
    <s v="F"/>
    <m/>
    <m/>
    <s v="NA"/>
    <s v="NA"/>
    <s v="NA"/>
    <s v="NA"/>
    <s v="NA"/>
    <s v="NA"/>
    <s v="NA"/>
    <s v="NA"/>
    <s v="NA"/>
    <s v="NA"/>
    <s v="NA"/>
    <s v="NA"/>
    <s v="NA"/>
    <s v="NA"/>
    <s v="NA"/>
    <s v="NA"/>
    <s v="NA"/>
    <s v="NA"/>
    <s v="NA"/>
    <s v="NA"/>
    <s v="NA"/>
  </r>
  <r>
    <n v="673"/>
    <m/>
    <m/>
    <m/>
    <m/>
    <s v="G20"/>
    <s v="Parkinson's disease"/>
    <x v="37"/>
    <s v="M"/>
    <m/>
    <m/>
    <s v="NA"/>
    <s v="NA"/>
    <s v="NA"/>
    <s v="NA"/>
    <s v="NA"/>
    <s v="NA"/>
    <s v="NA"/>
    <s v="NA"/>
    <s v="NA"/>
    <s v="NA"/>
    <s v="NA"/>
    <s v="NA"/>
    <s v="NA"/>
    <s v="NA"/>
    <s v="NA"/>
    <s v="NA"/>
    <s v="NA"/>
    <s v="NA"/>
    <s v="NA"/>
    <s v="NA"/>
    <s v="NA"/>
  </r>
  <r>
    <n v="674"/>
    <m/>
    <m/>
    <m/>
    <m/>
    <s v="G20"/>
    <s v="Parkinson's disease"/>
    <x v="154"/>
    <s v="F"/>
    <m/>
    <m/>
    <n v="38.545000000000002"/>
    <n v="34.243000000000002"/>
    <n v="72.584999999999994"/>
    <n v="72.935000000000002"/>
    <n v="57.7"/>
    <n v="58.265000000000001"/>
    <n v="95.337000000000003"/>
    <n v="96.132000000000005"/>
    <n v="68.649000000000001"/>
    <n v="68.11"/>
    <n v="31.350999999999999"/>
    <n v="31.89"/>
    <n v="17.986999999999998"/>
    <n v="18.844000000000001"/>
    <n v="31.89"/>
    <n v="31.350999999999999"/>
    <n v="6.16"/>
    <n v="15"/>
    <n v="15"/>
    <n v="15"/>
    <n v="15"/>
  </r>
  <r>
    <n v="675"/>
    <m/>
    <m/>
    <m/>
    <m/>
    <s v="G20"/>
    <s v="Parkinson's disease"/>
    <x v="67"/>
    <s v="M"/>
    <m/>
    <m/>
    <n v="33.228000000000002"/>
    <n v="34.131"/>
    <n v="67.09"/>
    <n v="67.197000000000003"/>
    <n v="72.057000000000002"/>
    <n v="71.600999999999999"/>
    <n v="129.023"/>
    <n v="128.30099999999999"/>
    <n v="65.064999999999998"/>
    <n v="62.588999999999999"/>
    <n v="34.935000000000002"/>
    <n v="37.411000000000001"/>
    <n v="14.442"/>
    <n v="13.105"/>
    <n v="37.411000000000001"/>
    <n v="34.935000000000002"/>
    <n v="8.5060000000000002"/>
    <n v="15"/>
    <n v="14"/>
    <n v="14"/>
    <n v="14"/>
  </r>
  <r>
    <n v="676"/>
    <m/>
    <m/>
    <m/>
    <m/>
    <s v="NA"/>
    <s v="NA"/>
    <x v="115"/>
    <s v="M"/>
    <m/>
    <m/>
    <n v="27.167000000000002"/>
    <n v="24.486000000000001"/>
    <n v="51.087000000000003"/>
    <n v="52.017000000000003"/>
    <n v="57.527000000000001"/>
    <n v="57.68"/>
    <n v="134.21600000000001"/>
    <n v="132.65"/>
    <n v="67.197000000000003"/>
    <n v="63.731999999999999"/>
    <n v="32.802999999999997"/>
    <n v="36.268000000000001"/>
    <n v="15.756"/>
    <n v="15.079000000000001"/>
    <n v="36.268000000000001"/>
    <n v="32.802999999999997"/>
    <n v="9.0820000000000007"/>
    <n v="16"/>
    <n v="15"/>
    <n v="15"/>
    <n v="15"/>
  </r>
  <r>
    <n v="677"/>
    <m/>
    <m/>
    <m/>
    <m/>
    <s v="NA"/>
    <s v="NA"/>
    <x v="7"/>
    <s v="M"/>
    <m/>
    <m/>
    <n v="53.936999999999998"/>
    <n v="54.241999999999997"/>
    <n v="108.30500000000001"/>
    <n v="107.7"/>
    <n v="93.397999999999996"/>
    <n v="93.897999999999996"/>
    <n v="103.092"/>
    <n v="103.181"/>
    <n v="63.651000000000003"/>
    <n v="63.838999999999999"/>
    <n v="36.348999999999997"/>
    <n v="36.161000000000001"/>
    <n v="13.657"/>
    <n v="13.965999999999999"/>
    <n v="36.161000000000001"/>
    <n v="36.348999999999997"/>
    <n v="7.7919999999999998"/>
    <n v="10"/>
    <n v="8"/>
    <n v="8"/>
    <n v="8"/>
  </r>
  <r>
    <n v="678"/>
    <m/>
    <m/>
    <m/>
    <m/>
    <s v="R26.9"/>
    <s v="Unspecified abnormalities of gait and mobility"/>
    <x v="130"/>
    <s v="M"/>
    <m/>
    <m/>
    <n v="24.012"/>
    <n v="20.741"/>
    <n v="44.570999999999998"/>
    <n v="45.273000000000003"/>
    <n v="40.701999999999998"/>
    <n v="41.048000000000002"/>
    <n v="108.455"/>
    <n v="108.776"/>
    <n v="70.299000000000007"/>
    <n v="69.718999999999994"/>
    <n v="29.701000000000001"/>
    <n v="30.280999999999999"/>
    <n v="21.276"/>
    <n v="18.817"/>
    <n v="30.280999999999999"/>
    <n v="29.701000000000001"/>
    <n v="21.562000000000001"/>
    <n v="23"/>
    <n v="21"/>
    <n v="21"/>
    <n v="21"/>
  </r>
  <r>
    <n v="679"/>
    <m/>
    <m/>
    <m/>
    <m/>
    <s v="NA"/>
    <s v="NA"/>
    <x v="35"/>
    <s v="NA"/>
    <m/>
    <m/>
    <n v="52.048999999999999"/>
    <n v="42.981000000000002"/>
    <n v="95.763999999999996"/>
    <n v="94.861999999999995"/>
    <n v="76.581000000000003"/>
    <n v="76.31"/>
    <n v="96.052999999999997"/>
    <n v="97.15"/>
    <n v="66.364000000000004"/>
    <n v="66.933999999999997"/>
    <n v="33.636000000000003"/>
    <n v="33.066000000000003"/>
    <n v="16.213999999999999"/>
    <n v="17.763999999999999"/>
    <n v="33.066000000000003"/>
    <n v="33.636000000000003"/>
    <n v="9.0559999999999992"/>
    <n v="11"/>
    <n v="11"/>
    <n v="11"/>
    <n v="11"/>
  </r>
  <r>
    <n v="680"/>
    <m/>
    <m/>
    <m/>
    <m/>
    <s v="NA"/>
    <s v="NA"/>
    <x v="35"/>
    <s v="NA"/>
    <m/>
    <m/>
    <n v="46.326999999999998"/>
    <n v="47.472000000000001"/>
    <n v="94.456000000000003"/>
    <n v="93.695999999999998"/>
    <n v="93.228999999999999"/>
    <n v="93.165000000000006"/>
    <n v="117.636"/>
    <n v="118.175"/>
    <n v="66.614000000000004"/>
    <n v="65.456000000000003"/>
    <n v="33.386000000000003"/>
    <n v="34.543999999999997"/>
    <n v="16.561"/>
    <n v="15.244999999999999"/>
    <n v="34.543999999999997"/>
    <n v="33.386000000000003"/>
    <n v="16.78"/>
    <n v="10"/>
    <n v="14"/>
    <n v="10"/>
    <n v="10"/>
  </r>
  <r>
    <n v="681"/>
    <m/>
    <m/>
    <m/>
    <m/>
    <s v="R25.1"/>
    <s v="Tremor, unspecified"/>
    <x v="14"/>
    <s v="F"/>
    <m/>
    <m/>
    <s v="NA"/>
    <s v="NA"/>
    <s v="NA"/>
    <s v="NA"/>
    <s v="NA"/>
    <s v="NA"/>
    <s v="NA"/>
    <s v="NA"/>
    <s v="NA"/>
    <s v="NA"/>
    <s v="NA"/>
    <s v="NA"/>
    <s v="NA"/>
    <s v="NA"/>
    <s v="NA"/>
    <s v="NA"/>
    <s v="NA"/>
    <s v="NA"/>
    <s v="NA"/>
    <s v="NA"/>
    <s v="NA"/>
  </r>
  <r>
    <n v="682"/>
    <m/>
    <m/>
    <m/>
    <m/>
    <s v="G25.0"/>
    <s v="Essential tremor"/>
    <x v="97"/>
    <s v="F"/>
    <m/>
    <m/>
    <n v="35.64"/>
    <n v="35.524999999999999"/>
    <n v="71.353999999999999"/>
    <n v="70.92"/>
    <n v="59.792000000000002"/>
    <n v="59.927"/>
    <n v="100.89"/>
    <n v="101.199"/>
    <n v="69.567999999999998"/>
    <n v="71.453999999999994"/>
    <n v="30.431999999999999"/>
    <n v="28.545999999999999"/>
    <n v="19.306999999999999"/>
    <n v="21.524999999999999"/>
    <n v="28.545999999999999"/>
    <n v="30.431999999999999"/>
    <n v="15.042"/>
    <n v="15"/>
    <n v="14"/>
    <n v="14"/>
    <n v="14"/>
  </r>
  <r>
    <n v="683"/>
    <m/>
    <m/>
    <m/>
    <m/>
    <s v="G20"/>
    <s v="Parkinson's disease"/>
    <x v="3"/>
    <s v="M"/>
    <m/>
    <m/>
    <n v="73.376000000000005"/>
    <n v="71.599000000000004"/>
    <n v="145.54599999999999"/>
    <n v="144.97499999999999"/>
    <n v="132.73500000000001"/>
    <n v="131.035"/>
    <n v="107.96"/>
    <n v="108.127"/>
    <n v="62.368000000000002"/>
    <n v="61.262"/>
    <n v="37.631999999999998"/>
    <n v="38.738"/>
    <n v="12.744999999999999"/>
    <n v="11.477"/>
    <n v="38.738"/>
    <n v="37.631999999999998"/>
    <n v="9.9939999999999998"/>
    <n v="5"/>
    <n v="10"/>
    <n v="5"/>
    <n v="5"/>
  </r>
  <r>
    <n v="684"/>
    <m/>
    <m/>
    <m/>
    <m/>
    <s v="G24.3"/>
    <s v="Spasmodic torticollis"/>
    <x v="170"/>
    <s v="F"/>
    <m/>
    <m/>
    <n v="52.576000000000001"/>
    <n v="49.305999999999997"/>
    <n v="102.276"/>
    <n v="102.36799999999999"/>
    <n v="93.739000000000004"/>
    <n v="93.239000000000004"/>
    <n v="109.562"/>
    <n v="109.34099999999999"/>
    <n v="63.804000000000002"/>
    <n v="62.866"/>
    <n v="36.195999999999998"/>
    <n v="37.134"/>
    <n v="13.178000000000001"/>
    <n v="13.951000000000001"/>
    <n v="37.134"/>
    <n v="36.195999999999998"/>
    <n v="8.35"/>
    <n v="12"/>
    <n v="13"/>
    <n v="12"/>
    <n v="12"/>
  </r>
  <r>
    <n v="685"/>
    <m/>
    <m/>
    <m/>
    <m/>
    <s v="NA"/>
    <s v="NA"/>
    <x v="35"/>
    <s v="NA"/>
    <m/>
    <m/>
    <n v="17.933"/>
    <n v="25.247"/>
    <n v="43.523000000000003"/>
    <n v="42.613"/>
    <n v="38.877000000000002"/>
    <n v="38.246000000000002"/>
    <n v="107.28"/>
    <n v="107.91800000000001"/>
    <n v="69.524000000000001"/>
    <n v="67.132000000000005"/>
    <n v="30.477"/>
    <n v="32.868000000000002"/>
    <n v="17.332999999999998"/>
    <n v="19.777999999999999"/>
    <n v="32.868000000000002"/>
    <n v="30.477"/>
    <n v="12.744"/>
    <n v="18"/>
    <n v="17"/>
    <n v="17"/>
    <n v="17"/>
  </r>
  <r>
    <n v="686"/>
    <m/>
    <m/>
    <m/>
    <m/>
    <s v="G20"/>
    <s v="Parkinson's disease"/>
    <x v="23"/>
    <s v="F"/>
    <m/>
    <m/>
    <n v="40.957000000000001"/>
    <n v="38.142000000000003"/>
    <n v="78.727000000000004"/>
    <n v="79.162999999999997"/>
    <n v="62.633000000000003"/>
    <n v="61.981999999999999"/>
    <n v="94.686000000000007"/>
    <n v="94.201999999999998"/>
    <n v="67.721999999999994"/>
    <n v="64.884"/>
    <n v="32.277999999999999"/>
    <n v="35.116"/>
    <n v="14.385999999999999"/>
    <n v="18.573"/>
    <n v="35.116"/>
    <n v="32.277999999999999"/>
    <n v="11.272"/>
    <n v="15"/>
    <n v="15"/>
    <n v="15"/>
    <n v="15"/>
  </r>
  <r>
    <n v="687"/>
    <m/>
    <m/>
    <m/>
    <m/>
    <s v="G20"/>
    <s v="Parkinson's disease"/>
    <x v="259"/>
    <s v="F"/>
    <m/>
    <m/>
    <n v="40.165999999999997"/>
    <n v="32.773000000000003"/>
    <n v="72.641999999999996"/>
    <n v="72.921999999999997"/>
    <n v="64.793000000000006"/>
    <n v="64.486000000000004"/>
    <n v="106.51900000000001"/>
    <n v="105.889"/>
    <n v="64.096000000000004"/>
    <n v="66.918000000000006"/>
    <n v="35.904000000000003"/>
    <n v="33.082000000000001"/>
    <n v="15.81"/>
    <n v="16.007999999999999"/>
    <n v="33.082000000000001"/>
    <n v="35.904000000000003"/>
    <n v="8.1620000000000008"/>
    <n v="16"/>
    <n v="16"/>
    <n v="16"/>
    <n v="16"/>
  </r>
  <r>
    <n v="688"/>
    <m/>
    <m/>
    <m/>
    <m/>
    <s v="G20"/>
    <s v="Parkinson's disease"/>
    <x v="199"/>
    <s v="F"/>
    <m/>
    <m/>
    <s v="NA"/>
    <s v="NA"/>
    <s v="NA"/>
    <s v="NA"/>
    <s v="NA"/>
    <s v="NA"/>
    <s v="NA"/>
    <s v="NA"/>
    <s v="NA"/>
    <s v="NA"/>
    <s v="NA"/>
    <s v="NA"/>
    <s v="NA"/>
    <s v="NA"/>
    <s v="NA"/>
    <s v="NA"/>
    <s v="NA"/>
    <s v="NA"/>
    <s v="NA"/>
    <s v="NA"/>
    <s v="NA"/>
  </r>
  <r>
    <n v="689"/>
    <m/>
    <m/>
    <m/>
    <m/>
    <s v="G20"/>
    <s v="Parkinson's disease"/>
    <x v="146"/>
    <s v="M"/>
    <m/>
    <m/>
    <n v="50.454999999999998"/>
    <n v="53.674999999999997"/>
    <n v="104.358"/>
    <n v="103.279"/>
    <n v="84.363"/>
    <n v="84.408000000000001"/>
    <n v="95.683000000000007"/>
    <n v="97.691999999999993"/>
    <n v="66.040000000000006"/>
    <n v="64.052000000000007"/>
    <n v="33.96"/>
    <n v="35.948"/>
    <n v="15.111000000000001"/>
    <n v="14.683999999999999"/>
    <n v="35.948"/>
    <n v="33.96"/>
    <n v="12.18"/>
    <n v="12"/>
    <n v="12"/>
    <n v="12"/>
    <n v="12"/>
  </r>
  <r>
    <n v="690"/>
    <m/>
    <m/>
    <m/>
    <m/>
    <s v="G20"/>
    <s v="Parkinson's disease"/>
    <x v="260"/>
    <s v="F"/>
    <m/>
    <m/>
    <s v="NA"/>
    <s v="NA"/>
    <s v="NA"/>
    <s v="NA"/>
    <s v="NA"/>
    <s v="NA"/>
    <s v="NA"/>
    <s v="NA"/>
    <s v="NA"/>
    <s v="NA"/>
    <s v="NA"/>
    <s v="NA"/>
    <s v="NA"/>
    <s v="NA"/>
    <s v="NA"/>
    <s v="NA"/>
    <s v="NA"/>
    <s v="NA"/>
    <s v="NA"/>
    <s v="NA"/>
    <s v="NA"/>
  </r>
  <r>
    <n v="691"/>
    <m/>
    <m/>
    <m/>
    <m/>
    <s v="G24.8"/>
    <s v="Other dystonia"/>
    <x v="261"/>
    <s v="M"/>
    <m/>
    <m/>
    <n v="58.752000000000002"/>
    <n v="54.978999999999999"/>
    <n v="114.42700000000001"/>
    <n v="113.369"/>
    <n v="105.84699999999999"/>
    <n v="105.476"/>
    <n v="110.59"/>
    <n v="111.328"/>
    <n v="62.290999999999997"/>
    <n v="62.606000000000002"/>
    <n v="37.709000000000003"/>
    <n v="37.393999999999998"/>
    <n v="13.565"/>
    <n v="11.742000000000001"/>
    <n v="37.393999999999998"/>
    <n v="37.709000000000003"/>
    <n v="17.585999999999999"/>
    <n v="9"/>
    <n v="10"/>
    <n v="9"/>
    <n v="9"/>
  </r>
  <r>
    <n v="692"/>
    <m/>
    <m/>
    <m/>
    <m/>
    <s v="G25.0"/>
    <s v="Essential tremor"/>
    <x v="8"/>
    <s v="F"/>
    <m/>
    <m/>
    <s v="NA"/>
    <s v="NA"/>
    <s v="NA"/>
    <s v="NA"/>
    <s v="NA"/>
    <s v="NA"/>
    <s v="NA"/>
    <s v="NA"/>
    <s v="NA"/>
    <s v="NA"/>
    <s v="NA"/>
    <s v="NA"/>
    <s v="NA"/>
    <s v="NA"/>
    <s v="NA"/>
    <s v="NA"/>
    <s v="NA"/>
    <s v="NA"/>
    <s v="NA"/>
    <s v="NA"/>
    <s v="NA"/>
  </r>
  <r>
    <n v="693"/>
    <m/>
    <m/>
    <m/>
    <m/>
    <s v="NA"/>
    <s v="NA"/>
    <x v="183"/>
    <s v="M"/>
    <m/>
    <m/>
    <s v="NA"/>
    <s v="NA"/>
    <s v="NA"/>
    <s v="NA"/>
    <s v="NA"/>
    <s v="NA"/>
    <s v="NA"/>
    <s v="NA"/>
    <s v="NA"/>
    <s v="NA"/>
    <s v="NA"/>
    <s v="NA"/>
    <s v="NA"/>
    <s v="NA"/>
    <s v="NA"/>
    <s v="NA"/>
    <s v="NA"/>
    <s v="NA"/>
    <s v="NA"/>
    <s v="NA"/>
    <s v="NA"/>
  </r>
  <r>
    <n v="694"/>
    <m/>
    <m/>
    <m/>
    <m/>
    <s v="G20"/>
    <s v="Parkinson's disease"/>
    <x v="262"/>
    <s v="M"/>
    <m/>
    <m/>
    <n v="45.411999999999999"/>
    <n v="62.674999999999997"/>
    <n v="108.248"/>
    <n v="108.633"/>
    <n v="83.222999999999999"/>
    <n v="83.28"/>
    <n v="92.158000000000001"/>
    <n v="91.521000000000001"/>
    <n v="65.388000000000005"/>
    <n v="69.911000000000001"/>
    <n v="34.612000000000002"/>
    <n v="30.088999999999999"/>
    <n v="17.795000000000002"/>
    <n v="17.431999999999999"/>
    <n v="30.088999999999999"/>
    <n v="34.612000000000002"/>
    <n v="13.4"/>
    <n v="11"/>
    <n v="11"/>
    <n v="11"/>
    <n v="11"/>
  </r>
  <r>
    <n v="695"/>
    <m/>
    <m/>
    <m/>
    <m/>
    <s v="G20"/>
    <s v="Parkinson's disease"/>
    <x v="263"/>
    <s v="M"/>
    <m/>
    <m/>
    <n v="21.760999999999999"/>
    <n v="46.603000000000002"/>
    <n v="68.200999999999993"/>
    <n v="68.408000000000001"/>
    <n v="72.346000000000004"/>
    <n v="71.849000000000004"/>
    <n v="124.595"/>
    <n v="125.17"/>
    <n v="66.19"/>
    <n v="61.832000000000001"/>
    <n v="33.81"/>
    <n v="38.167999999999999"/>
    <n v="12.874000000000001"/>
    <n v="14.249000000000001"/>
    <n v="38.167999999999999"/>
    <n v="33.81"/>
    <n v="13.99"/>
    <n v="18"/>
    <n v="17"/>
    <n v="17"/>
    <n v="17"/>
  </r>
  <r>
    <n v="696"/>
    <m/>
    <m/>
    <m/>
    <m/>
    <s v="R26.89"/>
    <s v="Other abnormalities of gait and mobility"/>
    <x v="264"/>
    <s v="M"/>
    <m/>
    <m/>
    <n v="43.634"/>
    <n v="37.85"/>
    <n v="81.447999999999993"/>
    <n v="82.441999999999993"/>
    <n v="60.762"/>
    <n v="61.393000000000001"/>
    <n v="89.644999999999996"/>
    <n v="89.619"/>
    <n v="66.56"/>
    <n v="70.391000000000005"/>
    <n v="33.44"/>
    <n v="29.609000000000002"/>
    <n v="18.896999999999998"/>
    <n v="18.268000000000001"/>
    <n v="29.609000000000002"/>
    <n v="33.44"/>
    <n v="9.5380000000000003"/>
    <n v="13"/>
    <n v="12"/>
    <n v="12"/>
    <n v="12"/>
  </r>
  <r>
    <n v="697"/>
    <m/>
    <m/>
    <m/>
    <m/>
    <s v="R26.9"/>
    <s v="Unspecified abnormalities of gait and mobility"/>
    <x v="265"/>
    <s v="M"/>
    <m/>
    <m/>
    <n v="40.393000000000001"/>
    <n v="38.817999999999998"/>
    <n v="79.959000000000003"/>
    <n v="78.710999999999999"/>
    <n v="67.588999999999999"/>
    <n v="67.114999999999995"/>
    <n v="101.59099999999999"/>
    <n v="101.40300000000001"/>
    <n v="66.006"/>
    <n v="67.394999999999996"/>
    <n v="33.994"/>
    <n v="32.604999999999997"/>
    <n v="15.542999999999999"/>
    <n v="17.375"/>
    <n v="32.604999999999997"/>
    <n v="33.994"/>
    <n v="11.125"/>
    <n v="12"/>
    <n v="13"/>
    <n v="12"/>
    <n v="12"/>
  </r>
  <r>
    <n v="698"/>
    <m/>
    <m/>
    <m/>
    <m/>
    <s v="G20"/>
    <s v="Parkinson's disease"/>
    <x v="57"/>
    <s v="F"/>
    <m/>
    <m/>
    <n v="18.728000000000002"/>
    <n v="19.027000000000001"/>
    <n v="37.755000000000003"/>
    <n v="38.401000000000003"/>
    <n v="30.109000000000002"/>
    <n v="30.279"/>
    <n v="95.5"/>
    <n v="95.3"/>
    <n v="74.421000000000006"/>
    <n v="74.19"/>
    <n v="25.579000000000001"/>
    <n v="25.81"/>
    <n v="21.713000000000001"/>
    <n v="27.562000000000001"/>
    <n v="25.81"/>
    <n v="25.579000000000001"/>
    <n v="16.77"/>
    <n v="14"/>
    <n v="12"/>
    <n v="12"/>
    <n v="12"/>
  </r>
  <r>
    <n v="699"/>
    <m/>
    <m/>
    <m/>
    <m/>
    <s v="G20"/>
    <s v="Parkinson's disease"/>
    <x v="204"/>
    <s v="M"/>
    <m/>
    <m/>
    <n v="61.869"/>
    <n v="68.323999999999998"/>
    <n v="130.38900000000001"/>
    <n v="129.88399999999999"/>
    <n v="115.88500000000001"/>
    <n v="115.46299999999999"/>
    <n v="105.9"/>
    <n v="105.837"/>
    <n v="60.784999999999997"/>
    <n v="62.088999999999999"/>
    <n v="39.215000000000003"/>
    <n v="37.911000000000001"/>
    <n v="11.763999999999999"/>
    <n v="11.302"/>
    <n v="37.911000000000001"/>
    <n v="39.215000000000003"/>
    <n v="9.1039999999999992"/>
    <n v="6"/>
    <n v="10"/>
    <n v="6"/>
    <n v="6"/>
  </r>
  <r>
    <n v="700"/>
    <m/>
    <m/>
    <m/>
    <m/>
    <s v="NA"/>
    <s v="NA"/>
    <x v="35"/>
    <s v="NA"/>
    <m/>
    <m/>
    <n v="48.417999999999999"/>
    <n v="51.093000000000004"/>
    <n v="99.789000000000001"/>
    <n v="99.13"/>
    <n v="99.337999999999994"/>
    <n v="99.209000000000003"/>
    <n v="119.083"/>
    <n v="118.90600000000001"/>
    <n v="61.383000000000003"/>
    <n v="61.886000000000003"/>
    <n v="38.616999999999997"/>
    <n v="38.113999999999997"/>
    <n v="11.938000000000001"/>
    <n v="11.002000000000001"/>
    <n v="38.113999999999997"/>
    <n v="38.616999999999997"/>
    <n v="13.808"/>
    <n v="11"/>
    <n v="12"/>
    <n v="11"/>
    <n v="11"/>
  </r>
  <r>
    <n v="701"/>
    <m/>
    <m/>
    <m/>
    <m/>
    <s v="R25.1"/>
    <s v="Tremor, unspecified"/>
    <x v="266"/>
    <s v="M"/>
    <m/>
    <m/>
    <n v="40.497"/>
    <n v="43.978999999999999"/>
    <n v="84.301000000000002"/>
    <n v="84.168999999999997"/>
    <n v="70.762"/>
    <n v="71.287000000000006"/>
    <n v="100.52500000000001"/>
    <n v="101.523"/>
    <n v="60.853000000000002"/>
    <n v="66.132999999999996"/>
    <n v="39.146999999999998"/>
    <n v="33.866999999999997"/>
    <n v="13.944000000000001"/>
    <n v="13.417"/>
    <n v="33.866999999999997"/>
    <n v="39.146999999999998"/>
    <n v="9.452"/>
    <n v="13"/>
    <n v="15"/>
    <n v="13"/>
    <n v="13"/>
  </r>
  <r>
    <n v="702"/>
    <m/>
    <m/>
    <m/>
    <m/>
    <s v="R26.9"/>
    <s v="Unspecified abnormalities of gait and mobility"/>
    <x v="58"/>
    <s v="M"/>
    <m/>
    <m/>
    <n v="60.898000000000003"/>
    <n v="57.442999999999998"/>
    <n v="118.13500000000001"/>
    <n v="118.818"/>
    <n v="119.113"/>
    <n v="119.444"/>
    <n v="121.36799999999999"/>
    <n v="120.264"/>
    <n v="63.601999999999997"/>
    <n v="62.951000000000001"/>
    <n v="36.396999999999998"/>
    <n v="37.048999999999999"/>
    <n v="13.896000000000001"/>
    <n v="12.73"/>
    <n v="37.048999999999999"/>
    <n v="36.396999999999998"/>
    <n v="20.062000000000001"/>
    <n v="8"/>
    <n v="10"/>
    <n v="8"/>
    <n v="8"/>
  </r>
  <r>
    <n v="703"/>
    <m/>
    <m/>
    <m/>
    <m/>
    <s v="G20"/>
    <s v="Parkinson's disease"/>
    <x v="41"/>
    <s v="F"/>
    <m/>
    <m/>
    <n v="43.491999999999997"/>
    <n v="39.869"/>
    <n v="83.769000000000005"/>
    <n v="83.608000000000004"/>
    <n v="79.497"/>
    <n v="78.831000000000003"/>
    <n v="113.602"/>
    <n v="113.26"/>
    <n v="61.585999999999999"/>
    <n v="63.576999999999998"/>
    <n v="38.414000000000001"/>
    <n v="36.423000000000002"/>
    <n v="13.646000000000001"/>
    <n v="12.177"/>
    <n v="36.423000000000002"/>
    <n v="38.414000000000001"/>
    <n v="8.5719999999999992"/>
    <n v="11"/>
    <n v="9"/>
    <n v="9"/>
    <n v="9"/>
  </r>
  <r>
    <n v="704"/>
    <m/>
    <m/>
    <m/>
    <m/>
    <s v="R26.9"/>
    <s v="Unspecified abnormalities of gait and mobility"/>
    <x v="85"/>
    <s v="M"/>
    <m/>
    <m/>
    <n v="58.881"/>
    <n v="57.820999999999998"/>
    <n v="116.83499999999999"/>
    <n v="116.41200000000001"/>
    <n v="95.572000000000003"/>
    <n v="95.924999999999997"/>
    <n v="97.614000000000004"/>
    <n v="98.715999999999994"/>
    <n v="63.143000000000001"/>
    <n v="63.341000000000001"/>
    <n v="36.856999999999999"/>
    <n v="36.658999999999999"/>
    <n v="13.954000000000001"/>
    <n v="12.253"/>
    <n v="36.658999999999999"/>
    <n v="36.856999999999999"/>
    <n v="9.6980000000000004"/>
    <n v="10"/>
    <n v="9"/>
    <n v="9"/>
    <n v="9"/>
  </r>
  <r>
    <n v="705"/>
    <m/>
    <m/>
    <m/>
    <m/>
    <s v="G20"/>
    <s v="Parkinson's disease"/>
    <x v="267"/>
    <s v="F"/>
    <m/>
    <m/>
    <n v="32.872"/>
    <n v="28.795000000000002"/>
    <n v="62.353000000000002"/>
    <n v="61.326999999999998"/>
    <n v="48.567999999999998"/>
    <n v="47.487000000000002"/>
    <n v="92.551000000000002"/>
    <n v="92.728999999999999"/>
    <n v="65.97"/>
    <n v="65.528000000000006"/>
    <n v="34.03"/>
    <n v="34.472000000000001"/>
    <n v="17.555"/>
    <n v="14.635999999999999"/>
    <n v="34.472000000000001"/>
    <n v="34.03"/>
    <n v="7.8929999999999998"/>
    <n v="11"/>
    <n v="12"/>
    <n v="11"/>
    <n v="11"/>
  </r>
  <r>
    <n v="706"/>
    <m/>
    <m/>
    <m/>
    <m/>
    <s v="G20"/>
    <s v="Parkinson's disease"/>
    <x v="30"/>
    <s v="M"/>
    <m/>
    <m/>
    <n v="53.667999999999999"/>
    <n v="52.862000000000002"/>
    <n v="106.03"/>
    <n v="106.79600000000001"/>
    <n v="94.414000000000001"/>
    <n v="95.076999999999998"/>
    <n v="107.324"/>
    <n v="107.319"/>
    <n v="65.691999999999993"/>
    <n v="64.744"/>
    <n v="34.308"/>
    <n v="35.256"/>
    <n v="15.903"/>
    <n v="14.284000000000001"/>
    <n v="35.256"/>
    <n v="34.308"/>
    <n v="11.9"/>
    <n v="11"/>
    <n v="12"/>
    <n v="11"/>
    <n v="11"/>
  </r>
  <r>
    <n v="707"/>
    <m/>
    <m/>
    <m/>
    <m/>
    <s v="G25.2"/>
    <s v="Other specified forms of tremor"/>
    <x v="8"/>
    <s v="M"/>
    <m/>
    <m/>
    <n v="49.848999999999997"/>
    <n v="50.674999999999997"/>
    <n v="100.93899999999999"/>
    <n v="100.658"/>
    <n v="92.893000000000001"/>
    <n v="93.438000000000002"/>
    <n v="110.30200000000001"/>
    <n v="110.99299999999999"/>
    <n v="62.351999999999997"/>
    <n v="62.454000000000001"/>
    <n v="37.648000000000003"/>
    <n v="37.545999999999999"/>
    <n v="12.13"/>
    <n v="12.638999999999999"/>
    <n v="37.545999999999999"/>
    <n v="37.648000000000003"/>
    <n v="15.598000000000001"/>
    <n v="12"/>
    <n v="12"/>
    <n v="12"/>
    <n v="12"/>
  </r>
  <r>
    <n v="708"/>
    <m/>
    <m/>
    <m/>
    <m/>
    <s v="R26.89"/>
    <s v="Other abnormalities of gait and mobility"/>
    <x v="268"/>
    <s v="M"/>
    <m/>
    <m/>
    <n v="41.283000000000001"/>
    <n v="50.71"/>
    <n v="92.23"/>
    <n v="92.031999999999996"/>
    <n v="80.305000000000007"/>
    <n v="80.022000000000006"/>
    <n v="104"/>
    <n v="104.02"/>
    <n v="64.192999999999998"/>
    <n v="62.691000000000003"/>
    <n v="35.807000000000002"/>
    <n v="37.308999999999997"/>
    <n v="14.371"/>
    <n v="12.452"/>
    <n v="37.308999999999997"/>
    <n v="35.807000000000002"/>
    <n v="10.994999999999999"/>
    <n v="10"/>
    <n v="12"/>
    <n v="10"/>
    <n v="10"/>
  </r>
  <r>
    <n v="709"/>
    <m/>
    <m/>
    <m/>
    <m/>
    <s v="G25.0"/>
    <s v="Essential tremor"/>
    <x v="190"/>
    <s v="F"/>
    <m/>
    <m/>
    <n v="45.207000000000001"/>
    <n v="47.896000000000001"/>
    <n v="92.683000000000007"/>
    <n v="93.462000000000003"/>
    <n v="85.656000000000006"/>
    <n v="86.682000000000002"/>
    <n v="110.357"/>
    <n v="111.19199999999999"/>
    <n v="64.293999999999997"/>
    <n v="66.548000000000002"/>
    <n v="35.706000000000003"/>
    <n v="33.451999999999998"/>
    <n v="15.853999999999999"/>
    <n v="14.727"/>
    <n v="33.451999999999998"/>
    <n v="35.706000000000003"/>
    <n v="11.146000000000001"/>
    <n v="13"/>
    <n v="10"/>
    <n v="10"/>
    <n v="10"/>
  </r>
  <r>
    <n v="710"/>
    <m/>
    <m/>
    <m/>
    <m/>
    <s v="G20"/>
    <s v="Parkinson's disease"/>
    <x v="1"/>
    <s v="M"/>
    <m/>
    <m/>
    <n v="47.819000000000003"/>
    <n v="55.11"/>
    <n v="102.527"/>
    <n v="102.19199999999999"/>
    <n v="92.858999999999995"/>
    <n v="92.89"/>
    <n v="107.376"/>
    <n v="106.887"/>
    <n v="64.555000000000007"/>
    <n v="65.807000000000002"/>
    <n v="35.445"/>
    <n v="34.192999999999998"/>
    <n v="14.363"/>
    <n v="16.161000000000001"/>
    <n v="34.192999999999998"/>
    <n v="35.445"/>
    <n v="13.97"/>
    <n v="12"/>
    <n v="12"/>
    <n v="12"/>
    <n v="12"/>
  </r>
  <r>
    <n v="711"/>
    <m/>
    <m/>
    <m/>
    <m/>
    <s v="G20"/>
    <s v="Parkinson's disease"/>
    <x v="165"/>
    <s v="M"/>
    <m/>
    <m/>
    <n v="44.856999999999999"/>
    <n v="43.762999999999998"/>
    <n v="88.253"/>
    <n v="88.855999999999995"/>
    <n v="73.527000000000001"/>
    <n v="74.123999999999995"/>
    <n v="99.061999999999998"/>
    <n v="99.403000000000006"/>
    <n v="65.272000000000006"/>
    <n v="65.364999999999995"/>
    <n v="34.728000000000002"/>
    <n v="34.634999999999998"/>
    <n v="17.248000000000001"/>
    <n v="13.484"/>
    <n v="34.634999999999998"/>
    <n v="34.728000000000002"/>
    <n v="9.2569999999999997"/>
    <n v="12"/>
    <n v="11"/>
    <n v="11"/>
    <n v="11"/>
  </r>
  <r>
    <n v="712"/>
    <m/>
    <m/>
    <m/>
    <m/>
    <s v="R26.9"/>
    <s v="Unspecified abnormalities of gait and mobility"/>
    <x v="269"/>
    <s v="M"/>
    <m/>
    <m/>
    <n v="48.292999999999999"/>
    <n v="50.752000000000002"/>
    <n v="100.1"/>
    <n v="98.509"/>
    <n v="91.414000000000001"/>
    <n v="89.908000000000001"/>
    <n v="109.53"/>
    <n v="109.09"/>
    <n v="64.307000000000002"/>
    <n v="65.164000000000001"/>
    <n v="35.692999999999998"/>
    <n v="34.835999999999999"/>
    <n v="13.673"/>
    <n v="16.338000000000001"/>
    <n v="34.835999999999999"/>
    <n v="35.692999999999998"/>
    <n v="12.564"/>
    <n v="11"/>
    <n v="14"/>
    <n v="11"/>
    <n v="11"/>
  </r>
  <r>
    <n v="713"/>
    <m/>
    <m/>
    <m/>
    <m/>
    <s v="G25.0"/>
    <s v="Essential tremor"/>
    <x v="270"/>
    <s v="M"/>
    <m/>
    <m/>
    <n v="65.150000000000006"/>
    <n v="61.915999999999997"/>
    <n v="127.126"/>
    <n v="127.411"/>
    <n v="110.703"/>
    <n v="111.17100000000001"/>
    <n v="105.074"/>
    <n v="105.077"/>
    <n v="61.670999999999999"/>
    <n v="62.162999999999997"/>
    <n v="38.329000000000001"/>
    <n v="37.837000000000003"/>
    <n v="11.907"/>
    <n v="11.323"/>
    <n v="37.837000000000003"/>
    <n v="38.329000000000001"/>
    <n v="10.5"/>
    <n v="9"/>
    <n v="10"/>
    <n v="9"/>
    <n v="9"/>
  </r>
  <r>
    <n v="714"/>
    <m/>
    <m/>
    <m/>
    <m/>
    <s v="R25.1"/>
    <s v="Tremor, unspecified"/>
    <x v="227"/>
    <s v="F"/>
    <m/>
    <m/>
    <n v="36.734999999999999"/>
    <n v="41.472999999999999"/>
    <n v="78.370999999999995"/>
    <n v="78.242999999999995"/>
    <n v="60.43"/>
    <n v="61.286000000000001"/>
    <n v="93.516999999999996"/>
    <n v="94.29"/>
    <n v="68.117999999999995"/>
    <n v="69.801000000000002"/>
    <n v="31.882000000000001"/>
    <n v="30.199000000000002"/>
    <n v="20.506"/>
    <n v="17.495000000000001"/>
    <n v="30.199000000000002"/>
    <n v="31.882000000000001"/>
    <n v="11.445"/>
    <n v="13"/>
    <n v="15"/>
    <n v="13"/>
    <n v="13"/>
  </r>
  <r>
    <n v="715"/>
    <m/>
    <m/>
    <m/>
    <m/>
    <s v="R25.1"/>
    <s v="Tremor, unspecified"/>
    <x v="79"/>
    <s v="F"/>
    <m/>
    <m/>
    <n v="43.188000000000002"/>
    <n v="42.085000000000001"/>
    <n v="85.373000000000005"/>
    <n v="86.241"/>
    <n v="72.397999999999996"/>
    <n v="73.073999999999998"/>
    <n v="101.669"/>
    <n v="101.876"/>
    <n v="65.564999999999998"/>
    <n v="63.313000000000002"/>
    <n v="34.435000000000002"/>
    <n v="36.686999999999998"/>
    <n v="14.906000000000001"/>
    <n v="14.769"/>
    <n v="36.686999999999998"/>
    <n v="34.435000000000002"/>
    <n v="15.298"/>
    <n v="13"/>
    <n v="13"/>
    <n v="13"/>
    <n v="13"/>
  </r>
  <r>
    <n v="716"/>
    <m/>
    <m/>
    <m/>
    <m/>
    <s v="G24.3"/>
    <s v="Spasmodic torticollis"/>
    <x v="271"/>
    <s v="F"/>
    <m/>
    <m/>
    <n v="51.9"/>
    <n v="55.543999999999997"/>
    <n v="108.223"/>
    <n v="107.31"/>
    <n v="96.491"/>
    <n v="95.754000000000005"/>
    <n v="106.648"/>
    <n v="106.717"/>
    <n v="62.994"/>
    <n v="62.875"/>
    <n v="37.006"/>
    <n v="37.125"/>
    <n v="13.519"/>
    <n v="12.103999999999999"/>
    <n v="37.125"/>
    <n v="37.006"/>
    <n v="11.991"/>
    <n v="17"/>
    <n v="23"/>
    <n v="17"/>
    <n v="17"/>
  </r>
  <r>
    <n v="717"/>
    <m/>
    <m/>
    <m/>
    <m/>
    <s v="G20"/>
    <s v="Parkinson's disease"/>
    <x v="98"/>
    <s v="F"/>
    <m/>
    <m/>
    <n v="50.731000000000002"/>
    <n v="55.634"/>
    <n v="106.75"/>
    <n v="106.55200000000001"/>
    <n v="128.43100000000001"/>
    <n v="128.56700000000001"/>
    <n v="144.203"/>
    <n v="144.38200000000001"/>
    <n v="61.985999999999997"/>
    <n v="59.5"/>
    <n v="38.014000000000003"/>
    <n v="40.5"/>
    <n v="11.407"/>
    <n v="10.337999999999999"/>
    <n v="40.5"/>
    <n v="38.014000000000003"/>
    <n v="9.1679999999999993"/>
    <n v="26"/>
    <n v="25"/>
    <n v="25"/>
    <n v="25"/>
  </r>
  <r>
    <n v="718"/>
    <m/>
    <m/>
    <m/>
    <m/>
    <s v="NA"/>
    <s v="NA"/>
    <x v="35"/>
    <s v="NA"/>
    <m/>
    <m/>
    <n v="34.901000000000003"/>
    <n v="32.805999999999997"/>
    <n v="67.649000000000001"/>
    <n v="68.754000000000005"/>
    <n v="34.966999999999999"/>
    <n v="34.25"/>
    <n v="64.457999999999998"/>
    <n v="60.04"/>
    <n v="76.950999999999993"/>
    <n v="72.02"/>
    <n v="23.048999999999999"/>
    <n v="27.98"/>
    <n v="18.792999999999999"/>
    <n v="27.169"/>
    <n v="27.98"/>
    <n v="23.048999999999999"/>
    <n v="13.64"/>
    <n v="10"/>
    <n v="11"/>
    <n v="10"/>
    <n v="10"/>
  </r>
  <r>
    <n v="719"/>
    <m/>
    <m/>
    <m/>
    <m/>
    <s v="G25.0"/>
    <s v="Essential tremor"/>
    <x v="256"/>
    <s v="M"/>
    <m/>
    <m/>
    <n v="44.136000000000003"/>
    <n v="43.271999999999998"/>
    <n v="87.185000000000002"/>
    <n v="88.974999999999994"/>
    <n v="88.942999999999998"/>
    <n v="90.617999999999995"/>
    <n v="120.962"/>
    <n v="121.69199999999999"/>
    <n v="64.567999999999998"/>
    <n v="64.072999999999993"/>
    <n v="35.432000000000002"/>
    <n v="35.927"/>
    <n v="14.541"/>
    <n v="13.83"/>
    <n v="35.927"/>
    <n v="35.432000000000002"/>
    <n v="8.9209999999999994"/>
    <n v="21"/>
    <n v="21"/>
    <n v="21"/>
    <n v="21"/>
  </r>
  <r>
    <n v="720"/>
    <m/>
    <m/>
    <m/>
    <m/>
    <s v="G20"/>
    <s v="Parkinson's disease"/>
    <x v="272"/>
    <s v="F"/>
    <m/>
    <m/>
    <n v="51.866"/>
    <n v="52.582000000000001"/>
    <n v="104.84699999999999"/>
    <n v="104.738"/>
    <n v="94.293999999999997"/>
    <n v="93.882000000000005"/>
    <n v="107.59099999999999"/>
    <n v="107.28"/>
    <n v="63.96"/>
    <n v="64.102999999999994"/>
    <n v="36.04"/>
    <n v="35.896999999999998"/>
    <n v="13.824"/>
    <n v="13.997"/>
    <n v="35.896999999999998"/>
    <n v="36.04"/>
    <n v="11.818"/>
    <n v="16"/>
    <n v="15"/>
    <n v="15"/>
    <n v="15"/>
  </r>
  <r>
    <n v="721"/>
    <m/>
    <m/>
    <m/>
    <m/>
    <s v="NA"/>
    <s v="NA"/>
    <x v="35"/>
    <s v="NA"/>
    <m/>
    <m/>
    <n v="60.171999999999997"/>
    <n v="63.055999999999997"/>
    <n v="123.78"/>
    <n v="123.017"/>
    <n v="107.80500000000001"/>
    <n v="106.83199999999999"/>
    <n v="104.09099999999999"/>
    <n v="103.395"/>
    <n v="63.542999999999999"/>
    <n v="64.37"/>
    <n v="36.457000000000001"/>
    <n v="35.630000000000003"/>
    <n v="13.377000000000001"/>
    <n v="14.757999999999999"/>
    <n v="35.630000000000003"/>
    <n v="36.457000000000001"/>
    <n v="9.1340000000000003"/>
    <n v="15"/>
    <n v="14"/>
    <n v="14"/>
    <n v="14"/>
  </r>
  <r>
    <n v="722"/>
    <m/>
    <m/>
    <m/>
    <m/>
    <s v="G25.0"/>
    <s v="Essential tremor"/>
    <x v="273"/>
    <s v="F"/>
    <m/>
    <m/>
    <n v="44.825000000000003"/>
    <n v="43.295999999999999"/>
    <n v="88.593000000000004"/>
    <n v="87.879000000000005"/>
    <n v="74.494"/>
    <n v="73.801000000000002"/>
    <n v="100.63200000000001"/>
    <n v="100.443"/>
    <n v="62.183"/>
    <n v="61.743000000000002"/>
    <n v="37.817"/>
    <n v="38.256999999999998"/>
    <n v="11.435"/>
    <n v="12.394"/>
    <n v="38.256999999999998"/>
    <n v="37.817"/>
    <n v="11.954000000000001"/>
    <n v="15"/>
    <n v="17"/>
    <n v="15"/>
    <n v="15"/>
  </r>
  <r>
    <n v="723"/>
    <m/>
    <m/>
    <m/>
    <m/>
    <s v="G24.3"/>
    <s v="Spasmodic torticollis"/>
    <x v="172"/>
    <s v="F"/>
    <m/>
    <m/>
    <n v="24.067"/>
    <n v="19.254999999999999"/>
    <n v="43.037999999999997"/>
    <n v="43.459000000000003"/>
    <n v="24.620999999999999"/>
    <n v="24.861999999999998"/>
    <n v="69.855000000000004"/>
    <n v="69.289000000000001"/>
    <n v="77.980999999999995"/>
    <n v="76.12"/>
    <n v="22.018999999999998"/>
    <n v="23.88"/>
    <n v="26.530999999999999"/>
    <n v="27.896999999999998"/>
    <n v="23.88"/>
    <n v="22.018999999999998"/>
    <n v="12.134"/>
    <n v="18"/>
    <n v="18"/>
    <n v="18"/>
    <n v="18"/>
  </r>
  <r>
    <n v="724"/>
    <m/>
    <m/>
    <m/>
    <m/>
    <s v="G20"/>
    <s v="Parkinson's disease"/>
    <x v="172"/>
    <s v="M"/>
    <m/>
    <m/>
    <n v="65.450999999999993"/>
    <n v="62.999000000000002"/>
    <n v="128.066"/>
    <n v="129.17500000000001"/>
    <n v="117.66500000000001"/>
    <n v="118.158"/>
    <n v="109.748"/>
    <n v="109.23099999999999"/>
    <n v="60.844000000000001"/>
    <n v="61.267000000000003"/>
    <n v="39.155999999999999"/>
    <n v="38.732999999999997"/>
    <n v="10.606999999999999"/>
    <n v="11.596"/>
    <n v="38.732999999999997"/>
    <n v="39.155999999999999"/>
    <n v="7.7709999999999999"/>
    <n v="13"/>
    <n v="14"/>
    <n v="13"/>
    <n v="13"/>
  </r>
  <r>
    <n v="725"/>
    <m/>
    <m/>
    <m/>
    <m/>
    <s v="G25.3"/>
    <s v="Myoclonus"/>
    <x v="274"/>
    <s v="F"/>
    <m/>
    <m/>
    <n v="56.442999999999998"/>
    <n v="57.415999999999997"/>
    <n v="113.268"/>
    <n v="114.34099999999999"/>
    <n v="103.584"/>
    <n v="103.664"/>
    <n v="110.19"/>
    <n v="108.848"/>
    <n v="60.74"/>
    <n v="63.783000000000001"/>
    <n v="39.26"/>
    <n v="36.216999999999999"/>
    <n v="11.359"/>
    <n v="13.29"/>
    <n v="36.216999999999999"/>
    <n v="39.26"/>
    <n v="13.253"/>
    <n v="15"/>
    <n v="16"/>
    <n v="15"/>
    <n v="15"/>
  </r>
  <r>
    <n v="726"/>
    <m/>
    <m/>
    <m/>
    <m/>
    <s v="G25.0"/>
    <s v="Essential tremor"/>
    <x v="275"/>
    <s v="F"/>
    <m/>
    <m/>
    <n v="62.911999999999999"/>
    <n v="61.904000000000003"/>
    <n v="124.851"/>
    <n v="124.845"/>
    <n v="111.813"/>
    <n v="111.078"/>
    <n v="107.821"/>
    <n v="107.27200000000001"/>
    <n v="64.775000000000006"/>
    <n v="64.442999999999998"/>
    <n v="35.225000000000001"/>
    <n v="35.557000000000002"/>
    <n v="15.191000000000001"/>
    <n v="13.935"/>
    <n v="35.557000000000002"/>
    <n v="35.225000000000001"/>
    <n v="10.115"/>
    <n v="16"/>
    <n v="17"/>
    <n v="16"/>
    <n v="16"/>
  </r>
  <r>
    <n v="727"/>
    <m/>
    <m/>
    <m/>
    <m/>
    <s v="G24.3"/>
    <s v="Spasmodic torticollis"/>
    <x v="276"/>
    <s v="F"/>
    <m/>
    <m/>
    <n v="58.198999999999998"/>
    <n v="56.009"/>
    <n v="113.815"/>
    <n v="114.61499999999999"/>
    <n v="101.753"/>
    <n v="102.834"/>
    <n v="107.586"/>
    <n v="107.44199999999999"/>
    <n v="64.001000000000005"/>
    <n v="63.061"/>
    <n v="35.999000000000002"/>
    <n v="36.939"/>
    <n v="14.221"/>
    <n v="13.319000000000001"/>
    <n v="36.939"/>
    <n v="35.999000000000002"/>
    <n v="14.532999999999999"/>
    <n v="16"/>
    <n v="14"/>
    <n v="14"/>
    <n v="14"/>
  </r>
  <r>
    <n v="728"/>
    <m/>
    <m/>
    <m/>
    <m/>
    <s v="G25.3"/>
    <s v="Myoclonus"/>
    <x v="277"/>
    <s v="F"/>
    <m/>
    <m/>
    <n v="59.420999999999999"/>
    <n v="58.896000000000001"/>
    <n v="118.71299999999999"/>
    <n v="118.212"/>
    <n v="128.73699999999999"/>
    <n v="128.79"/>
    <n v="129.87799999999999"/>
    <n v="130.26900000000001"/>
    <n v="61.728000000000002"/>
    <n v="61.55"/>
    <n v="38.271999999999998"/>
    <n v="38.450000000000003"/>
    <n v="12.378"/>
    <n v="11.07"/>
    <n v="38.450000000000003"/>
    <n v="38.271999999999998"/>
    <n v="10.528"/>
    <n v="24"/>
    <n v="24"/>
    <n v="24"/>
    <n v="24"/>
  </r>
  <r>
    <n v="729"/>
    <m/>
    <m/>
    <m/>
    <m/>
    <s v="G25.0"/>
    <s v="Essential tremor"/>
    <x v="278"/>
    <s v="M"/>
    <m/>
    <m/>
    <n v="62.173999999999999"/>
    <n v="55.384"/>
    <n v="117.952"/>
    <n v="117.861"/>
    <n v="88.221000000000004"/>
    <n v="88.040999999999997"/>
    <n v="89.421000000000006"/>
    <n v="89.15"/>
    <n v="63.024999999999999"/>
    <n v="63.521000000000001"/>
    <n v="36.975000000000001"/>
    <n v="36.478999999999999"/>
    <n v="14.815"/>
    <n v="12.528"/>
    <n v="36.478999999999999"/>
    <n v="36.975000000000001"/>
    <n v="11.757999999999999"/>
    <n v="9"/>
    <n v="9"/>
    <n v="9"/>
    <n v="9"/>
  </r>
  <r>
    <n v="730"/>
    <m/>
    <m/>
    <m/>
    <m/>
    <s v="G20"/>
    <s v="Parkinson's disease"/>
    <x v="162"/>
    <s v="F"/>
    <m/>
    <m/>
    <n v="48.71"/>
    <n v="47.93"/>
    <n v="96.384"/>
    <n v="97.143000000000001"/>
    <n v="89.855000000000004"/>
    <n v="90.376000000000005"/>
    <n v="111.98699999999999"/>
    <n v="111.712"/>
    <n v="64.078999999999994"/>
    <n v="64.326999999999998"/>
    <n v="35.920999999999999"/>
    <n v="35.671999999999997"/>
    <n v="13.43"/>
    <n v="15.417999999999999"/>
    <n v="35.671999999999997"/>
    <n v="35.920999999999999"/>
    <n v="9.2680000000000007"/>
    <n v="17"/>
    <n v="18"/>
    <n v="17"/>
    <n v="17"/>
  </r>
  <r>
    <n v="731"/>
    <m/>
    <m/>
    <m/>
    <m/>
    <s v="G25.0"/>
    <s v="Essential tremor"/>
    <x v="279"/>
    <s v="M"/>
    <m/>
    <m/>
    <n v="34.783999999999999"/>
    <n v="40.728000000000002"/>
    <n v="75.417000000000002"/>
    <n v="75.385000000000005"/>
    <n v="65.881"/>
    <n v="65.563000000000002"/>
    <n v="104.57"/>
    <n v="104.26"/>
    <n v="72.852000000000004"/>
    <n v="60.289000000000001"/>
    <n v="27.148"/>
    <n v="39.710999999999999"/>
    <n v="16.021999999999998"/>
    <n v="17.356999999999999"/>
    <n v="39.710999999999999"/>
    <n v="27.148"/>
    <n v="16.606999999999999"/>
    <n v="14"/>
    <n v="16"/>
    <n v="14"/>
    <n v="14"/>
  </r>
  <r>
    <n v="732"/>
    <m/>
    <m/>
    <m/>
    <m/>
    <s v="G20"/>
    <s v="Parkinson's disease"/>
    <x v="55"/>
    <s v="M"/>
    <m/>
    <m/>
    <n v="54.293999999999997"/>
    <n v="49.497"/>
    <n v="102.714"/>
    <n v="103.075"/>
    <n v="79.19"/>
    <n v="80.47"/>
    <n v="94.320999999999998"/>
    <n v="95.204999999999998"/>
    <n v="64.540999999999997"/>
    <n v="65.709999999999994"/>
    <n v="35.459000000000003"/>
    <n v="34.29"/>
    <n v="14.048"/>
    <n v="16.759"/>
    <n v="34.29"/>
    <n v="35.459000000000003"/>
    <n v="19.260000000000002"/>
    <n v="17"/>
    <n v="14"/>
    <n v="14"/>
    <n v="14"/>
  </r>
  <r>
    <n v="733"/>
    <m/>
    <m/>
    <m/>
    <m/>
    <s v="G25.0"/>
    <s v="Essential tremor"/>
    <x v="280"/>
    <s v="M"/>
    <m/>
    <m/>
    <n v="58.09"/>
    <n v="57.253999999999998"/>
    <n v="115.4"/>
    <n v="114.89700000000001"/>
    <n v="101.85"/>
    <n v="101.51600000000001"/>
    <n v="105.741"/>
    <n v="105.73699999999999"/>
    <n v="61.154000000000003"/>
    <n v="61.783000000000001"/>
    <n v="38.845999999999997"/>
    <n v="38.216999999999999"/>
    <n v="13.377000000000001"/>
    <n v="9.9339999999999993"/>
    <n v="38.216999999999999"/>
    <n v="38.845999999999997"/>
    <n v="8.5549999999999997"/>
    <n v="13"/>
    <n v="13"/>
    <n v="13"/>
    <n v="13"/>
  </r>
  <r>
    <n v="734"/>
    <m/>
    <m/>
    <m/>
    <m/>
    <s v="NA"/>
    <s v="NA"/>
    <x v="35"/>
    <s v="NA"/>
    <m/>
    <m/>
    <n v="54.470999999999997"/>
    <n v="55.267000000000003"/>
    <n v="110.021"/>
    <n v="109.73699999999999"/>
    <n v="96.980999999999995"/>
    <n v="97.344999999999999"/>
    <n v="106.288"/>
    <n v="105.97"/>
    <n v="63.776000000000003"/>
    <n v="62.89"/>
    <n v="36.223999999999997"/>
    <n v="37.11"/>
    <n v="13.227"/>
    <n v="13.933"/>
    <n v="37.11"/>
    <n v="36.223999999999997"/>
    <n v="10.74"/>
    <n v="18"/>
    <n v="16"/>
    <n v="16"/>
    <n v="16"/>
  </r>
  <r>
    <n v="735"/>
    <m/>
    <m/>
    <m/>
    <m/>
    <s v="G20"/>
    <s v="Parkinson's disease"/>
    <x v="239"/>
    <s v="M"/>
    <m/>
    <m/>
    <n v="59.177999999999997"/>
    <n v="70.497"/>
    <n v="129.43299999999999"/>
    <n v="129.642"/>
    <n v="106.85599999999999"/>
    <n v="107.455"/>
    <n v="99.004999999999995"/>
    <n v="99.043999999999997"/>
    <n v="60.923000000000002"/>
    <n v="61.828000000000003"/>
    <n v="39.076999999999998"/>
    <n v="38.171999999999997"/>
    <n v="10.423999999999999"/>
    <n v="12.492000000000001"/>
    <n v="38.171999999999997"/>
    <n v="39.076999999999998"/>
    <n v="11.643000000000001"/>
    <n v="12"/>
    <n v="12"/>
    <n v="12"/>
    <n v="12"/>
  </r>
  <r>
    <n v="736"/>
    <m/>
    <m/>
    <m/>
    <m/>
    <s v="G25.0"/>
    <s v="Essential tremor"/>
    <x v="39"/>
    <s v="F"/>
    <m/>
    <m/>
    <n v="44.524999999999999"/>
    <n v="46.966000000000001"/>
    <n v="91.858000000000004"/>
    <n v="91.364000000000004"/>
    <n v="68.927000000000007"/>
    <n v="68.673000000000002"/>
    <n v="89.448999999999998"/>
    <n v="89.822000000000003"/>
    <n v="68.486000000000004"/>
    <n v="67.007999999999996"/>
    <n v="31.513999999999999"/>
    <n v="32.991999999999997"/>
    <n v="17.058"/>
    <n v="17.571000000000002"/>
    <n v="32.991999999999997"/>
    <n v="31.513999999999999"/>
    <n v="7.7080000000000002"/>
    <n v="13"/>
    <n v="13"/>
    <n v="13"/>
    <n v="13"/>
  </r>
  <r>
    <n v="737"/>
    <m/>
    <m/>
    <m/>
    <m/>
    <s v="G25.2"/>
    <s v="Other specified forms of tremor"/>
    <x v="195"/>
    <s v="F"/>
    <m/>
    <m/>
    <n v="43.338000000000001"/>
    <n v="40.137999999999998"/>
    <n v="84.102999999999994"/>
    <n v="83.468000000000004"/>
    <n v="65.411000000000001"/>
    <n v="64.951999999999998"/>
    <n v="93.91"/>
    <n v="93.674000000000007"/>
    <n v="64.453000000000003"/>
    <n v="65.814999999999998"/>
    <n v="35.546999999999997"/>
    <n v="34.185000000000002"/>
    <n v="15.896000000000001"/>
    <n v="13.811"/>
    <n v="34.185000000000002"/>
    <n v="35.546999999999997"/>
    <n v="12.406000000000001"/>
    <n v="16"/>
    <n v="19"/>
    <n v="16"/>
    <n v="16"/>
  </r>
  <r>
    <n v="738"/>
    <m/>
    <m/>
    <m/>
    <m/>
    <s v="G25.0"/>
    <s v="Essential tremor"/>
    <x v="281"/>
    <s v="F"/>
    <m/>
    <m/>
    <n v="40.895000000000003"/>
    <n v="37.186999999999998"/>
    <n v="78.629000000000005"/>
    <n v="78.381"/>
    <n v="63.819000000000003"/>
    <n v="64.119"/>
    <n v="97.911000000000001"/>
    <n v="97.796999999999997"/>
    <n v="66.977000000000004"/>
    <n v="68.385000000000005"/>
    <n v="33.023000000000003"/>
    <n v="31.614999999999998"/>
    <n v="18.914000000000001"/>
    <n v="16.745000000000001"/>
    <n v="31.614999999999998"/>
    <n v="33.023000000000003"/>
    <n v="17.103999999999999"/>
    <n v="16"/>
    <n v="16"/>
    <n v="16"/>
    <n v="16"/>
  </r>
  <r>
    <n v="739"/>
    <m/>
    <m/>
    <m/>
    <m/>
    <s v="NA"/>
    <s v="NA"/>
    <x v="35"/>
    <s v="NA"/>
    <m/>
    <m/>
    <n v="67.486999999999995"/>
    <n v="59.488999999999997"/>
    <n v="127.14700000000001"/>
    <n v="126.886"/>
    <n v="119.035"/>
    <n v="118.80500000000001"/>
    <n v="112.51600000000001"/>
    <n v="112.251"/>
    <n v="63.408999999999999"/>
    <n v="62.993000000000002"/>
    <n v="36.591000000000001"/>
    <n v="37.006999999999998"/>
    <n v="11.813000000000001"/>
    <n v="15.071"/>
    <n v="37.006999999999998"/>
    <n v="36.591000000000001"/>
    <n v="9.5920000000000005"/>
    <n v="17"/>
    <n v="12"/>
    <n v="12"/>
    <n v="12"/>
  </r>
  <r>
    <n v="740"/>
    <m/>
    <m/>
    <m/>
    <m/>
    <s v="NA"/>
    <s v="NA"/>
    <x v="35"/>
    <s v="NA"/>
    <m/>
    <m/>
    <n v="36.764000000000003"/>
    <n v="41.137"/>
    <n v="78.378"/>
    <n v="77.581000000000003"/>
    <n v="47.445"/>
    <n v="47.984999999999999"/>
    <n v="72.650000000000006"/>
    <n v="73.686999999999998"/>
    <n v="65.48"/>
    <n v="72.125"/>
    <n v="34.520000000000003"/>
    <n v="27.875"/>
    <n v="15.794"/>
    <n v="21.721"/>
    <n v="27.875"/>
    <n v="34.520000000000003"/>
    <n v="18.783000000000001"/>
    <n v="15"/>
    <n v="14"/>
    <n v="14"/>
    <n v="14"/>
  </r>
  <r>
    <n v="741"/>
    <m/>
    <m/>
    <m/>
    <m/>
    <s v="NA"/>
    <s v="NA"/>
    <x v="35"/>
    <s v="NA"/>
    <m/>
    <m/>
    <n v="41.176000000000002"/>
    <n v="43.496000000000002"/>
    <n v="85.066000000000003"/>
    <n v="84.343000000000004"/>
    <n v="67.741"/>
    <n v="67.561999999999998"/>
    <n v="95.278000000000006"/>
    <n v="95.528999999999996"/>
    <n v="68.322000000000003"/>
    <n v="66.688000000000002"/>
    <n v="31.678000000000001"/>
    <n v="33.311999999999998"/>
    <n v="18.117999999999999"/>
    <n v="16.579999999999998"/>
    <n v="33.311999999999998"/>
    <n v="31.678000000000001"/>
    <n v="12.574999999999999"/>
    <n v="14"/>
    <n v="15"/>
    <n v="14"/>
    <n v="14"/>
  </r>
  <r>
    <n v="742"/>
    <m/>
    <m/>
    <m/>
    <m/>
    <s v="R27.0"/>
    <s v="Ataxia, unspecified"/>
    <x v="282"/>
    <s v="F"/>
    <m/>
    <m/>
    <n v="37.07"/>
    <n v="39.914000000000001"/>
    <n v="77.62"/>
    <n v="76.528000000000006"/>
    <n v="61.643999999999998"/>
    <n v="60.506"/>
    <n v="95.346999999999994"/>
    <n v="95.266000000000005"/>
    <n v="70.503"/>
    <n v="67.043999999999997"/>
    <n v="29.497"/>
    <n v="32.956000000000003"/>
    <n v="17.349"/>
    <n v="21.065000000000001"/>
    <n v="32.956000000000003"/>
    <n v="29.497"/>
    <n v="14.821999999999999"/>
    <n v="14"/>
    <n v="14"/>
    <n v="14"/>
    <n v="14"/>
  </r>
  <r>
    <n v="743"/>
    <m/>
    <m/>
    <m/>
    <m/>
    <s v="G20"/>
    <s v="Parkinson's disease"/>
    <x v="266"/>
    <s v="M"/>
    <m/>
    <m/>
    <n v="59.037999999999997"/>
    <n v="62.743000000000002"/>
    <n v="122.25"/>
    <n v="122.258"/>
    <n v="105.298"/>
    <n v="106.321"/>
    <n v="102.971"/>
    <n v="104.14100000000001"/>
    <n v="63.743000000000002"/>
    <n v="63.375"/>
    <n v="36.256999999999998"/>
    <n v="36.625"/>
    <n v="14.066000000000001"/>
    <n v="13.613"/>
    <n v="36.625"/>
    <n v="36.256999999999998"/>
    <n v="16.324999999999999"/>
    <n v="16"/>
    <n v="12"/>
    <n v="12"/>
    <n v="12"/>
  </r>
  <r>
    <n v="744"/>
    <m/>
    <m/>
    <m/>
    <m/>
    <s v="G25.0"/>
    <s v="Essential tremor"/>
    <x v="69"/>
    <s v="M"/>
    <m/>
    <m/>
    <n v="66.540999999999997"/>
    <n v="63.628999999999998"/>
    <n v="130.41"/>
    <n v="130.53399999999999"/>
    <n v="117.14700000000001"/>
    <n v="116.979"/>
    <n v="107.36199999999999"/>
    <n v="107.345"/>
    <n v="63.787999999999997"/>
    <n v="63.914000000000001"/>
    <n v="36.212000000000003"/>
    <n v="36.085999999999999"/>
    <n v="15.026999999999999"/>
    <n v="12.419"/>
    <n v="36.085999999999999"/>
    <n v="36.212000000000003"/>
    <n v="11.382999999999999"/>
    <n v="12"/>
    <n v="12"/>
    <n v="12"/>
    <n v="12"/>
  </r>
  <r>
    <n v="745"/>
    <m/>
    <m/>
    <m/>
    <m/>
    <s v="G24.9"/>
    <s v="Dystonia, unspecified"/>
    <x v="283"/>
    <s v="F"/>
    <m/>
    <m/>
    <s v="NA"/>
    <s v="NA"/>
    <s v="NA"/>
    <s v="NA"/>
    <s v="NA"/>
    <s v="NA"/>
    <s v="NA"/>
    <s v="NA"/>
    <s v="NA"/>
    <s v="NA"/>
    <s v="NA"/>
    <s v="NA"/>
    <s v="NA"/>
    <s v="NA"/>
    <s v="NA"/>
    <s v="NA"/>
    <s v="NA"/>
    <s v="NA"/>
    <s v="NA"/>
    <s v="NA"/>
    <s v="NA"/>
  </r>
  <r>
    <n v="746"/>
    <m/>
    <m/>
    <m/>
    <m/>
    <s v="R25.1"/>
    <s v="Tremor, unspecified"/>
    <x v="243"/>
    <s v="F"/>
    <m/>
    <m/>
    <n v="48.847999999999999"/>
    <n v="46.93"/>
    <n v="95.320999999999998"/>
    <n v="96.394999999999996"/>
    <n v="91.47"/>
    <n v="92.879000000000005"/>
    <n v="114.343"/>
    <n v="114.827"/>
    <n v="62.088999999999999"/>
    <n v="61.256999999999998"/>
    <n v="37.911000000000001"/>
    <n v="38.743000000000002"/>
    <n v="12.387"/>
    <n v="11.346"/>
    <n v="38.743000000000002"/>
    <n v="37.911000000000001"/>
    <n v="11.09"/>
    <n v="13"/>
    <n v="13"/>
    <n v="13"/>
    <n v="13"/>
  </r>
  <r>
    <n v="747"/>
    <m/>
    <m/>
    <m/>
    <m/>
    <s v="R25.1"/>
    <s v="Tremor, unspecified"/>
    <x v="284"/>
    <s v="M"/>
    <m/>
    <m/>
    <n v="48.771999999999998"/>
    <n v="48"/>
    <n v="97.084000000000003"/>
    <n v="96.718999999999994"/>
    <n v="93.501999999999995"/>
    <n v="93.394000000000005"/>
    <n v="115.532"/>
    <n v="115.626"/>
    <n v="59.953000000000003"/>
    <n v="61.277999999999999"/>
    <n v="40.046999999999997"/>
    <n v="38.722000000000001"/>
    <n v="10.199999999999999"/>
    <n v="11.324999999999999"/>
    <n v="38.722000000000001"/>
    <n v="40.046999999999997"/>
    <n v="11.09"/>
    <n v="15"/>
    <n v="14"/>
    <n v="14"/>
    <n v="14"/>
  </r>
  <r>
    <n v="748"/>
    <m/>
    <m/>
    <m/>
    <m/>
    <s v="R25.1"/>
    <s v="Tremor, unspecified"/>
    <x v="185"/>
    <s v="F"/>
    <m/>
    <m/>
    <n v="52.344999999999999"/>
    <n v="51.146999999999998"/>
    <n v="102.90900000000001"/>
    <n v="104.39400000000001"/>
    <n v="93.319000000000003"/>
    <n v="94.471000000000004"/>
    <n v="109.283"/>
    <n v="108.666"/>
    <n v="63.828000000000003"/>
    <n v="63.305"/>
    <n v="36.171999999999997"/>
    <n v="36.695"/>
    <n v="13.372999999999999"/>
    <n v="15.162000000000001"/>
    <n v="36.695"/>
    <n v="36.171999999999997"/>
    <n v="20.603999999999999"/>
    <n v="12"/>
    <n v="11"/>
    <n v="11"/>
    <n v="11"/>
  </r>
  <r>
    <n v="749"/>
    <m/>
    <m/>
    <m/>
    <m/>
    <s v="G20"/>
    <s v="Parkinson's disease"/>
    <x v="210"/>
    <s v="M"/>
    <m/>
    <m/>
    <n v="68.552999999999997"/>
    <n v="69.775999999999996"/>
    <n v="136.59100000000001"/>
    <n v="139.19399999999999"/>
    <n v="136.67500000000001"/>
    <n v="136.69999999999999"/>
    <n v="118.547"/>
    <n v="117.661"/>
    <n v="62.564"/>
    <n v="60.988999999999997"/>
    <n v="37.436"/>
    <n v="39.011000000000003"/>
    <n v="13.994"/>
    <n v="8.9589999999999996"/>
    <n v="39.011000000000003"/>
    <n v="37.436"/>
    <n v="8.0440000000000005"/>
    <n v="6"/>
    <n v="9"/>
    <n v="6"/>
    <n v="6"/>
  </r>
  <r>
    <n v="750"/>
    <m/>
    <m/>
    <m/>
    <m/>
    <s v="G20"/>
    <s v="Parkinson's disease"/>
    <x v="85"/>
    <s v="M"/>
    <m/>
    <m/>
    <n v="56.877000000000002"/>
    <n v="57.978000000000002"/>
    <n v="114.879"/>
    <n v="114.678"/>
    <n v="94.974000000000004"/>
    <n v="95.078000000000003"/>
    <n v="98.866"/>
    <n v="99.224000000000004"/>
    <n v="63.277000000000001"/>
    <n v="63.889000000000003"/>
    <n v="36.722999999999999"/>
    <n v="36.110999999999997"/>
    <n v="13.785"/>
    <n v="13.43"/>
    <n v="36.110999999999997"/>
    <n v="36.722999999999999"/>
    <n v="7.77"/>
    <n v="10"/>
    <n v="12"/>
    <n v="10"/>
    <n v="10"/>
  </r>
  <r>
    <n v="751"/>
    <m/>
    <m/>
    <m/>
    <m/>
    <s v="G20"/>
    <s v="Parkinson's disease"/>
    <x v="285"/>
    <s v="M"/>
    <m/>
    <m/>
    <n v="75.064999999999998"/>
    <n v="73.290000000000006"/>
    <n v="148.822"/>
    <n v="148.18100000000001"/>
    <n v="153.357"/>
    <n v="153.44200000000001"/>
    <n v="123.122"/>
    <n v="122.947"/>
    <n v="59.968000000000004"/>
    <n v="59.341999999999999"/>
    <n v="40.031999999999996"/>
    <n v="40.658000000000001"/>
    <n v="9.6769999999999996"/>
    <n v="10.705"/>
    <n v="40.658000000000001"/>
    <n v="40.031999999999996"/>
    <n v="3.0259999999999998"/>
    <n v="6"/>
    <n v="9"/>
    <n v="6"/>
    <n v="6"/>
  </r>
  <r>
    <n v="752"/>
    <m/>
    <m/>
    <m/>
    <m/>
    <s v="G20"/>
    <s v="Parkinson's disease"/>
    <x v="176"/>
    <s v="M"/>
    <m/>
    <m/>
    <n v="59.895000000000003"/>
    <n v="51.722000000000001"/>
    <n v="110.55800000000001"/>
    <n v="112.67"/>
    <n v="108.41500000000001"/>
    <n v="110.58499999999999"/>
    <n v="117.732"/>
    <n v="118.364"/>
    <n v="61.136000000000003"/>
    <n v="60.884999999999998"/>
    <n v="38.863999999999997"/>
    <n v="39.115000000000002"/>
    <n v="11.629"/>
    <n v="11.012"/>
    <n v="39.115000000000002"/>
    <n v="38.863999999999997"/>
    <n v="12.311999999999999"/>
    <n v="9"/>
    <n v="10"/>
    <n v="9"/>
    <n v="9"/>
  </r>
  <r>
    <n v="753"/>
    <m/>
    <m/>
    <m/>
    <m/>
    <s v="G20"/>
    <s v="Parkinson's disease"/>
    <x v="153"/>
    <s v="M"/>
    <m/>
    <m/>
    <s v="NA"/>
    <s v="NA"/>
    <s v="NA"/>
    <s v="NA"/>
    <s v="NA"/>
    <s v="NA"/>
    <s v="NA"/>
    <s v="NA"/>
    <s v="NA"/>
    <s v="NA"/>
    <s v="NA"/>
    <s v="NA"/>
    <s v="NA"/>
    <s v="NA"/>
    <s v="NA"/>
    <s v="NA"/>
    <s v="NA"/>
    <s v="NA"/>
    <s v="NA"/>
    <s v="NA"/>
    <s v="NA"/>
  </r>
  <r>
    <n v="754"/>
    <m/>
    <m/>
    <m/>
    <m/>
    <s v="G20"/>
    <s v="Parkinson's disease"/>
    <x v="286"/>
    <s v="M"/>
    <m/>
    <m/>
    <n v="34.396000000000001"/>
    <n v="38.658999999999999"/>
    <n v="73.441999999999993"/>
    <n v="72.105000000000004"/>
    <n v="76.716999999999999"/>
    <n v="76.852999999999994"/>
    <n v="127.191"/>
    <n v="127.589"/>
    <n v="65.072999999999993"/>
    <n v="60.73"/>
    <n v="34.927"/>
    <n v="39.270000000000003"/>
    <n v="16.321000000000002"/>
    <n v="9.0960000000000001"/>
    <n v="39.270000000000003"/>
    <n v="34.927"/>
    <n v="10.532"/>
    <n v="15"/>
    <n v="16"/>
    <n v="15"/>
    <n v="15"/>
  </r>
  <r>
    <n v="755"/>
    <m/>
    <m/>
    <m/>
    <m/>
    <s v="NA"/>
    <s v="NA"/>
    <x v="35"/>
    <s v="NA"/>
    <m/>
    <m/>
    <n v="55.082999999999998"/>
    <n v="47.816000000000003"/>
    <n v="103.38800000000001"/>
    <n v="102.89700000000001"/>
    <n v="89.703999999999994"/>
    <n v="89.588999999999999"/>
    <n v="103.398"/>
    <n v="103.78700000000001"/>
    <n v="63.777999999999999"/>
    <n v="64.957999999999998"/>
    <n v="36.222000000000001"/>
    <n v="35.042000000000002"/>
    <n v="14.01"/>
    <n v="14.919"/>
    <n v="35.042000000000002"/>
    <n v="36.222000000000001"/>
    <n v="8.5540000000000003"/>
    <n v="11"/>
    <n v="11"/>
    <n v="11"/>
    <n v="11"/>
  </r>
  <r>
    <n v="756"/>
    <m/>
    <m/>
    <m/>
    <m/>
    <s v="G20"/>
    <s v="Parkinson's disease"/>
    <x v="219"/>
    <s v="F"/>
    <m/>
    <m/>
    <n v="56.767000000000003"/>
    <n v="51.527999999999999"/>
    <n v="108.751"/>
    <n v="108.661"/>
    <n v="92.566000000000003"/>
    <n v="93.114999999999995"/>
    <n v="102.078"/>
    <n v="102.38"/>
    <n v="65.965999999999994"/>
    <n v="64.552999999999997"/>
    <n v="34.033999999999999"/>
    <n v="35.448"/>
    <n v="14.407999999999999"/>
    <n v="17.033000000000001"/>
    <n v="35.448"/>
    <n v="34.033999999999999"/>
    <n v="13.94"/>
    <n v="10"/>
    <n v="10"/>
    <n v="10"/>
    <n v="10"/>
  </r>
  <r>
    <n v="757"/>
    <m/>
    <m/>
    <m/>
    <m/>
    <s v="NA"/>
    <s v="NA"/>
    <x v="35"/>
    <s v="NA"/>
    <m/>
    <m/>
    <s v="NA"/>
    <s v="NA"/>
    <s v="NA"/>
    <s v="NA"/>
    <s v="NA"/>
    <s v="NA"/>
    <s v="NA"/>
    <s v="NA"/>
    <s v="NA"/>
    <s v="NA"/>
    <s v="NA"/>
    <s v="NA"/>
    <s v="NA"/>
    <s v="NA"/>
    <s v="NA"/>
    <s v="NA"/>
    <s v="NA"/>
    <s v="NA"/>
    <s v="NA"/>
    <s v="NA"/>
    <s v="NA"/>
  </r>
  <r>
    <n v="758"/>
    <m/>
    <m/>
    <m/>
    <m/>
    <s v="G20"/>
    <s v="Parkinson's disease"/>
    <x v="183"/>
    <s v="F"/>
    <m/>
    <m/>
    <n v="47.177"/>
    <n v="55.683999999999997"/>
    <n v="103.887"/>
    <n v="103.24"/>
    <n v="103.58799999999999"/>
    <n v="104.11799999999999"/>
    <n v="119.31100000000001"/>
    <n v="120.377"/>
    <n v="65.113"/>
    <n v="60.261000000000003"/>
    <n v="34.887"/>
    <n v="39.738999999999997"/>
    <n v="13.795999999999999"/>
    <n v="11.759"/>
    <n v="39.738999999999997"/>
    <n v="34.887"/>
    <n v="10.766"/>
    <n v="12"/>
    <n v="13"/>
    <n v="12"/>
    <n v="12"/>
  </r>
  <r>
    <n v="759"/>
    <m/>
    <m/>
    <m/>
    <m/>
    <s v="G20"/>
    <s v="Parkinson's disease"/>
    <x v="12"/>
    <s v="F"/>
    <m/>
    <m/>
    <s v="NA"/>
    <s v="NA"/>
    <s v="NA"/>
    <s v="NA"/>
    <s v="NA"/>
    <s v="NA"/>
    <s v="NA"/>
    <s v="NA"/>
    <s v="NA"/>
    <s v="NA"/>
    <s v="NA"/>
    <s v="NA"/>
    <s v="NA"/>
    <s v="NA"/>
    <s v="NA"/>
    <s v="NA"/>
    <s v="NA"/>
    <s v="NA"/>
    <s v="NA"/>
    <s v="NA"/>
    <s v="NA"/>
  </r>
  <r>
    <n v="760"/>
    <m/>
    <m/>
    <m/>
    <m/>
    <s v="G20"/>
    <s v="Parkinson's disease"/>
    <x v="204"/>
    <s v="M"/>
    <m/>
    <m/>
    <n v="61.962000000000003"/>
    <n v="54.511000000000003"/>
    <n v="115.95699999999999"/>
    <n v="117.565"/>
    <n v="110.40600000000001"/>
    <n v="112.128"/>
    <n v="113.267"/>
    <n v="113.324"/>
    <n v="62.392000000000003"/>
    <n v="59.084000000000003"/>
    <n v="37.607999999999997"/>
    <n v="40.915999999999997"/>
    <n v="11.36"/>
    <n v="10.459"/>
    <n v="40.915999999999997"/>
    <n v="37.607999999999997"/>
    <n v="6.7060000000000004"/>
    <n v="11"/>
    <n v="10"/>
    <n v="10"/>
    <n v="10"/>
  </r>
  <r>
    <n v="761"/>
    <m/>
    <m/>
    <m/>
    <m/>
    <s v="NA"/>
    <s v="NA"/>
    <x v="242"/>
    <s v="F"/>
    <m/>
    <m/>
    <s v="NA"/>
    <s v="NA"/>
    <s v="NA"/>
    <s v="NA"/>
    <s v="NA"/>
    <s v="NA"/>
    <s v="NA"/>
    <s v="NA"/>
    <s v="NA"/>
    <s v="NA"/>
    <s v="NA"/>
    <s v="NA"/>
    <s v="NA"/>
    <s v="NA"/>
    <s v="NA"/>
    <s v="NA"/>
    <s v="NA"/>
    <s v="NA"/>
    <s v="NA"/>
    <s v="NA"/>
    <s v="NA"/>
  </r>
  <r>
    <n v="762"/>
    <m/>
    <m/>
    <m/>
    <m/>
    <s v="G20"/>
    <s v="Parkinson's disease"/>
    <x v="83"/>
    <s v="M"/>
    <m/>
    <m/>
    <n v="44.773000000000003"/>
    <n v="45.661999999999999"/>
    <n v="90.281000000000006"/>
    <n v="90.340999999999994"/>
    <n v="102.206"/>
    <n v="102.01900000000001"/>
    <n v="135.446"/>
    <n v="136.05500000000001"/>
    <n v="62.924999999999997"/>
    <n v="62.969000000000001"/>
    <n v="37.075000000000003"/>
    <n v="37.030999999999999"/>
    <n v="11.269"/>
    <n v="13.928000000000001"/>
    <n v="37.030999999999999"/>
    <n v="37.075000000000003"/>
    <n v="7.3079999999999998"/>
    <n v="13"/>
    <n v="13"/>
    <n v="13"/>
    <n v="13"/>
  </r>
  <r>
    <n v="763"/>
    <m/>
    <m/>
    <m/>
    <m/>
    <s v="G20"/>
    <s v="Parkinson's disease"/>
    <x v="263"/>
    <s v="M"/>
    <m/>
    <m/>
    <n v="61.369"/>
    <n v="59.932000000000002"/>
    <n v="121.05800000000001"/>
    <n v="121.85299999999999"/>
    <n v="111.89700000000001"/>
    <n v="112.30500000000001"/>
    <n v="110.45699999999999"/>
    <n v="110.31"/>
    <n v="63.5"/>
    <n v="62.81"/>
    <n v="36.5"/>
    <n v="37.19"/>
    <n v="13.422000000000001"/>
    <n v="12.680999999999999"/>
    <n v="37.19"/>
    <n v="36.5"/>
    <n v="12.976000000000001"/>
    <n v="10"/>
    <n v="9"/>
    <n v="9"/>
    <n v="9"/>
  </r>
  <r>
    <n v="764"/>
    <m/>
    <m/>
    <m/>
    <m/>
    <s v="G20"/>
    <s v="Parkinson's disease"/>
    <x v="39"/>
    <s v="M"/>
    <m/>
    <m/>
    <s v="NA"/>
    <s v="NA"/>
    <s v="NA"/>
    <s v="NA"/>
    <s v="NA"/>
    <s v="NA"/>
    <s v="NA"/>
    <s v="NA"/>
    <s v="NA"/>
    <s v="NA"/>
    <s v="NA"/>
    <s v="NA"/>
    <s v="NA"/>
    <s v="NA"/>
    <s v="NA"/>
    <s v="NA"/>
    <s v="NA"/>
    <s v="NA"/>
    <s v="NA"/>
    <s v="NA"/>
    <s v="NA"/>
  </r>
  <r>
    <n v="765"/>
    <m/>
    <m/>
    <m/>
    <m/>
    <s v="R25.1"/>
    <s v="Tremor, unspecified"/>
    <x v="287"/>
    <s v="M"/>
    <m/>
    <m/>
    <s v="NA"/>
    <s v="NA"/>
    <s v="NA"/>
    <s v="NA"/>
    <s v="NA"/>
    <s v="NA"/>
    <s v="NA"/>
    <s v="NA"/>
    <s v="NA"/>
    <s v="NA"/>
    <s v="NA"/>
    <s v="NA"/>
    <s v="NA"/>
    <s v="NA"/>
    <s v="NA"/>
    <s v="NA"/>
    <s v="NA"/>
    <s v="NA"/>
    <s v="NA"/>
    <s v="NA"/>
    <s v="NA"/>
  </r>
  <r>
    <n v="766"/>
    <m/>
    <m/>
    <m/>
    <m/>
    <s v="G20"/>
    <s v="Parkinson's disease"/>
    <x v="288"/>
    <s v="M"/>
    <m/>
    <m/>
    <n v="48.472999999999999"/>
    <n v="45.82"/>
    <n v="93.159000000000006"/>
    <n v="95.028999999999996"/>
    <n v="76.242000000000004"/>
    <n v="76.218999999999994"/>
    <n v="100.26"/>
    <n v="97.872"/>
    <n v="63.536000000000001"/>
    <n v="62.17"/>
    <n v="36.463999999999999"/>
    <n v="37.83"/>
    <n v="13.102"/>
    <n v="13.914"/>
    <n v="37.83"/>
    <n v="36.463999999999999"/>
    <n v="11.46"/>
    <n v="10"/>
    <n v="13"/>
    <n v="10"/>
    <n v="10"/>
  </r>
  <r>
    <n v="767"/>
    <m/>
    <m/>
    <m/>
    <m/>
    <s v="G20"/>
    <s v="Parkinson's disease"/>
    <x v="188"/>
    <s v="F"/>
    <m/>
    <m/>
    <n v="4.3689999999999998"/>
    <n v="1.0289999999999999"/>
    <n v="5.0209999999999999"/>
    <n v="5.3029999999999999"/>
    <n v="3.8889999999999998"/>
    <n v="3.681"/>
    <n v="84.355000000000004"/>
    <n v="76.626000000000005"/>
    <n v="86.331999999999994"/>
    <n v="85.936000000000007"/>
    <n v="13.667999999999999"/>
    <n v="14.064"/>
    <n v="35.838999999999999"/>
    <n v="39.103000000000002"/>
    <n v="14.064"/>
    <n v="13.667999999999999"/>
    <n v="10.707000000000001"/>
    <n v="9"/>
    <n v="9"/>
    <n v="9"/>
    <n v="9"/>
  </r>
  <r>
    <n v="768"/>
    <m/>
    <m/>
    <m/>
    <m/>
    <s v="NA"/>
    <s v="NA"/>
    <x v="289"/>
    <s v="M"/>
    <m/>
    <m/>
    <s v="NA"/>
    <s v="NA"/>
    <s v="NA"/>
    <s v="NA"/>
    <s v="NA"/>
    <s v="NA"/>
    <s v="NA"/>
    <s v="NA"/>
    <s v="NA"/>
    <s v="NA"/>
    <s v="NA"/>
    <s v="NA"/>
    <s v="NA"/>
    <s v="NA"/>
    <s v="NA"/>
    <s v="NA"/>
    <s v="NA"/>
    <s v="NA"/>
    <s v="NA"/>
    <s v="NA"/>
    <s v="NA"/>
  </r>
  <r>
    <n v="769"/>
    <m/>
    <m/>
    <m/>
    <m/>
    <s v="G20"/>
    <s v="Parkinson's disease"/>
    <x v="258"/>
    <s v="M"/>
    <m/>
    <m/>
    <n v="65.796000000000006"/>
    <n v="69.105000000000004"/>
    <n v="135.12200000000001"/>
    <n v="134.88399999999999"/>
    <n v="125.86199999999999"/>
    <n v="125.18300000000001"/>
    <n v="111.255"/>
    <n v="111.068"/>
    <n v="60.13"/>
    <n v="60.682000000000002"/>
    <n v="39.869999999999997"/>
    <n v="39.317"/>
    <n v="9.8420000000000005"/>
    <n v="10.340999999999999"/>
    <n v="39.317"/>
    <n v="39.869999999999997"/>
    <n v="7.0119999999999996"/>
    <n v="8"/>
    <n v="10"/>
    <n v="8"/>
    <n v="8"/>
  </r>
  <r>
    <n v="770"/>
    <m/>
    <m/>
    <m/>
    <m/>
    <s v="NA"/>
    <s v="NA"/>
    <x v="168"/>
    <s v="M"/>
    <m/>
    <m/>
    <s v="NA"/>
    <s v="NA"/>
    <s v="NA"/>
    <s v="NA"/>
    <s v="NA"/>
    <s v="NA"/>
    <s v="NA"/>
    <s v="NA"/>
    <s v="NA"/>
    <s v="NA"/>
    <s v="NA"/>
    <s v="NA"/>
    <s v="NA"/>
    <s v="NA"/>
    <s v="NA"/>
    <s v="NA"/>
    <s v="NA"/>
    <s v="NA"/>
    <s v="NA"/>
    <s v="NA"/>
    <s v="NA"/>
  </r>
  <r>
    <n v="771"/>
    <m/>
    <m/>
    <m/>
    <m/>
    <s v="G20"/>
    <s v="Parkinson's disease"/>
    <x v="290"/>
    <s v="M"/>
    <m/>
    <m/>
    <n v="62.57"/>
    <n v="62.161999999999999"/>
    <n v="125.256"/>
    <n v="124.346"/>
    <n v="122.294"/>
    <n v="121.642"/>
    <n v="117.114"/>
    <n v="116.999"/>
    <n v="62.064999999999998"/>
    <n v="62.148000000000003"/>
    <n v="37.935000000000002"/>
    <n v="37.851999999999997"/>
    <n v="11.737"/>
    <n v="12.592000000000001"/>
    <n v="37.851999999999997"/>
    <n v="37.935000000000002"/>
    <n v="10.968"/>
    <n v="9"/>
    <n v="10"/>
    <n v="9"/>
    <n v="9"/>
  </r>
  <r>
    <n v="772"/>
    <m/>
    <m/>
    <m/>
    <m/>
    <s v="G20"/>
    <s v="Parkinson's disease"/>
    <x v="291"/>
    <s v="M"/>
    <m/>
    <m/>
    <n v="37.463000000000001"/>
    <n v="44.51"/>
    <n v="82.031999999999996"/>
    <n v="81.516999999999996"/>
    <n v="74.027000000000001"/>
    <n v="74.08"/>
    <n v="110.148"/>
    <n v="110.235"/>
    <n v="63.917999999999999"/>
    <n v="63.572000000000003"/>
    <n v="36.082000000000001"/>
    <n v="36.427999999999997"/>
    <n v="11.478"/>
    <n v="15.686"/>
    <n v="36.427999999999997"/>
    <n v="36.082000000000001"/>
    <n v="7.0650000000000004"/>
    <n v="10"/>
    <n v="10"/>
    <n v="10"/>
    <n v="10"/>
  </r>
  <r>
    <n v="773"/>
    <m/>
    <m/>
    <m/>
    <m/>
    <s v="G20"/>
    <s v="Parkinson's disease"/>
    <x v="292"/>
    <s v="M"/>
    <m/>
    <m/>
    <n v="48.503999999999998"/>
    <n v="49.039000000000001"/>
    <n v="97.748000000000005"/>
    <n v="97.983999999999995"/>
    <n v="70.081000000000003"/>
    <n v="70.087000000000003"/>
    <n v="85.605999999999995"/>
    <n v="84.835999999999999"/>
    <n v="66.67"/>
    <n v="65.185000000000002"/>
    <n v="33.33"/>
    <n v="34.814999999999998"/>
    <n v="14.278"/>
    <n v="17.199000000000002"/>
    <n v="34.814999999999998"/>
    <n v="33.33"/>
    <n v="8.4619999999999997"/>
    <n v="10"/>
    <n v="8"/>
    <n v="8"/>
    <n v="8"/>
  </r>
  <r>
    <n v="774"/>
    <m/>
    <m/>
    <m/>
    <m/>
    <s v="R26.9"/>
    <s v="Unspecified abnormalities of gait and mobility"/>
    <x v="293"/>
    <s v="M"/>
    <m/>
    <m/>
    <n v="50.377000000000002"/>
    <n v="47.771000000000001"/>
    <n v="98.111000000000004"/>
    <n v="98.25"/>
    <n v="81.138000000000005"/>
    <n v="81.206999999999994"/>
    <n v="99.155000000000001"/>
    <n v="98.843999999999994"/>
    <n v="63.671999999999997"/>
    <n v="63.296999999999997"/>
    <n v="36.328000000000003"/>
    <n v="36.703000000000003"/>
    <n v="14.927"/>
    <n v="12.891999999999999"/>
    <n v="36.703000000000003"/>
    <n v="36.328000000000003"/>
    <n v="10.134"/>
    <n v="10"/>
    <n v="10"/>
    <n v="10"/>
    <n v="10"/>
  </r>
  <r>
    <n v="775"/>
    <m/>
    <m/>
    <m/>
    <m/>
    <s v="G25.0"/>
    <s v="Essential tremor"/>
    <x v="210"/>
    <s v="M"/>
    <m/>
    <m/>
    <n v="44.755000000000003"/>
    <n v="37.817"/>
    <n v="82.864999999999995"/>
    <n v="82.338999999999999"/>
    <n v="73.959999999999994"/>
    <n v="73.366"/>
    <n v="107.288"/>
    <n v="106.69799999999999"/>
    <n v="62.067999999999998"/>
    <n v="66.034000000000006"/>
    <n v="37.932000000000002"/>
    <n v="33.966000000000001"/>
    <n v="13.170999999999999"/>
    <n v="15.266"/>
    <n v="33.966000000000001"/>
    <n v="37.932000000000002"/>
    <n v="8.3000000000000007"/>
    <n v="12"/>
    <n v="13"/>
    <n v="12"/>
    <n v="12"/>
  </r>
  <r>
    <n v="776"/>
    <m/>
    <m/>
    <m/>
    <m/>
    <s v="G20"/>
    <s v="Parkinson's disease"/>
    <x v="294"/>
    <s v="M"/>
    <m/>
    <m/>
    <n v="66.242999999999995"/>
    <n v="59.978999999999999"/>
    <n v="125.20699999999999"/>
    <n v="126.15"/>
    <n v="126.139"/>
    <n v="127.10899999999999"/>
    <n v="122.06699999999999"/>
    <n v="121.65900000000001"/>
    <n v="64.3"/>
    <n v="62.723999999999997"/>
    <n v="35.700000000000003"/>
    <n v="37.276000000000003"/>
    <n v="12.929"/>
    <n v="14.502000000000001"/>
    <n v="37.276000000000003"/>
    <n v="35.700000000000003"/>
    <n v="9.6240000000000006"/>
    <n v="8"/>
    <n v="10"/>
    <n v="8"/>
    <n v="8"/>
  </r>
  <r>
    <n v="777"/>
    <m/>
    <m/>
    <m/>
    <m/>
    <s v="G20"/>
    <s v="Parkinson's disease"/>
    <x v="198"/>
    <s v="F"/>
    <m/>
    <m/>
    <s v="NA"/>
    <s v="NA"/>
    <s v="NA"/>
    <s v="NA"/>
    <s v="NA"/>
    <s v="NA"/>
    <s v="NA"/>
    <s v="NA"/>
    <s v="NA"/>
    <s v="NA"/>
    <s v="NA"/>
    <s v="NA"/>
    <s v="NA"/>
    <s v="NA"/>
    <s v="NA"/>
    <s v="NA"/>
    <s v="NA"/>
    <s v="NA"/>
    <s v="NA"/>
    <s v="NA"/>
    <s v="NA"/>
  </r>
  <r>
    <n v="778"/>
    <m/>
    <m/>
    <m/>
    <m/>
    <s v="G20"/>
    <s v="Parkinson's disease"/>
    <x v="153"/>
    <s v="M"/>
    <m/>
    <m/>
    <n v="45.582999999999998"/>
    <n v="48.713999999999999"/>
    <n v="94.543000000000006"/>
    <n v="94.034000000000006"/>
    <n v="83.210999999999999"/>
    <n v="82.715000000000003"/>
    <n v="105.35"/>
    <n v="105.139"/>
    <n v="61.677999999999997"/>
    <n v="61.933999999999997"/>
    <n v="38.322000000000003"/>
    <n v="38.066000000000003"/>
    <n v="12.244999999999999"/>
    <n v="11.839"/>
    <n v="38.066000000000003"/>
    <n v="38.322000000000003"/>
    <n v="10.853999999999999"/>
    <n v="12"/>
    <n v="13"/>
    <n v="12"/>
    <n v="12"/>
  </r>
  <r>
    <n v="779"/>
    <m/>
    <m/>
    <m/>
    <m/>
    <s v="NA"/>
    <s v="NA"/>
    <x v="35"/>
    <s v="NA"/>
    <m/>
    <m/>
    <n v="39.557000000000002"/>
    <n v="41.243000000000002"/>
    <n v="80.891000000000005"/>
    <n v="80.378"/>
    <n v="56.235999999999997"/>
    <n v="56.533000000000001"/>
    <n v="83.099000000000004"/>
    <n v="83.338999999999999"/>
    <n v="68.781000000000006"/>
    <n v="63.908000000000001"/>
    <n v="31.219000000000001"/>
    <n v="36.091999999999999"/>
    <n v="12.762"/>
    <n v="19.722000000000001"/>
    <n v="36.091999999999999"/>
    <n v="31.219000000000001"/>
    <n v="24.15"/>
    <n v="12"/>
    <n v="12"/>
    <n v="12"/>
    <n v="12"/>
  </r>
  <r>
    <n v="780"/>
    <m/>
    <m/>
    <m/>
    <m/>
    <s v="G20"/>
    <s v="Parkinson's disease"/>
    <x v="241"/>
    <s v="M"/>
    <m/>
    <m/>
    <n v="63.078000000000003"/>
    <n v="60.923000000000002"/>
    <n v="123.628"/>
    <n v="125.099"/>
    <n v="115.529"/>
    <n v="117.797"/>
    <n v="111.292"/>
    <n v="112.32599999999999"/>
    <n v="61.368000000000002"/>
    <n v="63.837000000000003"/>
    <n v="38.631999999999998"/>
    <n v="36.162999999999997"/>
    <n v="12.585000000000001"/>
    <n v="13.242000000000001"/>
    <n v="36.162999999999997"/>
    <n v="38.631999999999998"/>
    <n v="9.0120000000000005"/>
    <n v="7"/>
    <n v="8"/>
    <n v="7"/>
    <n v="7"/>
  </r>
  <r>
    <n v="781"/>
    <m/>
    <m/>
    <m/>
    <m/>
    <s v="NA"/>
    <s v="NA"/>
    <x v="35"/>
    <s v="NA"/>
    <m/>
    <m/>
    <n v="55.347000000000001"/>
    <n v="60.962000000000003"/>
    <n v="116.80800000000001"/>
    <n v="116.309"/>
    <n v="108.331"/>
    <n v="107.06"/>
    <n v="110.996"/>
    <n v="110.342"/>
    <n v="62.570999999999998"/>
    <n v="61.816000000000003"/>
    <n v="37.429000000000002"/>
    <n v="38.183999999999997"/>
    <n v="12.129"/>
    <n v="12.435"/>
    <n v="38.183999999999997"/>
    <n v="37.429000000000002"/>
    <n v="12.004"/>
    <n v="10"/>
    <n v="15"/>
    <n v="10"/>
    <n v="10"/>
  </r>
  <r>
    <n v="782"/>
    <m/>
    <m/>
    <m/>
    <m/>
    <s v="G25.0"/>
    <s v="Essential tremor"/>
    <x v="295"/>
    <s v="F"/>
    <m/>
    <m/>
    <n v="59.314"/>
    <n v="59.710999999999999"/>
    <n v="119.753"/>
    <n v="118.642"/>
    <n v="110.83199999999999"/>
    <n v="110.279"/>
    <n v="110.498"/>
    <n v="111.25700000000001"/>
    <n v="63.119"/>
    <n v="63.62"/>
    <n v="36.881"/>
    <n v="36.380000000000003"/>
    <n v="13.494999999999999"/>
    <n v="13.741"/>
    <n v="36.380000000000003"/>
    <n v="36.881"/>
    <n v="10.246"/>
    <n v="10"/>
    <n v="10"/>
    <n v="10"/>
    <n v="10"/>
  </r>
  <r>
    <n v="783"/>
    <m/>
    <m/>
    <m/>
    <m/>
    <s v="NA"/>
    <s v="NA"/>
    <x v="35"/>
    <s v="NA"/>
    <m/>
    <m/>
    <n v="57.640999999999998"/>
    <n v="53.62"/>
    <n v="111.426"/>
    <n v="111.57"/>
    <n v="113.51900000000001"/>
    <n v="112.767"/>
    <n v="121.405"/>
    <n v="120.828"/>
    <n v="61.874000000000002"/>
    <n v="62.651000000000003"/>
    <n v="38.125999999999998"/>
    <n v="37.348999999999997"/>
    <n v="12.722"/>
    <n v="12.252000000000001"/>
    <n v="37.348999999999997"/>
    <n v="38.125999999999998"/>
    <n v="12.811999999999999"/>
    <n v="12"/>
    <n v="11"/>
    <n v="11"/>
    <n v="11"/>
  </r>
  <r>
    <n v="784"/>
    <m/>
    <m/>
    <m/>
    <m/>
    <s v="G20"/>
    <s v="Parkinson's disease"/>
    <x v="121"/>
    <s v="F"/>
    <m/>
    <m/>
    <n v="30.477"/>
    <n v="24.916"/>
    <n v="56.384999999999998"/>
    <n v="54.988"/>
    <n v="45.075000000000003"/>
    <n v="45.893999999999998"/>
    <n v="98.888000000000005"/>
    <n v="99.991"/>
    <n v="68.010999999999996"/>
    <n v="70.786000000000001"/>
    <n v="31.989000000000001"/>
    <n v="29.213999999999999"/>
    <n v="13.532999999999999"/>
    <n v="24.707000000000001"/>
    <n v="29.213999999999999"/>
    <n v="31.989000000000001"/>
    <n v="11.068"/>
    <n v="20"/>
    <n v="17"/>
    <n v="17"/>
    <n v="17"/>
  </r>
  <r>
    <n v="785"/>
    <m/>
    <m/>
    <m/>
    <m/>
    <s v="G20"/>
    <s v="Parkinson's disease"/>
    <x v="296"/>
    <s v="F"/>
    <m/>
    <m/>
    <n v="25.431000000000001"/>
    <n v="22.542999999999999"/>
    <n v="48.752000000000002"/>
    <n v="48.005000000000003"/>
    <n v="34.466000000000001"/>
    <n v="33.768999999999998"/>
    <n v="84.840999999999994"/>
    <n v="84.328999999999994"/>
    <n v="70.775999999999996"/>
    <n v="73.86"/>
    <n v="29.224"/>
    <n v="26.138999999999999"/>
    <n v="20.96"/>
    <n v="23.132999999999999"/>
    <n v="26.138999999999999"/>
    <n v="29.224"/>
    <n v="11.02"/>
    <n v="13"/>
    <n v="14"/>
    <n v="13"/>
    <n v="13"/>
  </r>
  <r>
    <n v="786"/>
    <m/>
    <m/>
    <m/>
    <m/>
    <s v="R26.9"/>
    <s v="Unspecified abnormalities of gait and mobility"/>
    <x v="130"/>
    <s v="F"/>
    <m/>
    <m/>
    <n v="30.783999999999999"/>
    <n v="26.463999999999999"/>
    <n v="57.695999999999998"/>
    <n v="57.433999999999997"/>
    <n v="47.905000000000001"/>
    <n v="47.991999999999997"/>
    <n v="100.18899999999999"/>
    <n v="100.199"/>
    <n v="69.778999999999996"/>
    <n v="65.834999999999994"/>
    <n v="30.221"/>
    <n v="34.164999999999999"/>
    <n v="17.216999999999999"/>
    <n v="18.207999999999998"/>
    <n v="34.164999999999999"/>
    <n v="30.221"/>
    <n v="13.715"/>
    <n v="10"/>
    <n v="9"/>
    <n v="9"/>
    <n v="9"/>
  </r>
  <r>
    <n v="787"/>
    <m/>
    <m/>
    <m/>
    <m/>
    <s v="G20"/>
    <s v="Parkinson's disease"/>
    <x v="197"/>
    <s v="M"/>
    <m/>
    <m/>
    <n v="43.515999999999998"/>
    <n v="45.433"/>
    <n v="89.688999999999993"/>
    <n v="87.888999999999996"/>
    <n v="72.506"/>
    <n v="70.978999999999999"/>
    <n v="96.814999999999998"/>
    <n v="96.731999999999999"/>
    <n v="66.81"/>
    <n v="67.224000000000004"/>
    <n v="33.19"/>
    <n v="32.776000000000003"/>
    <n v="17.742999999999999"/>
    <n v="16.318999999999999"/>
    <n v="32.776000000000003"/>
    <n v="33.19"/>
    <n v="16.52"/>
    <n v="10"/>
    <n v="10"/>
    <n v="10"/>
    <n v="10"/>
  </r>
  <r>
    <n v="788"/>
    <m/>
    <m/>
    <m/>
    <m/>
    <s v="G24.9"/>
    <s v="Dystonia, unspecified"/>
    <x v="297"/>
    <s v="M"/>
    <m/>
    <m/>
    <n v="47.171999999999997"/>
    <n v="52.167999999999999"/>
    <n v="99.138999999999996"/>
    <n v="99.710999999999999"/>
    <n v="83.734999999999999"/>
    <n v="82.84"/>
    <n v="101.49"/>
    <n v="99.317999999999998"/>
    <n v="59.537999999999997"/>
    <n v="60.45"/>
    <n v="40.462000000000003"/>
    <n v="39.549999999999997"/>
    <n v="12.532999999999999"/>
    <n v="7.5460000000000003"/>
    <n v="39.549999999999997"/>
    <n v="40.462000000000003"/>
    <n v="26.792999999999999"/>
    <n v="7"/>
    <n v="6"/>
    <n v="6"/>
    <n v="6"/>
  </r>
  <r>
    <n v="789"/>
    <m/>
    <m/>
    <m/>
    <m/>
    <s v="NA"/>
    <s v="NA"/>
    <x v="35"/>
    <s v="NA"/>
    <m/>
    <m/>
    <s v="NA"/>
    <s v="NA"/>
    <s v="NA"/>
    <s v="NA"/>
    <s v="NA"/>
    <s v="NA"/>
    <s v="NA"/>
    <s v="NA"/>
    <s v="NA"/>
    <s v="NA"/>
    <s v="NA"/>
    <s v="NA"/>
    <s v="NA"/>
    <s v="NA"/>
    <s v="NA"/>
    <s v="NA"/>
    <s v="NA"/>
    <s v="NA"/>
    <s v="NA"/>
    <s v="NA"/>
    <s v="NA"/>
  </r>
  <r>
    <n v="790"/>
    <m/>
    <m/>
    <m/>
    <m/>
    <s v="R25.1"/>
    <s v="Tremor, unspecified"/>
    <x v="242"/>
    <s v="M"/>
    <m/>
    <m/>
    <n v="70.802000000000007"/>
    <n v="71.137"/>
    <n v="142.75299999999999"/>
    <n v="142.07"/>
    <n v="129.749"/>
    <n v="129.34299999999999"/>
    <n v="108.62"/>
    <n v="109.313"/>
    <n v="61.142000000000003"/>
    <n v="60.112000000000002"/>
    <n v="38.857999999999997"/>
    <n v="39.887999999999998"/>
    <n v="11.614000000000001"/>
    <n v="9.8670000000000009"/>
    <n v="39.887999999999998"/>
    <n v="38.857999999999997"/>
    <n v="10.125999999999999"/>
    <n v="9"/>
    <n v="9"/>
    <n v="9"/>
    <n v="9"/>
  </r>
  <r>
    <n v="791"/>
    <m/>
    <m/>
    <m/>
    <m/>
    <s v="R26.9"/>
    <s v="Unspecified abnormalities of gait and mobility"/>
    <x v="27"/>
    <s v="F"/>
    <m/>
    <m/>
    <n v="25.768999999999998"/>
    <n v="11.493"/>
    <n v="36.823"/>
    <n v="37.261000000000003"/>
    <n v="27.704000000000001"/>
    <n v="28.172000000000001"/>
    <n v="90.24"/>
    <n v="91.692999999999998"/>
    <n v="71.766000000000005"/>
    <n v="81.400000000000006"/>
    <n v="28.233000000000001"/>
    <n v="18.600000000000001"/>
    <n v="24.58"/>
    <n v="27.972000000000001"/>
    <n v="18.600000000000001"/>
    <n v="28.233000000000001"/>
    <n v="18.114999999999998"/>
    <n v="14"/>
    <n v="16"/>
    <n v="14"/>
    <n v="14"/>
  </r>
  <r>
    <n v="792"/>
    <m/>
    <m/>
    <m/>
    <m/>
    <s v="G25.0"/>
    <s v="Essential tremor"/>
    <x v="298"/>
    <s v="M"/>
    <m/>
    <m/>
    <n v="46.963000000000001"/>
    <n v="44.225999999999999"/>
    <n v="91.147000000000006"/>
    <n v="90.665999999999997"/>
    <n v="70.768000000000001"/>
    <n v="70.590999999999994"/>
    <n v="94.046000000000006"/>
    <n v="93.067999999999998"/>
    <n v="68.213999999999999"/>
    <n v="67.995999999999995"/>
    <n v="31.786000000000001"/>
    <n v="32.003999999999998"/>
    <n v="17.706"/>
    <n v="17.373999999999999"/>
    <n v="32.003999999999998"/>
    <n v="31.786000000000001"/>
    <n v="13.413"/>
    <n v="13"/>
    <n v="11"/>
    <n v="11"/>
    <n v="11"/>
  </r>
  <r>
    <n v="793"/>
    <m/>
    <m/>
    <m/>
    <m/>
    <s v="R25.1"/>
    <s v="Tremor, unspecified"/>
    <x v="299"/>
    <s v="F"/>
    <m/>
    <m/>
    <n v="37.625"/>
    <n v="26.497"/>
    <n v="64.387"/>
    <n v="63.997999999999998"/>
    <n v="47.152999999999999"/>
    <n v="46.572000000000003"/>
    <n v="88.287999999999997"/>
    <n v="87.38"/>
    <n v="72.849999999999994"/>
    <n v="70.953000000000003"/>
    <n v="27.15"/>
    <n v="29.047000000000001"/>
    <n v="22.484999999999999"/>
    <n v="21.446000000000002"/>
    <n v="29.047000000000001"/>
    <n v="27.15"/>
    <n v="14.436999999999999"/>
    <n v="13"/>
    <n v="14"/>
    <n v="13"/>
    <n v="13"/>
  </r>
  <r>
    <n v="794"/>
    <m/>
    <m/>
    <m/>
    <m/>
    <s v="G20"/>
    <s v="Parkinson's disease"/>
    <x v="300"/>
    <s v="F"/>
    <m/>
    <m/>
    <n v="43.451999999999998"/>
    <n v="42.255000000000003"/>
    <n v="87.369"/>
    <n v="85.245999999999995"/>
    <n v="77.724999999999994"/>
    <n v="75.801000000000002"/>
    <n v="104.95099999999999"/>
    <n v="104.504"/>
    <n v="63.68"/>
    <n v="64.328000000000003"/>
    <n v="36.32"/>
    <n v="35.671999999999997"/>
    <n v="13.662000000000001"/>
    <n v="13.627000000000001"/>
    <n v="35.671999999999997"/>
    <n v="36.32"/>
    <n v="9.9320000000000004"/>
    <n v="13"/>
    <n v="12"/>
    <n v="12"/>
    <n v="12"/>
  </r>
  <r>
    <n v="795"/>
    <m/>
    <m/>
    <m/>
    <m/>
    <s v="R26.9"/>
    <s v="Unspecified abnormalities of gait and mobility"/>
    <x v="301"/>
    <s v="F"/>
    <m/>
    <m/>
    <n v="31.228999999999999"/>
    <n v="32.695999999999998"/>
    <n v="64.552000000000007"/>
    <n v="64.033000000000001"/>
    <n v="55.168999999999997"/>
    <n v="55.51"/>
    <n v="102.979"/>
    <n v="103.792"/>
    <n v="66.16"/>
    <n v="65.843999999999994"/>
    <n v="33.840000000000003"/>
    <n v="34.155999999999999"/>
    <n v="13.968999999999999"/>
    <n v="17.698"/>
    <n v="34.155999999999999"/>
    <n v="33.840000000000003"/>
    <n v="11.457000000000001"/>
    <n v="14"/>
    <n v="13"/>
    <n v="13"/>
    <n v="13"/>
  </r>
  <r>
    <n v="796"/>
    <m/>
    <m/>
    <m/>
    <m/>
    <s v="R25.1"/>
    <s v="Tremor, unspecified"/>
    <x v="302"/>
    <s v="F"/>
    <m/>
    <m/>
    <n v="55.296999999999997"/>
    <n v="55.63"/>
    <n v="110.952"/>
    <n v="110.922"/>
    <n v="106.88200000000001"/>
    <n v="107.057"/>
    <n v="115.869"/>
    <n v="115.776"/>
    <n v="63.173000000000002"/>
    <n v="61.652000000000001"/>
    <n v="36.826999999999998"/>
    <n v="38.347999999999999"/>
    <n v="13.164"/>
    <n v="11.909000000000001"/>
    <n v="38.347999999999999"/>
    <n v="36.826999999999998"/>
    <n v="11.02"/>
    <n v="11"/>
    <n v="11"/>
    <n v="11"/>
    <n v="11"/>
  </r>
  <r>
    <n v="797"/>
    <m/>
    <m/>
    <m/>
    <m/>
    <s v="G20"/>
    <s v="Parkinson's disease"/>
    <x v="303"/>
    <s v="F"/>
    <m/>
    <m/>
    <n v="34.673000000000002"/>
    <n v="37.506999999999998"/>
    <n v="72.587000000000003"/>
    <n v="72.337000000000003"/>
    <n v="59.787999999999997"/>
    <n v="59.122"/>
    <n v="98.6"/>
    <n v="98.59"/>
    <n v="63.645000000000003"/>
    <n v="66.509"/>
    <n v="36.354999999999997"/>
    <n v="33.491"/>
    <n v="14.606999999999999"/>
    <n v="16.562999999999999"/>
    <n v="33.491"/>
    <n v="36.354999999999997"/>
    <n v="9.3350000000000009"/>
    <n v="11"/>
    <n v="14"/>
    <n v="11"/>
    <n v="11"/>
  </r>
  <r>
    <n v="798"/>
    <m/>
    <m/>
    <m/>
    <m/>
    <s v="G20"/>
    <s v="Parkinson's disease"/>
    <x v="141"/>
    <s v="M"/>
    <m/>
    <m/>
    <n v="56.841000000000001"/>
    <n v="55.996000000000002"/>
    <n v="115.101"/>
    <n v="111.848"/>
    <n v="121.13500000000001"/>
    <n v="120.59699999999999"/>
    <n v="125.81399999999999"/>
    <n v="127.547"/>
    <n v="59.472000000000001"/>
    <n v="64.143000000000001"/>
    <n v="40.527999999999999"/>
    <n v="35.856999999999999"/>
    <n v="12.567"/>
    <n v="11.109"/>
    <n v="35.856999999999999"/>
    <n v="40.527999999999999"/>
    <n v="7.23"/>
    <n v="10"/>
    <n v="11"/>
    <n v="10"/>
    <n v="10"/>
  </r>
  <r>
    <n v="799"/>
    <m/>
    <m/>
    <m/>
    <m/>
    <s v="R25.1"/>
    <s v="Tremor, unspecified"/>
    <x v="53"/>
    <s v="F"/>
    <m/>
    <m/>
    <n v="34.905000000000001"/>
    <n v="28.677"/>
    <n v="63.024999999999999"/>
    <n v="63.933999999999997"/>
    <n v="34.865000000000002"/>
    <n v="35.399000000000001"/>
    <n v="67.069000000000003"/>
    <n v="66.882000000000005"/>
    <n v="69.5"/>
    <n v="75.165999999999997"/>
    <n v="30.5"/>
    <n v="24.834"/>
    <n v="22.952000000000002"/>
    <n v="21.972999999999999"/>
    <n v="24.834"/>
    <n v="30.5"/>
    <n v="13.898"/>
    <n v="11"/>
    <n v="9"/>
    <n v="9"/>
    <n v="9"/>
  </r>
  <r>
    <n v="800"/>
    <m/>
    <m/>
    <m/>
    <m/>
    <s v="G25.0"/>
    <s v="Essential tremor"/>
    <x v="304"/>
    <s v="F"/>
    <m/>
    <m/>
    <n v="55.743000000000002"/>
    <n v="55.542999999999999"/>
    <n v="111.03100000000001"/>
    <n v="111.681"/>
    <n v="134.33699999999999"/>
    <n v="134.73099999999999"/>
    <n v="145.27500000000001"/>
    <n v="144.505"/>
    <n v="59.473999999999997"/>
    <n v="58.795000000000002"/>
    <n v="40.526000000000003"/>
    <n v="41.204999999999998"/>
    <n v="8.9269999999999996"/>
    <n v="10.304"/>
    <n v="41.204999999999998"/>
    <n v="40.526000000000003"/>
    <n v="9.91"/>
    <n v="14"/>
    <n v="11"/>
    <n v="11"/>
    <n v="11"/>
  </r>
  <r>
    <n v="801"/>
    <m/>
    <m/>
    <m/>
    <m/>
    <s v="G20"/>
    <s v="Parkinson's disease"/>
    <x v="305"/>
    <s v="F"/>
    <m/>
    <m/>
    <n v="30.274999999999999"/>
    <n v="28.05"/>
    <n v="58.353999999999999"/>
    <n v="57.993000000000002"/>
    <n v="55.351999999999997"/>
    <n v="55.366"/>
    <n v="113.63500000000001"/>
    <n v="114.565"/>
    <n v="64.004999999999995"/>
    <n v="68.316000000000003"/>
    <n v="35.994"/>
    <n v="31.684000000000001"/>
    <n v="18.529"/>
    <n v="13.930999999999999"/>
    <n v="31.684000000000001"/>
    <n v="35.994"/>
    <n v="8.702"/>
    <n v="17"/>
    <n v="17"/>
    <n v="17"/>
    <n v="17"/>
  </r>
  <r>
    <n v="802"/>
    <m/>
    <m/>
    <m/>
    <m/>
    <s v="NA"/>
    <s v="NA"/>
    <x v="35"/>
    <s v="NA"/>
    <m/>
    <m/>
    <n v="34.673000000000002"/>
    <n v="37.506999999999998"/>
    <n v="72.587000000000003"/>
    <n v="72.337000000000003"/>
    <n v="59.787999999999997"/>
    <n v="59.122"/>
    <n v="98.6"/>
    <n v="98.59"/>
    <n v="63.645000000000003"/>
    <n v="66.509"/>
    <n v="36.354999999999997"/>
    <n v="33.491"/>
    <n v="14.606999999999999"/>
    <n v="16.562999999999999"/>
    <n v="33.491"/>
    <n v="36.354999999999997"/>
    <n v="9.3350000000000009"/>
    <n v="11"/>
    <n v="14"/>
    <n v="11"/>
    <n v="11"/>
  </r>
  <r>
    <n v="803"/>
    <m/>
    <m/>
    <m/>
    <m/>
    <s v="R25.1"/>
    <s v="Tremor, unspecified"/>
    <x v="196"/>
    <s v="F"/>
    <m/>
    <m/>
    <n v="34.673000000000002"/>
    <n v="37.506999999999998"/>
    <n v="72.587000000000003"/>
    <n v="72.337000000000003"/>
    <n v="59.787999999999997"/>
    <n v="59.122"/>
    <n v="98.6"/>
    <n v="98.59"/>
    <n v="63.645000000000003"/>
    <n v="66.509"/>
    <n v="36.354999999999997"/>
    <n v="33.491"/>
    <n v="14.606999999999999"/>
    <n v="16.562999999999999"/>
    <n v="33.491"/>
    <n v="36.354999999999997"/>
    <n v="9.3350000000000009"/>
    <n v="11"/>
    <n v="14"/>
    <n v="11"/>
    <n v="11"/>
  </r>
  <r>
    <n v="804"/>
    <m/>
    <m/>
    <m/>
    <m/>
    <s v="G20"/>
    <s v="Parkinson's disease"/>
    <x v="204"/>
    <s v="F"/>
    <m/>
    <m/>
    <n v="52.32"/>
    <n v="49.777000000000001"/>
    <n v="101.85"/>
    <n v="102.608"/>
    <n v="84.9"/>
    <n v="84.486000000000004"/>
    <n v="99.912999999999997"/>
    <n v="98.894999999999996"/>
    <n v="63.655999999999999"/>
    <n v="63.945"/>
    <n v="36.344999999999999"/>
    <n v="36.055"/>
    <n v="14.462999999999999"/>
    <n v="13.792999999999999"/>
    <n v="36.055"/>
    <n v="36.344999999999999"/>
    <n v="10.238"/>
    <n v="14"/>
    <n v="11"/>
    <n v="11"/>
    <n v="11"/>
  </r>
  <r>
    <n v="805"/>
    <m/>
    <m/>
    <m/>
    <m/>
    <s v="R26.89"/>
    <s v="Other abnormalities of gait and mobility"/>
    <x v="306"/>
    <s v="M"/>
    <m/>
    <m/>
    <n v="34.340000000000003"/>
    <n v="38.838000000000001"/>
    <n v="73.194999999999993"/>
    <n v="72.900999999999996"/>
    <n v="58.45"/>
    <n v="57.884999999999998"/>
    <n v="95.46"/>
    <n v="94.947999999999993"/>
    <n v="68.471999999999994"/>
    <n v="68.325000000000003"/>
    <n v="31.527999999999999"/>
    <n v="31.675000000000001"/>
    <n v="17.701000000000001"/>
    <n v="19.259"/>
    <n v="31.675000000000001"/>
    <n v="31.527999999999999"/>
    <n v="17.36"/>
    <n v="14"/>
    <n v="15"/>
    <n v="14"/>
    <n v="14"/>
  </r>
  <r>
    <n v="806"/>
    <m/>
    <m/>
    <m/>
    <m/>
    <s v="G20"/>
    <s v="Parkinson's disease"/>
    <x v="260"/>
    <s v="M"/>
    <m/>
    <m/>
    <n v="52.13"/>
    <n v="45.738999999999997"/>
    <n v="98.55"/>
    <n v="98.001999999999995"/>
    <n v="80.337999999999994"/>
    <n v="81.183999999999997"/>
    <n v="97.787999999999997"/>
    <n v="99.027000000000001"/>
    <n v="64.665999999999997"/>
    <n v="63.194000000000003"/>
    <n v="35.334000000000003"/>
    <n v="36.805999999999997"/>
    <n v="13.612"/>
    <n v="14.413"/>
    <n v="36.805999999999997"/>
    <n v="35.334000000000003"/>
    <n v="12.853999999999999"/>
    <n v="12"/>
    <n v="13"/>
    <n v="12"/>
    <n v="12"/>
  </r>
  <r>
    <n v="807"/>
    <m/>
    <m/>
    <m/>
    <m/>
    <s v="R25.9"/>
    <s v="Unspecified abnormal involuntary movements"/>
    <x v="212"/>
    <s v="F"/>
    <m/>
    <m/>
    <n v="53.268999999999998"/>
    <n v="51.664999999999999"/>
    <n v="104.764"/>
    <n v="104.408"/>
    <n v="104.292"/>
    <n v="104.377"/>
    <n v="119.41800000000001"/>
    <n v="120.017"/>
    <n v="62.61"/>
    <n v="62.566000000000003"/>
    <n v="37.39"/>
    <n v="37.433999999999997"/>
    <n v="13.292999999999999"/>
    <n v="12.092000000000001"/>
    <n v="37.433999999999997"/>
    <n v="37.39"/>
    <n v="10.725"/>
    <n v="17"/>
    <n v="15"/>
    <n v="15"/>
    <n v="15"/>
  </r>
  <r>
    <n v="808"/>
    <m/>
    <m/>
    <m/>
    <m/>
    <s v="G25.0"/>
    <s v="Essential tremor"/>
    <x v="45"/>
    <s v="M"/>
    <m/>
    <m/>
    <n v="50.317999999999998"/>
    <n v="52.067"/>
    <n v="102.167"/>
    <n v="102.82"/>
    <n v="86.869"/>
    <n v="87.448999999999998"/>
    <n v="101.97799999999999"/>
    <n v="102.015"/>
    <n v="64.007000000000005"/>
    <n v="62.027999999999999"/>
    <n v="35.993000000000002"/>
    <n v="37.972000000000001"/>
    <n v="12.779"/>
    <n v="13.656000000000001"/>
    <n v="37.972000000000001"/>
    <n v="35.993000000000002"/>
    <n v="17.257999999999999"/>
    <n v="13"/>
    <n v="13"/>
    <n v="13"/>
    <n v="13"/>
  </r>
  <r>
    <n v="809"/>
    <m/>
    <m/>
    <m/>
    <m/>
    <s v="G25.0"/>
    <s v="Essential tremor"/>
    <x v="307"/>
    <s v="M"/>
    <m/>
    <m/>
    <n v="54.31"/>
    <n v="54.762999999999998"/>
    <n v="109.05"/>
    <n v="109.10599999999999"/>
    <n v="98.760999999999996"/>
    <n v="99.677000000000007"/>
    <n v="108.57599999999999"/>
    <n v="109.084"/>
    <n v="64.915999999999997"/>
    <n v="64.674999999999997"/>
    <n v="35.084000000000003"/>
    <n v="35.325000000000003"/>
    <n v="13.938000000000001"/>
    <n v="16.347000000000001"/>
    <n v="35.325000000000003"/>
    <n v="35.084000000000003"/>
    <n v="8.3230000000000004"/>
    <n v="16"/>
    <n v="12"/>
    <n v="12"/>
    <n v="12"/>
  </r>
  <r>
    <n v="810"/>
    <m/>
    <m/>
    <m/>
    <m/>
    <s v="G60.3"/>
    <s v="Idiopathic progressive neuropathy"/>
    <x v="308"/>
    <s v="M"/>
    <m/>
    <m/>
    <n v="45.247"/>
    <n v="49.155999999999999"/>
    <n v="94.555000000000007"/>
    <n v="94.6"/>
    <n v="74.878"/>
    <n v="74.646000000000001"/>
    <n v="95.516000000000005"/>
    <n v="94.125"/>
    <n v="69.456999999999994"/>
    <n v="67.768000000000001"/>
    <n v="30.542999999999999"/>
    <n v="32.231999999999999"/>
    <n v="18.312999999999999"/>
    <n v="19.048999999999999"/>
    <n v="32.231999999999999"/>
    <n v="30.542999999999999"/>
    <n v="8.6479999999999997"/>
    <n v="12"/>
    <n v="12"/>
    <n v="12"/>
    <n v="12"/>
  </r>
  <r>
    <n v="811"/>
    <m/>
    <m/>
    <m/>
    <m/>
    <s v="G20"/>
    <s v="Parkinson's disease"/>
    <x v="136"/>
    <s v="M"/>
    <m/>
    <m/>
    <s v="NA"/>
    <s v="NA"/>
    <s v="NA"/>
    <s v="NA"/>
    <s v="NA"/>
    <s v="NA"/>
    <s v="NA"/>
    <s v="NA"/>
    <s v="NA"/>
    <s v="NA"/>
    <s v="NA"/>
    <s v="NA"/>
    <s v="NA"/>
    <s v="NA"/>
    <s v="NA"/>
    <s v="NA"/>
    <s v="NA"/>
    <s v="NA"/>
    <s v="NA"/>
    <s v="NA"/>
    <s v="NA"/>
  </r>
  <r>
    <n v="812"/>
    <m/>
    <m/>
    <m/>
    <m/>
    <s v="G20"/>
    <s v="Parkinson's disease"/>
    <x v="204"/>
    <s v="M"/>
    <m/>
    <m/>
    <n v="41.204000000000001"/>
    <n v="47.88"/>
    <n v="89.399000000000001"/>
    <n v="89.022999999999996"/>
    <n v="53.402000000000001"/>
    <n v="53.241999999999997"/>
    <n v="71.024000000000001"/>
    <n v="70.972999999999999"/>
    <n v="70.807000000000002"/>
    <n v="71.061999999999998"/>
    <n v="29.193000000000001"/>
    <n v="28.937999999999999"/>
    <n v="22.305"/>
    <n v="19.282"/>
    <n v="28.937999999999999"/>
    <n v="29.193000000000001"/>
    <n v="11.98"/>
    <n v="7"/>
    <n v="7"/>
    <n v="7"/>
    <n v="7"/>
  </r>
  <r>
    <n v="813"/>
    <m/>
    <m/>
    <m/>
    <m/>
    <s v="G20"/>
    <s v="Parkinson's disease"/>
    <x v="107"/>
    <s v="M"/>
    <m/>
    <m/>
    <n v="52.875"/>
    <n v="52.329000000000001"/>
    <n v="105.858"/>
    <n v="105.26600000000001"/>
    <n v="96.888999999999996"/>
    <n v="96.754000000000005"/>
    <n v="109.45399999999999"/>
    <n v="109.65900000000001"/>
    <n v="64.149000000000001"/>
    <n v="64.938000000000002"/>
    <n v="35.850999999999999"/>
    <n v="35.061999999999998"/>
    <n v="13.680999999999999"/>
    <n v="15.497999999999999"/>
    <n v="35.061999999999998"/>
    <n v="35.850999999999999"/>
    <n v="16.167999999999999"/>
    <n v="10"/>
    <n v="14"/>
    <n v="10"/>
    <n v="10"/>
  </r>
  <r>
    <n v="814"/>
    <m/>
    <m/>
    <m/>
    <m/>
    <s v="R48.2"/>
    <s v="Apraxia"/>
    <x v="309"/>
    <s v="F"/>
    <m/>
    <m/>
    <n v="42.723999999999997"/>
    <n v="45.793999999999997"/>
    <n v="89.355999999999995"/>
    <n v="87.793000000000006"/>
    <n v="63.189"/>
    <n v="62.515000000000001"/>
    <n v="85.611999999999995"/>
    <n v="84.793000000000006"/>
    <n v="66.134"/>
    <n v="68.412999999999997"/>
    <n v="33.866"/>
    <n v="31.587"/>
    <n v="18.161999999999999"/>
    <n v="16.882000000000001"/>
    <n v="31.587"/>
    <n v="33.866"/>
    <n v="11.686999999999999"/>
    <n v="11"/>
    <n v="11"/>
    <n v="11"/>
    <n v="11"/>
  </r>
  <r>
    <n v="815"/>
    <m/>
    <m/>
    <m/>
    <m/>
    <s v="NA"/>
    <s v="NA"/>
    <x v="35"/>
    <s v="NA"/>
    <m/>
    <m/>
    <s v="NA"/>
    <s v="NA"/>
    <s v="NA"/>
    <s v="NA"/>
    <s v="NA"/>
    <s v="NA"/>
    <s v="NA"/>
    <s v="NA"/>
    <s v="NA"/>
    <s v="NA"/>
    <s v="NA"/>
    <s v="NA"/>
    <s v="NA"/>
    <s v="NA"/>
    <s v="NA"/>
    <s v="NA"/>
    <s v="NA"/>
    <s v="NA"/>
    <s v="NA"/>
    <s v="NA"/>
    <s v="NA"/>
  </r>
  <r>
    <n v="816"/>
    <m/>
    <m/>
    <m/>
    <m/>
    <s v="G25.0"/>
    <s v="Essential tremor"/>
    <x v="235"/>
    <s v="M"/>
    <m/>
    <m/>
    <n v="58.999000000000002"/>
    <n v="61.96"/>
    <n v="121.71299999999999"/>
    <n v="120.705"/>
    <n v="95.602999999999994"/>
    <n v="94.727000000000004"/>
    <n v="94.483999999999995"/>
    <n v="94.164000000000001"/>
    <n v="62.399000000000001"/>
    <n v="66.578000000000003"/>
    <n v="37.600999999999999"/>
    <n v="33.421999999999997"/>
    <n v="14.798"/>
    <n v="14.326000000000001"/>
    <n v="33.421999999999997"/>
    <n v="37.600999999999999"/>
    <n v="12.448"/>
    <n v="12"/>
    <n v="15"/>
    <n v="12"/>
    <n v="12"/>
  </r>
  <r>
    <n v="817"/>
    <m/>
    <m/>
    <m/>
    <m/>
    <s v="NA"/>
    <s v="NA"/>
    <x v="35"/>
    <s v="NA"/>
    <m/>
    <m/>
    <n v="66.069000000000003"/>
    <n v="63.618000000000002"/>
    <n v="129.905"/>
    <n v="130.095"/>
    <n v="117.09099999999999"/>
    <n v="117.29300000000001"/>
    <n v="108.52800000000001"/>
    <n v="108.361"/>
    <n v="61.622"/>
    <n v="61.676000000000002"/>
    <n v="38.378"/>
    <n v="38.323999999999998"/>
    <n v="11.093999999999999"/>
    <n v="12.362"/>
    <n v="38.323999999999998"/>
    <n v="38.378"/>
    <n v="14.071"/>
    <n v="16"/>
    <n v="16"/>
    <n v="16"/>
    <n v="16"/>
  </r>
  <r>
    <n v="818"/>
    <m/>
    <m/>
    <m/>
    <m/>
    <s v="G20"/>
    <s v="Parkinson's disease"/>
    <x v="310"/>
    <s v="F"/>
    <m/>
    <m/>
    <n v="0.67200000000000004"/>
    <n v="10.069000000000001"/>
    <n v="10.87"/>
    <n v="11.500999999999999"/>
    <n v="8.3729999999999993"/>
    <n v="8.5169999999999995"/>
    <n v="81.825999999999993"/>
    <n v="89.933000000000007"/>
    <n v="80.847999999999999"/>
    <n v="89.686999999999998"/>
    <n v="19.152000000000001"/>
    <n v="10.313000000000001"/>
    <n v="24.959"/>
    <n v="44.591000000000001"/>
    <n v="10.313000000000001"/>
    <n v="19.152000000000001"/>
    <n v="23.37"/>
    <n v="16"/>
    <n v="15"/>
    <n v="15"/>
    <n v="15"/>
  </r>
  <r>
    <n v="819"/>
    <m/>
    <m/>
    <m/>
    <m/>
    <s v="G20"/>
    <s v="Parkinson's disease"/>
    <x v="60"/>
    <s v="M"/>
    <m/>
    <m/>
    <n v="54.798999999999999"/>
    <n v="52.786999999999999"/>
    <n v="107.774"/>
    <n v="108.642"/>
    <n v="96.257999999999996"/>
    <n v="96.287999999999997"/>
    <n v="106.41200000000001"/>
    <n v="105.93899999999999"/>
    <n v="63.301000000000002"/>
    <n v="61.957000000000001"/>
    <n v="36.698999999999998"/>
    <n v="38.042999999999999"/>
    <n v="12.618"/>
    <n v="12.933999999999999"/>
    <n v="38.042999999999999"/>
    <n v="36.698999999999998"/>
    <n v="12.182"/>
    <n v="13"/>
    <n v="12"/>
    <n v="12"/>
    <n v="12"/>
  </r>
  <r>
    <n v="820"/>
    <m/>
    <m/>
    <m/>
    <m/>
    <s v="G25.0"/>
    <s v="Essential tremor"/>
    <x v="134"/>
    <s v="M"/>
    <m/>
    <m/>
    <n v="59.718000000000004"/>
    <n v="55.26"/>
    <n v="114.98"/>
    <n v="115.289"/>
    <n v="107.93899999999999"/>
    <n v="108.379"/>
    <n v="112.34699999999999"/>
    <n v="112.078"/>
    <n v="63.601999999999997"/>
    <n v="62.841000000000001"/>
    <n v="36.398000000000003"/>
    <n v="37.158999999999999"/>
    <n v="13.676"/>
    <n v="12.839"/>
    <n v="37.158999999999999"/>
    <n v="36.398000000000003"/>
    <n v="9.77"/>
    <n v="15"/>
    <n v="12"/>
    <n v="12"/>
    <n v="12"/>
  </r>
  <r>
    <n v="821"/>
    <m/>
    <m/>
    <m/>
    <m/>
    <s v="G20"/>
    <s v="Parkinson's disease"/>
    <x v="247"/>
    <s v="M"/>
    <m/>
    <m/>
    <s v="NA"/>
    <s v="NA"/>
    <s v="NA"/>
    <s v="NA"/>
    <s v="NA"/>
    <s v="NA"/>
    <s v="NA"/>
    <s v="NA"/>
    <s v="NA"/>
    <s v="NA"/>
    <s v="NA"/>
    <s v="NA"/>
    <s v="NA"/>
    <s v="NA"/>
    <s v="NA"/>
    <s v="NA"/>
    <s v="NA"/>
    <s v="NA"/>
    <s v="NA"/>
    <s v="NA"/>
    <s v="NA"/>
  </r>
  <r>
    <n v="822"/>
    <m/>
    <m/>
    <m/>
    <m/>
    <s v="NA"/>
    <s v="NA"/>
    <x v="35"/>
    <s v="NA"/>
    <m/>
    <m/>
    <n v="50.8"/>
    <n v="65.322999999999993"/>
    <n v="115.113"/>
    <n v="116.29"/>
    <n v="94.01"/>
    <n v="94.713999999999999"/>
    <n v="99.128"/>
    <n v="98.379000000000005"/>
    <n v="61.43"/>
    <n v="62.034999999999997"/>
    <n v="38.57"/>
    <n v="37.965000000000003"/>
    <n v="12.63"/>
    <n v="11.923"/>
    <n v="37.965000000000003"/>
    <n v="38.57"/>
    <n v="8.86"/>
    <n v="14"/>
    <n v="17"/>
    <n v="14"/>
    <n v="14"/>
  </r>
  <r>
    <n v="823"/>
    <m/>
    <m/>
    <m/>
    <m/>
    <s v="NA"/>
    <s v="NA"/>
    <x v="35"/>
    <s v="NA"/>
    <m/>
    <m/>
    <n v="50.668999999999997"/>
    <n v="48.664999999999999"/>
    <n v="99.091999999999999"/>
    <n v="99.790999999999997"/>
    <n v="89.28"/>
    <n v="89.766000000000005"/>
    <n v="108.15600000000001"/>
    <n v="107.76900000000001"/>
    <n v="62.750999999999998"/>
    <n v="63.445"/>
    <n v="37.249000000000002"/>
    <n v="36.555"/>
    <n v="14.084"/>
    <n v="12.208"/>
    <n v="36.555"/>
    <n v="37.249000000000002"/>
    <n v="11.866"/>
    <n v="16"/>
    <n v="15"/>
    <n v="15"/>
    <n v="15"/>
  </r>
  <r>
    <n v="824"/>
    <m/>
    <m/>
    <m/>
    <m/>
    <s v="G20"/>
    <s v="Parkinson's disease"/>
    <x v="29"/>
    <s v="M"/>
    <m/>
    <m/>
    <n v="57.485999999999997"/>
    <n v="58.488"/>
    <n v="116.774"/>
    <n v="116.227"/>
    <n v="107.46"/>
    <n v="106.866"/>
    <n v="110.08199999999999"/>
    <n v="109.873"/>
    <n v="62.652999999999999"/>
    <n v="62.148000000000003"/>
    <n v="37.347000000000001"/>
    <n v="37.851999999999997"/>
    <n v="13.045999999999999"/>
    <n v="12.337999999999999"/>
    <n v="37.851999999999997"/>
    <n v="37.347000000000001"/>
    <n v="13.09"/>
    <n v="11"/>
    <n v="9"/>
    <n v="9"/>
    <n v="9"/>
  </r>
  <r>
    <n v="825"/>
    <m/>
    <m/>
    <m/>
    <m/>
    <s v="G20"/>
    <s v="Parkinson's disease"/>
    <x v="60"/>
    <s v="M"/>
    <m/>
    <m/>
    <n v="46.295999999999999"/>
    <n v="47.781999999999996"/>
    <n v="93.911000000000001"/>
    <n v="94.102999999999994"/>
    <n v="96.736999999999995"/>
    <n v="96.896000000000001"/>
    <n v="123.13500000000001"/>
    <n v="123.169"/>
    <n v="63.905000000000001"/>
    <n v="61.654000000000003"/>
    <n v="36.094999999999999"/>
    <n v="38.345999999999997"/>
    <n v="12.759"/>
    <n v="12.69"/>
    <n v="38.345999999999997"/>
    <n v="36.094999999999999"/>
    <n v="12.651999999999999"/>
    <n v="13"/>
    <n v="14"/>
    <n v="13"/>
    <n v="13"/>
  </r>
  <r>
    <n v="826"/>
    <m/>
    <m/>
    <m/>
    <m/>
    <s v="NA"/>
    <s v="NA"/>
    <x v="35"/>
    <s v="NA"/>
    <m/>
    <m/>
    <s v="NA"/>
    <s v="NA"/>
    <s v="NA"/>
    <s v="NA"/>
    <s v="NA"/>
    <s v="NA"/>
    <s v="NA"/>
    <s v="NA"/>
    <s v="NA"/>
    <s v="NA"/>
    <s v="NA"/>
    <s v="NA"/>
    <s v="NA"/>
    <s v="NA"/>
    <s v="NA"/>
    <s v="NA"/>
    <s v="NA"/>
    <s v="NA"/>
    <s v="NA"/>
    <s v="NA"/>
    <s v="NA"/>
  </r>
  <r>
    <n v="827"/>
    <m/>
    <m/>
    <m/>
    <m/>
    <s v="G20"/>
    <s v="Parkinson's disease"/>
    <x v="311"/>
    <s v="M"/>
    <m/>
    <m/>
    <n v="52.906999999999996"/>
    <n v="45.965000000000003"/>
    <n v="98.906000000000006"/>
    <n v="98.778000000000006"/>
    <n v="88.177999999999997"/>
    <n v="86.78"/>
    <n v="106.041"/>
    <n v="105.229"/>
    <n v="65.843000000000004"/>
    <n v="64.400999999999996"/>
    <n v="34.156999999999996"/>
    <n v="35.598999999999997"/>
    <n v="16.254999999999999"/>
    <n v="14.534000000000001"/>
    <n v="35.598999999999997"/>
    <n v="34.156999999999996"/>
    <n v="13.954000000000001"/>
    <n v="13"/>
    <n v="12"/>
    <n v="12"/>
    <n v="12"/>
  </r>
  <r>
    <n v="828"/>
    <m/>
    <m/>
    <m/>
    <m/>
    <s v="G20"/>
    <s v="Parkinson's disease"/>
    <x v="164"/>
    <s v="M"/>
    <m/>
    <m/>
    <n v="58.95"/>
    <n v="56.491999999999997"/>
    <n v="115.28400000000001"/>
    <n v="115.82599999999999"/>
    <n v="112.352"/>
    <n v="112.556"/>
    <n v="117.124"/>
    <n v="116.53700000000001"/>
    <n v="62.088000000000001"/>
    <n v="63.594000000000001"/>
    <n v="37.911999999999999"/>
    <n v="36.405999999999999"/>
    <n v="12.994"/>
    <n v="12.948"/>
    <n v="36.405999999999999"/>
    <n v="37.911999999999999"/>
    <n v="9.9"/>
    <n v="11"/>
    <n v="10"/>
    <n v="10"/>
    <n v="10"/>
  </r>
  <r>
    <n v="829"/>
    <m/>
    <m/>
    <m/>
    <m/>
    <s v="G25.0"/>
    <s v="Essential tremor"/>
    <x v="184"/>
    <s v="M"/>
    <m/>
    <m/>
    <n v="65.903999999999996"/>
    <n v="64.313999999999993"/>
    <n v="130.37299999999999"/>
    <n v="130.01499999999999"/>
    <n v="117.119"/>
    <n v="116.931"/>
    <n v="108.104"/>
    <n v="107.505"/>
    <n v="62.195999999999998"/>
    <n v="62.686"/>
    <n v="37.804000000000002"/>
    <n v="37.314"/>
    <n v="12.01"/>
    <n v="12.462999999999999"/>
    <n v="37.314"/>
    <n v="37.804000000000002"/>
    <n v="12.064"/>
    <n v="8"/>
    <n v="10"/>
    <n v="8"/>
    <n v="8"/>
  </r>
  <r>
    <n v="830"/>
    <m/>
    <m/>
    <m/>
    <m/>
    <s v="R25.1"/>
    <s v="Tremor, unspecified"/>
    <x v="18"/>
    <s v="M"/>
    <m/>
    <m/>
    <n v="59.48"/>
    <n v="61.902000000000001"/>
    <n v="122.669"/>
    <n v="121.09099999999999"/>
    <n v="121.03"/>
    <n v="120.735"/>
    <n v="117.828"/>
    <n v="119.123"/>
    <n v="62.83"/>
    <n v="62.106999999999999"/>
    <n v="37.17"/>
    <n v="37.892000000000003"/>
    <n v="12.125"/>
    <n v="12.372999999999999"/>
    <n v="37.892000000000003"/>
    <n v="37.17"/>
    <n v="10.901999999999999"/>
    <n v="8"/>
    <n v="7"/>
    <n v="7"/>
    <n v="7"/>
  </r>
  <r>
    <n v="831"/>
    <m/>
    <m/>
    <m/>
    <m/>
    <s v="G20"/>
    <s v="Parkinson's disease"/>
    <x v="44"/>
    <s v="M"/>
    <m/>
    <m/>
    <n v="46.7"/>
    <n v="42.537999999999997"/>
    <n v="89.647999999999996"/>
    <n v="88.730999999999995"/>
    <n v="66.531999999999996"/>
    <n v="66.215999999999994"/>
    <n v="89.454999999999998"/>
    <n v="89.504999999999995"/>
    <n v="58.966999999999999"/>
    <n v="64.766999999999996"/>
    <n v="41.033000000000001"/>
    <n v="35.232999999999997"/>
    <n v="9.0060000000000002"/>
    <n v="15.55"/>
    <n v="35.232999999999997"/>
    <n v="41.033000000000001"/>
    <n v="12.347"/>
    <n v="12"/>
    <n v="11"/>
    <n v="11"/>
    <n v="11"/>
  </r>
  <r>
    <n v="832"/>
    <m/>
    <m/>
    <m/>
    <m/>
    <s v="G24.1"/>
    <s v="Genetic torsion dystonia"/>
    <x v="312"/>
    <s v="F"/>
    <m/>
    <m/>
    <n v="59.883000000000003"/>
    <n v="50.735999999999997"/>
    <n v="110.58"/>
    <n v="111.098"/>
    <n v="99.927000000000007"/>
    <n v="100.81"/>
    <n v="108.405"/>
    <n v="108.721"/>
    <n v="62.829000000000001"/>
    <n v="60.69"/>
    <n v="37.170999999999999"/>
    <n v="39.31"/>
    <n v="12.228"/>
    <n v="11.198"/>
    <n v="39.31"/>
    <n v="37.170999999999999"/>
    <n v="15.49"/>
    <n v="13"/>
    <n v="10"/>
    <n v="10"/>
    <n v="10"/>
  </r>
  <r>
    <n v="833"/>
    <m/>
    <m/>
    <m/>
    <m/>
    <s v="R25.1"/>
    <s v="Tremor, unspecified"/>
    <x v="292"/>
    <s v="F"/>
    <m/>
    <m/>
    <n v="59.981999999999999"/>
    <n v="62.222999999999999"/>
    <n v="122.65900000000001"/>
    <n v="122.233"/>
    <n v="117.265"/>
    <n v="116.803"/>
    <n v="115.074"/>
    <n v="114.723"/>
    <n v="61.945"/>
    <n v="61.026000000000003"/>
    <n v="38.055"/>
    <n v="38.973999999999997"/>
    <n v="12.372999999999999"/>
    <n v="11.746"/>
    <n v="38.973999999999997"/>
    <n v="38.055"/>
    <n v="8.952"/>
    <n v="10"/>
    <n v="9"/>
    <n v="9"/>
    <n v="9"/>
  </r>
  <r>
    <n v="834"/>
    <m/>
    <m/>
    <m/>
    <m/>
    <s v="G20"/>
    <s v="Parkinson's disease"/>
    <x v="121"/>
    <s v="M"/>
    <m/>
    <m/>
    <n v="36.591999999999999"/>
    <n v="37.399000000000001"/>
    <n v="74.156999999999996"/>
    <n v="74.11"/>
    <n v="61.524000000000001"/>
    <n v="61.957000000000001"/>
    <n v="100.29"/>
    <n v="99.852000000000004"/>
    <n v="68.953999999999994"/>
    <n v="63.146000000000001"/>
    <n v="31.045999999999999"/>
    <n v="36.853999999999999"/>
    <n v="15.695"/>
    <n v="16.364000000000001"/>
    <n v="36.853999999999999"/>
    <n v="31.045999999999999"/>
    <n v="15.532"/>
    <n v="15"/>
    <n v="16"/>
    <n v="15"/>
    <n v="15"/>
  </r>
  <r>
    <n v="835"/>
    <m/>
    <m/>
    <m/>
    <m/>
    <s v="G20"/>
    <s v="Parkinson's disease"/>
    <x v="252"/>
    <s v="M"/>
    <m/>
    <m/>
    <n v="44.793999999999997"/>
    <n v="30.49"/>
    <n v="75.373000000000005"/>
    <n v="75.622"/>
    <n v="66.781999999999996"/>
    <n v="67.450999999999993"/>
    <n v="106.27"/>
    <n v="104.786"/>
    <n v="67.370999999999995"/>
    <n v="66.64"/>
    <n v="32.628999999999998"/>
    <n v="33.36"/>
    <n v="12.904999999999999"/>
    <n v="21.138999999999999"/>
    <n v="33.36"/>
    <n v="32.628999999999998"/>
    <n v="13.178000000000001"/>
    <n v="15"/>
    <n v="12"/>
    <n v="12"/>
    <n v="12"/>
  </r>
  <r>
    <n v="836"/>
    <m/>
    <m/>
    <m/>
    <m/>
    <s v="G20"/>
    <s v="Parkinson's disease"/>
    <x v="174"/>
    <s v="F"/>
    <m/>
    <m/>
    <n v="43.052"/>
    <n v="44.21"/>
    <n v="87.307000000000002"/>
    <n v="86.977999999999994"/>
    <n v="72.3"/>
    <n v="72.682000000000002"/>
    <n v="99.233999999999995"/>
    <n v="100.01900000000001"/>
    <n v="65.436000000000007"/>
    <n v="63.439"/>
    <n v="34.564"/>
    <n v="36.561"/>
    <n v="16.567"/>
    <n v="12.199"/>
    <n v="36.561"/>
    <n v="34.564"/>
    <n v="14.981999999999999"/>
    <n v="11"/>
    <n v="12"/>
    <n v="11"/>
    <n v="11"/>
  </r>
  <r>
    <n v="837"/>
    <m/>
    <m/>
    <m/>
    <m/>
    <s v="G20"/>
    <s v="Parkinson's disease"/>
    <x v="307"/>
    <s v="M"/>
    <m/>
    <m/>
    <n v="18.457000000000001"/>
    <n v="12.301"/>
    <n v="31.373000000000001"/>
    <n v="31.548999999999999"/>
    <n v="21.119"/>
    <n v="20.991"/>
    <n v="80.754999999999995"/>
    <n v="81.191999999999993"/>
    <n v="75.528999999999996"/>
    <n v="72.376000000000005"/>
    <n v="24.47"/>
    <n v="27.623999999999999"/>
    <n v="19.007000000000001"/>
    <n v="28.934000000000001"/>
    <n v="27.623999999999999"/>
    <n v="24.47"/>
    <n v="13.21"/>
    <n v="14"/>
    <n v="14"/>
    <n v="14"/>
    <n v="14"/>
  </r>
  <r>
    <n v="838"/>
    <m/>
    <m/>
    <m/>
    <m/>
    <s v="G20"/>
    <s v="Parkinson's disease"/>
    <x v="313"/>
    <s v="F"/>
    <m/>
    <m/>
    <n v="34.658999999999999"/>
    <n v="38.070999999999998"/>
    <n v="72.834000000000003"/>
    <n v="72.808999999999997"/>
    <n v="49.634"/>
    <n v="49.863"/>
    <n v="81.453000000000003"/>
    <n v="81.960999999999999"/>
    <n v="68.551000000000002"/>
    <n v="69.352000000000004"/>
    <n v="31.449000000000002"/>
    <n v="30.648"/>
    <n v="18.446000000000002"/>
    <n v="19.018999999999998"/>
    <n v="30.648"/>
    <n v="31.449000000000002"/>
    <n v="10.865"/>
    <n v="13"/>
    <n v="14"/>
    <n v="13"/>
    <n v="13"/>
  </r>
  <r>
    <n v="839"/>
    <m/>
    <m/>
    <m/>
    <m/>
    <s v="G20"/>
    <s v="Parkinson's disease"/>
    <x v="218"/>
    <s v="M"/>
    <m/>
    <m/>
    <n v="27.489000000000001"/>
    <n v="34.832000000000001"/>
    <n v="62.564999999999998"/>
    <n v="62.72"/>
    <n v="63.146999999999998"/>
    <n v="62.765000000000001"/>
    <n v="119.10899999999999"/>
    <n v="119.652"/>
    <n v="64.177999999999997"/>
    <n v="62.841999999999999"/>
    <n v="35.822000000000003"/>
    <n v="37.158000000000001"/>
    <n v="12.459"/>
    <n v="13.798"/>
    <n v="37.158000000000001"/>
    <n v="35.822000000000003"/>
    <n v="11.8"/>
    <n v="14"/>
    <n v="12"/>
    <n v="12"/>
    <n v="12"/>
  </r>
  <r>
    <n v="840"/>
    <m/>
    <m/>
    <m/>
    <m/>
    <s v="NA"/>
    <s v="NA"/>
    <x v="35"/>
    <s v="NA"/>
    <m/>
    <m/>
    <n v="61.957000000000001"/>
    <n v="64.302999999999997"/>
    <n v="125.985"/>
    <n v="126.98"/>
    <n v="100.68600000000001"/>
    <n v="101.88500000000001"/>
    <n v="96.614999999999995"/>
    <n v="97.027000000000001"/>
    <n v="60.933"/>
    <n v="63.594000000000001"/>
    <n v="39.067"/>
    <n v="36.405999999999999"/>
    <n v="12.974"/>
    <n v="12.465"/>
    <n v="36.405999999999999"/>
    <n v="39.067"/>
    <n v="12.836"/>
    <n v="9"/>
    <n v="10"/>
    <n v="9"/>
    <n v="9"/>
  </r>
  <r>
    <n v="841"/>
    <m/>
    <m/>
    <m/>
    <m/>
    <s v="R26.9"/>
    <s v="Unspecified abnormalities of gait and mobility"/>
    <x v="314"/>
    <s v="M"/>
    <m/>
    <m/>
    <n v="7.18"/>
    <n v="16.03"/>
    <n v="23.529"/>
    <n v="23.053000000000001"/>
    <n v="29.13"/>
    <n v="28.63"/>
    <n v="150.929"/>
    <n v="149.12100000000001"/>
    <n v="67.667000000000002"/>
    <n v="67.873000000000005"/>
    <n v="32.332999999999998"/>
    <n v="32.127000000000002"/>
    <n v="16.978000000000002"/>
    <n v="18.739999999999998"/>
    <n v="32.127000000000002"/>
    <n v="32.332999999999998"/>
    <n v="14.82"/>
    <n v="16"/>
    <n v="16"/>
    <n v="16"/>
    <n v="16"/>
  </r>
  <r>
    <n v="842"/>
    <m/>
    <m/>
    <m/>
    <m/>
    <s v="R25.1"/>
    <s v="Tremor, unspecified"/>
    <x v="76"/>
    <s v="M"/>
    <m/>
    <m/>
    <n v="59.628999999999998"/>
    <n v="56.548000000000002"/>
    <n v="116.36499999999999"/>
    <n v="116.524"/>
    <n v="98.554000000000002"/>
    <n v="97.852999999999994"/>
    <n v="101.09"/>
    <n v="101.001"/>
    <n v="61.893000000000001"/>
    <n v="61.625999999999998"/>
    <n v="38.106999999999999"/>
    <n v="38.374000000000002"/>
    <n v="11.507"/>
    <n v="12.433999999999999"/>
    <n v="38.374000000000002"/>
    <n v="38.106999999999999"/>
    <n v="15.103999999999999"/>
    <n v="10"/>
    <n v="11"/>
    <n v="10"/>
    <n v="10"/>
  </r>
  <r>
    <n v="843"/>
    <m/>
    <m/>
    <m/>
    <m/>
    <s v="NA"/>
    <s v="NA"/>
    <x v="35"/>
    <s v="NA"/>
    <m/>
    <m/>
    <s v="NA"/>
    <s v="NA"/>
    <s v="NA"/>
    <s v="NA"/>
    <s v="NA"/>
    <s v="NA"/>
    <s v="NA"/>
    <s v="NA"/>
    <s v="NA"/>
    <s v="NA"/>
    <s v="NA"/>
    <s v="NA"/>
    <s v="NA"/>
    <s v="NA"/>
    <s v="NA"/>
    <s v="NA"/>
    <s v="NA"/>
    <s v="NA"/>
    <s v="NA"/>
    <s v="NA"/>
    <s v="NA"/>
  </r>
  <r>
    <n v="844"/>
    <m/>
    <m/>
    <m/>
    <m/>
    <s v="G20"/>
    <s v="Parkinson's disease"/>
    <x v="315"/>
    <s v="F"/>
    <m/>
    <m/>
    <n v="51.576999999999998"/>
    <n v="53.274000000000001"/>
    <n v="104.887"/>
    <n v="104.476"/>
    <n v="97.353999999999999"/>
    <n v="97.165999999999997"/>
    <n v="111.851"/>
    <n v="111.9"/>
    <n v="65.519000000000005"/>
    <n v="61.820999999999998"/>
    <n v="34.481000000000002"/>
    <n v="38.179000000000002"/>
    <n v="14.590999999999999"/>
    <n v="13.009"/>
    <n v="38.179000000000002"/>
    <n v="34.481000000000002"/>
    <n v="4.3600000000000003"/>
    <n v="13"/>
    <n v="11"/>
    <n v="11"/>
    <n v="11"/>
  </r>
  <r>
    <n v="845"/>
    <m/>
    <m/>
    <m/>
    <m/>
    <s v="G25.0"/>
    <s v="Essential tremor"/>
    <x v="316"/>
    <s v="M"/>
    <m/>
    <m/>
    <n v="68.658000000000001"/>
    <n v="70.429000000000002"/>
    <n v="138.88900000000001"/>
    <n v="139.22999999999999"/>
    <n v="117.31399999999999"/>
    <n v="117.468"/>
    <n v="101.43300000000001"/>
    <n v="100.551"/>
    <n v="62.072000000000003"/>
    <n v="61.15"/>
    <n v="37.927999999999997"/>
    <n v="38.85"/>
    <n v="11.46"/>
    <n v="11.848000000000001"/>
    <n v="38.85"/>
    <n v="37.927999999999997"/>
    <n v="9.4120000000000008"/>
    <n v="7"/>
    <n v="9"/>
    <n v="7"/>
    <n v="7"/>
  </r>
  <r>
    <n v="846"/>
    <m/>
    <m/>
    <m/>
    <m/>
    <s v="G20"/>
    <s v="Parkinson's disease"/>
    <x v="262"/>
    <s v="M"/>
    <m/>
    <m/>
    <n v="56.494999999999997"/>
    <n v="57.497"/>
    <n v="113.596"/>
    <n v="114.205"/>
    <n v="98.683000000000007"/>
    <n v="98.718000000000004"/>
    <n v="103.756"/>
    <n v="103.29600000000001"/>
    <n v="63.320999999999998"/>
    <n v="62.585999999999999"/>
    <n v="36.679000000000002"/>
    <n v="37.414000000000001"/>
    <n v="12.236000000000001"/>
    <n v="14.081"/>
    <n v="37.414000000000001"/>
    <n v="36.679000000000002"/>
    <n v="14.098000000000001"/>
    <n v="12"/>
    <n v="11"/>
    <n v="11"/>
    <n v="11"/>
  </r>
  <r>
    <n v="847"/>
    <m/>
    <m/>
    <m/>
    <m/>
    <s v="R25.1"/>
    <s v="Tremor, unspecified"/>
    <x v="317"/>
    <s v="M"/>
    <m/>
    <m/>
    <n v="62.390999999999998"/>
    <n v="60.033999999999999"/>
    <n v="122.26"/>
    <n v="122.449"/>
    <n v="107.91800000000001"/>
    <n v="108.661"/>
    <n v="105.828"/>
    <n v="105.78700000000001"/>
    <n v="60.905999999999999"/>
    <n v="61.456000000000003"/>
    <n v="39.094000000000001"/>
    <n v="38.543999999999997"/>
    <n v="11.162000000000001"/>
    <n v="11.092000000000001"/>
    <n v="38.543999999999997"/>
    <n v="39.094000000000001"/>
    <n v="11.098000000000001"/>
    <n v="10"/>
    <n v="10"/>
    <n v="10"/>
    <n v="10"/>
  </r>
  <r>
    <n v="848"/>
    <m/>
    <m/>
    <m/>
    <m/>
    <s v="R25.1"/>
    <s v="Tremor, unspecified"/>
    <x v="318"/>
    <s v="F"/>
    <m/>
    <m/>
    <n v="27.105"/>
    <n v="24.847000000000001"/>
    <n v="52.033000000000001"/>
    <n v="51.853999999999999"/>
    <n v="43.884"/>
    <n v="43.814"/>
    <n v="100.753"/>
    <n v="100.495"/>
    <n v="73.474000000000004"/>
    <n v="73.305999999999997"/>
    <n v="26.526"/>
    <n v="26.693999999999999"/>
    <n v="22.574999999999999"/>
    <n v="24.356999999999999"/>
    <n v="26.693999999999999"/>
    <n v="26.526"/>
    <n v="12.97"/>
    <n v="15"/>
    <n v="14"/>
    <n v="14"/>
    <n v="14"/>
  </r>
  <r>
    <n v="849"/>
    <m/>
    <m/>
    <m/>
    <m/>
    <s v="R25.1"/>
    <s v="Tremor, unspecified"/>
    <x v="18"/>
    <s v="F"/>
    <m/>
    <m/>
    <n v="38.890999999999998"/>
    <n v="44.59"/>
    <n v="83.686000000000007"/>
    <n v="83.198999999999998"/>
    <n v="87.68"/>
    <n v="88.173000000000002"/>
    <n v="126.794"/>
    <n v="128.02600000000001"/>
    <n v="65.058000000000007"/>
    <n v="61.472999999999999"/>
    <n v="34.942"/>
    <n v="38.527000000000001"/>
    <n v="13.627000000000001"/>
    <n v="13.718"/>
    <n v="38.527000000000001"/>
    <n v="34.942"/>
    <n v="19.600000000000001"/>
    <n v="16"/>
    <n v="16"/>
    <n v="16"/>
    <n v="16"/>
  </r>
  <r>
    <n v="850"/>
    <m/>
    <m/>
    <m/>
    <m/>
    <s v="R25.1"/>
    <s v="Tremor, unspecified"/>
    <x v="319"/>
    <s v="F"/>
    <m/>
    <m/>
    <n v="33.125"/>
    <n v="30.177"/>
    <n v="62.984000000000002"/>
    <n v="62.533999999999999"/>
    <n v="45.279000000000003"/>
    <n v="45.747"/>
    <n v="86.447999999999993"/>
    <n v="87.917000000000002"/>
    <n v="64.061000000000007"/>
    <n v="65.254999999999995"/>
    <n v="35.939"/>
    <n v="34.744999999999997"/>
    <n v="14.773999999999999"/>
    <n v="14.734999999999999"/>
    <n v="34.744999999999997"/>
    <n v="35.939"/>
    <n v="10.651999999999999"/>
    <n v="14"/>
    <n v="13"/>
    <n v="13"/>
    <n v="13"/>
  </r>
  <r>
    <n v="851"/>
    <m/>
    <m/>
    <m/>
    <m/>
    <s v="G20"/>
    <s v="Parkinson's disease"/>
    <x v="147"/>
    <s v="M"/>
    <m/>
    <m/>
    <n v="75.471999999999994"/>
    <n v="76.649000000000001"/>
    <n v="154.89699999999999"/>
    <n v="148.642"/>
    <n v="127.878"/>
    <n v="127.76900000000001"/>
    <n v="98.91"/>
    <n v="101.93899999999999"/>
    <n v="63.02"/>
    <n v="62.573"/>
    <n v="36.979999999999997"/>
    <n v="37.427"/>
    <n v="13.923999999999999"/>
    <n v="13.21"/>
    <n v="37.427"/>
    <n v="36.979999999999997"/>
    <n v="11.75"/>
    <n v="8"/>
    <n v="9"/>
    <n v="8"/>
    <n v="8"/>
  </r>
  <r>
    <n v="852"/>
    <m/>
    <m/>
    <m/>
    <m/>
    <s v="G25.2"/>
    <s v="Other specified forms of tremor"/>
    <x v="163"/>
    <s v="M"/>
    <m/>
    <m/>
    <n v="52.151000000000003"/>
    <n v="50.613"/>
    <n v="103.57299999999999"/>
    <n v="102.744"/>
    <n v="86.432000000000002"/>
    <n v="85.686000000000007"/>
    <n v="99.483999999999995"/>
    <n v="99.531999999999996"/>
    <n v="63.274000000000001"/>
    <n v="64.662999999999997"/>
    <n v="36.725999999999999"/>
    <n v="35.337000000000003"/>
    <n v="13.992000000000001"/>
    <n v="14.28"/>
    <n v="35.337000000000003"/>
    <n v="36.725999999999999"/>
    <n v="10.256"/>
    <n v="11"/>
    <n v="13"/>
    <n v="11"/>
    <n v="11"/>
  </r>
  <r>
    <n v="853"/>
    <m/>
    <m/>
    <m/>
    <m/>
    <s v="G20"/>
    <s v="Parkinson's disease"/>
    <x v="35"/>
    <s v="NA"/>
    <m/>
    <m/>
    <n v="54.231000000000002"/>
    <n v="54.203000000000003"/>
    <n v="107.62"/>
    <n v="108.84699999999999"/>
    <n v="111.361"/>
    <n v="112.947"/>
    <n v="122.82599999999999"/>
    <n v="123.248"/>
    <n v="62.429000000000002"/>
    <n v="61.6"/>
    <n v="37.570999999999998"/>
    <n v="38.4"/>
    <n v="12.52"/>
    <n v="11.708"/>
    <n v="38.4"/>
    <n v="37.570999999999998"/>
    <n v="9.44"/>
    <n v="11"/>
    <n v="12"/>
    <n v="11"/>
    <n v="11"/>
  </r>
  <r>
    <n v="854"/>
    <m/>
    <m/>
    <m/>
    <m/>
    <s v="G20"/>
    <s v="Parkinson's disease"/>
    <x v="153"/>
    <s v="F"/>
    <m/>
    <m/>
    <n v="41.311"/>
    <n v="33.695"/>
    <n v="75.113"/>
    <n v="74.552000000000007"/>
    <n v="62.152000000000001"/>
    <n v="61.918999999999997"/>
    <n v="98.953999999999994"/>
    <n v="99.284999999999997"/>
    <n v="67.591999999999999"/>
    <n v="66.897000000000006"/>
    <n v="32.408000000000001"/>
    <n v="33.103000000000002"/>
    <n v="16.815999999999999"/>
    <n v="17.399000000000001"/>
    <n v="33.103000000000002"/>
    <n v="32.408000000000001"/>
    <n v="10.003"/>
    <n v="14"/>
    <n v="15"/>
    <n v="14"/>
    <n v="14"/>
  </r>
  <r>
    <n v="855"/>
    <m/>
    <m/>
    <m/>
    <m/>
    <s v="NA"/>
    <s v="NA"/>
    <x v="35"/>
    <s v="NA"/>
    <m/>
    <m/>
    <n v="61.085000000000001"/>
    <n v="59.101999999999997"/>
    <n v="120.27800000000001"/>
    <n v="120.93899999999999"/>
    <n v="116.851"/>
    <n v="116.47"/>
    <n v="116.887"/>
    <n v="114.631"/>
    <n v="63.481000000000002"/>
    <n v="65.555000000000007"/>
    <n v="36.518999999999998"/>
    <n v="34.445"/>
    <n v="14.731999999999999"/>
    <n v="14.548"/>
    <n v="34.445"/>
    <n v="36.518999999999998"/>
    <n v="11.885999999999999"/>
    <n v="10"/>
    <n v="10"/>
    <n v="10"/>
    <n v="10"/>
  </r>
  <r>
    <n v="856"/>
    <m/>
    <m/>
    <m/>
    <m/>
    <s v="G20"/>
    <s v="Parkinson's disease"/>
    <x v="89"/>
    <s v="F"/>
    <m/>
    <m/>
    <n v="53.313000000000002"/>
    <n v="50.05"/>
    <n v="103.43899999999999"/>
    <n v="103.205"/>
    <n v="85.147999999999996"/>
    <n v="84.025999999999996"/>
    <n v="98.363"/>
    <n v="97.328000000000003"/>
    <n v="64.792000000000002"/>
    <n v="66.900000000000006"/>
    <n v="35.207999999999998"/>
    <n v="33.1"/>
    <n v="15.824999999999999"/>
    <n v="15.925000000000001"/>
    <n v="33.1"/>
    <n v="35.207999999999998"/>
    <n v="6.2050000000000001"/>
    <n v="10"/>
    <n v="10"/>
    <n v="10"/>
    <n v="10"/>
  </r>
  <r>
    <n v="857"/>
    <m/>
    <m/>
    <m/>
    <m/>
    <s v="G20"/>
    <s v="Parkinson's disease"/>
    <x v="179"/>
    <s v="M"/>
    <m/>
    <m/>
    <n v="44.805"/>
    <n v="47.097999999999999"/>
    <n v="92.738"/>
    <n v="92.17"/>
    <n v="95.067999999999998"/>
    <n v="95.042000000000002"/>
    <n v="123.691"/>
    <n v="123.28400000000001"/>
    <n v="61.042999999999999"/>
    <n v="63.258000000000003"/>
    <n v="38.957000000000001"/>
    <n v="36.741999999999997"/>
    <n v="11.257999999999999"/>
    <n v="12.536"/>
    <n v="36.741999999999997"/>
    <n v="38.957000000000001"/>
    <n v="8.2759999999999998"/>
    <n v="14"/>
    <n v="14"/>
    <n v="14"/>
    <n v="14"/>
  </r>
  <r>
    <n v="858"/>
    <m/>
    <m/>
    <m/>
    <m/>
    <s v="G20"/>
    <s v="Parkinson's disease"/>
    <x v="320"/>
    <s v="F"/>
    <m/>
    <m/>
    <n v="46.042000000000002"/>
    <n v="41.817"/>
    <n v="87.468999999999994"/>
    <n v="88.251000000000005"/>
    <n v="78.289000000000001"/>
    <n v="78.837000000000003"/>
    <n v="107.553"/>
    <n v="106.836"/>
    <n v="65.006"/>
    <n v="64.082999999999998"/>
    <n v="34.994"/>
    <n v="35.917000000000002"/>
    <n v="14.847"/>
    <n v="14.576000000000001"/>
    <n v="35.917000000000002"/>
    <n v="34.994"/>
    <n v="14.055"/>
    <n v="16"/>
    <n v="16"/>
    <n v="16"/>
    <n v="16"/>
  </r>
  <r>
    <n v="859"/>
    <m/>
    <m/>
    <m/>
    <m/>
    <s v="R25.1"/>
    <s v="Tremor, unspecified"/>
    <x v="234"/>
    <s v="F"/>
    <m/>
    <m/>
    <s v="NA"/>
    <s v="NA"/>
    <s v="NA"/>
    <s v="NA"/>
    <s v="NA"/>
    <s v="NA"/>
    <s v="NA"/>
    <s v="NA"/>
    <s v="NA"/>
    <s v="NA"/>
    <s v="NA"/>
    <s v="NA"/>
    <s v="NA"/>
    <s v="NA"/>
    <s v="NA"/>
    <s v="NA"/>
    <s v="NA"/>
    <s v="NA"/>
    <s v="NA"/>
    <s v="NA"/>
    <s v="NA"/>
  </r>
  <r>
    <n v="860"/>
    <m/>
    <m/>
    <m/>
    <m/>
    <s v="NA"/>
    <s v="NA"/>
    <x v="35"/>
    <s v="NA"/>
    <m/>
    <m/>
    <n v="65.879000000000005"/>
    <n v="64.180999999999997"/>
    <n v="130.27000000000001"/>
    <n v="130.084"/>
    <n v="122.06"/>
    <n v="122.18300000000001"/>
    <n v="112.175"/>
    <n v="112.009"/>
    <n v="61.683999999999997"/>
    <n v="62.203000000000003"/>
    <n v="38.316000000000003"/>
    <n v="37.796999999999997"/>
    <n v="11.917"/>
    <n v="12.598000000000001"/>
    <n v="37.796999999999997"/>
    <n v="38.316000000000003"/>
    <n v="12.676"/>
    <n v="10"/>
    <n v="10"/>
    <n v="10"/>
    <n v="10"/>
  </r>
  <r>
    <n v="861"/>
    <m/>
    <m/>
    <m/>
    <m/>
    <s v="G25.0"/>
    <s v="Essential tremor"/>
    <x v="133"/>
    <s v="F"/>
    <m/>
    <m/>
    <n v="53.915999999999997"/>
    <n v="52.078000000000003"/>
    <n v="105.91800000000001"/>
    <n v="104.91800000000001"/>
    <n v="104.988"/>
    <n v="104.96"/>
    <n v="119.004"/>
    <n v="119.099"/>
    <n v="64.808000000000007"/>
    <n v="63.744999999999997"/>
    <n v="35.192"/>
    <n v="36.255000000000003"/>
    <n v="14.039"/>
    <n v="14.178000000000001"/>
    <n v="36.255000000000003"/>
    <n v="35.192"/>
    <n v="9.5920000000000005"/>
    <n v="15"/>
    <n v="13"/>
    <n v="13"/>
    <n v="13"/>
  </r>
  <r>
    <n v="862"/>
    <m/>
    <m/>
    <m/>
    <m/>
    <s v="R25.1"/>
    <s v="Tremor, unspecified"/>
    <x v="321"/>
    <s v="F"/>
    <m/>
    <m/>
    <n v="56.893000000000001"/>
    <n v="56.746000000000002"/>
    <n v="113.173"/>
    <n v="113.524"/>
    <n v="104.211"/>
    <n v="104.256"/>
    <n v="111.006"/>
    <n v="110.43600000000001"/>
    <n v="61.182000000000002"/>
    <n v="60.530999999999999"/>
    <n v="38.817999999999998"/>
    <n v="39.469000000000001"/>
    <n v="11.398999999999999"/>
    <n v="10.73"/>
    <n v="39.469000000000001"/>
    <n v="38.817999999999998"/>
    <n v="9.5340000000000007"/>
    <n v="11"/>
    <n v="12"/>
    <n v="11"/>
    <n v="11"/>
  </r>
  <r>
    <n v="863"/>
    <m/>
    <m/>
    <m/>
    <m/>
    <s v="G20"/>
    <s v="Parkinson's disease"/>
    <x v="26"/>
    <s v="M"/>
    <m/>
    <m/>
    <s v="NA"/>
    <s v="NA"/>
    <s v="NA"/>
    <s v="NA"/>
    <s v="NA"/>
    <s v="NA"/>
    <s v="NA"/>
    <s v="NA"/>
    <s v="NA"/>
    <s v="NA"/>
    <s v="NA"/>
    <s v="NA"/>
    <s v="NA"/>
    <s v="NA"/>
    <s v="NA"/>
    <s v="NA"/>
    <s v="NA"/>
    <s v="NA"/>
    <s v="NA"/>
    <s v="NA"/>
    <s v="NA"/>
  </r>
  <r>
    <n v="864"/>
    <m/>
    <m/>
    <m/>
    <m/>
    <s v="NA"/>
    <s v="NA"/>
    <x v="35"/>
    <s v="NA"/>
    <m/>
    <m/>
    <n v="36.177999999999997"/>
    <n v="39.140999999999998"/>
    <n v="75.225999999999999"/>
    <n v="75.731999999999999"/>
    <n v="57.204999999999998"/>
    <n v="57.713000000000001"/>
    <n v="91.35"/>
    <n v="90.766000000000005"/>
    <n v="66.888000000000005"/>
    <n v="63.834000000000003"/>
    <n v="33.112000000000002"/>
    <n v="36.165999999999997"/>
    <n v="14.840999999999999"/>
    <n v="15.483000000000001"/>
    <n v="36.165999999999997"/>
    <n v="33.112000000000002"/>
    <n v="13.797000000000001"/>
    <n v="10"/>
    <n v="11"/>
    <n v="10"/>
    <n v="10"/>
  </r>
  <r>
    <n v="865"/>
    <m/>
    <m/>
    <m/>
    <m/>
    <s v="G25.0"/>
    <s v="Essential tremor"/>
    <x v="63"/>
    <s v="M"/>
    <m/>
    <m/>
    <n v="56.682000000000002"/>
    <n v="59.161999999999999"/>
    <n v="116.026"/>
    <n v="116.34699999999999"/>
    <n v="89.022999999999996"/>
    <n v="88.99"/>
    <n v="91.995000000000005"/>
    <n v="91.984999999999999"/>
    <n v="64.015000000000001"/>
    <n v="63.021000000000001"/>
    <n v="35.984999999999999"/>
    <n v="36.978999999999999"/>
    <n v="14.305999999999999"/>
    <n v="13.589"/>
    <n v="36.978999999999999"/>
    <n v="35.984999999999999"/>
    <n v="13.974"/>
    <n v="12"/>
    <n v="11"/>
    <n v="11"/>
    <n v="11"/>
  </r>
  <r>
    <n v="866"/>
    <m/>
    <m/>
    <m/>
    <m/>
    <s v="R25.1"/>
    <s v="Tremor, unspecified"/>
    <x v="98"/>
    <s v="F"/>
    <m/>
    <m/>
    <s v="NA"/>
    <s v="NA"/>
    <s v="NA"/>
    <s v="NA"/>
    <s v="NA"/>
    <s v="NA"/>
    <s v="NA"/>
    <s v="NA"/>
    <s v="NA"/>
    <s v="NA"/>
    <s v="NA"/>
    <s v="NA"/>
    <s v="NA"/>
    <s v="NA"/>
    <s v="NA"/>
    <s v="NA"/>
    <s v="NA"/>
    <s v="NA"/>
    <s v="NA"/>
    <s v="NA"/>
    <s v="NA"/>
  </r>
  <r>
    <n v="867"/>
    <m/>
    <m/>
    <m/>
    <m/>
    <s v="G25.0"/>
    <s v="Essential tremor"/>
    <x v="309"/>
    <s v="F"/>
    <m/>
    <m/>
    <n v="70.847999999999999"/>
    <n v="67.799000000000007"/>
    <n v="139.00399999999999"/>
    <n v="137.756"/>
    <n v="130.65100000000001"/>
    <n v="129.821"/>
    <n v="112.008"/>
    <n v="112.108"/>
    <n v="59.399000000000001"/>
    <n v="60.844000000000001"/>
    <n v="40.600999999999999"/>
    <n v="39.155999999999999"/>
    <n v="10.855"/>
    <n v="10.622999999999999"/>
    <n v="39.155999999999999"/>
    <n v="40.600999999999999"/>
    <n v="9.1129999999999995"/>
    <n v="11"/>
    <n v="8"/>
    <n v="8"/>
    <n v="8"/>
  </r>
  <r>
    <n v="868"/>
    <m/>
    <m/>
    <m/>
    <m/>
    <s v="G11.8"/>
    <s v="Other hereditary ataxias"/>
    <x v="72"/>
    <s v="M"/>
    <m/>
    <m/>
    <n v="52.069000000000003"/>
    <n v="56.848999999999997"/>
    <n v="108.663"/>
    <n v="109.551"/>
    <n v="92.673000000000002"/>
    <n v="93.417000000000002"/>
    <n v="102.048"/>
    <n v="101.85"/>
    <n v="64.367000000000004"/>
    <n v="63.491999999999997"/>
    <n v="35.633000000000003"/>
    <n v="36.508000000000003"/>
    <n v="14.186999999999999"/>
    <n v="14.592000000000001"/>
    <n v="36.508000000000003"/>
    <n v="35.633000000000003"/>
    <n v="8.6059999999999999"/>
    <n v="11"/>
    <n v="14"/>
    <n v="11"/>
    <n v="11"/>
  </r>
  <r>
    <n v="869"/>
    <m/>
    <m/>
    <m/>
    <m/>
    <s v="G20"/>
    <s v="Parkinson's disease"/>
    <x v="91"/>
    <s v="M"/>
    <m/>
    <m/>
    <n v="46.353999999999999"/>
    <n v="49.45"/>
    <n v="97.007000000000005"/>
    <n v="95.57"/>
    <n v="78.117999999999995"/>
    <n v="77.513000000000005"/>
    <n v="97.748999999999995"/>
    <n v="97.117999999999995"/>
    <n v="65.091999999999999"/>
    <n v="63.866"/>
    <n v="34.908000000000001"/>
    <n v="36.134"/>
    <n v="14.625999999999999"/>
    <n v="14.33"/>
    <n v="36.134"/>
    <n v="34.908000000000001"/>
    <n v="14.167999999999999"/>
    <n v="11"/>
    <n v="15"/>
    <n v="11"/>
    <n v="11"/>
  </r>
  <r>
    <n v="870"/>
    <m/>
    <m/>
    <m/>
    <m/>
    <s v="R25.1"/>
    <s v="Tremor, unspecified"/>
    <x v="216"/>
    <s v="M"/>
    <m/>
    <m/>
    <n v="61.063000000000002"/>
    <n v="65.917000000000002"/>
    <n v="127.18600000000001"/>
    <n v="127.526"/>
    <n v="122.063"/>
    <n v="122.294"/>
    <n v="114.926"/>
    <n v="114.499"/>
    <n v="62.04"/>
    <n v="62.893999999999998"/>
    <n v="37.96"/>
    <n v="37.106000000000002"/>
    <n v="11.967000000000001"/>
    <n v="12.989000000000001"/>
    <n v="37.106000000000002"/>
    <n v="37.96"/>
    <n v="12.04"/>
    <n v="12"/>
    <n v="9"/>
    <n v="9"/>
    <n v="9"/>
  </r>
  <r>
    <n v="871"/>
    <m/>
    <m/>
    <m/>
    <m/>
    <s v="NA"/>
    <s v="NA"/>
    <x v="35"/>
    <s v="NA"/>
    <m/>
    <m/>
    <n v="36.156999999999996"/>
    <n v="45.279000000000003"/>
    <n v="82.528999999999996"/>
    <n v="81.198999999999998"/>
    <n v="75.209999999999994"/>
    <n v="74.462999999999994"/>
    <n v="109.399"/>
    <n v="108.738"/>
    <n v="66.275999999999996"/>
    <n v="65.712000000000003"/>
    <n v="33.723999999999997"/>
    <n v="34.287999999999997"/>
    <n v="16.940999999999999"/>
    <n v="15.007"/>
    <n v="34.287999999999997"/>
    <n v="33.723999999999997"/>
    <n v="14.045999999999999"/>
    <n v="15"/>
    <n v="19"/>
    <n v="15"/>
    <n v="15"/>
  </r>
  <r>
    <n v="872"/>
    <m/>
    <m/>
    <m/>
    <m/>
    <s v="NA"/>
    <s v="NA"/>
    <x v="35"/>
    <s v="NA"/>
    <m/>
    <m/>
    <s v="NA"/>
    <s v="NA"/>
    <s v="NA"/>
    <s v="NA"/>
    <s v="NA"/>
    <s v="NA"/>
    <s v="NA"/>
    <s v="NA"/>
    <s v="NA"/>
    <s v="NA"/>
    <s v="NA"/>
    <s v="NA"/>
    <s v="NA"/>
    <s v="NA"/>
    <s v="NA"/>
    <s v="NA"/>
    <s v="NA"/>
    <s v="NA"/>
    <s v="NA"/>
    <s v="NA"/>
    <s v="NA"/>
  </r>
  <r>
    <n v="873"/>
    <m/>
    <m/>
    <m/>
    <m/>
    <s v="G25.0"/>
    <s v="Essential tremor"/>
    <x v="89"/>
    <s v="M"/>
    <m/>
    <m/>
    <n v="45.463999999999999"/>
    <n v="40.442999999999998"/>
    <n v="85.71"/>
    <n v="85.884"/>
    <n v="70.759"/>
    <n v="71.138999999999996"/>
    <n v="99.599000000000004"/>
    <n v="100.098"/>
    <n v="65.465999999999994"/>
    <n v="65.638999999999996"/>
    <n v="34.533999999999999"/>
    <n v="34.360999999999997"/>
    <n v="14.683999999999999"/>
    <n v="16.681000000000001"/>
    <n v="34.360999999999997"/>
    <n v="34.533999999999999"/>
    <n v="15.497999999999999"/>
    <n v="16"/>
    <n v="15"/>
    <n v="15"/>
    <n v="15"/>
  </r>
  <r>
    <n v="874"/>
    <m/>
    <m/>
    <m/>
    <m/>
    <s v="G20"/>
    <s v="Parkinson's disease"/>
    <x v="322"/>
    <s v="F"/>
    <m/>
    <m/>
    <n v="28.021999999999998"/>
    <n v="26.79"/>
    <n v="54.396999999999998"/>
    <n v="54.981000000000002"/>
    <n v="58.825000000000003"/>
    <n v="59.009"/>
    <n v="129.91300000000001"/>
    <n v="129.28299999999999"/>
    <n v="68.356999999999999"/>
    <n v="67.31"/>
    <n v="31.643000000000001"/>
    <n v="32.69"/>
    <n v="19.084"/>
    <n v="16.719000000000001"/>
    <n v="32.69"/>
    <n v="31.643000000000001"/>
    <n v="12.888"/>
    <n v="20"/>
    <n v="21"/>
    <n v="20"/>
    <n v="20"/>
  </r>
  <r>
    <n v="875"/>
    <m/>
    <m/>
    <m/>
    <m/>
    <s v="NA"/>
    <s v="NA"/>
    <x v="35"/>
    <s v="NA"/>
    <m/>
    <m/>
    <n v="61.44"/>
    <n v="62.337000000000003"/>
    <n v="124.27"/>
    <n v="124.08199999999999"/>
    <n v="122.624"/>
    <n v="122.752"/>
    <n v="118.97"/>
    <n v="119.024"/>
    <n v="59.874000000000002"/>
    <n v="59.981000000000002"/>
    <n v="40.125999999999998"/>
    <n v="40.018999999999998"/>
    <n v="9.8420000000000005"/>
    <n v="10.134"/>
    <n v="40.018999999999998"/>
    <n v="40.125999999999998"/>
    <n v="9.0709999999999997"/>
    <n v="17"/>
    <n v="18"/>
    <n v="17"/>
    <n v="17"/>
  </r>
  <r>
    <n v="876"/>
    <m/>
    <m/>
    <m/>
    <m/>
    <s v="G25.0"/>
    <s v="Essential tremor"/>
    <x v="323"/>
    <s v="F"/>
    <m/>
    <m/>
    <n v="53.649000000000001"/>
    <n v="54.11"/>
    <n v="108.28400000000001"/>
    <n v="107.81699999999999"/>
    <n v="103.578"/>
    <n v="102.6"/>
    <n v="115.042"/>
    <n v="114.46"/>
    <n v="62.56"/>
    <n v="62.738999999999997"/>
    <n v="37.44"/>
    <n v="37.261000000000003"/>
    <n v="12.625999999999999"/>
    <n v="12.736000000000001"/>
    <n v="37.261000000000003"/>
    <n v="37.44"/>
    <n v="8.59"/>
    <n v="17"/>
    <n v="18"/>
    <n v="17"/>
    <n v="17"/>
  </r>
  <r>
    <n v="877"/>
    <m/>
    <m/>
    <m/>
    <m/>
    <s v="G25.2"/>
    <s v="Other specified forms of tremor"/>
    <x v="230"/>
    <s v="M"/>
    <m/>
    <m/>
    <n v="34.951999999999998"/>
    <n v="33.444000000000003"/>
    <n v="68.588999999999999"/>
    <n v="68.5"/>
    <n v="57.048000000000002"/>
    <n v="56.896000000000001"/>
    <n v="99.843999999999994"/>
    <n v="99.361000000000004"/>
    <n v="67.335999999999999"/>
    <n v="69.623000000000005"/>
    <n v="32.664000000000001"/>
    <n v="30.376999999999999"/>
    <n v="19.198"/>
    <n v="17.713999999999999"/>
    <n v="30.376999999999999"/>
    <n v="32.664000000000001"/>
    <n v="11.385"/>
    <n v="16"/>
    <n v="16"/>
    <n v="16"/>
    <n v="16"/>
  </r>
  <r>
    <n v="878"/>
    <m/>
    <m/>
    <m/>
    <m/>
    <s v="R25.1"/>
    <s v="Tremor, unspecified"/>
    <x v="324"/>
    <s v="F"/>
    <m/>
    <m/>
    <n v="59.173999999999999"/>
    <n v="58.082000000000001"/>
    <n v="117.20699999999999"/>
    <n v="117.675"/>
    <n v="98.066999999999993"/>
    <n v="98.5"/>
    <n v="100.66800000000001"/>
    <n v="100.32299999999999"/>
    <n v="63.244"/>
    <n v="64.44"/>
    <n v="36.756"/>
    <n v="35.56"/>
    <n v="14.853999999999999"/>
    <n v="13.301"/>
    <n v="35.56"/>
    <n v="36.756"/>
    <n v="7.0730000000000004"/>
    <n v="16"/>
    <n v="16"/>
    <n v="16"/>
    <n v="16"/>
  </r>
  <r>
    <n v="879"/>
    <m/>
    <m/>
    <m/>
    <m/>
    <s v="G20"/>
    <s v="Parkinson's disease"/>
    <x v="195"/>
    <s v="M"/>
    <m/>
    <m/>
    <s v="NA"/>
    <s v="NA"/>
    <s v="NA"/>
    <s v="NA"/>
    <s v="NA"/>
    <s v="NA"/>
    <s v="NA"/>
    <s v="NA"/>
    <s v="NA"/>
    <s v="NA"/>
    <s v="NA"/>
    <s v="NA"/>
    <s v="NA"/>
    <s v="NA"/>
    <s v="NA"/>
    <s v="NA"/>
    <s v="NA"/>
    <s v="NA"/>
    <s v="NA"/>
    <s v="NA"/>
    <s v="NA"/>
  </r>
  <r>
    <n v="880"/>
    <m/>
    <m/>
    <m/>
    <m/>
    <s v="NA"/>
    <s v="NA"/>
    <x v="35"/>
    <s v="NA"/>
    <m/>
    <m/>
    <n v="44.542999999999999"/>
    <n v="46.85"/>
    <n v="92.262"/>
    <n v="91.42"/>
    <n v="86.203999999999994"/>
    <n v="85.781000000000006"/>
    <n v="112.258"/>
    <n v="112.28"/>
    <n v="62.42"/>
    <n v="62.045999999999999"/>
    <n v="37.58"/>
    <n v="37.954000000000001"/>
    <n v="11.598000000000001"/>
    <n v="13.02"/>
    <n v="37.954000000000001"/>
    <n v="37.58"/>
    <n v="11.516999999999999"/>
    <n v="18"/>
    <n v="20"/>
    <n v="18"/>
    <n v="18"/>
  </r>
  <r>
    <n v="881"/>
    <m/>
    <m/>
    <m/>
    <m/>
    <s v="G25.0"/>
    <s v="Essential tremor"/>
    <x v="214"/>
    <s v="F"/>
    <m/>
    <m/>
    <n v="44.616"/>
    <n v="47.856999999999999"/>
    <n v="92.950999999999993"/>
    <n v="92.340999999999994"/>
    <n v="72.691999999999993"/>
    <n v="72.171999999999997"/>
    <n v="94.224000000000004"/>
    <n v="93.406999999999996"/>
    <n v="65.221999999999994"/>
    <n v="64.004000000000005"/>
    <n v="34.777999999999999"/>
    <n v="35.996000000000002"/>
    <n v="14.563000000000001"/>
    <n v="14.436"/>
    <n v="35.996000000000002"/>
    <n v="34.777999999999999"/>
    <n v="15.942"/>
    <n v="14"/>
    <n v="17"/>
    <n v="14"/>
    <n v="14"/>
  </r>
  <r>
    <n v="882"/>
    <m/>
    <m/>
    <m/>
    <m/>
    <s v="R27.0"/>
    <s v="Ataxia, unspecified"/>
    <x v="123"/>
    <s v="M"/>
    <m/>
    <m/>
    <n v="66.709999999999994"/>
    <n v="66.909000000000006"/>
    <n v="132.96799999999999"/>
    <n v="132.708"/>
    <n v="108.398"/>
    <n v="108.982"/>
    <n v="97.700999999999993"/>
    <n v="99.472999999999999"/>
    <n v="65.093000000000004"/>
    <n v="63.582999999999998"/>
    <n v="34.906999999999996"/>
    <n v="36.417000000000002"/>
    <n v="14.004"/>
    <n v="15.56"/>
    <n v="36.417000000000002"/>
    <n v="34.906999999999996"/>
    <n v="18.585000000000001"/>
    <n v="12"/>
    <n v="11"/>
    <n v="11"/>
    <n v="11"/>
  </r>
  <r>
    <n v="883"/>
    <m/>
    <m/>
    <m/>
    <m/>
    <s v="G20"/>
    <s v="Parkinson's disease"/>
    <x v="325"/>
    <s v="M"/>
    <m/>
    <m/>
    <n v="48.42"/>
    <n v="58.985999999999997"/>
    <n v="108.401"/>
    <n v="107.059"/>
    <n v="68.599999999999994"/>
    <n v="67.682000000000002"/>
    <n v="75.391999999999996"/>
    <n v="76.295000000000002"/>
    <n v="70.003"/>
    <n v="60.915999999999997"/>
    <n v="29.997"/>
    <n v="39.084000000000003"/>
    <n v="12.205"/>
    <n v="18.626000000000001"/>
    <n v="39.084000000000003"/>
    <n v="29.997"/>
    <n v="19.558"/>
    <n v="11"/>
    <n v="13"/>
    <n v="11"/>
    <n v="11"/>
  </r>
  <r>
    <n v="884"/>
    <m/>
    <m/>
    <m/>
    <m/>
    <s v="R25.1"/>
    <s v="Tremor, unspecified"/>
    <x v="310"/>
    <s v="F"/>
    <m/>
    <m/>
    <n v="65.971999999999994"/>
    <n v="63.726999999999997"/>
    <n v="129.95599999999999"/>
    <n v="129.69"/>
    <n v="138.065"/>
    <n v="137.386"/>
    <n v="127.19799999999999"/>
    <n v="127.06699999999999"/>
    <n v="59.89"/>
    <n v="60.307000000000002"/>
    <n v="40.11"/>
    <n v="39.692999999999998"/>
    <n v="10.491"/>
    <n v="10.054"/>
    <n v="39.692999999999998"/>
    <n v="40.11"/>
    <n v="8.8879999999999999"/>
    <n v="18"/>
    <n v="19"/>
    <n v="18"/>
    <n v="18"/>
  </r>
  <r>
    <n v="885"/>
    <m/>
    <m/>
    <m/>
    <m/>
    <s v="G25.0"/>
    <s v="Essential tremor"/>
    <x v="256"/>
    <s v="F"/>
    <m/>
    <m/>
    <n v="53.755000000000003"/>
    <n v="55.567999999999998"/>
    <n v="109.23699999999999"/>
    <n v="109.16800000000001"/>
    <n v="93.284000000000006"/>
    <n v="93.272999999999996"/>
    <n v="102.152"/>
    <n v="102.337"/>
    <n v="61.975000000000001"/>
    <n v="62.488"/>
    <n v="38.024999999999999"/>
    <n v="37.512"/>
    <n v="13.257999999999999"/>
    <n v="11.77"/>
    <n v="37.512"/>
    <n v="38.024999999999999"/>
    <n v="8.1929999999999996"/>
    <n v="15"/>
    <n v="15"/>
    <n v="15"/>
    <n v="15"/>
  </r>
  <r>
    <n v="886"/>
    <m/>
    <m/>
    <m/>
    <m/>
    <s v="R25.1"/>
    <s v="Tremor, unspecified"/>
    <x v="236"/>
    <s v="M"/>
    <m/>
    <m/>
    <n v="44.688000000000002"/>
    <n v="40.194000000000003"/>
    <n v="84.37"/>
    <n v="84.709000000000003"/>
    <n v="70.61"/>
    <n v="71.344999999999999"/>
    <n v="100.967"/>
    <n v="100.624"/>
    <n v="67.117000000000004"/>
    <n v="68.975999999999999"/>
    <n v="32.883000000000003"/>
    <n v="31.024000000000001"/>
    <n v="16.763000000000002"/>
    <n v="19.47"/>
    <n v="31.024000000000001"/>
    <n v="32.883000000000003"/>
    <n v="24.228000000000002"/>
    <n v="13"/>
    <n v="12"/>
    <n v="12"/>
    <n v="12"/>
  </r>
  <r>
    <n v="887"/>
    <m/>
    <m/>
    <m/>
    <m/>
    <s v="G20"/>
    <s v="Parkinson's disease"/>
    <x v="7"/>
    <s v="M"/>
    <m/>
    <m/>
    <n v="9.8940000000000001"/>
    <n v="11.3"/>
    <n v="21.140999999999998"/>
    <n v="20.87"/>
    <n v="30.109000000000002"/>
    <n v="30.033000000000001"/>
    <n v="182.09100000000001"/>
    <n v="180.45699999999999"/>
    <n v="74.849000000000004"/>
    <n v="73.268000000000001"/>
    <n v="25.151"/>
    <n v="26.731999999999999"/>
    <n v="24.506"/>
    <n v="23.350999999999999"/>
    <n v="26.731999999999999"/>
    <n v="25.151"/>
    <n v="17.225999999999999"/>
    <n v="24"/>
    <n v="23"/>
    <n v="23"/>
    <n v="23"/>
  </r>
  <r>
    <n v="888"/>
    <m/>
    <m/>
    <m/>
    <m/>
    <s v="G20"/>
    <s v="Parkinson's disease"/>
    <x v="326"/>
    <s v="F"/>
    <m/>
    <m/>
    <n v="43.381999999999998"/>
    <n v="42.15"/>
    <n v="86.36"/>
    <n v="85.634"/>
    <n v="93.14"/>
    <n v="92.319000000000003"/>
    <n v="129.078"/>
    <n v="129.251"/>
    <n v="60.24"/>
    <n v="63.113999999999997"/>
    <n v="39.76"/>
    <n v="36.886000000000003"/>
    <n v="12.759"/>
    <n v="10.409000000000001"/>
    <n v="36.886000000000003"/>
    <n v="39.76"/>
    <n v="12.183999999999999"/>
    <n v="22"/>
    <n v="27"/>
    <n v="22"/>
    <n v="22"/>
  </r>
  <r>
    <n v="889"/>
    <m/>
    <m/>
    <m/>
    <m/>
    <s v="R25.1"/>
    <s v="Tremor, unspecified"/>
    <x v="327"/>
    <s v="F"/>
    <m/>
    <m/>
    <n v="63.692999999999998"/>
    <n v="64.406000000000006"/>
    <n v="126.93600000000001"/>
    <n v="124.20699999999999"/>
    <n v="106.264"/>
    <n v="103.04600000000001"/>
    <n v="101.169"/>
    <n v="101.05"/>
    <n v="63.779000000000003"/>
    <n v="62.890999999999998"/>
    <n v="36.220999999999997"/>
    <n v="37.109000000000002"/>
    <n v="13.696999999999999"/>
    <n v="13.93"/>
    <n v="37.109000000000002"/>
    <n v="36.220999999999997"/>
    <n v="14.614000000000001"/>
    <n v="10"/>
    <n v="8"/>
    <n v="8"/>
    <n v="8"/>
  </r>
  <r>
    <n v="890"/>
    <m/>
    <m/>
    <m/>
    <m/>
    <s v="G20"/>
    <s v="Parkinson's disease"/>
    <x v="328"/>
    <s v="F"/>
    <m/>
    <m/>
    <n v="61.701999999999998"/>
    <n v="58.847999999999999"/>
    <n v="120.816"/>
    <n v="121.223"/>
    <n v="100.295"/>
    <n v="100.035"/>
    <n v="98.507000000000005"/>
    <n v="98.503"/>
    <n v="64.108000000000004"/>
    <n v="62.335999999999999"/>
    <n v="35.892000000000003"/>
    <n v="37.664000000000001"/>
    <n v="12.907999999999999"/>
    <n v="13.973000000000001"/>
    <n v="37.664000000000001"/>
    <n v="35.892000000000003"/>
    <n v="7.234"/>
    <n v="10"/>
    <n v="11"/>
    <n v="10"/>
    <n v="10"/>
  </r>
  <r>
    <n v="891"/>
    <m/>
    <m/>
    <m/>
    <m/>
    <s v="G20"/>
    <s v="Parkinson's disease"/>
    <x v="10"/>
    <s v="M"/>
    <m/>
    <m/>
    <n v="58.585999999999999"/>
    <n v="58.448"/>
    <n v="117.06100000000001"/>
    <n v="117.504"/>
    <n v="117.464"/>
    <n v="117.452"/>
    <n v="119.877"/>
    <n v="119.926"/>
    <n v="63.237000000000002"/>
    <n v="62.174999999999997"/>
    <n v="36.762999999999998"/>
    <n v="37.825000000000003"/>
    <n v="13.234"/>
    <n v="12.73"/>
    <n v="37.825000000000003"/>
    <n v="36.762999999999998"/>
    <n v="13.032"/>
    <n v="11"/>
    <n v="13"/>
    <n v="11"/>
    <n v="11"/>
  </r>
  <r>
    <n v="892"/>
    <m/>
    <m/>
    <m/>
    <m/>
    <s v="NA"/>
    <s v="NA"/>
    <x v="35"/>
    <s v="NA"/>
    <m/>
    <m/>
    <n v="25.8"/>
    <n v="23.370999999999999"/>
    <n v="48.59"/>
    <n v="49.011000000000003"/>
    <n v="48.146000000000001"/>
    <n v="48.883000000000003"/>
    <n v="117.694"/>
    <n v="118.161"/>
    <n v="67.611000000000004"/>
    <n v="67.323999999999998"/>
    <n v="32.389000000000003"/>
    <n v="32.676000000000002"/>
    <n v="15.555"/>
    <n v="18.812000000000001"/>
    <n v="32.676000000000002"/>
    <n v="32.389000000000003"/>
    <n v="8.61"/>
    <n v="11"/>
    <n v="12"/>
    <n v="11"/>
    <n v="11"/>
  </r>
  <r>
    <n v="893"/>
    <m/>
    <m/>
    <m/>
    <m/>
    <s v="G20"/>
    <s v="Parkinson's disease"/>
    <x v="329"/>
    <s v="M"/>
    <m/>
    <m/>
    <n v="33.143999999999998"/>
    <n v="42.515999999999998"/>
    <n v="76.161000000000001"/>
    <n v="75.930000000000007"/>
    <n v="77.644999999999996"/>
    <n v="77.194999999999993"/>
    <n v="121.556"/>
    <n v="120.551"/>
    <n v="57.207000000000001"/>
    <n v="66.158000000000001"/>
    <n v="42.792999999999999"/>
    <n v="33.841999999999999"/>
    <n v="8.7219999999999995"/>
    <n v="14.967000000000001"/>
    <n v="33.841999999999999"/>
    <n v="42.792999999999999"/>
    <n v="13.151999999999999"/>
    <n v="15"/>
    <n v="15"/>
    <n v="15"/>
    <n v="15"/>
  </r>
  <r>
    <n v="894"/>
    <m/>
    <m/>
    <m/>
    <m/>
    <s v="G20"/>
    <s v="Parkinson's disease"/>
    <x v="27"/>
    <s v="M"/>
    <m/>
    <m/>
    <s v="NA"/>
    <s v="NA"/>
    <s v="NA"/>
    <s v="NA"/>
    <s v="NA"/>
    <s v="NA"/>
    <s v="NA"/>
    <s v="NA"/>
    <s v="NA"/>
    <s v="NA"/>
    <s v="NA"/>
    <s v="NA"/>
    <s v="NA"/>
    <s v="NA"/>
    <s v="NA"/>
    <s v="NA"/>
    <s v="NA"/>
    <s v="NA"/>
    <s v="NA"/>
    <s v="NA"/>
    <s v="NA"/>
  </r>
  <r>
    <n v="895"/>
    <m/>
    <m/>
    <m/>
    <m/>
    <s v="G25.0"/>
    <s v="Essential tremor"/>
    <x v="168"/>
    <s v="M"/>
    <m/>
    <m/>
    <n v="62.924999999999997"/>
    <n v="63.029000000000003"/>
    <n v="125.578"/>
    <n v="126.339"/>
    <n v="112.64100000000001"/>
    <n v="113.738"/>
    <n v="107.023"/>
    <n v="107.492"/>
    <n v="62.594999999999999"/>
    <n v="62.271000000000001"/>
    <n v="37.405000000000001"/>
    <n v="37.728999999999999"/>
    <n v="12.63"/>
    <n v="12.933999999999999"/>
    <n v="37.728999999999999"/>
    <n v="37.405000000000001"/>
    <n v="12.73"/>
    <n v="9"/>
    <n v="9"/>
    <n v="9"/>
    <n v="9"/>
  </r>
  <r>
    <n v="896"/>
    <m/>
    <m/>
    <m/>
    <m/>
    <s v="NA"/>
    <s v="NA"/>
    <x v="50"/>
    <s v="F"/>
    <m/>
    <m/>
    <s v="NA"/>
    <s v="NA"/>
    <s v="NA"/>
    <s v="NA"/>
    <s v="NA"/>
    <s v="NA"/>
    <s v="NA"/>
    <s v="NA"/>
    <s v="NA"/>
    <s v="NA"/>
    <s v="NA"/>
    <s v="NA"/>
    <s v="NA"/>
    <s v="NA"/>
    <s v="NA"/>
    <s v="NA"/>
    <s v="NA"/>
    <s v="NA"/>
    <s v="NA"/>
    <s v="NA"/>
    <s v="NA"/>
  </r>
  <r>
    <n v="897"/>
    <m/>
    <m/>
    <m/>
    <m/>
    <s v="G20"/>
    <s v="Parkinson's disease"/>
    <x v="79"/>
    <s v="F"/>
    <m/>
    <m/>
    <n v="52.793999999999997"/>
    <n v="52.603999999999999"/>
    <n v="104.999"/>
    <n v="105.71"/>
    <n v="87.617999999999995"/>
    <n v="87.891000000000005"/>
    <n v="99.445999999999998"/>
    <n v="98.808999999999997"/>
    <n v="64.203999999999994"/>
    <n v="62.058"/>
    <n v="35.795999999999999"/>
    <n v="37.942"/>
    <n v="14.085000000000001"/>
    <n v="12.813000000000001"/>
    <n v="37.942"/>
    <n v="35.795999999999999"/>
    <n v="10.888"/>
    <n v="12"/>
    <n v="10"/>
    <n v="10"/>
    <n v="10"/>
  </r>
  <r>
    <n v="898"/>
    <m/>
    <m/>
    <m/>
    <m/>
    <s v="G20"/>
    <s v="Parkinson's disease"/>
    <x v="54"/>
    <s v="M"/>
    <m/>
    <m/>
    <n v="50.073"/>
    <n v="47.656999999999996"/>
    <n v="98.628"/>
    <n v="98.05"/>
    <n v="102.059"/>
    <n v="102.432"/>
    <n v="124.39700000000001"/>
    <n v="124.97"/>
    <n v="62.710999999999999"/>
    <n v="61.755000000000003"/>
    <n v="37.289000000000001"/>
    <n v="38.244999999999997"/>
    <n v="12.813000000000001"/>
    <n v="11.638"/>
    <n v="38.244999999999997"/>
    <n v="37.289000000000001"/>
    <n v="12.18"/>
    <n v="14"/>
    <n v="12"/>
    <n v="12"/>
    <n v="12"/>
  </r>
  <r>
    <n v="899"/>
    <m/>
    <m/>
    <m/>
    <m/>
    <s v="NA"/>
    <s v="NA"/>
    <x v="35"/>
    <s v="NA"/>
    <m/>
    <m/>
    <n v="43.322000000000003"/>
    <n v="42.21"/>
    <n v="85.474999999999994"/>
    <n v="86.268000000000001"/>
    <n v="81.968000000000004"/>
    <n v="82.289000000000001"/>
    <n v="115.164"/>
    <n v="114.381"/>
    <n v="62.302"/>
    <n v="64.474000000000004"/>
    <n v="37.698"/>
    <n v="35.526000000000003"/>
    <n v="14.446"/>
    <n v="12.989000000000001"/>
    <n v="35.526000000000003"/>
    <n v="37.698"/>
    <n v="15.186"/>
    <n v="17"/>
    <n v="14"/>
    <n v="14"/>
    <n v="14"/>
  </r>
  <r>
    <n v="900"/>
    <m/>
    <m/>
    <m/>
    <m/>
    <s v="NA"/>
    <s v="NA"/>
    <x v="305"/>
    <s v="M"/>
    <m/>
    <m/>
    <s v="NA"/>
    <s v="NA"/>
    <s v="NA"/>
    <s v="NA"/>
    <s v="NA"/>
    <s v="NA"/>
    <s v="NA"/>
    <s v="NA"/>
    <s v="NA"/>
    <s v="NA"/>
    <s v="NA"/>
    <s v="NA"/>
    <s v="NA"/>
    <s v="NA"/>
    <s v="NA"/>
    <s v="NA"/>
    <s v="NA"/>
    <s v="NA"/>
    <s v="NA"/>
    <s v="NA"/>
    <s v="NA"/>
  </r>
  <r>
    <n v="901"/>
    <m/>
    <m/>
    <m/>
    <m/>
    <s v="NA"/>
    <s v="NA"/>
    <x v="35"/>
    <s v="NA"/>
    <m/>
    <m/>
    <s v="NA"/>
    <s v="NA"/>
    <s v="NA"/>
    <s v="NA"/>
    <s v="NA"/>
    <s v="NA"/>
    <s v="NA"/>
    <s v="NA"/>
    <s v="NA"/>
    <s v="NA"/>
    <s v="NA"/>
    <s v="NA"/>
    <s v="NA"/>
    <s v="NA"/>
    <s v="NA"/>
    <s v="NA"/>
    <s v="NA"/>
    <s v="NA"/>
    <s v="NA"/>
    <s v="NA"/>
    <s v="NA"/>
  </r>
  <r>
    <n v="902"/>
    <m/>
    <m/>
    <m/>
    <m/>
    <s v="G25.0"/>
    <s v="Essential tremor"/>
    <x v="330"/>
    <s v="M"/>
    <m/>
    <m/>
    <n v="37.395000000000003"/>
    <n v="30.036999999999999"/>
    <n v="67.641999999999996"/>
    <n v="67.238"/>
    <n v="63.313000000000002"/>
    <n v="62.991"/>
    <n v="112.501"/>
    <n v="112.182"/>
    <n v="65.876000000000005"/>
    <n v="65.001999999999995"/>
    <n v="34.124000000000002"/>
    <n v="34.997999999999998"/>
    <n v="16.643999999999998"/>
    <n v="14.201000000000001"/>
    <n v="34.997999999999998"/>
    <n v="34.124000000000002"/>
    <n v="8.08"/>
    <n v="15"/>
    <n v="15"/>
    <n v="15"/>
    <n v="15"/>
  </r>
  <r>
    <n v="903"/>
    <m/>
    <m/>
    <m/>
    <m/>
    <s v="NA"/>
    <s v="NA"/>
    <x v="35"/>
    <s v="NA"/>
    <m/>
    <m/>
    <n v="15.375999999999999"/>
    <n v="26.966999999999999"/>
    <n v="42.655999999999999"/>
    <n v="41.616999999999997"/>
    <n v="36.192"/>
    <n v="36.133000000000003"/>
    <n v="101.624"/>
    <n v="101.38200000000001"/>
    <n v="69.787000000000006"/>
    <n v="76.492000000000004"/>
    <n v="30.213000000000001"/>
    <n v="23.507999999999999"/>
    <n v="12.000999999999999"/>
    <n v="33.96"/>
    <n v="23.507999999999999"/>
    <n v="30.213000000000001"/>
    <n v="16.14"/>
    <n v="21"/>
    <n v="22"/>
    <n v="21"/>
    <n v="21"/>
  </r>
  <r>
    <n v="904"/>
    <m/>
    <m/>
    <m/>
    <m/>
    <s v="NA"/>
    <s v="NA"/>
    <x v="35"/>
    <s v="NA"/>
    <m/>
    <m/>
    <n v="49.856000000000002"/>
    <n v="52.244999999999997"/>
    <n v="103.024"/>
    <n v="101.629"/>
    <n v="101.25"/>
    <n v="100.64100000000001"/>
    <n v="118.08499999999999"/>
    <n v="117.556"/>
    <n v="67.200999999999993"/>
    <n v="61.247999999999998"/>
    <n v="32.798999999999999"/>
    <n v="38.752000000000002"/>
    <n v="14.183"/>
    <n v="14.666"/>
    <n v="38.752000000000002"/>
    <n v="32.798999999999999"/>
    <n v="14.462"/>
    <n v="13"/>
    <n v="12"/>
    <n v="12"/>
    <n v="12"/>
  </r>
  <r>
    <n v="905"/>
    <m/>
    <m/>
    <m/>
    <m/>
    <s v="NA"/>
    <s v="NA"/>
    <x v="35"/>
    <s v="NA"/>
    <m/>
    <m/>
    <s v="NA"/>
    <s v="NA"/>
    <s v="NA"/>
    <s v="NA"/>
    <s v="NA"/>
    <s v="NA"/>
    <s v="NA"/>
    <s v="NA"/>
    <s v="NA"/>
    <s v="NA"/>
    <s v="NA"/>
    <s v="NA"/>
    <s v="NA"/>
    <s v="NA"/>
    <s v="NA"/>
    <s v="NA"/>
    <s v="NA"/>
    <s v="NA"/>
    <s v="NA"/>
    <s v="NA"/>
    <s v="NA"/>
  </r>
  <r>
    <n v="906"/>
    <m/>
    <m/>
    <m/>
    <m/>
    <s v="NA"/>
    <s v="NA"/>
    <x v="149"/>
    <s v="M"/>
    <m/>
    <m/>
    <s v="NA"/>
    <s v="NA"/>
    <s v="NA"/>
    <s v="NA"/>
    <s v="NA"/>
    <s v="NA"/>
    <s v="NA"/>
    <s v="NA"/>
    <s v="NA"/>
    <s v="NA"/>
    <s v="NA"/>
    <s v="NA"/>
    <s v="NA"/>
    <s v="NA"/>
    <s v="NA"/>
    <s v="NA"/>
    <s v="NA"/>
    <s v="NA"/>
    <s v="NA"/>
    <s v="NA"/>
    <s v="NA"/>
  </r>
  <r>
    <n v="907"/>
    <m/>
    <m/>
    <m/>
    <m/>
    <s v="G20"/>
    <s v="Parkinson's disease"/>
    <x v="37"/>
    <s v="M"/>
    <m/>
    <m/>
    <s v="NA"/>
    <s v="NA"/>
    <s v="NA"/>
    <s v="NA"/>
    <s v="NA"/>
    <s v="NA"/>
    <s v="NA"/>
    <s v="NA"/>
    <s v="NA"/>
    <s v="NA"/>
    <s v="NA"/>
    <s v="NA"/>
    <s v="NA"/>
    <s v="NA"/>
    <s v="NA"/>
    <s v="NA"/>
    <s v="NA"/>
    <s v="NA"/>
    <s v="NA"/>
    <s v="NA"/>
    <s v="NA"/>
  </r>
  <r>
    <n v="908"/>
    <m/>
    <m/>
    <m/>
    <m/>
    <s v="NA"/>
    <s v="NA"/>
    <x v="35"/>
    <s v="NA"/>
    <m/>
    <m/>
    <n v="58.643999999999998"/>
    <n v="60.555"/>
    <n v="119.02500000000001"/>
    <n v="118.827"/>
    <n v="103.794"/>
    <n v="104.96599999999999"/>
    <n v="104.70699999999999"/>
    <n v="105.79900000000001"/>
    <n v="61.256999999999998"/>
    <n v="62.094999999999999"/>
    <n v="38.743000000000002"/>
    <n v="37.905000000000001"/>
    <n v="12.045"/>
    <n v="11.949"/>
    <n v="37.905000000000001"/>
    <n v="38.743000000000002"/>
    <n v="10.02"/>
    <n v="12"/>
    <n v="10"/>
    <n v="10"/>
    <n v="10"/>
  </r>
  <r>
    <n v="909"/>
    <m/>
    <m/>
    <m/>
    <m/>
    <s v="NA"/>
    <s v="NA"/>
    <x v="35"/>
    <s v="NA"/>
    <m/>
    <m/>
    <n v="38.281999999999996"/>
    <n v="45.652999999999999"/>
    <n v="83.861000000000004"/>
    <n v="83.933000000000007"/>
    <n v="82.22"/>
    <n v="82.521000000000001"/>
    <n v="117.339"/>
    <n v="117.872"/>
    <n v="64.757999999999996"/>
    <n v="64.481999999999999"/>
    <n v="35.241999999999997"/>
    <n v="35.518000000000001"/>
    <n v="16.079000000000001"/>
    <n v="13.054"/>
    <n v="35.518000000000001"/>
    <n v="35.241999999999997"/>
    <n v="8.6999999999999993"/>
    <n v="11"/>
    <n v="12"/>
    <n v="11"/>
    <n v="11"/>
  </r>
  <r>
    <n v="910"/>
    <m/>
    <m/>
    <m/>
    <m/>
    <s v="NA"/>
    <s v="NA"/>
    <x v="331"/>
    <s v="F"/>
    <m/>
    <m/>
    <n v="56.7"/>
    <n v="44.52"/>
    <n v="101.34"/>
    <n v="98.88"/>
    <n v="73.92"/>
    <n v="72.53"/>
    <n v="87.43"/>
    <n v="88.08"/>
    <n v="62.6"/>
    <n v="71.260000000000005"/>
    <n v="37.4"/>
    <n v="28.74"/>
    <n v="14.46"/>
    <n v="19.649999999999999"/>
    <n v="28.74"/>
    <n v="37.4"/>
    <n v="26.58"/>
    <n v="14"/>
    <n v="11"/>
    <n v="10"/>
    <n v="10"/>
  </r>
  <r>
    <n v="911"/>
    <m/>
    <m/>
    <m/>
    <m/>
    <s v="NA"/>
    <s v="NA"/>
    <x v="210"/>
    <s v="M"/>
    <m/>
    <m/>
    <s v="NA"/>
    <s v="NA"/>
    <s v="NA"/>
    <s v="NA"/>
    <s v="NA"/>
    <s v="NA"/>
    <s v="NA"/>
    <s v="NA"/>
    <s v="NA"/>
    <s v="NA"/>
    <s v="NA"/>
    <s v="NA"/>
    <s v="NA"/>
    <s v="NA"/>
    <s v="NA"/>
    <s v="NA"/>
    <s v="NA"/>
    <s v="NA"/>
    <s v="NA"/>
    <s v="NA"/>
    <s v="NA"/>
  </r>
  <r>
    <n v="912"/>
    <m/>
    <m/>
    <m/>
    <m/>
    <s v="NA"/>
    <s v="NA"/>
    <x v="328"/>
    <s v="M"/>
    <m/>
    <m/>
    <n v="34.363"/>
    <n v="34.683999999999997"/>
    <n v="69.245000000000005"/>
    <n v="68.36"/>
    <n v="45.137"/>
    <n v="45.531999999999996"/>
    <n v="78.816999999999993"/>
    <n v="79.938999999999993"/>
    <n v="69.141999999999996"/>
    <n v="73.576999999999998"/>
    <n v="30.858000000000001"/>
    <n v="26.422999999999998"/>
    <n v="21.373999999999999"/>
    <n v="21.934000000000001"/>
    <n v="26.422999999999998"/>
    <n v="30.858000000000001"/>
    <n v="13.82"/>
    <n v="13"/>
    <n v="12"/>
    <n v="12"/>
    <n v="12"/>
  </r>
  <r>
    <n v="913"/>
    <m/>
    <m/>
    <m/>
    <m/>
    <s v="NA"/>
    <s v="NA"/>
    <x v="178"/>
    <s v="M"/>
    <m/>
    <m/>
    <n v="27.667000000000002"/>
    <n v="25.367999999999999"/>
    <n v="52.869"/>
    <n v="53.040999999999997"/>
    <n v="45.776000000000003"/>
    <n v="46.25"/>
    <n v="104.815"/>
    <n v="105.8"/>
    <n v="66.730999999999995"/>
    <n v="71.638999999999996"/>
    <n v="33.268999999999998"/>
    <n v="28.361000000000001"/>
    <n v="19.210999999999999"/>
    <n v="19.184000000000001"/>
    <n v="28.361000000000001"/>
    <n v="33.268999999999998"/>
    <n v="11.602"/>
    <n v="19"/>
    <n v="16"/>
    <n v="16"/>
    <n v="16"/>
  </r>
  <r>
    <n v="914"/>
    <m/>
    <m/>
    <m/>
    <m/>
    <s v="NA"/>
    <s v="NA"/>
    <x v="332"/>
    <s v="M"/>
    <m/>
    <m/>
    <n v="37.508000000000003"/>
    <n v="36.04"/>
    <n v="73.036000000000001"/>
    <n v="73.546000000000006"/>
    <n v="79.494"/>
    <n v="79.790000000000006"/>
    <n v="129.73500000000001"/>
    <n v="130.56899999999999"/>
    <n v="63.991"/>
    <n v="64.849000000000004"/>
    <n v="36.009"/>
    <n v="35.151000000000003"/>
    <n v="15.003"/>
    <n v="13.244"/>
    <n v="35.151000000000003"/>
    <n v="36.009"/>
    <n v="16.187999999999999"/>
    <n v="11"/>
    <n v="14"/>
    <n v="11"/>
    <n v="11"/>
  </r>
  <r>
    <n v="915"/>
    <m/>
    <m/>
    <m/>
    <m/>
    <s v="NA"/>
    <s v="NA"/>
    <x v="43"/>
    <s v="F"/>
    <m/>
    <m/>
    <n v="53.935000000000002"/>
    <n v="51.606000000000002"/>
    <n v="105.223"/>
    <n v="105.831"/>
    <n v="89.144999999999996"/>
    <n v="89.533000000000001"/>
    <n v="100.819"/>
    <n v="101.274"/>
    <n v="64.998000000000005"/>
    <n v="63.357999999999997"/>
    <n v="35.002000000000002"/>
    <n v="36.642000000000003"/>
    <n v="14.202"/>
    <n v="14.215"/>
    <n v="36.642000000000003"/>
    <n v="35.002000000000002"/>
    <n v="10.486000000000001"/>
    <n v="7"/>
    <n v="9"/>
    <n v="7"/>
    <n v="7"/>
  </r>
  <r>
    <n v="916"/>
    <m/>
    <m/>
    <m/>
    <m/>
    <s v="NA"/>
    <s v="NA"/>
    <x v="173"/>
    <s v="M"/>
    <m/>
    <m/>
    <n v="42.414999999999999"/>
    <n v="36.703000000000003"/>
    <n v="79.049000000000007"/>
    <n v="79.138999999999996"/>
    <n v="79.087000000000003"/>
    <n v="79.114000000000004"/>
    <n v="120.197"/>
    <n v="119.773"/>
    <n v="65.798000000000002"/>
    <n v="65.39"/>
    <n v="34.201999999999998"/>
    <n v="34.61"/>
    <n v="16.736999999999998"/>
    <n v="14.340999999999999"/>
    <n v="34.61"/>
    <n v="34.201999999999998"/>
    <n v="10.308"/>
    <n v="12"/>
    <n v="15"/>
    <n v="12"/>
    <n v="12"/>
  </r>
  <r>
    <n v="917"/>
    <m/>
    <m/>
    <m/>
    <m/>
    <s v="NA"/>
    <s v="NA"/>
    <x v="168"/>
    <s v="M"/>
    <m/>
    <m/>
    <n v="66.116"/>
    <n v="67.465000000000003"/>
    <n v="132.56899999999999"/>
    <n v="135.62299999999999"/>
    <n v="101.592"/>
    <n v="103.724"/>
    <n v="91.802000000000007"/>
    <n v="91.587999999999994"/>
    <n v="63.65"/>
    <n v="63.341999999999999"/>
    <n v="36.35"/>
    <n v="36.658000000000001"/>
    <n v="14.301"/>
    <n v="14.516999999999999"/>
    <n v="36.658000000000001"/>
    <n v="36.35"/>
    <n v="9.7520000000000007"/>
    <n v="8"/>
    <n v="6"/>
    <n v="6"/>
    <n v="6"/>
  </r>
  <r>
    <n v="918"/>
    <m/>
    <m/>
    <m/>
    <m/>
    <s v="NA"/>
    <s v="NA"/>
    <x v="333"/>
    <s v="M"/>
    <m/>
    <m/>
    <s v="NA"/>
    <s v="NA"/>
    <s v="NA"/>
    <s v="NA"/>
    <s v="NA"/>
    <s v="NA"/>
    <s v="NA"/>
    <s v="NA"/>
    <s v="NA"/>
    <s v="NA"/>
    <s v="NA"/>
    <s v="NA"/>
    <s v="NA"/>
    <s v="NA"/>
    <s v="NA"/>
    <s v="NA"/>
    <s v="NA"/>
    <s v="NA"/>
    <s v="NA"/>
    <s v="NA"/>
    <s v="NA"/>
  </r>
  <r>
    <n v="919"/>
    <m/>
    <m/>
    <m/>
    <m/>
    <s v="NA"/>
    <s v="NA"/>
    <x v="333"/>
    <s v="M"/>
    <m/>
    <m/>
    <s v="NA"/>
    <s v="NA"/>
    <s v="NA"/>
    <s v="NA"/>
    <s v="NA"/>
    <s v="NA"/>
    <s v="NA"/>
    <s v="NA"/>
    <s v="NA"/>
    <s v="NA"/>
    <s v="NA"/>
    <s v="NA"/>
    <s v="NA"/>
    <s v="NA"/>
    <s v="NA"/>
    <s v="NA"/>
    <s v="NA"/>
    <s v="NA"/>
    <s v="NA"/>
    <s v="NA"/>
    <s v="NA"/>
  </r>
  <r>
    <n v="920"/>
    <m/>
    <m/>
    <m/>
    <m/>
    <s v="NA"/>
    <s v="NA"/>
    <x v="199"/>
    <s v="M"/>
    <m/>
    <m/>
    <n v="53.055"/>
    <n v="53.427999999999997"/>
    <n v="106.92400000000001"/>
    <n v="106.634"/>
    <n v="76.317999999999998"/>
    <n v="75.981999999999999"/>
    <n v="84.98"/>
    <n v="84.991"/>
    <n v="64.352000000000004"/>
    <n v="64.576999999999998"/>
    <n v="35.648000000000003"/>
    <n v="35.423000000000002"/>
    <n v="16.565999999999999"/>
    <n v="13.343999999999999"/>
    <n v="35.423000000000002"/>
    <n v="35.648000000000003"/>
    <n v="11.032"/>
    <n v="10"/>
    <n v="10"/>
    <n v="10"/>
    <n v="10"/>
  </r>
  <r>
    <n v="921"/>
    <m/>
    <m/>
    <m/>
    <m/>
    <s v="NA"/>
    <s v="NA"/>
    <x v="271"/>
    <s v="M"/>
    <m/>
    <m/>
    <s v="NA"/>
    <s v="NA"/>
    <s v="NA"/>
    <s v="NA"/>
    <s v="NA"/>
    <s v="NA"/>
    <s v="NA"/>
    <s v="NA"/>
    <s v="NA"/>
    <s v="NA"/>
    <s v="NA"/>
    <s v="NA"/>
    <s v="NA"/>
    <s v="NA"/>
    <s v="NA"/>
    <s v="NA"/>
    <s v="NA"/>
    <s v="NA"/>
    <s v="NA"/>
    <s v="NA"/>
    <s v="NA"/>
  </r>
  <r>
    <n v="922"/>
    <m/>
    <m/>
    <m/>
    <m/>
    <s v="NA"/>
    <s v="NA"/>
    <x v="35"/>
    <s v="M"/>
    <m/>
    <m/>
    <n v="30.427"/>
    <n v="29.791"/>
    <n v="60.460999999999999"/>
    <n v="60.015000000000001"/>
    <n v="36.340000000000003"/>
    <n v="36.792999999999999"/>
    <n v="72.677999999999997"/>
    <n v="73.39"/>
    <n v="72.853999999999999"/>
    <n v="72.853999999999999"/>
    <n v="27.146000000000001"/>
    <n v="27.146000000000001"/>
    <n v="24.640999999999998"/>
    <n v="21.245000000000001"/>
    <n v="27.146000000000001"/>
    <n v="27.146000000000001"/>
    <n v="31.262"/>
    <n v="16"/>
    <n v="18"/>
    <n v="16"/>
    <n v="16"/>
  </r>
  <r>
    <n v="923"/>
    <m/>
    <m/>
    <m/>
    <m/>
    <s v="NA"/>
    <s v="NA"/>
    <x v="83"/>
    <s v="F"/>
    <m/>
    <m/>
    <n v="38.735999999999997"/>
    <n v="38.351999999999997"/>
    <n v="76.540000000000006"/>
    <n v="77.397999999999996"/>
    <n v="75.838999999999999"/>
    <n v="75.611000000000004"/>
    <n v="118.98099999999999"/>
    <n v="118.124"/>
    <n v="63.070999999999998"/>
    <n v="62.597000000000001"/>
    <n v="36.929000000000002"/>
    <n v="37.402999999999999"/>
    <n v="12.369"/>
    <n v="13.063000000000001"/>
    <n v="37.402999999999999"/>
    <n v="36.929000000000002"/>
    <n v="5.9420000000000002"/>
    <n v="13"/>
    <n v="13"/>
    <n v="13"/>
    <n v="13"/>
  </r>
  <r>
    <n v="924"/>
    <m/>
    <m/>
    <m/>
    <m/>
    <s v="NA"/>
    <s v="NA"/>
    <x v="334"/>
    <s v="NA"/>
    <m/>
    <m/>
    <n v="57.128"/>
    <n v="53.988"/>
    <n v="111.815"/>
    <n v="110.861"/>
    <n v="93.611999999999995"/>
    <n v="93.846000000000004"/>
    <n v="100.245"/>
    <n v="100.291"/>
    <n v="63.03"/>
    <n v="62.470999999999997"/>
    <n v="36.97"/>
    <n v="37.529000000000003"/>
    <n v="13.231999999999999"/>
    <n v="13.037000000000001"/>
    <n v="37.529000000000003"/>
    <n v="36.97"/>
    <n v="9.1620000000000008"/>
    <n v="10"/>
    <n v="8"/>
    <n v="8"/>
    <n v="8"/>
  </r>
  <r>
    <n v="925"/>
    <m/>
    <m/>
    <m/>
    <m/>
    <s v="NA"/>
    <s v="NA"/>
    <x v="138"/>
    <s v="M"/>
    <m/>
    <m/>
    <n v="41.152000000000001"/>
    <n v="45.125"/>
    <n v="85.134"/>
    <n v="85.706999999999994"/>
    <n v="71.903999999999996"/>
    <n v="73.403999999999996"/>
    <n v="100.986"/>
    <n v="101.557"/>
    <n v="68.206999999999994"/>
    <n v="64.183000000000007"/>
    <n v="31.792999999999999"/>
    <n v="35.817"/>
    <n v="17.702999999999999"/>
    <n v="15.458"/>
    <n v="35.817"/>
    <n v="31.792999999999999"/>
    <n v="10.65"/>
    <n v="12"/>
    <n v="11"/>
    <n v="11"/>
    <n v="11"/>
  </r>
  <r>
    <n v="926"/>
    <m/>
    <m/>
    <m/>
    <m/>
    <s v="NA"/>
    <s v="NA"/>
    <x v="60"/>
    <s v="F"/>
    <m/>
    <m/>
    <n v="32.604999999999997"/>
    <n v="25.486000000000001"/>
    <n v="58.137999999999998"/>
    <n v="57.524999999999999"/>
    <n v="51.64"/>
    <n v="51.015999999999998"/>
    <n v="105.2"/>
    <n v="105.029"/>
    <n v="65.897000000000006"/>
    <n v="67.102000000000004"/>
    <n v="34.103000000000002"/>
    <n v="32.898000000000003"/>
    <n v="17.611999999999998"/>
    <n v="15.582000000000001"/>
    <n v="32.898000000000003"/>
    <n v="34.103000000000002"/>
    <n v="12.576000000000001"/>
    <n v="15"/>
    <n v="13"/>
    <n v="13"/>
    <n v="13"/>
  </r>
  <r>
    <n v="927"/>
    <m/>
    <m/>
    <m/>
    <m/>
    <s v="NA"/>
    <s v="NA"/>
    <x v="35"/>
    <s v="F"/>
    <m/>
    <m/>
    <s v="NA"/>
    <s v="NA"/>
    <s v="NA"/>
    <s v="NA"/>
    <s v="NA"/>
    <s v="NA"/>
    <s v="NA"/>
    <s v="NA"/>
    <s v="NA"/>
    <s v="NA"/>
    <s v="NA"/>
    <s v="NA"/>
    <s v="NA"/>
    <s v="NA"/>
    <s v="NA"/>
    <s v="NA"/>
    <s v="NA"/>
    <s v="NA"/>
    <s v="NA"/>
    <s v="NA"/>
    <s v="NA"/>
  </r>
  <r>
    <n v="928"/>
    <m/>
    <m/>
    <m/>
    <m/>
    <s v="NA"/>
    <s v="NA"/>
    <x v="173"/>
    <s v="M"/>
    <m/>
    <m/>
    <s v="NA"/>
    <s v="NA"/>
    <s v="NA"/>
    <s v="NA"/>
    <s v="NA"/>
    <s v="NA"/>
    <s v="NA"/>
    <s v="NA"/>
    <s v="NA"/>
    <s v="NA"/>
    <s v="NA"/>
    <s v="NA"/>
    <s v="NA"/>
    <s v="NA"/>
    <s v="NA"/>
    <s v="NA"/>
    <s v="NA"/>
    <s v="NA"/>
    <s v="NA"/>
    <s v="NA"/>
    <s v="NA"/>
  </r>
  <r>
    <n v="929"/>
    <m/>
    <m/>
    <m/>
    <m/>
    <s v="NA"/>
    <s v="NA"/>
    <x v="137"/>
    <s v="M"/>
    <m/>
    <m/>
    <n v="50.695"/>
    <n v="56.253999999999998"/>
    <n v="106.825"/>
    <n v="107.52200000000001"/>
    <n v="70.709999999999994"/>
    <n v="71.025999999999996"/>
    <n v="78.805999999999997"/>
    <n v="79.158000000000001"/>
    <n v="68.222999999999999"/>
    <n v="64.185000000000002"/>
    <n v="31.777000000000001"/>
    <n v="35.814999999999998"/>
    <n v="16.829999999999998"/>
    <n v="15.284000000000001"/>
    <n v="35.814999999999998"/>
    <n v="31.777000000000001"/>
    <n v="11.114000000000001"/>
    <n v="9"/>
    <n v="10"/>
    <n v="9"/>
    <n v="9"/>
  </r>
  <r>
    <n v="930"/>
    <m/>
    <m/>
    <m/>
    <m/>
    <s v="NA"/>
    <s v="NA"/>
    <x v="133"/>
    <s v="M"/>
    <m/>
    <m/>
    <s v="NA"/>
    <s v="NA"/>
    <s v="NA"/>
    <s v="NA"/>
    <s v="NA"/>
    <s v="NA"/>
    <s v="NA"/>
    <s v="NA"/>
    <s v="NA"/>
    <s v="NA"/>
    <s v="NA"/>
    <s v="NA"/>
    <s v="NA"/>
    <s v="NA"/>
    <s v="NA"/>
    <s v="NA"/>
    <s v="NA"/>
    <s v="NA"/>
    <s v="NA"/>
    <s v="NA"/>
    <s v="NA"/>
  </r>
  <r>
    <n v="931"/>
    <m/>
    <m/>
    <m/>
    <m/>
    <s v="NA"/>
    <s v="NA"/>
    <x v="77"/>
    <s v="M"/>
    <m/>
    <m/>
    <n v="40.704000000000001"/>
    <n v="37.127000000000002"/>
    <n v="78.674999999999997"/>
    <n v="76.239999999999995"/>
    <n v="50.661999999999999"/>
    <n v="49.545000000000002"/>
    <n v="76.771000000000001"/>
    <n v="76.849999999999994"/>
    <n v="68.876000000000005"/>
    <n v="69.518000000000001"/>
    <n v="31.123999999999999"/>
    <n v="30.481999999999999"/>
    <n v="18.544"/>
    <n v="20.274000000000001"/>
    <n v="30.481999999999999"/>
    <n v="31.123999999999999"/>
    <n v="15.496"/>
    <n v="13"/>
    <n v="11"/>
    <n v="11"/>
    <n v="11"/>
  </r>
  <r>
    <n v="932"/>
    <m/>
    <m/>
    <m/>
    <m/>
    <s v="NA"/>
    <s v="NA"/>
    <x v="107"/>
    <s v="M"/>
    <m/>
    <m/>
    <n v="37.981999999999999"/>
    <n v="33.6"/>
    <n v="71.879000000000005"/>
    <n v="70.930999999999997"/>
    <n v="43.953000000000003"/>
    <n v="44.603000000000002"/>
    <n v="73.715999999999994"/>
    <n v="74.78"/>
    <n v="69.617000000000004"/>
    <n v="70.067999999999998"/>
    <n v="30.382999999999999"/>
    <n v="29.931999999999999"/>
    <n v="19.12"/>
    <n v="20.704999999999998"/>
    <n v="29.931999999999999"/>
    <n v="30.382999999999999"/>
    <n v="16.010000000000002"/>
    <n v="13"/>
    <n v="13"/>
    <n v="13"/>
    <n v="13"/>
  </r>
  <r>
    <n v="933"/>
    <m/>
    <m/>
    <m/>
    <m/>
    <s v="NA"/>
    <s v="NA"/>
    <x v="6"/>
    <s v="M"/>
    <m/>
    <m/>
    <n v="28.274000000000001"/>
    <n v="27.39"/>
    <n v="55.354999999999997"/>
    <n v="55.503"/>
    <n v="69.108999999999995"/>
    <n v="69.236000000000004"/>
    <n v="149.74100000000001"/>
    <n v="149.86600000000001"/>
    <n v="65.876000000000005"/>
    <n v="52.5"/>
    <n v="34.124000000000002"/>
    <n v="47.5"/>
    <n v="3.6960000000000002"/>
    <n v="14.135999999999999"/>
    <n v="47.5"/>
    <n v="34.124000000000002"/>
    <n v="19.582000000000001"/>
    <n v="16"/>
    <n v="16"/>
    <n v="16"/>
    <n v="16"/>
  </r>
  <r>
    <n v="934"/>
    <m/>
    <m/>
    <m/>
    <m/>
    <s v="NA"/>
    <s v="NA"/>
    <x v="31"/>
    <s v="M"/>
    <m/>
    <m/>
    <s v="NA"/>
    <s v="NA"/>
    <s v="NA"/>
    <s v="NA"/>
    <s v="NA"/>
    <s v="NA"/>
    <s v="NA"/>
    <s v="NA"/>
    <s v="NA"/>
    <s v="NA"/>
    <s v="NA"/>
    <s v="NA"/>
    <s v="NA"/>
    <s v="NA"/>
    <s v="NA"/>
    <s v="NA"/>
    <s v="NA"/>
    <s v="NA"/>
    <s v="NA"/>
    <s v="NA"/>
    <s v="NA"/>
  </r>
  <r>
    <n v="935"/>
    <m/>
    <m/>
    <m/>
    <m/>
    <s v="NA"/>
    <s v="NA"/>
    <x v="35"/>
    <s v="NA"/>
    <m/>
    <m/>
    <s v="NA"/>
    <s v="NA"/>
    <s v="NA"/>
    <s v="NA"/>
    <s v="NA"/>
    <s v="NA"/>
    <s v="NA"/>
    <s v="NA"/>
    <s v="NA"/>
    <s v="NA"/>
    <s v="NA"/>
    <s v="NA"/>
    <s v="NA"/>
    <s v="NA"/>
    <s v="NA"/>
    <s v="NA"/>
    <s v="NA"/>
    <s v="NA"/>
    <s v="NA"/>
    <s v="NA"/>
    <s v="NA"/>
  </r>
  <r>
    <n v="936"/>
    <m/>
    <m/>
    <m/>
    <m/>
    <s v="NA"/>
    <s v="NA"/>
    <x v="234"/>
    <s v="F"/>
    <m/>
    <m/>
    <n v="32.603000000000002"/>
    <n v="36.030999999999999"/>
    <n v="68.995999999999995"/>
    <n v="68.519000000000005"/>
    <n v="51.628"/>
    <n v="51.588000000000001"/>
    <n v="90.441999999999993"/>
    <n v="90.671000000000006"/>
    <n v="70.853999999999999"/>
    <n v="68.164000000000001"/>
    <n v="29.146000000000001"/>
    <n v="31.835999999999999"/>
    <n v="19.510999999999999"/>
    <n v="20.026"/>
    <n v="31.835999999999999"/>
    <n v="29.146000000000001"/>
    <n v="15.794"/>
    <n v="15"/>
    <n v="16"/>
    <n v="15"/>
    <n v="15"/>
  </r>
  <r>
    <n v="937"/>
    <m/>
    <m/>
    <m/>
    <m/>
    <s v="NA"/>
    <s v="NA"/>
    <x v="333"/>
    <s v="M"/>
    <m/>
    <m/>
    <n v="39.237000000000002"/>
    <n v="40.701000000000001"/>
    <n v="79.724999999999994"/>
    <n v="79.88"/>
    <n v="74.522999999999996"/>
    <n v="74.873999999999995"/>
    <n v="112.85"/>
    <n v="112.279"/>
    <n v="67.974999999999994"/>
    <n v="68.174000000000007"/>
    <n v="32.024999999999999"/>
    <n v="31.826000000000001"/>
    <n v="18.614000000000001"/>
    <n v="18.172000000000001"/>
    <n v="31.826000000000001"/>
    <n v="32.024999999999999"/>
    <n v="14.27"/>
    <n v="12"/>
    <n v="13"/>
    <n v="12"/>
    <n v="12"/>
  </r>
  <r>
    <n v="938"/>
    <m/>
    <m/>
    <m/>
    <m/>
    <s v="NA"/>
    <s v="NA"/>
    <x v="92"/>
    <s v="M"/>
    <m/>
    <m/>
    <n v="27.966999999999999"/>
    <n v="30.187999999999999"/>
    <n v="58.439"/>
    <n v="57.106999999999999"/>
    <n v="55.43"/>
    <n v="55.066000000000003"/>
    <n v="114.30800000000001"/>
    <n v="115.723"/>
    <n v="68.938999999999993"/>
    <n v="64.852000000000004"/>
    <n v="31.061"/>
    <n v="35.148000000000003"/>
    <n v="19.100000000000001"/>
    <n v="14.417"/>
    <n v="35.148000000000003"/>
    <n v="31.061"/>
    <n v="18.577999999999999"/>
    <n v="17"/>
    <n v="17"/>
    <n v="17"/>
    <n v="17"/>
  </r>
  <r>
    <n v="939"/>
    <m/>
    <m/>
    <m/>
    <m/>
    <s v="NA"/>
    <s v="NA"/>
    <x v="176"/>
    <s v="M"/>
    <m/>
    <m/>
    <n v="47.152999999999999"/>
    <n v="44.322000000000003"/>
    <n v="91.991"/>
    <n v="91.799000000000007"/>
    <n v="68.064999999999998"/>
    <n v="68.191999999999993"/>
    <n v="87.968000000000004"/>
    <n v="88.498000000000005"/>
    <n v="67.218999999999994"/>
    <n v="66.058000000000007"/>
    <n v="32.780999999999999"/>
    <n v="33.942"/>
    <n v="18.93"/>
    <n v="14.744"/>
    <n v="33.942"/>
    <n v="32.780999999999999"/>
    <n v="11.206"/>
    <n v="10"/>
    <n v="10"/>
    <n v="10"/>
    <n v="10"/>
  </r>
  <r>
    <n v="940"/>
    <m/>
    <m/>
    <m/>
    <m/>
    <s v="NA"/>
    <s v="NA"/>
    <x v="7"/>
    <s v="F"/>
    <m/>
    <m/>
    <n v="28.663"/>
    <n v="32.299999999999997"/>
    <n v="60.587000000000003"/>
    <n v="61.436999999999998"/>
    <n v="50.906999999999996"/>
    <n v="51.189"/>
    <n v="100.88200000000001"/>
    <n v="100.39"/>
    <n v="66.745000000000005"/>
    <n v="65.548000000000002"/>
    <n v="33.255000000000003"/>
    <n v="34.451999999999998"/>
    <n v="17.103000000000002"/>
    <n v="15.433999999999999"/>
    <n v="34.451999999999998"/>
    <n v="33.255000000000003"/>
    <n v="13.586"/>
    <n v="17"/>
    <n v="16"/>
    <n v="16"/>
    <n v="16"/>
  </r>
  <r>
    <n v="941"/>
    <m/>
    <m/>
    <m/>
    <m/>
    <s v="NA"/>
    <s v="NA"/>
    <x v="269"/>
    <s v="F"/>
    <m/>
    <m/>
    <n v="41.048999999999999"/>
    <n v="40.451999999999998"/>
    <n v="81.489999999999995"/>
    <n v="81.665000000000006"/>
    <n v="59.951000000000001"/>
    <n v="60.298999999999999"/>
    <n v="87.921999999999997"/>
    <n v="88.533000000000001"/>
    <n v="68.543999999999997"/>
    <n v="67.239999999999995"/>
    <n v="31.456"/>
    <n v="32.76"/>
    <n v="16.332999999999998"/>
    <n v="19.155999999999999"/>
    <n v="32.76"/>
    <n v="31.456"/>
    <n v="9.016"/>
    <n v="11"/>
    <n v="10"/>
    <n v="10"/>
    <n v="10"/>
  </r>
  <r>
    <n v="1001"/>
    <m/>
    <m/>
    <m/>
    <m/>
    <s v="NA"/>
    <s v="NA"/>
    <x v="165"/>
    <s v="M"/>
    <m/>
    <m/>
    <n v="34.238"/>
    <n v="39.899000000000001"/>
    <n v="73.799000000000007"/>
    <n v="75.182000000000002"/>
    <n v="60.322000000000003"/>
    <n v="61.609000000000002"/>
    <n v="99.051000000000002"/>
    <n v="98.980999999999995"/>
    <n v="62.710999999999999"/>
    <n v="62.722000000000001"/>
    <n v="37.289000000000001"/>
    <n v="37.277999999999999"/>
    <n v="13.618"/>
    <n v="12.672000000000001"/>
    <n v="37.277999999999999"/>
    <n v="37.289000000000001"/>
    <n v="15.885999999999999"/>
    <n v="15"/>
    <n v="14"/>
    <n v="14"/>
    <n v="14"/>
  </r>
  <r>
    <n v="1002"/>
    <m/>
    <m/>
    <m/>
    <m/>
    <s v="NA"/>
    <s v="NA"/>
    <x v="35"/>
    <s v="NA"/>
    <m/>
    <m/>
    <n v="18.48"/>
    <n v="11.406000000000001"/>
    <n v="29.869"/>
    <n v="30.035"/>
    <n v="18.55"/>
    <n v="18.451000000000001"/>
    <n v="74.551000000000002"/>
    <n v="73.239000000000004"/>
    <n v="72.096000000000004"/>
    <n v="79.914000000000001"/>
    <n v="27.904"/>
    <n v="20.085999999999999"/>
    <n v="30.507000000000001"/>
    <n v="21.670999999999999"/>
    <n v="20.085999999999999"/>
    <n v="27.904"/>
    <n v="11.545"/>
    <n v="16"/>
    <n v="16"/>
    <n v="16"/>
    <n v="16"/>
  </r>
  <r>
    <n v="1003"/>
    <m/>
    <m/>
    <m/>
    <m/>
    <s v="NA"/>
    <s v="NA"/>
    <x v="35"/>
    <s v="M"/>
    <m/>
    <m/>
    <n v="53.045000000000002"/>
    <n v="52.527999999999999"/>
    <n v="106.502"/>
    <n v="104.967"/>
    <n v="94.081000000000003"/>
    <n v="92.647000000000006"/>
    <n v="105.96899999999999"/>
    <n v="105.79"/>
    <n v="63.924999999999997"/>
    <n v="63.29"/>
    <n v="36.075000000000003"/>
    <n v="36.71"/>
    <n v="14.771000000000001"/>
    <n v="12.691000000000001"/>
    <n v="36.71"/>
    <n v="36.075000000000003"/>
    <n v="12.614000000000001"/>
    <n v="12"/>
    <n v="13"/>
    <n v="12"/>
    <n v="12"/>
  </r>
  <r>
    <n v="1004"/>
    <m/>
    <m/>
    <m/>
    <m/>
    <s v="NA"/>
    <s v="NA"/>
    <x v="35"/>
    <s v="NA"/>
    <m/>
    <m/>
    <n v="53.07"/>
    <n v="55.802"/>
    <n v="108.81699999999999"/>
    <n v="109.438"/>
    <n v="101.431"/>
    <n v="102.05500000000001"/>
    <n v="111.83499999999999"/>
    <n v="111.395"/>
    <n v="63.896999999999998"/>
    <n v="63.046999999999997"/>
    <n v="36.103000000000002"/>
    <n v="36.953000000000003"/>
    <n v="14.468"/>
    <n v="12.964"/>
    <n v="36.953000000000003"/>
    <n v="36.103000000000002"/>
    <n v="9.43"/>
    <n v="9"/>
    <n v="9"/>
    <n v="9"/>
    <n v="9"/>
  </r>
  <r>
    <n v="1005"/>
    <m/>
    <m/>
    <m/>
    <m/>
    <s v="NA"/>
    <s v="NA"/>
    <x v="35"/>
    <s v="M"/>
    <m/>
    <m/>
    <n v="33.999000000000002"/>
    <n v="40.234000000000002"/>
    <n v="74.206999999999994"/>
    <n v="74.366"/>
    <n v="78.295000000000002"/>
    <n v="78.781999999999996"/>
    <n v="126.38800000000001"/>
    <n v="126.083"/>
    <n v="64.537000000000006"/>
    <n v="63.387999999999998"/>
    <n v="35.463000000000001"/>
    <n v="36.612000000000002"/>
    <n v="14.122999999999999"/>
    <n v="14.111000000000001"/>
    <n v="36.612000000000002"/>
    <n v="35.463000000000001"/>
    <n v="11.08"/>
    <n v="17"/>
    <n v="16"/>
    <n v="16"/>
    <n v="16"/>
  </r>
  <r>
    <n v="1006"/>
    <m/>
    <m/>
    <m/>
    <m/>
    <s v="NA"/>
    <s v="NA"/>
    <x v="35"/>
    <s v="NA"/>
    <m/>
    <m/>
    <n v="39.866999999999997"/>
    <n v="41.046999999999997"/>
    <n v="80.265000000000001"/>
    <n v="81.183000000000007"/>
    <n v="83.576999999999998"/>
    <n v="84.293999999999997"/>
    <n v="123.77500000000001"/>
    <n v="123.709"/>
    <n v="65.822000000000003"/>
    <n v="64.897000000000006"/>
    <n v="34.177999999999997"/>
    <n v="35.103000000000002"/>
    <n v="16.317"/>
    <n v="14.33"/>
    <n v="35.103000000000002"/>
    <n v="34.177999999999997"/>
    <n v="11.602"/>
    <n v="22"/>
    <n v="20"/>
    <n v="20"/>
    <n v="20"/>
  </r>
  <r>
    <n v="1007"/>
    <m/>
    <m/>
    <m/>
    <m/>
    <s v="NA"/>
    <s v="NA"/>
    <x v="35"/>
    <s v="NA"/>
    <m/>
    <m/>
    <n v="48.097999999999999"/>
    <n v="44.033000000000001"/>
    <n v="91.180999999999997"/>
    <n v="93.227999999999994"/>
    <n v="75.62"/>
    <n v="76.986000000000004"/>
    <n v="98.998000000000005"/>
    <n v="98.988"/>
    <n v="63.661000000000001"/>
    <n v="65.548000000000002"/>
    <n v="36.338999999999999"/>
    <n v="34.451999999999998"/>
    <n v="14.545999999999999"/>
    <n v="15.634"/>
    <n v="34.451999999999998"/>
    <n v="36.338999999999999"/>
    <n v="10.255000000000001"/>
    <n v="13"/>
    <n v="12"/>
    <n v="12"/>
    <n v="12"/>
  </r>
  <r>
    <n v="1008"/>
    <m/>
    <m/>
    <m/>
    <m/>
    <s v="NA"/>
    <s v="NA"/>
    <x v="77"/>
    <s v="M"/>
    <m/>
    <m/>
    <n v="50.204999999999998"/>
    <n v="53.063000000000002"/>
    <n v="102.788"/>
    <n v="103.279"/>
    <n v="80.959000000000003"/>
    <n v="81.478999999999999"/>
    <n v="93.971999999999994"/>
    <n v="94.433000000000007"/>
    <n v="65.546000000000006"/>
    <n v="61.728999999999999"/>
    <n v="34.454000000000001"/>
    <n v="38.271000000000001"/>
    <n v="15.175000000000001"/>
    <n v="12.51"/>
    <n v="38.271000000000001"/>
    <n v="34.454000000000001"/>
    <n v="12.045"/>
    <n v="10"/>
    <n v="10"/>
    <n v="10"/>
    <n v="10"/>
  </r>
  <r>
    <n v="1009"/>
    <m/>
    <m/>
    <m/>
    <m/>
    <s v="NA"/>
    <s v="NA"/>
    <x v="35"/>
    <s v="M"/>
    <m/>
    <m/>
    <n v="44.465000000000003"/>
    <n v="47.933"/>
    <n v="92.111000000000004"/>
    <n v="92.427000000000007"/>
    <n v="87.168000000000006"/>
    <n v="87.152000000000001"/>
    <n v="113.29"/>
    <n v="113.04"/>
    <n v="63.862000000000002"/>
    <n v="61.816000000000003"/>
    <n v="36.137999999999998"/>
    <n v="38.183999999999997"/>
    <n v="12.867000000000001"/>
    <n v="13.124000000000001"/>
    <n v="38.183999999999997"/>
    <n v="36.137999999999998"/>
    <n v="11.218"/>
    <n v="16"/>
    <n v="15"/>
    <n v="15"/>
    <n v="15"/>
  </r>
  <r>
    <n v="1010"/>
    <m/>
    <m/>
    <m/>
    <m/>
    <s v="NA"/>
    <s v="NA"/>
    <x v="35"/>
    <s v="NA"/>
    <m/>
    <m/>
    <n v="40.32"/>
    <n v="41.530999999999999"/>
    <n v="81.721000000000004"/>
    <n v="81.840999999999994"/>
    <n v="95.915000000000006"/>
    <n v="96.525000000000006"/>
    <n v="141.761"/>
    <n v="141.23699999999999"/>
    <n v="61.066000000000003"/>
    <n v="61.201999999999998"/>
    <n v="38.933999999999997"/>
    <n v="38.798000000000002"/>
    <n v="12.116"/>
    <n v="10.504"/>
    <n v="38.798000000000002"/>
    <n v="38.933999999999997"/>
    <n v="7.9749999999999996"/>
    <n v="16"/>
    <n v="14"/>
    <n v="14"/>
    <n v="14"/>
  </r>
  <r>
    <n v="1011"/>
    <m/>
    <m/>
    <m/>
    <m/>
    <s v="NA"/>
    <s v="NA"/>
    <x v="35"/>
    <s v="NA"/>
    <m/>
    <m/>
    <n v="30.475999999999999"/>
    <n v="33.753999999999998"/>
    <n v="64.775000000000006"/>
    <n v="64.111999999999995"/>
    <n v="65.421000000000006"/>
    <n v="65.111999999999995"/>
    <n v="120.85599999999999"/>
    <n v="120.992"/>
    <n v="65.506"/>
    <n v="66.656999999999996"/>
    <n v="34.494"/>
    <n v="33.343000000000004"/>
    <n v="14.487"/>
    <n v="17.331"/>
    <n v="33.343000000000004"/>
    <n v="34.494"/>
    <n v="24.44"/>
    <n v="10"/>
    <n v="10"/>
    <n v="10"/>
    <n v="10"/>
  </r>
  <r>
    <n v="1012"/>
    <m/>
    <m/>
    <m/>
    <m/>
    <s v="NA"/>
    <s v="NA"/>
    <x v="35"/>
    <s v="NA"/>
    <m/>
    <m/>
    <n v="36.615000000000002"/>
    <n v="27.248999999999999"/>
    <n v="64.316999999999993"/>
    <n v="64.025000000000006"/>
    <n v="73.677999999999997"/>
    <n v="73.662000000000006"/>
    <n v="139.404"/>
    <n v="138.024"/>
    <n v="62.578000000000003"/>
    <n v="64.024000000000001"/>
    <n v="37.421999999999997"/>
    <n v="35.975999999999999"/>
    <n v="15.906000000000001"/>
    <n v="10.717000000000001"/>
    <n v="35.975999999999999"/>
    <n v="37.421999999999997"/>
    <n v="22.036999999999999"/>
    <n v="18"/>
    <n v="17"/>
    <n v="17"/>
    <n v="17"/>
  </r>
  <r>
    <n v="1013"/>
    <m/>
    <m/>
    <m/>
    <m/>
    <s v="NA"/>
    <s v="NA"/>
    <x v="35"/>
    <s v="M"/>
    <m/>
    <m/>
    <n v="43.862000000000002"/>
    <n v="42.747999999999998"/>
    <n v="86.626999999999995"/>
    <n v="86.105000000000004"/>
    <n v="88.352000000000004"/>
    <n v="88.555999999999997"/>
    <n v="122.449"/>
    <n v="123.092"/>
    <n v="64.828999999999994"/>
    <n v="62.552999999999997"/>
    <n v="35.170999999999999"/>
    <n v="37.447000000000003"/>
    <n v="12.051"/>
    <n v="15.757999999999999"/>
    <n v="37.447000000000003"/>
    <n v="35.170999999999999"/>
    <n v="17.547999999999998"/>
    <n v="17"/>
    <n v="18"/>
    <n v="17"/>
    <n v="17"/>
  </r>
  <r>
    <n v="1014"/>
    <m/>
    <m/>
    <m/>
    <m/>
    <s v="NA"/>
    <s v="NA"/>
    <x v="12"/>
    <s v="NA"/>
    <m/>
    <m/>
    <s v="NA"/>
    <s v="NA"/>
    <s v="NA"/>
    <s v="NA"/>
    <s v="NA"/>
    <s v="NA"/>
    <s v="NA"/>
    <s v="NA"/>
    <s v="NA"/>
    <s v="NA"/>
    <s v="NA"/>
    <s v="NA"/>
    <s v="NA"/>
    <s v="NA"/>
    <s v="NA"/>
    <s v="NA"/>
    <s v="NA"/>
    <s v="NA"/>
    <s v="NA"/>
    <s v="NA"/>
    <s v="NA"/>
  </r>
  <r>
    <n v="1015"/>
    <m/>
    <m/>
    <m/>
    <m/>
    <s v="NA"/>
    <s v="NA"/>
    <x v="35"/>
    <s v="NA"/>
    <m/>
    <m/>
    <n v="49.069000000000003"/>
    <n v="50.335999999999999"/>
    <n v="99.013000000000005"/>
    <n v="100.005"/>
    <n v="114.369"/>
    <n v="115.399"/>
    <n v="140.61099999999999"/>
    <n v="142.19200000000001"/>
    <n v="60.363"/>
    <n v="61.267000000000003"/>
    <n v="39.637"/>
    <n v="38.732999999999997"/>
    <n v="12.019"/>
    <n v="9.7569999999999997"/>
    <n v="38.732999999999997"/>
    <n v="39.637"/>
    <n v="13.936"/>
    <n v="17"/>
    <n v="16"/>
    <n v="16"/>
    <n v="16"/>
  </r>
  <r>
    <n v="1016"/>
    <m/>
    <m/>
    <m/>
    <m/>
    <s v="NA"/>
    <s v="NA"/>
    <x v="35"/>
    <s v="NA"/>
    <m/>
    <m/>
    <n v="26.585999999999999"/>
    <n v="40.590000000000003"/>
    <n v="66.945999999999998"/>
    <n v="66.554000000000002"/>
    <n v="54.765000000000001"/>
    <n v="54.965000000000003"/>
    <n v="100.392"/>
    <n v="100.02800000000001"/>
    <n v="67.966999999999999"/>
    <n v="66.149000000000001"/>
    <n v="32.033000000000001"/>
    <n v="33.850999999999999"/>
    <n v="17.77"/>
    <n v="16.521000000000001"/>
    <n v="33.850999999999999"/>
    <n v="32.033000000000001"/>
    <n v="11.875"/>
    <n v="19"/>
    <n v="16"/>
    <n v="16"/>
    <n v="16"/>
  </r>
  <r>
    <n v="1017"/>
    <m/>
    <m/>
    <m/>
    <m/>
    <s v="NA"/>
    <s v="NA"/>
    <x v="35"/>
    <s v="M"/>
    <m/>
    <m/>
    <n v="50.195"/>
    <n v="46.162999999999997"/>
    <n v="96.707999999999998"/>
    <n v="97.090999999999994"/>
    <n v="121.758"/>
    <n v="121.67"/>
    <n v="151.79900000000001"/>
    <n v="151.03800000000001"/>
    <n v="60.542000000000002"/>
    <n v="60.234999999999999"/>
    <n v="39.457999999999998"/>
    <n v="39.765000000000001"/>
    <n v="9.8119999999999994"/>
    <n v="11.186"/>
    <n v="39.765000000000001"/>
    <n v="39.457999999999998"/>
    <n v="9.9740000000000002"/>
    <n v="15"/>
    <n v="15"/>
    <n v="15"/>
    <n v="15"/>
  </r>
  <r>
    <n v="1018"/>
    <m/>
    <m/>
    <m/>
    <m/>
    <s v="NA"/>
    <s v="NA"/>
    <x v="35"/>
    <s v="NA"/>
    <m/>
    <m/>
    <n v="49.423999999999999"/>
    <n v="50.253999999999998"/>
    <n v="99.908000000000001"/>
    <n v="99.533000000000001"/>
    <n v="93.685000000000002"/>
    <n v="93.423000000000002"/>
    <n v="112.654"/>
    <n v="112.869"/>
    <n v="63.4"/>
    <n v="61.497999999999998"/>
    <n v="36.6"/>
    <n v="38.502000000000002"/>
    <n v="13.683999999999999"/>
    <n v="11.058"/>
    <n v="38.502000000000002"/>
    <n v="36.6"/>
    <n v="12.342000000000001"/>
    <n v="14"/>
    <n v="11"/>
    <n v="11"/>
    <n v="11"/>
  </r>
  <r>
    <n v="1019"/>
    <m/>
    <m/>
    <m/>
    <m/>
    <s v="NA"/>
    <s v="NA"/>
    <x v="35"/>
    <s v="NA"/>
    <m/>
    <m/>
    <n v="49.082999999999998"/>
    <n v="50.926000000000002"/>
    <n v="100.14"/>
    <n v="100.10599999999999"/>
    <n v="84.71"/>
    <n v="84.918000000000006"/>
    <n v="101.86"/>
    <n v="101.76900000000001"/>
    <n v="64.054000000000002"/>
    <n v="64.201999999999998"/>
    <n v="35.945999999999998"/>
    <n v="35.798000000000002"/>
    <n v="15.907999999999999"/>
    <n v="13.012"/>
    <n v="35.798000000000002"/>
    <n v="35.945999999999998"/>
    <n v="10.212"/>
    <n v="14"/>
    <n v="10"/>
    <n v="10"/>
    <n v="10"/>
  </r>
  <r>
    <n v="1020"/>
    <m/>
    <m/>
    <m/>
    <m/>
    <s v="NA"/>
    <s v="NA"/>
    <x v="35"/>
    <s v="NA"/>
    <m/>
    <m/>
    <n v="41.104999999999997"/>
    <n v="36.593000000000004"/>
    <n v="78.644999999999996"/>
    <n v="78.040000000000006"/>
    <n v="32.631999999999998"/>
    <n v="32.249000000000002"/>
    <n v="49.55"/>
    <n v="49.048999999999999"/>
    <n v="75.218000000000004"/>
    <n v="77.484999999999999"/>
    <n v="24.782"/>
    <n v="22.513999999999999"/>
    <n v="27.228999999999999"/>
    <n v="26.052"/>
    <n v="22.513999999999999"/>
    <n v="24.782"/>
    <n v="9.3230000000000004"/>
    <n v="11"/>
    <n v="11"/>
    <n v="11"/>
    <n v="11"/>
  </r>
  <r>
    <n v="1021"/>
    <m/>
    <m/>
    <m/>
    <m/>
    <s v="NA"/>
    <s v="NA"/>
    <x v="35"/>
    <s v="NA"/>
    <m/>
    <m/>
    <n v="41.646000000000001"/>
    <n v="44.790999999999997"/>
    <n v="85.837999999999994"/>
    <n v="87.864999999999995"/>
    <n v="111.21899999999999"/>
    <n v="112.67100000000001"/>
    <n v="154.67500000000001"/>
    <n v="153.292"/>
    <n v="60.206000000000003"/>
    <n v="62.072000000000003"/>
    <n v="39.793999999999997"/>
    <n v="37.927999999999997"/>
    <n v="11.461"/>
    <n v="10.260999999999999"/>
    <n v="37.927999999999997"/>
    <n v="39.793999999999997"/>
    <n v="9.6379999999999999"/>
    <n v="16"/>
    <n v="15"/>
    <n v="15"/>
    <n v="15"/>
  </r>
  <r>
    <n v="1022"/>
    <m/>
    <m/>
    <m/>
    <m/>
    <s v="NA"/>
    <s v="NA"/>
    <x v="35"/>
    <s v="NA"/>
    <m/>
    <m/>
    <n v="37.502000000000002"/>
    <n v="37.088999999999999"/>
    <n v="74.081999999999994"/>
    <n v="74.799000000000007"/>
    <n v="93.022999999999996"/>
    <n v="93.213999999999999"/>
    <n v="150.88900000000001"/>
    <n v="150.36099999999999"/>
    <n v="64.933000000000007"/>
    <n v="63.226999999999997"/>
    <n v="35.067"/>
    <n v="36.773000000000003"/>
    <n v="13.919"/>
    <n v="14.326000000000001"/>
    <n v="36.773000000000003"/>
    <n v="35.067"/>
    <n v="20.498000000000001"/>
    <n v="19"/>
    <n v="22"/>
    <n v="19"/>
    <n v="19"/>
  </r>
  <r>
    <n v="1023"/>
    <m/>
    <m/>
    <m/>
    <m/>
    <s v="NA"/>
    <s v="NA"/>
    <x v="35"/>
    <s v="F"/>
    <m/>
    <m/>
    <n v="43.308999999999997"/>
    <n v="44.524999999999999"/>
    <n v="87.965999999999994"/>
    <n v="87.644999999999996"/>
    <n v="81.23"/>
    <n v="81.182000000000002"/>
    <n v="110.666"/>
    <n v="110.605"/>
    <n v="64.765000000000001"/>
    <n v="65.811000000000007"/>
    <n v="35.234999999999999"/>
    <n v="34.189"/>
    <n v="14.882"/>
    <n v="15.692"/>
    <n v="34.189"/>
    <n v="35.234999999999999"/>
    <n v="12.428000000000001"/>
    <n v="12"/>
    <n v="11"/>
    <n v="11"/>
    <n v="11"/>
  </r>
  <r>
    <n v="1024"/>
    <m/>
    <m/>
    <m/>
    <m/>
    <s v="NA"/>
    <s v="NA"/>
    <x v="35"/>
    <s v="NA"/>
    <m/>
    <m/>
    <n v="60.295999999999999"/>
    <n v="61.124000000000002"/>
    <n v="122.874"/>
    <n v="120.697"/>
    <n v="103.325"/>
    <n v="101.244"/>
    <n v="101.29900000000001"/>
    <n v="100.129"/>
    <n v="64.021000000000001"/>
    <n v="62.851999999999997"/>
    <n v="35.978999999999999"/>
    <n v="37.148000000000003"/>
    <n v="13.555999999999999"/>
    <n v="13.532"/>
    <n v="37.148000000000003"/>
    <n v="35.978999999999999"/>
    <n v="11.332000000000001"/>
    <n v="10"/>
    <n v="11"/>
    <n v="10"/>
    <n v="10"/>
  </r>
  <r>
    <n v="1025"/>
    <m/>
    <m/>
    <m/>
    <m/>
    <s v="NA"/>
    <s v="NA"/>
    <x v="35"/>
    <s v="NA"/>
    <m/>
    <m/>
    <n v="22.835999999999999"/>
    <n v="16.167000000000002"/>
    <n v="37.954000000000001"/>
    <n v="41.509"/>
    <n v="40.692999999999998"/>
    <n v="42.645000000000003"/>
    <n v="136.43100000000001"/>
    <n v="133.91200000000001"/>
    <n v="75.802000000000007"/>
    <n v="74.063000000000002"/>
    <n v="24.198"/>
    <n v="25.937000000000001"/>
    <n v="25.026"/>
    <n v="25.495000000000001"/>
    <n v="25.937000000000001"/>
    <n v="24.198"/>
    <n v="14.305"/>
    <n v="11"/>
    <n v="11"/>
    <n v="11"/>
    <n v="11"/>
  </r>
  <r>
    <n v="1026"/>
    <m/>
    <m/>
    <m/>
    <m/>
    <s v="NA"/>
    <s v="NA"/>
    <x v="35"/>
    <s v="NA"/>
    <m/>
    <m/>
    <n v="57.043999999999997"/>
    <n v="53.247"/>
    <n v="108.813"/>
    <n v="110.291"/>
    <n v="112.492"/>
    <n v="113.438"/>
    <n v="123.04"/>
    <n v="123.58799999999999"/>
    <n v="64.754999999999995"/>
    <n v="66.731999999999999"/>
    <n v="35.244"/>
    <n v="33.268000000000001"/>
    <n v="15.048"/>
    <n v="16.3"/>
    <n v="33.268000000000001"/>
    <n v="35.244"/>
    <n v="5.6879999999999997"/>
    <n v="10"/>
    <n v="15"/>
    <n v="10"/>
    <n v="10"/>
  </r>
  <r>
    <n v="1027"/>
    <m/>
    <m/>
    <m/>
    <m/>
    <s v="NA"/>
    <s v="NA"/>
    <x v="35"/>
    <s v="NA"/>
    <m/>
    <m/>
    <n v="28.73"/>
    <n v="30.265000000000001"/>
    <n v="59.279000000000003"/>
    <n v="59.194000000000003"/>
    <n v="49.091000000000001"/>
    <n v="49.188000000000002"/>
    <n v="99.658000000000001"/>
    <n v="99.320999999999998"/>
    <n v="68.594999999999999"/>
    <n v="71.108000000000004"/>
    <n v="31.405000000000001"/>
    <n v="28.891999999999999"/>
    <n v="22.248999999999999"/>
    <n v="17.561"/>
    <n v="28.891999999999999"/>
    <n v="31.405000000000001"/>
    <n v="14.72"/>
    <n v="18"/>
    <n v="18"/>
    <n v="18"/>
    <n v="18"/>
  </r>
  <r>
    <n v="1028"/>
    <m/>
    <m/>
    <m/>
    <m/>
    <s v="NA"/>
    <s v="NA"/>
    <x v="35"/>
    <s v="NA"/>
    <m/>
    <m/>
    <n v="62.628"/>
    <n v="64.474999999999994"/>
    <n v="126.511"/>
    <n v="127.63"/>
    <n v="121.014"/>
    <n v="121.602"/>
    <n v="114.102"/>
    <n v="114.538"/>
    <n v="65.159000000000006"/>
    <n v="64.106999999999999"/>
    <n v="34.841000000000001"/>
    <n v="35.893000000000001"/>
    <n v="14.938000000000001"/>
    <n v="14.494999999999999"/>
    <n v="35.893000000000001"/>
    <n v="34.841000000000001"/>
    <n v="12.066000000000001"/>
    <n v="10"/>
    <n v="8"/>
    <n v="8"/>
    <n v="8"/>
  </r>
  <r>
    <n v="1029"/>
    <m/>
    <m/>
    <m/>
    <m/>
    <s v="NA"/>
    <s v="NA"/>
    <x v="35"/>
    <s v="NA"/>
    <m/>
    <m/>
    <n v="58.639000000000003"/>
    <n v="66.781000000000006"/>
    <n v="125.56399999999999"/>
    <n v="126.012"/>
    <n v="115.92100000000001"/>
    <n v="116.97499999999999"/>
    <n v="111.479"/>
    <n v="111.17"/>
    <n v="60.064999999999998"/>
    <n v="63.505000000000003"/>
    <n v="39.935000000000002"/>
    <n v="36.494999999999997"/>
    <n v="10.763"/>
    <n v="13.115"/>
    <n v="36.494999999999997"/>
    <n v="39.935000000000002"/>
    <n v="11.222"/>
    <n v="11"/>
    <n v="10"/>
    <n v="10"/>
    <n v="10"/>
  </r>
  <r>
    <n v="1030"/>
    <m/>
    <m/>
    <m/>
    <m/>
    <s v="NA"/>
    <s v="NA"/>
    <x v="35"/>
    <s v="NA"/>
    <m/>
    <m/>
    <n v="48.255000000000003"/>
    <n v="50.38"/>
    <n v="100.367"/>
    <n v="98.295000000000002"/>
    <n v="91.218999999999994"/>
    <n v="90.906000000000006"/>
    <n v="108.913"/>
    <n v="109.41200000000001"/>
    <n v="64.200999999999993"/>
    <n v="63.465000000000003"/>
    <n v="35.798999999999999"/>
    <n v="36.534999999999997"/>
    <n v="14.49"/>
    <n v="13.439"/>
    <n v="36.534999999999997"/>
    <n v="35.798999999999999"/>
    <n v="12.477"/>
    <n v="9"/>
    <n v="11"/>
    <n v="9"/>
    <n v="9"/>
  </r>
  <r>
    <n v="1031"/>
    <m/>
    <m/>
    <m/>
    <m/>
    <s v="NA"/>
    <s v="NA"/>
    <x v="35"/>
    <s v="NA"/>
    <m/>
    <m/>
    <n v="56.828000000000003"/>
    <n v="59.253"/>
    <n v="116.035"/>
    <n v="115.125"/>
    <n v="92.355999999999995"/>
    <n v="90.744"/>
    <n v="95.185000000000002"/>
    <n v="94.668999999999997"/>
    <n v="64.245999999999995"/>
    <n v="61.399000000000001"/>
    <n v="35.753999999999998"/>
    <n v="38.600999999999999"/>
    <n v="12.428000000000001"/>
    <n v="13.349"/>
    <n v="38.600999999999999"/>
    <n v="35.753999999999998"/>
    <n v="11.932"/>
    <n v="15"/>
    <n v="14"/>
    <n v="14"/>
    <n v="14"/>
  </r>
  <r>
    <n v="1032"/>
    <m/>
    <m/>
    <m/>
    <m/>
    <s v="NA"/>
    <s v="NA"/>
    <x v="35"/>
    <s v="M"/>
    <m/>
    <m/>
    <n v="38.218000000000004"/>
    <n v="41.399000000000001"/>
    <n v="79.662999999999997"/>
    <n v="79.637"/>
    <n v="75.162000000000006"/>
    <n v="74.56"/>
    <n v="112.953"/>
    <n v="112.887"/>
    <n v="65.301000000000002"/>
    <n v="66.034999999999997"/>
    <n v="34.698999999999998"/>
    <n v="33.965000000000003"/>
    <n v="16.244"/>
    <n v="15.436"/>
    <n v="33.965000000000003"/>
    <n v="34.698999999999998"/>
    <n v="20.552"/>
    <n v="14"/>
    <n v="13"/>
    <n v="13"/>
    <n v="13"/>
  </r>
  <r>
    <n v="1033"/>
    <m/>
    <m/>
    <m/>
    <m/>
    <s v="NA"/>
    <s v="NA"/>
    <x v="35"/>
    <s v="NA"/>
    <m/>
    <m/>
    <n v="70.644999999999996"/>
    <n v="68.251000000000005"/>
    <n v="139.77099999999999"/>
    <n v="139.90799999999999"/>
    <n v="141.78299999999999"/>
    <n v="141.577"/>
    <n v="122.753"/>
    <n v="122.988"/>
    <n v="59.648000000000003"/>
    <n v="58.207000000000001"/>
    <n v="40.351999999999997"/>
    <n v="41.792999999999999"/>
    <n v="9.3859999999999992"/>
    <n v="9.2309999999999999"/>
    <n v="41.792999999999999"/>
    <n v="40.351999999999997"/>
    <n v="12.385"/>
    <n v="5"/>
    <n v="5"/>
    <n v="5"/>
    <n v="5"/>
  </r>
  <r>
    <n v="1034"/>
    <m/>
    <m/>
    <m/>
    <m/>
    <s v="NA"/>
    <s v="NA"/>
    <x v="35"/>
    <s v="NA"/>
    <m/>
    <m/>
    <n v="57.082000000000001"/>
    <n v="55.694000000000003"/>
    <n v="113.06699999999999"/>
    <n v="112.45"/>
    <n v="116.15300000000001"/>
    <n v="115.134"/>
    <n v="123.024"/>
    <n v="122.42100000000001"/>
    <n v="61.648000000000003"/>
    <n v="61.481999999999999"/>
    <n v="38.351999999999997"/>
    <n v="38.518000000000001"/>
    <n v="10.151"/>
    <n v="13.124000000000001"/>
    <n v="38.518000000000001"/>
    <n v="38.351999999999997"/>
    <n v="12.02"/>
    <n v="10"/>
    <n v="9"/>
    <n v="9"/>
    <n v="9"/>
  </r>
  <r>
    <n v="1035"/>
    <m/>
    <m/>
    <m/>
    <m/>
    <s v="NA"/>
    <s v="NA"/>
    <x v="35"/>
    <s v="NA"/>
    <m/>
    <m/>
    <n v="57.085000000000001"/>
    <n v="58.488"/>
    <n v="115.86799999999999"/>
    <n v="115.401"/>
    <n v="112.393"/>
    <n v="112.301"/>
    <n v="116.083"/>
    <n v="116.155"/>
    <n v="60.734000000000002"/>
    <n v="57.828000000000003"/>
    <n v="39.265999999999998"/>
    <n v="42.171999999999997"/>
    <n v="9.0909999999999993"/>
    <n v="9.9220000000000006"/>
    <n v="42.171999999999997"/>
    <n v="39.265999999999998"/>
    <n v="11.391999999999999"/>
    <n v="11"/>
    <n v="10"/>
    <n v="10"/>
    <n v="10"/>
  </r>
  <r>
    <n v="1036"/>
    <m/>
    <m/>
    <m/>
    <m/>
    <s v="NA"/>
    <s v="NA"/>
    <x v="35"/>
    <s v="NA"/>
    <m/>
    <m/>
    <n v="52.56"/>
    <n v="60.546999999999997"/>
    <n v="113.425"/>
    <n v="113.43899999999999"/>
    <n v="106.664"/>
    <n v="106.26600000000001"/>
    <n v="112.289"/>
    <n v="111.998"/>
    <n v="64.191999999999993"/>
    <n v="63.850999999999999"/>
    <n v="35.808"/>
    <n v="36.149000000000001"/>
    <n v="14.401999999999999"/>
    <n v="13.664"/>
    <n v="36.149000000000001"/>
    <n v="35.808"/>
    <n v="11.06"/>
    <n v="14"/>
    <n v="12"/>
    <n v="12"/>
    <n v="12"/>
  </r>
  <r>
    <n v="1037"/>
    <m/>
    <m/>
    <m/>
    <m/>
    <s v="NA"/>
    <s v="NA"/>
    <x v="35"/>
    <s v="NA"/>
    <m/>
    <m/>
    <n v="50.771000000000001"/>
    <n v="50.459000000000003"/>
    <n v="101.24"/>
    <n v="102.55"/>
    <n v="104.098"/>
    <n v="105.28100000000001"/>
    <n v="121.89"/>
    <n v="122.858"/>
    <n v="58.628"/>
    <n v="58.668999999999997"/>
    <n v="41.372"/>
    <n v="41.331000000000003"/>
    <n v="8.8670000000000009"/>
    <n v="8.8170000000000002"/>
    <n v="41.331000000000003"/>
    <n v="41.372"/>
    <n v="6.4660000000000002"/>
    <n v="15"/>
    <n v="12"/>
    <n v="12"/>
    <n v="12"/>
  </r>
  <r>
    <n v="1038"/>
    <m/>
    <m/>
    <m/>
    <m/>
    <s v="NA"/>
    <s v="NA"/>
    <x v="35"/>
    <s v="NA"/>
    <m/>
    <m/>
    <n v="48.491999999999997"/>
    <n v="59.932000000000002"/>
    <n v="106.31399999999999"/>
    <n v="110.22799999999999"/>
    <n v="83.888000000000005"/>
    <n v="85.09"/>
    <n v="93.274000000000001"/>
    <n v="93.463999999999999"/>
    <n v="67.963999999999999"/>
    <n v="66.611999999999995"/>
    <n v="32.036000000000001"/>
    <n v="33.387999999999998"/>
    <n v="19.388999999999999"/>
    <n v="15.882999999999999"/>
    <n v="33.387999999999998"/>
    <n v="32.036000000000001"/>
    <n v="8.9320000000000004"/>
    <n v="13"/>
    <n v="14"/>
    <n v="13"/>
    <n v="13"/>
  </r>
  <r>
    <n v="1039"/>
    <m/>
    <m/>
    <m/>
    <m/>
    <s v="NA"/>
    <s v="NA"/>
    <x v="35"/>
    <s v="NA"/>
    <m/>
    <m/>
    <n v="67.641999999999996"/>
    <n v="67.427000000000007"/>
    <n v="134.548"/>
    <n v="136.209"/>
    <n v="114.315"/>
    <n v="115.569"/>
    <n v="101.786"/>
    <n v="101.50700000000001"/>
    <n v="61.652000000000001"/>
    <n v="61.003"/>
    <n v="38.347999999999999"/>
    <n v="38.997"/>
    <n v="11.566000000000001"/>
    <n v="11.586"/>
    <n v="38.997"/>
    <n v="38.347999999999999"/>
    <n v="14.173999999999999"/>
    <n v="8"/>
    <n v="9"/>
    <n v="8"/>
    <n v="8"/>
  </r>
  <r>
    <n v="1040"/>
    <m/>
    <m/>
    <m/>
    <m/>
    <s v="NA"/>
    <s v="NA"/>
    <x v="35"/>
    <s v="NA"/>
    <m/>
    <m/>
    <n v="64.239999999999995"/>
    <n v="64.424000000000007"/>
    <n v="128.47300000000001"/>
    <n v="128.69200000000001"/>
    <n v="115.92400000000001"/>
    <n v="116.79"/>
    <n v="107.929"/>
    <n v="108.621"/>
    <n v="63.587000000000003"/>
    <n v="62.496000000000002"/>
    <n v="36.412999999999997"/>
    <n v="37.503999999999998"/>
    <n v="13.782999999999999"/>
    <n v="12.647"/>
    <n v="37.503999999999998"/>
    <n v="36.412999999999997"/>
    <n v="9.4260000000000002"/>
    <n v="10"/>
    <n v="9"/>
    <n v="9"/>
    <n v="9"/>
  </r>
  <r>
    <n v="1041"/>
    <m/>
    <m/>
    <m/>
    <m/>
    <s v="NA"/>
    <s v="NA"/>
    <x v="35"/>
    <s v="NA"/>
    <m/>
    <m/>
    <n v="45.161000000000001"/>
    <n v="46.034999999999997"/>
    <n v="90.671000000000006"/>
    <n v="91.573999999999998"/>
    <n v="75.370999999999995"/>
    <n v="75.379000000000005"/>
    <n v="99.808999999999997"/>
    <n v="98.031999999999996"/>
    <n v="65.396000000000001"/>
    <n v="63.46"/>
    <n v="34.603999999999999"/>
    <n v="36.54"/>
    <n v="14.29"/>
    <n v="14.16"/>
    <n v="36.54"/>
    <n v="34.603999999999999"/>
    <n v="12.9"/>
    <n v="10"/>
    <n v="12"/>
    <n v="10"/>
    <n v="10"/>
  </r>
  <r>
    <n v="1042"/>
    <m/>
    <m/>
    <m/>
    <m/>
    <s v="NA"/>
    <s v="NA"/>
    <x v="35"/>
    <s v="NA"/>
    <m/>
    <m/>
    <n v="38.08"/>
    <n v="34.063000000000002"/>
    <n v="72.010000000000005"/>
    <n v="72.325999999999993"/>
    <n v="48.106000000000002"/>
    <n v="48.540999999999997"/>
    <n v="79.364000000000004"/>
    <n v="80.45"/>
    <n v="71.108999999999995"/>
    <n v="67.781999999999996"/>
    <n v="28.890999999999998"/>
    <n v="32.218000000000004"/>
    <n v="18.309000000000001"/>
    <n v="20.774000000000001"/>
    <n v="32.218000000000004"/>
    <n v="28.890999999999998"/>
    <n v="17.797999999999998"/>
    <n v="14"/>
    <n v="14"/>
    <n v="14"/>
    <n v="14"/>
  </r>
  <r>
    <n v="1043"/>
    <m/>
    <m/>
    <m/>
    <m/>
    <s v="NA"/>
    <s v="NA"/>
    <x v="35"/>
    <s v="NA"/>
    <m/>
    <m/>
    <n v="46.052"/>
    <n v="48.183"/>
    <n v="94.384"/>
    <n v="95.099000000000004"/>
    <n v="85.867999999999995"/>
    <n v="86.444999999999993"/>
    <n v="109.304"/>
    <n v="109.264"/>
    <n v="67.344999999999999"/>
    <n v="64.063999999999993"/>
    <n v="32.655000000000001"/>
    <n v="35.936"/>
    <n v="15.637"/>
    <n v="15.813000000000001"/>
    <n v="35.936"/>
    <n v="32.655000000000001"/>
    <n v="13.956"/>
    <n v="15"/>
    <n v="14"/>
    <n v="14"/>
    <n v="14"/>
  </r>
  <r>
    <n v="1044"/>
    <m/>
    <m/>
    <m/>
    <m/>
    <s v="NA"/>
    <s v="NA"/>
    <x v="35"/>
    <s v="NA"/>
    <m/>
    <m/>
    <n v="54.374000000000002"/>
    <n v="51.618000000000002"/>
    <n v="106.43300000000001"/>
    <n v="105.876"/>
    <n v="92.364999999999995"/>
    <n v="91.570999999999998"/>
    <n v="103.488"/>
    <n v="103.304"/>
    <n v="65.367999999999995"/>
    <n v="61.34"/>
    <n v="34.631999999999998"/>
    <n v="38.659999999999997"/>
    <n v="13.335000000000001"/>
    <n v="13.688000000000001"/>
    <n v="38.659999999999997"/>
    <n v="34.631999999999998"/>
    <n v="9.7639999999999993"/>
    <n v="14"/>
    <n v="13"/>
    <n v="13"/>
    <n v="13"/>
  </r>
  <r>
    <n v="1045"/>
    <m/>
    <m/>
    <m/>
    <m/>
    <s v="NA"/>
    <s v="NA"/>
    <x v="35"/>
    <s v="F"/>
    <m/>
    <m/>
    <n v="43.015999999999998"/>
    <n v="50.756999999999998"/>
    <n v="94.012"/>
    <n v="93.316000000000003"/>
    <n v="84.617000000000004"/>
    <n v="84.561999999999998"/>
    <n v="108.468"/>
    <n v="108.702"/>
    <n v="65.001999999999995"/>
    <n v="62.831000000000003"/>
    <n v="34.997"/>
    <n v="37.168999999999997"/>
    <n v="16.709"/>
    <n v="11.996"/>
    <n v="37.168999999999997"/>
    <n v="34.997"/>
    <n v="13.016"/>
    <n v="13"/>
    <n v="12"/>
    <n v="12"/>
    <n v="12"/>
  </r>
  <r>
    <n v="1046"/>
    <m/>
    <m/>
    <m/>
    <m/>
    <s v="NA"/>
    <s v="NA"/>
    <x v="35"/>
    <s v="NA"/>
    <m/>
    <m/>
    <n v="73.703999999999994"/>
    <n v="71.019000000000005"/>
    <n v="144.87700000000001"/>
    <n v="145.30199999999999"/>
    <n v="148.68799999999999"/>
    <n v="149.58000000000001"/>
    <n v="123.63500000000001"/>
    <n v="123.02500000000001"/>
    <n v="60.194000000000003"/>
    <n v="58.924999999999997"/>
    <n v="39.805999999999997"/>
    <n v="41.075000000000003"/>
    <n v="11.272"/>
    <n v="9.5730000000000004"/>
    <n v="41.075000000000003"/>
    <n v="39.805999999999997"/>
    <n v="10.602"/>
    <n v="8"/>
    <n v="9"/>
    <n v="8"/>
    <n v="8"/>
  </r>
  <r>
    <n v="1047"/>
    <m/>
    <m/>
    <m/>
    <m/>
    <s v="NA"/>
    <s v="NA"/>
    <x v="35"/>
    <s v="NA"/>
    <m/>
    <m/>
    <n v="66.835999999999999"/>
    <n v="65.846000000000004"/>
    <n v="133.03899999999999"/>
    <n v="133.41399999999999"/>
    <n v="120.992"/>
    <n v="121.73399999999999"/>
    <n v="108.096"/>
    <n v="108.955"/>
    <n v="64.129000000000005"/>
    <n v="61.076999999999998"/>
    <n v="35.871000000000002"/>
    <n v="38.923000000000002"/>
    <n v="12.295999999999999"/>
    <n v="13.125999999999999"/>
    <n v="38.923000000000002"/>
    <n v="35.871000000000002"/>
    <n v="9.5039999999999996"/>
    <n v="10"/>
    <n v="10"/>
    <n v="10"/>
    <n v="10"/>
  </r>
  <r>
    <n v="1048"/>
    <m/>
    <m/>
    <m/>
    <m/>
    <s v="NA"/>
    <s v="NA"/>
    <x v="35"/>
    <s v="NA"/>
    <m/>
    <m/>
    <n v="33.414000000000001"/>
    <n v="34.536999999999999"/>
    <n v="67.804000000000002"/>
    <n v="67.953999999999994"/>
    <n v="64.513000000000005"/>
    <n v="64.569999999999993"/>
    <n v="114.14400000000001"/>
    <n v="113.678"/>
    <n v="65.242999999999995"/>
    <n v="65.45"/>
    <n v="34.756999999999998"/>
    <n v="34.549999999999997"/>
    <n v="14.907999999999999"/>
    <n v="15.981"/>
    <n v="34.549999999999997"/>
    <n v="34.756999999999998"/>
    <n v="14.071999999999999"/>
    <n v="18"/>
    <n v="17"/>
    <n v="17"/>
    <n v="17"/>
  </r>
  <r>
    <n v="1049"/>
    <m/>
    <m/>
    <m/>
    <m/>
    <s v="NA"/>
    <s v="NA"/>
    <x v="35"/>
    <s v="F"/>
    <m/>
    <m/>
    <n v="51.679000000000002"/>
    <n v="49.143999999999998"/>
    <n v="101.295"/>
    <n v="100.65300000000001"/>
    <n v="92.683999999999997"/>
    <n v="91.554000000000002"/>
    <n v="108.73099999999999"/>
    <n v="108.214"/>
    <n v="65.403000000000006"/>
    <n v="64.031999999999996"/>
    <n v="34.597000000000001"/>
    <n v="35.968000000000004"/>
    <n v="13.55"/>
    <n v="16.420000000000002"/>
    <n v="35.968000000000004"/>
    <n v="34.597000000000001"/>
    <n v="9.0280000000000005"/>
    <n v="13"/>
    <n v="16"/>
    <n v="13"/>
    <n v="13"/>
  </r>
  <r>
    <n v="1050"/>
    <m/>
    <m/>
    <m/>
    <m/>
    <s v="NA"/>
    <s v="NA"/>
    <x v="35"/>
    <s v="NA"/>
    <m/>
    <m/>
    <n v="48.329000000000001"/>
    <n v="51.994999999999997"/>
    <n v="100.479"/>
    <n v="100.654"/>
    <n v="92.623999999999995"/>
    <n v="93.201999999999998"/>
    <n v="110.047"/>
    <n v="110.559"/>
    <n v="63.744"/>
    <n v="61.848999999999997"/>
    <n v="36.256"/>
    <n v="38.151000000000003"/>
    <n v="12.733000000000001"/>
    <n v="13.273999999999999"/>
    <n v="38.151000000000003"/>
    <n v="36.256"/>
    <n v="11.33"/>
    <n v="9"/>
    <n v="7"/>
    <n v="7"/>
    <n v="7"/>
  </r>
  <r>
    <n v="1051"/>
    <m/>
    <m/>
    <m/>
    <m/>
    <s v="NA"/>
    <s v="NA"/>
    <x v="174"/>
    <s v="NA"/>
    <m/>
    <m/>
    <n v="37.148000000000003"/>
    <n v="45.777999999999999"/>
    <n v="83.418000000000006"/>
    <n v="81.161000000000001"/>
    <n v="64.825000000000003"/>
    <n v="62.195999999999998"/>
    <n v="91.016999999999996"/>
    <n v="89.861999999999995"/>
    <n v="70.381"/>
    <n v="64.503"/>
    <n v="29.619"/>
    <n v="35.497"/>
    <n v="16.677"/>
    <n v="18.649000000000001"/>
    <n v="35.497"/>
    <n v="29.619"/>
    <n v="19.922000000000001"/>
    <n v="14"/>
    <n v="14"/>
    <n v="14"/>
    <n v="14"/>
  </r>
  <r>
    <n v="1052"/>
    <m/>
    <m/>
    <m/>
    <m/>
    <s v="NA"/>
    <s v="NA"/>
    <x v="35"/>
    <s v="NA"/>
    <m/>
    <m/>
    <n v="69.826999999999998"/>
    <n v="73.391000000000005"/>
    <n v="143.76"/>
    <n v="143.089"/>
    <n v="99.396000000000001"/>
    <n v="100.188"/>
    <n v="82.700999999999993"/>
    <n v="83.350999999999999"/>
    <n v="64.447999999999993"/>
    <n v="61.36"/>
    <n v="35.552"/>
    <n v="38.64"/>
    <n v="12.661"/>
    <n v="13.759"/>
    <n v="38.64"/>
    <n v="35.552"/>
    <n v="12.228"/>
    <n v="10"/>
    <n v="10"/>
    <n v="10"/>
    <n v="10"/>
  </r>
  <r>
    <n v="1053"/>
    <m/>
    <m/>
    <m/>
    <m/>
    <s v="NA"/>
    <s v="NA"/>
    <x v="247"/>
    <s v="M"/>
    <m/>
    <m/>
    <s v="NA"/>
    <s v="NA"/>
    <s v="NA"/>
    <s v="NA"/>
    <s v="NA"/>
    <s v="NA"/>
    <s v="NA"/>
    <s v="NA"/>
    <s v="NA"/>
    <s v="NA"/>
    <s v="NA"/>
    <s v="NA"/>
    <s v="NA"/>
    <s v="NA"/>
    <s v="NA"/>
    <s v="NA"/>
    <s v="NA"/>
    <s v="NA"/>
    <s v="NA"/>
    <s v="NA"/>
    <s v="NA"/>
  </r>
  <r>
    <n v="1054"/>
    <m/>
    <m/>
    <m/>
    <m/>
    <s v="NA"/>
    <s v="NA"/>
    <x v="35"/>
    <s v="NA"/>
    <m/>
    <m/>
    <n v="65.106999999999999"/>
    <n v="64.778000000000006"/>
    <n v="130.98099999999999"/>
    <n v="129.405"/>
    <n v="138.90100000000001"/>
    <n v="138.40199999999999"/>
    <n v="127.621"/>
    <n v="128.029"/>
    <n v="60.244999999999997"/>
    <n v="60.750999999999998"/>
    <n v="39.755000000000003"/>
    <n v="39.249000000000002"/>
    <n v="10.519"/>
    <n v="10.369"/>
    <n v="39.249000000000002"/>
    <n v="39.755000000000003"/>
    <n v="10.577999999999999"/>
    <n v="8"/>
    <n v="6"/>
    <n v="6"/>
    <n v="6"/>
  </r>
  <r>
    <n v="1055"/>
    <m/>
    <m/>
    <m/>
    <m/>
    <s v="NA"/>
    <s v="NA"/>
    <x v="35"/>
    <s v="NA"/>
    <m/>
    <m/>
    <n v="41.69"/>
    <n v="51.552999999999997"/>
    <n v="92.692999999999998"/>
    <n v="94.072000000000003"/>
    <n v="98.474000000000004"/>
    <n v="99.328999999999994"/>
    <n v="125.378"/>
    <n v="125.11"/>
    <n v="63.243000000000002"/>
    <n v="62.78"/>
    <n v="36.756999999999998"/>
    <n v="37.22"/>
    <n v="12.025"/>
    <n v="14.082000000000001"/>
    <n v="37.22"/>
    <n v="36.756999999999998"/>
    <n v="10.27"/>
    <n v="13"/>
    <n v="13"/>
    <n v="13"/>
    <n v="13"/>
  </r>
  <r>
    <n v="1056"/>
    <m/>
    <m/>
    <m/>
    <m/>
    <s v="NA"/>
    <s v="NA"/>
    <x v="35"/>
    <s v="NA"/>
    <m/>
    <m/>
    <n v="59.661000000000001"/>
    <n v="62.069000000000003"/>
    <n v="122.408"/>
    <n v="121.364"/>
    <n v="114.60599999999999"/>
    <n v="114.175"/>
    <n v="111.67700000000001"/>
    <n v="112.44799999999999"/>
    <n v="61.773000000000003"/>
    <n v="62.744999999999997"/>
    <n v="38.226999999999997"/>
    <n v="37.255000000000003"/>
    <n v="12.548"/>
    <n v="12.275"/>
    <n v="37.255000000000003"/>
    <n v="38.226999999999997"/>
    <n v="11.21"/>
    <n v="10"/>
    <n v="11"/>
    <n v="10"/>
    <n v="10"/>
  </r>
  <r>
    <n v="1057"/>
    <m/>
    <m/>
    <m/>
    <m/>
    <s v="NA"/>
    <s v="NA"/>
    <x v="35"/>
    <s v="NA"/>
    <m/>
    <m/>
    <n v="30.879000000000001"/>
    <n v="28.03"/>
    <n v="52.511000000000003"/>
    <n v="62.488"/>
    <n v="65.185000000000002"/>
    <n v="63.906999999999996"/>
    <n v="1758.7260000000001"/>
    <n v="1082.4970000000001"/>
    <n v="202.94800000000001"/>
    <n v="-506.76"/>
    <n v="-102.946"/>
    <n v="606.76199999999994"/>
    <n v="-804.91"/>
    <n v="-833.51300000000003"/>
    <n v="606.76199999999994"/>
    <n v="-102.946"/>
    <n v="20.943000000000001"/>
    <n v="23"/>
    <n v="22"/>
    <n v="20"/>
    <n v="20"/>
  </r>
  <r>
    <n v="1058"/>
    <m/>
    <m/>
    <m/>
    <m/>
    <s v="NA"/>
    <s v="NA"/>
    <x v="35"/>
    <s v="NA"/>
    <m/>
    <m/>
    <n v="31.068000000000001"/>
    <n v="34.749000000000002"/>
    <n v="65.542000000000002"/>
    <n v="65.527000000000001"/>
    <n v="62.999000000000002"/>
    <n v="63.481000000000002"/>
    <n v="115.654"/>
    <n v="115.583"/>
    <n v="64.897000000000006"/>
    <n v="65.989999999999995"/>
    <n v="35.103000000000002"/>
    <n v="34.01"/>
    <n v="15.698"/>
    <n v="15.598000000000001"/>
    <n v="34.01"/>
    <n v="35.103000000000002"/>
    <n v="6.9550000000000001"/>
    <n v="17"/>
    <n v="16"/>
    <n v="16"/>
    <n v="16"/>
  </r>
  <r>
    <n v="1059"/>
    <m/>
    <m/>
    <m/>
    <m/>
    <s v="NA"/>
    <s v="NA"/>
    <x v="35"/>
    <s v="NA"/>
    <m/>
    <m/>
    <n v="49.735999999999997"/>
    <n v="55.231999999999999"/>
    <n v="104.922"/>
    <n v="107.99"/>
    <n v="101.401"/>
    <n v="102.32"/>
    <n v="115.98399999999999"/>
    <n v="114.919"/>
    <n v="63.134999999999998"/>
    <n v="61.709000000000003"/>
    <n v="36.865000000000002"/>
    <n v="38.290999999999997"/>
    <n v="12.555"/>
    <n v="13.26"/>
    <n v="38.290999999999997"/>
    <n v="36.865000000000002"/>
    <n v="9.9600000000000009"/>
    <n v="15"/>
    <n v="12"/>
    <n v="12"/>
    <n v="12"/>
  </r>
  <r>
    <n v="1060"/>
    <m/>
    <m/>
    <m/>
    <m/>
    <s v="NA"/>
    <s v="NA"/>
    <x v="35"/>
    <s v="NA"/>
    <m/>
    <m/>
    <n v="47.031999999999996"/>
    <n v="43.618000000000002"/>
    <n v="90.540999999999997"/>
    <n v="90.88"/>
    <n v="98.328000000000003"/>
    <n v="99.021000000000001"/>
    <n v="129.39599999999999"/>
    <n v="130.23400000000001"/>
    <n v="62.670999999999999"/>
    <n v="61.524999999999999"/>
    <n v="37.329000000000001"/>
    <n v="38.475000000000001"/>
    <n v="12.816000000000001"/>
    <n v="11.805999999999999"/>
    <n v="38.475000000000001"/>
    <n v="37.329000000000001"/>
    <n v="9.4939999999999998"/>
    <n v="14"/>
    <n v="15"/>
    <n v="14"/>
    <n v="14"/>
  </r>
  <r>
    <n v="1061"/>
    <m/>
    <m/>
    <m/>
    <m/>
    <s v="NA"/>
    <s v="NA"/>
    <x v="230"/>
    <s v="M"/>
    <m/>
    <m/>
    <n v="42.863"/>
    <n v="40.630000000000003"/>
    <n v="83.498000000000005"/>
    <n v="84.227000000000004"/>
    <n v="72.435000000000002"/>
    <n v="72.929000000000002"/>
    <n v="104.651"/>
    <n v="104.121"/>
    <n v="67.683999999999997"/>
    <n v="67.281000000000006"/>
    <n v="32.316000000000003"/>
    <n v="32.719000000000001"/>
    <n v="20.234999999999999"/>
    <n v="14.927"/>
    <n v="32.719000000000001"/>
    <n v="32.316000000000003"/>
    <n v="18.577999999999999"/>
    <n v="11"/>
    <n v="12"/>
    <n v="11"/>
    <n v="11"/>
  </r>
  <r>
    <n v="1062"/>
    <m/>
    <m/>
    <m/>
    <m/>
    <s v="NA"/>
    <s v="NA"/>
    <x v="146"/>
    <s v="M"/>
    <m/>
    <m/>
    <n v="46.484999999999999"/>
    <n v="51.530999999999999"/>
    <n v="99.438000000000002"/>
    <n v="96.611999999999995"/>
    <n v="74.328000000000003"/>
    <n v="74.100999999999999"/>
    <n v="90.346999999999994"/>
    <n v="91.150999999999996"/>
    <n v="65.442999999999998"/>
    <n v="66.411000000000001"/>
    <n v="34.557000000000002"/>
    <n v="33.588999999999999"/>
    <n v="18.521000000000001"/>
    <n v="14.619"/>
    <n v="33.588999999999999"/>
    <n v="34.557000000000002"/>
    <n v="16.146000000000001"/>
    <n v="10"/>
    <n v="10"/>
    <n v="10"/>
    <n v="10"/>
  </r>
  <r>
    <n v="1063"/>
    <m/>
    <m/>
    <m/>
    <m/>
    <s v="NA"/>
    <s v="NA"/>
    <x v="335"/>
    <s v="M"/>
    <m/>
    <m/>
    <n v="58.37"/>
    <n v="57.296999999999997"/>
    <n v="116.82899999999999"/>
    <n v="113.087"/>
    <n v="59.762999999999998"/>
    <n v="59.546999999999997"/>
    <n v="61.732999999999997"/>
    <n v="62.378999999999998"/>
    <n v="64.870999999999995"/>
    <n v="67.073999999999998"/>
    <n v="35.128999999999998"/>
    <n v="32.926000000000002"/>
    <n v="14.409000000000001"/>
    <n v="18.315999999999999"/>
    <n v="32.926000000000002"/>
    <n v="35.128999999999998"/>
    <n v="18.262"/>
    <n v="10"/>
    <n v="7"/>
    <n v="7"/>
    <n v="7"/>
  </r>
  <r>
    <n v="1064"/>
    <m/>
    <m/>
    <m/>
    <m/>
    <s v="NA"/>
    <s v="NA"/>
    <x v="315"/>
    <s v="M"/>
    <m/>
    <m/>
    <n v="41.848999999999997"/>
    <n v="39.267000000000003"/>
    <n v="81.406000000000006"/>
    <n v="80.709999999999994"/>
    <n v="62.112000000000002"/>
    <n v="61.646000000000001"/>
    <n v="90.932000000000002"/>
    <n v="90.811999999999998"/>
    <n v="66.224000000000004"/>
    <n v="68.569999999999993"/>
    <n v="33.776000000000003"/>
    <n v="31.43"/>
    <n v="17.747"/>
    <n v="17.428000000000001"/>
    <n v="31.43"/>
    <n v="33.776000000000003"/>
    <n v="17.11"/>
    <n v="12"/>
    <n v="12"/>
    <n v="12"/>
    <n v="12"/>
  </r>
  <r>
    <n v="1065"/>
    <m/>
    <m/>
    <m/>
    <m/>
    <s v="NA"/>
    <s v="NA"/>
    <x v="26"/>
    <s v="M"/>
    <m/>
    <m/>
    <n v="42.517000000000003"/>
    <n v="40.497999999999998"/>
    <n v="83.388000000000005"/>
    <n v="83.341999999999999"/>
    <n v="70.456999999999994"/>
    <n v="70.331999999999994"/>
    <n v="102.09399999999999"/>
    <n v="102.121"/>
    <n v="63.887999999999998"/>
    <n v="64.784000000000006"/>
    <n v="36.112000000000002"/>
    <n v="35.216000000000001"/>
    <n v="16.745000000000001"/>
    <n v="12.673"/>
    <n v="35.216000000000001"/>
    <n v="36.112000000000002"/>
    <n v="11.295999999999999"/>
    <n v="13"/>
    <n v="11"/>
    <n v="11"/>
    <n v="11"/>
  </r>
  <r>
    <n v="1066"/>
    <m/>
    <m/>
    <m/>
    <m/>
    <s v="NA"/>
    <s v="NA"/>
    <x v="336"/>
    <s v="M"/>
    <m/>
    <m/>
    <n v="44.491999999999997"/>
    <n v="41.402000000000001"/>
    <n v="85.656999999999996"/>
    <n v="85.596999999999994"/>
    <n v="86.813000000000002"/>
    <n v="87.155000000000001"/>
    <n v="121.32"/>
    <n v="121.367"/>
    <n v="62.712000000000003"/>
    <n v="63.262999999999998"/>
    <n v="37.287999999999997"/>
    <n v="36.737000000000002"/>
    <n v="13.553000000000001"/>
    <n v="12.635"/>
    <n v="36.737000000000002"/>
    <n v="37.287999999999997"/>
    <n v="7.6079999999999997"/>
    <n v="11"/>
    <n v="10"/>
    <n v="10"/>
    <n v="10"/>
  </r>
  <r>
    <n v="1067"/>
    <m/>
    <m/>
    <m/>
    <m/>
    <s v="NA"/>
    <s v="NA"/>
    <x v="226"/>
    <s v="M"/>
    <m/>
    <m/>
    <n v="53.945"/>
    <n v="55.378"/>
    <n v="109.13500000000001"/>
    <n v="109.768"/>
    <n v="101.569"/>
    <n v="102.59699999999999"/>
    <n v="111.494"/>
    <n v="111.59399999999999"/>
    <n v="62.761000000000003"/>
    <n v="63.753999999999998"/>
    <n v="37.238999999999997"/>
    <n v="36.246000000000002"/>
    <n v="13.22"/>
    <n v="13.936999999999999"/>
    <n v="36.246000000000002"/>
    <n v="37.238999999999997"/>
    <n v="12.156000000000001"/>
    <n v="10"/>
    <n v="10"/>
    <n v="10"/>
    <n v="10"/>
  </r>
  <r>
    <n v="1068"/>
    <m/>
    <m/>
    <m/>
    <m/>
    <s v="NA"/>
    <s v="NA"/>
    <x v="65"/>
    <s v="M"/>
    <m/>
    <m/>
    <n v="43.423999999999999"/>
    <n v="38.039000000000001"/>
    <n v="81.462999999999994"/>
    <n v="79.787999999999997"/>
    <n v="69.483999999999995"/>
    <n v="69.715999999999994"/>
    <n v="103.06"/>
    <n v="104.976"/>
    <n v="66.152000000000001"/>
    <n v="67.869"/>
    <n v="33.847999999999999"/>
    <n v="32.131"/>
    <n v="17.164000000000001"/>
    <n v="17.635999999999999"/>
    <n v="32.131"/>
    <n v="33.847999999999999"/>
    <n v="8.452"/>
    <n v="15"/>
    <n v="10"/>
    <n v="10"/>
    <n v="10"/>
  </r>
  <r>
    <n v="1069"/>
    <m/>
    <m/>
    <m/>
    <m/>
    <s v="NA"/>
    <s v="NA"/>
    <x v="323"/>
    <s v="F"/>
    <m/>
    <m/>
    <n v="56.734000000000002"/>
    <n v="57.762999999999998"/>
    <n v="115.08499999999999"/>
    <n v="113.80200000000001"/>
    <n v="97.68"/>
    <n v="97.391000000000005"/>
    <n v="101.21899999999999"/>
    <n v="101.812"/>
    <n v="66.484999999999999"/>
    <n v="64.596000000000004"/>
    <n v="33.515000000000001"/>
    <n v="35.404000000000003"/>
    <n v="15.109"/>
    <n v="15.542"/>
    <n v="35.404000000000003"/>
    <n v="33.515000000000001"/>
    <n v="12.986000000000001"/>
    <n v="10"/>
    <n v="10"/>
    <n v="10"/>
    <n v="10"/>
  </r>
  <r>
    <n v="1070"/>
    <m/>
    <m/>
    <m/>
    <m/>
    <s v="NA"/>
    <s v="NA"/>
    <x v="142"/>
    <s v="M"/>
    <m/>
    <m/>
    <n v="37.027999999999999"/>
    <n v="36.685000000000002"/>
    <n v="74.376999999999995"/>
    <n v="72.775000000000006"/>
    <n v="58.884999999999998"/>
    <n v="58.35"/>
    <n v="95.394000000000005"/>
    <n v="95.691000000000003"/>
    <n v="62.432000000000002"/>
    <n v="68.27"/>
    <n v="37.567999999999998"/>
    <n v="31.73"/>
    <n v="15.965999999999999"/>
    <n v="14.667"/>
    <n v="31.73"/>
    <n v="37.567999999999998"/>
    <n v="11.74"/>
    <n v="12"/>
    <n v="13"/>
    <n v="12"/>
    <n v="12"/>
  </r>
  <r>
    <n v="1071"/>
    <m/>
    <m/>
    <m/>
    <m/>
    <s v="NA"/>
    <s v="NA"/>
    <x v="127"/>
    <s v="M"/>
    <m/>
    <m/>
    <n v="33.74"/>
    <n v="30.175000000000001"/>
    <n v="63.856000000000002"/>
    <n v="63.914000000000001"/>
    <n v="44.826999999999998"/>
    <n v="44.738"/>
    <n v="83.825999999999993"/>
    <n v="83.817999999999998"/>
    <n v="70.308000000000007"/>
    <n v="71.147999999999996"/>
    <n v="29.692"/>
    <n v="28.852"/>
    <n v="20.76"/>
    <n v="21.164000000000001"/>
    <n v="28.852"/>
    <n v="29.692"/>
    <n v="14.311999999999999"/>
    <n v="15"/>
    <n v="15"/>
    <n v="15"/>
    <n v="15"/>
  </r>
  <r>
    <n v="1072"/>
    <m/>
    <m/>
    <m/>
    <m/>
    <s v="NA"/>
    <s v="NA"/>
    <x v="242"/>
    <s v="M"/>
    <m/>
    <m/>
    <n v="49.155999999999999"/>
    <n v="49.042000000000002"/>
    <n v="96.905000000000001"/>
    <n v="98.697000000000003"/>
    <n v="88.664000000000001"/>
    <n v="91.207999999999998"/>
    <n v="110.45099999999999"/>
    <n v="109.93300000000001"/>
    <n v="65.680000000000007"/>
    <n v="67.180999999999997"/>
    <n v="34.32"/>
    <n v="32.819000000000003"/>
    <n v="16.527999999999999"/>
    <n v="16.97"/>
    <n v="32.819000000000003"/>
    <n v="34.32"/>
    <n v="8.74"/>
    <n v="11"/>
    <n v="10"/>
    <n v="10"/>
    <n v="10"/>
  </r>
  <r>
    <n v="1073"/>
    <m/>
    <m/>
    <m/>
    <m/>
    <s v="NA"/>
    <s v="NA"/>
    <x v="40"/>
    <s v="M"/>
    <m/>
    <m/>
    <s v="NA"/>
    <s v="NA"/>
    <s v="NA"/>
    <s v="NA"/>
    <s v="NA"/>
    <s v="NA"/>
    <s v="NA"/>
    <s v="NA"/>
    <s v="NA"/>
    <s v="NA"/>
    <s v="NA"/>
    <s v="NA"/>
    <s v="NA"/>
    <s v="NA"/>
    <s v="NA"/>
    <s v="NA"/>
    <s v="NA"/>
    <s v="NA"/>
    <s v="NA"/>
    <s v="NA"/>
    <s v="NA"/>
  </r>
  <r>
    <n v="1074"/>
    <m/>
    <m/>
    <m/>
    <m/>
    <s v="NA"/>
    <s v="NA"/>
    <x v="42"/>
    <s v="M"/>
    <m/>
    <m/>
    <n v="51.871000000000002"/>
    <n v="54.218000000000004"/>
    <n v="106.254"/>
    <n v="105.676"/>
    <n v="84.117000000000004"/>
    <n v="83.507999999999996"/>
    <n v="94.5"/>
    <n v="94.453999999999994"/>
    <n v="64.465000000000003"/>
    <n v="65.388000000000005"/>
    <n v="35.534999999999997"/>
    <n v="34.612000000000002"/>
    <n v="15.872"/>
    <n v="14.215999999999999"/>
    <n v="34.612000000000002"/>
    <n v="35.534999999999997"/>
    <n v="16.788"/>
    <n v="10"/>
    <n v="10"/>
    <n v="10"/>
    <n v="10"/>
  </r>
  <r>
    <n v="1075"/>
    <m/>
    <m/>
    <m/>
    <m/>
    <s v="NA"/>
    <s v="NA"/>
    <x v="172"/>
    <s v="M"/>
    <m/>
    <m/>
    <s v="NA"/>
    <s v="NA"/>
    <s v="NA"/>
    <s v="NA"/>
    <s v="NA"/>
    <s v="NA"/>
    <s v="NA"/>
    <s v="NA"/>
    <s v="NA"/>
    <s v="NA"/>
    <s v="NA"/>
    <s v="NA"/>
    <s v="NA"/>
    <s v="NA"/>
    <s v="NA"/>
    <s v="NA"/>
    <s v="NA"/>
    <s v="NA"/>
    <s v="NA"/>
    <s v="NA"/>
    <s v="NA"/>
  </r>
  <r>
    <n v="1076"/>
    <m/>
    <m/>
    <m/>
    <m/>
    <s v="NA"/>
    <s v="NA"/>
    <x v="337"/>
    <s v="F"/>
    <m/>
    <m/>
    <s v="NA"/>
    <s v="NA"/>
    <s v="NA"/>
    <s v="NA"/>
    <s v="NA"/>
    <s v="NA"/>
    <s v="NA"/>
    <s v="NA"/>
    <s v="NA"/>
    <s v="NA"/>
    <s v="NA"/>
    <s v="NA"/>
    <s v="NA"/>
    <s v="NA"/>
    <s v="NA"/>
    <s v="NA"/>
    <s v="NA"/>
    <s v="NA"/>
    <s v="NA"/>
    <s v="NA"/>
    <s v="NA"/>
  </r>
  <r>
    <n v="1077"/>
    <m/>
    <m/>
    <m/>
    <m/>
    <s v="NA"/>
    <s v="NA"/>
    <x v="278"/>
    <s v="F"/>
    <m/>
    <m/>
    <n v="46.640999999999998"/>
    <n v="46.094999999999999"/>
    <n v="92.6"/>
    <n v="93.061999999999998"/>
    <n v="70.715999999999994"/>
    <n v="71.034000000000006"/>
    <n v="91.742999999999995"/>
    <n v="91.506"/>
    <n v="67.224999999999994"/>
    <n v="63.981999999999999"/>
    <n v="32.776000000000003"/>
    <n v="36.018000000000001"/>
    <n v="16.923999999999999"/>
    <n v="14.473000000000001"/>
    <n v="36.018000000000001"/>
    <n v="32.776000000000003"/>
    <n v="11.04"/>
    <n v="12"/>
    <n v="15"/>
    <n v="12"/>
    <n v="10"/>
  </r>
  <r>
    <n v="1078"/>
    <m/>
    <m/>
    <m/>
    <m/>
    <s v="NA"/>
    <s v="NA"/>
    <x v="115"/>
    <s v="F"/>
    <m/>
    <m/>
    <n v="39.487000000000002"/>
    <n v="40.862000000000002"/>
    <n v="80.063999999999993"/>
    <n v="80.361999999999995"/>
    <n v="56.441000000000003"/>
    <n v="56.332000000000001"/>
    <n v="84.501999999999995"/>
    <n v="84.072000000000003"/>
    <n v="67.287000000000006"/>
    <n v="67.188000000000002"/>
    <n v="32.713000000000001"/>
    <n v="32.811999999999998"/>
    <n v="17.356999999999999"/>
    <n v="17.393999999999998"/>
    <n v="32.811999999999998"/>
    <n v="32.713000000000001"/>
    <n v="12.144"/>
    <n v="15"/>
    <n v="15"/>
    <n v="13"/>
    <n v="12"/>
  </r>
  <r>
    <n v="1079"/>
    <m/>
    <m/>
    <m/>
    <m/>
    <s v="NA"/>
    <s v="NA"/>
    <x v="136"/>
    <s v="M"/>
    <m/>
    <m/>
    <n v="43.981999999999999"/>
    <n v="48.226999999999997"/>
    <n v="92.007000000000005"/>
    <n v="93.331999999999994"/>
    <n v="83.188999999999993"/>
    <n v="83.578999999999994"/>
    <n v="107.61"/>
    <n v="106.68899999999999"/>
    <n v="63.14"/>
    <n v="63.996000000000002"/>
    <n v="36.86"/>
    <n v="36.003999999999998"/>
    <n v="13.831"/>
    <n v="13.039"/>
    <n v="36.003999999999998"/>
    <n v="36.86"/>
    <n v="11.752000000000001"/>
    <n v="14"/>
    <n v="12"/>
    <n v="11"/>
    <n v="10"/>
  </r>
  <r>
    <n v="1080"/>
    <m/>
    <m/>
    <m/>
    <m/>
    <s v="NA"/>
    <s v="NA"/>
    <x v="177"/>
    <s v="M"/>
    <m/>
    <m/>
    <n v="12.15"/>
    <n v="24.202999999999999"/>
    <n v="36.517000000000003"/>
    <n v="34.338999999999999"/>
    <n v="30.231999999999999"/>
    <n v="29.690999999999999"/>
    <n v="98.414000000000001"/>
    <n v="101.226"/>
    <n v="70.977999999999994"/>
    <n v="71.661000000000001"/>
    <n v="29.021999999999998"/>
    <n v="28.338999999999999"/>
    <n v="20.276"/>
    <n v="22.265999999999998"/>
    <n v="28.338999999999999"/>
    <n v="29.021999999999998"/>
    <n v="11.342000000000001"/>
    <n v="24"/>
    <n v="24"/>
    <n v="22"/>
    <n v="21"/>
  </r>
  <r>
    <n v="1081"/>
    <m/>
    <m/>
    <m/>
    <m/>
    <s v="NA"/>
    <s v="NA"/>
    <x v="206"/>
    <s v="F"/>
    <m/>
    <m/>
    <n v="12.135"/>
    <n v="24.242000000000001"/>
    <n v="36.487000000000002"/>
    <n v="35.921999999999997"/>
    <n v="30.109000000000002"/>
    <n v="29.771999999999998"/>
    <n v="98.4"/>
    <n v="99.15"/>
    <n v="70.718999999999994"/>
    <n v="71.747"/>
    <n v="29.280999999999999"/>
    <n v="28.253"/>
    <n v="19.852"/>
    <n v="21.686"/>
    <n v="28.253"/>
    <n v="29.280999999999999"/>
    <n v="10.978"/>
    <n v="25"/>
    <n v="24"/>
    <n v="22"/>
    <n v="22"/>
  </r>
  <r>
    <n v="1082"/>
    <m/>
    <m/>
    <m/>
    <m/>
    <s v="NA"/>
    <s v="NA"/>
    <x v="304"/>
    <s v="F"/>
    <m/>
    <m/>
    <n v="27.337"/>
    <n v="28.696000000000002"/>
    <n v="55.761000000000003"/>
    <n v="56.587000000000003"/>
    <n v="30.164999999999999"/>
    <n v="30.16"/>
    <n v="64.545000000000002"/>
    <n v="63.912999999999997"/>
    <n v="75.747"/>
    <n v="76.334000000000003"/>
    <n v="24.253"/>
    <n v="23.666"/>
    <n v="24.555"/>
    <n v="28.079000000000001"/>
    <n v="23.666"/>
    <n v="24.253"/>
    <n v="20.216000000000001"/>
    <n v="16"/>
    <n v="16"/>
    <n v="14"/>
    <n v="13"/>
  </r>
  <r>
    <n v="1083"/>
    <m/>
    <m/>
    <m/>
    <m/>
    <s v="NA"/>
    <s v="NA"/>
    <x v="338"/>
    <s v="M"/>
    <m/>
    <m/>
    <n v="52.8"/>
    <n v="59.101999999999997"/>
    <n v="110.96599999999999"/>
    <n v="112.68899999999999"/>
    <n v="80.558999999999997"/>
    <n v="81.727000000000004"/>
    <n v="87.67"/>
    <n v="87.168000000000006"/>
    <n v="64.47"/>
    <n v="64.98"/>
    <n v="35.53"/>
    <n v="35.020000000000003"/>
    <n v="13.041"/>
    <n v="16.504000000000001"/>
    <n v="35.020000000000003"/>
    <n v="35.53"/>
    <n v="24.173999999999999"/>
    <n v="12"/>
    <n v="12"/>
    <n v="9"/>
    <n v="10"/>
  </r>
  <r>
    <n v="1084"/>
    <m/>
    <m/>
    <m/>
    <m/>
    <s v="NA"/>
    <s v="NA"/>
    <x v="210"/>
    <s v="M"/>
    <m/>
    <m/>
    <n v="64.325000000000003"/>
    <n v="63.014000000000003"/>
    <n v="127.321"/>
    <n v="127.514"/>
    <n v="109.824"/>
    <n v="111.821"/>
    <n v="103.352"/>
    <n v="104.944"/>
    <n v="63.204999999999998"/>
    <n v="61.121000000000002"/>
    <n v="36.795000000000002"/>
    <n v="38.878999999999998"/>
    <n v="13.955"/>
    <n v="11.475"/>
    <n v="38.878999999999998"/>
    <n v="36.795000000000002"/>
    <n v="10.89"/>
    <n v="10"/>
    <n v="14"/>
    <n v="9"/>
    <n v="10"/>
  </r>
  <r>
    <n v="1085"/>
    <m/>
    <m/>
    <m/>
    <m/>
    <s v="NA"/>
    <s v="NA"/>
    <x v="2"/>
    <s v="F"/>
    <m/>
    <m/>
    <n v="58.131"/>
    <n v="58.238"/>
    <n v="116.345"/>
    <n v="116.33799999999999"/>
    <n v="92.575000000000003"/>
    <n v="92.795000000000002"/>
    <n v="94.715000000000003"/>
    <n v="95.093000000000004"/>
    <n v="64.046000000000006"/>
    <n v="63.356999999999999"/>
    <n v="35.954000000000001"/>
    <n v="36.643000000000001"/>
    <n v="14.303000000000001"/>
    <n v="14.099"/>
    <n v="36.643000000000001"/>
    <n v="35.954000000000001"/>
    <n v="11.97"/>
    <n v="11"/>
    <n v="13"/>
    <n v="9"/>
    <n v="10"/>
  </r>
  <r>
    <n v="1086"/>
    <m/>
    <m/>
    <m/>
    <m/>
    <s v="NA"/>
    <s v="NA"/>
    <x v="339"/>
    <s v="F"/>
    <m/>
    <m/>
    <n v="51.548999999999999"/>
    <n v="49.517000000000003"/>
    <n v="101.044"/>
    <n v="101.253"/>
    <n v="103.258"/>
    <n v="103.044"/>
    <n v="122.27200000000001"/>
    <n v="121.256"/>
    <n v="62.036999999999999"/>
    <n v="63.481999999999999"/>
    <n v="37.963000000000001"/>
    <n v="36.518000000000001"/>
    <n v="12.14"/>
    <n v="13.021000000000001"/>
    <n v="36.518000000000001"/>
    <n v="37.963000000000001"/>
    <n v="8.08"/>
    <n v="12"/>
    <n v="13"/>
    <n v="10"/>
    <n v="10"/>
  </r>
  <r>
    <n v="1087"/>
    <m/>
    <m/>
    <m/>
    <m/>
    <s v="NA"/>
    <s v="NA"/>
    <x v="123"/>
    <s v="M"/>
    <m/>
    <m/>
    <n v="61.728000000000002"/>
    <n v="63.850999999999999"/>
    <n v="126.33499999999999"/>
    <n v="125.212"/>
    <n v="109.68600000000001"/>
    <n v="110.05500000000001"/>
    <n v="104.051"/>
    <n v="104.999"/>
    <n v="63.676000000000002"/>
    <n v="63.241"/>
    <n v="36.323999999999998"/>
    <n v="36.759"/>
    <n v="14.04"/>
    <n v="13.116"/>
    <n v="36.759"/>
    <n v="36.323999999999998"/>
    <n v="11.018000000000001"/>
    <n v="10"/>
    <n v="11"/>
    <n v="7"/>
    <n v="9"/>
  </r>
  <r>
    <n v="1088"/>
    <m/>
    <m/>
    <m/>
    <m/>
    <s v="NA"/>
    <s v="NA"/>
    <x v="340"/>
    <s v="F"/>
    <m/>
    <m/>
    <n v="39.271999999999998"/>
    <n v="34.674999999999997"/>
    <n v="74.156999999999996"/>
    <n v="74.251999999999995"/>
    <n v="48.075000000000003"/>
    <n v="47.987000000000002"/>
    <n v="78.328999999999994"/>
    <n v="77.63"/>
    <n v="66.522999999999996"/>
    <n v="70.510000000000005"/>
    <n v="33.476999999999997"/>
    <n v="29.49"/>
    <n v="18.097000000000001"/>
    <n v="19.402000000000001"/>
    <n v="29.49"/>
    <n v="33.476999999999997"/>
    <n v="11.922000000000001"/>
    <n v="18"/>
    <n v="17"/>
    <n v="16"/>
    <n v="14"/>
  </r>
  <r>
    <n v="1089"/>
    <m/>
    <m/>
    <m/>
    <m/>
    <s v="NA"/>
    <s v="NA"/>
    <x v="91"/>
    <s v="F"/>
    <m/>
    <m/>
    <s v="NA"/>
    <s v="NA"/>
    <s v="NA"/>
    <s v="NA"/>
    <s v="NA"/>
    <s v="NA"/>
    <s v="NA"/>
    <s v="NA"/>
    <s v="NA"/>
    <s v="NA"/>
    <s v="NA"/>
    <s v="NA"/>
    <s v="NA"/>
    <s v="NA"/>
    <s v="NA"/>
    <s v="NA"/>
    <s v="NA"/>
    <s v="NA"/>
    <s v="NA"/>
    <s v="NA"/>
    <s v="NA"/>
  </r>
  <r>
    <n v="1090"/>
    <m/>
    <m/>
    <m/>
    <m/>
    <s v="NA"/>
    <s v="NA"/>
    <x v="144"/>
    <s v="F"/>
    <m/>
    <m/>
    <s v="NA"/>
    <s v="NA"/>
    <s v="NA"/>
    <s v="NA"/>
    <s v="NA"/>
    <s v="NA"/>
    <s v="NA"/>
    <s v="NA"/>
    <s v="NA"/>
    <s v="NA"/>
    <s v="NA"/>
    <s v="NA"/>
    <s v="NA"/>
    <s v="NA"/>
    <s v="NA"/>
    <s v="NA"/>
    <s v="NA"/>
    <s v="NA"/>
    <s v="NA"/>
    <s v="NA"/>
    <s v="NA"/>
  </r>
  <r>
    <n v="1091"/>
    <m/>
    <m/>
    <m/>
    <m/>
    <s v="NA"/>
    <s v="NA"/>
    <x v="228"/>
    <s v="M"/>
    <m/>
    <m/>
    <n v="43.48"/>
    <n v="42.335000000000001"/>
    <n v="85.988"/>
    <n v="85.843000000000004"/>
    <n v="65.346000000000004"/>
    <n v="65.236999999999995"/>
    <n v="90.801000000000002"/>
    <n v="90.731999999999999"/>
    <n v="65.888000000000005"/>
    <n v="66.433999999999997"/>
    <n v="34.112000000000002"/>
    <n v="33.566000000000003"/>
    <n v="17.016999999999999"/>
    <n v="15.757"/>
    <n v="33.566000000000003"/>
    <n v="34.112000000000002"/>
    <n v="19.396000000000001"/>
    <n v="14"/>
    <n v="14"/>
    <n v="13"/>
    <n v="10"/>
  </r>
  <r>
    <n v="1092"/>
    <m/>
    <m/>
    <m/>
    <m/>
    <s v="NA"/>
    <s v="NA"/>
    <x v="107"/>
    <s v="M"/>
    <m/>
    <m/>
    <s v="NA"/>
    <s v="NA"/>
    <s v="NA"/>
    <s v="NA"/>
    <s v="NA"/>
    <s v="NA"/>
    <s v="NA"/>
    <s v="NA"/>
    <s v="NA"/>
    <s v="NA"/>
    <s v="NA"/>
    <s v="NA"/>
    <s v="NA"/>
    <s v="NA"/>
    <s v="NA"/>
    <s v="NA"/>
    <s v="NA"/>
    <s v="NA"/>
    <s v="NA"/>
    <s v="NA"/>
    <s v="NA"/>
  </r>
  <r>
    <n v="1093"/>
    <m/>
    <m/>
    <m/>
    <m/>
    <s v="NA"/>
    <s v="NA"/>
    <x v="38"/>
    <s v="M"/>
    <m/>
    <m/>
    <n v="53.762"/>
    <n v="55.305999999999997"/>
    <n v="110.51"/>
    <n v="107.93600000000001"/>
    <n v="73.747"/>
    <n v="72.364999999999995"/>
    <n v="79.938999999999993"/>
    <n v="79.834000000000003"/>
    <n v="65.942999999999998"/>
    <n v="65.33"/>
    <n v="34.057000000000002"/>
    <n v="34.67"/>
    <n v="15.177"/>
    <n v="16.341000000000001"/>
    <n v="34.67"/>
    <n v="34.057000000000002"/>
    <n v="11.36"/>
    <n v="11"/>
    <n v="11"/>
    <n v="9"/>
    <n v="8"/>
  </r>
  <r>
    <n v="1094"/>
    <m/>
    <m/>
    <m/>
    <m/>
    <s v="NA"/>
    <s v="NA"/>
    <x v="112"/>
    <s v="F"/>
    <m/>
    <m/>
    <s v="NA"/>
    <s v="NA"/>
    <s v="NA"/>
    <s v="NA"/>
    <s v="NA"/>
    <s v="NA"/>
    <s v="NA"/>
    <s v="NA"/>
    <s v="NA"/>
    <s v="NA"/>
    <s v="NA"/>
    <s v="NA"/>
    <s v="NA"/>
    <s v="NA"/>
    <s v="NA"/>
    <s v="NA"/>
    <s v="NA"/>
    <s v="NA"/>
    <s v="NA"/>
    <s v="NA"/>
    <s v="NA"/>
  </r>
  <r>
    <n v="1095"/>
    <m/>
    <m/>
    <m/>
    <m/>
    <s v="NA"/>
    <s v="NA"/>
    <x v="120"/>
    <s v="NA"/>
    <m/>
    <m/>
    <n v="34.555"/>
    <n v="36.450000000000003"/>
    <n v="71.938999999999993"/>
    <n v="71.004999999999995"/>
    <n v="54.110999999999997"/>
    <n v="54.267000000000003"/>
    <n v="91.144000000000005"/>
    <n v="91.718000000000004"/>
    <n v="65.954999999999998"/>
    <n v="69.129000000000005"/>
    <n v="34.045000000000002"/>
    <n v="30.870999999999999"/>
    <n v="17.559000000000001"/>
    <n v="17.661000000000001"/>
    <n v="30.870999999999999"/>
    <n v="34.045000000000002"/>
    <n v="18.940000000000001"/>
    <n v="15"/>
    <n v="15"/>
    <n v="10"/>
    <n v="15"/>
  </r>
  <r>
    <n v="1096"/>
    <m/>
    <m/>
    <m/>
    <m/>
    <s v="NA"/>
    <s v="NA"/>
    <x v="111"/>
    <s v="F"/>
    <m/>
    <m/>
    <s v="NA"/>
    <s v="NA"/>
    <s v="NA"/>
    <s v="NA"/>
    <s v="NA"/>
    <s v="NA"/>
    <s v="NA"/>
    <s v="NA"/>
    <s v="NA"/>
    <s v="NA"/>
    <s v="NA"/>
    <s v="NA"/>
    <s v="NA"/>
    <s v="NA"/>
    <s v="NA"/>
    <s v="NA"/>
    <s v="NA"/>
    <s v="NA"/>
    <s v="NA"/>
    <s v="NA"/>
    <s v="NA"/>
  </r>
  <r>
    <n v="1097"/>
    <m/>
    <m/>
    <m/>
    <m/>
    <s v="NA"/>
    <s v="NA"/>
    <x v="192"/>
    <s v="M"/>
    <m/>
    <m/>
    <s v="NA"/>
    <s v="NA"/>
    <s v="NA"/>
    <s v="NA"/>
    <s v="NA"/>
    <s v="NA"/>
    <s v="NA"/>
    <s v="NA"/>
    <s v="NA"/>
    <s v="NA"/>
    <s v="NA"/>
    <s v="NA"/>
    <s v="NA"/>
    <s v="NA"/>
    <s v="NA"/>
    <s v="NA"/>
    <s v="NA"/>
    <s v="NA"/>
    <s v="NA"/>
    <s v="NA"/>
    <s v="NA"/>
  </r>
  <r>
    <n v="1098"/>
    <m/>
    <m/>
    <m/>
    <m/>
    <s v="NA"/>
    <s v="NA"/>
    <x v="65"/>
    <s v="F"/>
    <m/>
    <m/>
    <s v="NA"/>
    <s v="NA"/>
    <s v="NA"/>
    <s v="NA"/>
    <s v="NA"/>
    <s v="NA"/>
    <s v="NA"/>
    <s v="NA"/>
    <s v="NA"/>
    <s v="NA"/>
    <s v="NA"/>
    <s v="NA"/>
    <s v="NA"/>
    <s v="NA"/>
    <s v="NA"/>
    <s v="NA"/>
    <s v="NA"/>
    <s v="NA"/>
    <s v="NA"/>
    <s v="NA"/>
    <s v="NA"/>
  </r>
  <r>
    <n v="1099"/>
    <m/>
    <m/>
    <m/>
    <m/>
    <s v="NA"/>
    <s v="NA"/>
    <x v="341"/>
    <s v="M"/>
    <m/>
    <m/>
    <n v="31.972999999999999"/>
    <n v="31.908000000000001"/>
    <n v="63.875"/>
    <n v="63.924999999999997"/>
    <n v="53.621000000000002"/>
    <n v="53.243000000000002"/>
    <n v="100.251"/>
    <n v="100.245"/>
    <n v="65.841999999999999"/>
    <n v="66.367999999999995"/>
    <n v="34.158000000000001"/>
    <n v="33.631999999999998"/>
    <n v="17.378"/>
    <n v="14.92"/>
    <n v="33.631999999999998"/>
    <n v="34.158000000000001"/>
    <n v="14.11"/>
    <n v="18"/>
    <n v="17"/>
    <n v="15"/>
    <n v="15"/>
  </r>
  <r>
    <n v="1100"/>
    <m/>
    <m/>
    <m/>
    <m/>
    <s v="NA"/>
    <s v="NA"/>
    <x v="342"/>
    <s v="M"/>
    <m/>
    <m/>
    <n v="50.433"/>
    <n v="53.176000000000002"/>
    <n v="103.42400000000001"/>
    <n v="104.13200000000001"/>
    <n v="88.554000000000002"/>
    <n v="88.474999999999994"/>
    <n v="101.708"/>
    <n v="101.504"/>
    <n v="63.131999999999998"/>
    <n v="62.579000000000001"/>
    <n v="36.868000000000002"/>
    <n v="37.420999999999999"/>
    <n v="12.499000000000001"/>
    <n v="12.961"/>
    <n v="37.420999999999999"/>
    <n v="36.868000000000002"/>
    <n v="12.372"/>
    <n v="11"/>
    <n v="14"/>
    <n v="10"/>
    <n v="10"/>
  </r>
  <r>
    <n v="1101"/>
    <m/>
    <m/>
    <m/>
    <m/>
    <s v="NA"/>
    <s v="NA"/>
    <x v="40"/>
    <s v="M"/>
    <m/>
    <m/>
    <n v="34.093000000000004"/>
    <n v="38.820999999999998"/>
    <n v="72.822000000000003"/>
    <n v="73.153000000000006"/>
    <n v="65.28"/>
    <n v="65.888999999999996"/>
    <n v="108.277"/>
    <n v="107.84399999999999"/>
    <n v="69.59"/>
    <n v="65.453000000000003"/>
    <n v="30.41"/>
    <n v="34.546999999999997"/>
    <n v="17.126000000000001"/>
    <n v="18.222000000000001"/>
    <n v="34.546999999999997"/>
    <n v="30.41"/>
    <n v="13.214"/>
    <n v="15"/>
    <n v="15"/>
    <n v="13"/>
    <n v="12"/>
  </r>
  <r>
    <n v="1102"/>
    <m/>
    <m/>
    <m/>
    <m/>
    <s v="NA"/>
    <s v="NA"/>
    <x v="156"/>
    <s v="M"/>
    <m/>
    <m/>
    <n v="44.399000000000001"/>
    <n v="46.951000000000001"/>
    <n v="91.147999999999996"/>
    <n v="91.603999999999999"/>
    <n v="64.251999999999995"/>
    <n v="64.498999999999995"/>
    <n v="83.786000000000001"/>
    <n v="84.067999999999998"/>
    <n v="67.424999999999997"/>
    <n v="66.963999999999999"/>
    <n v="32.575000000000003"/>
    <n v="33.036000000000001"/>
    <n v="16.866"/>
    <n v="18.155999999999999"/>
    <n v="33.036000000000001"/>
    <n v="32.575000000000003"/>
    <n v="11.295999999999999"/>
    <n v="12"/>
    <n v="15"/>
    <n v="12"/>
    <n v="10"/>
  </r>
  <r>
    <n v="1103"/>
    <m/>
    <m/>
    <m/>
    <m/>
    <s v="NA"/>
    <s v="NA"/>
    <x v="343"/>
    <s v="F"/>
    <m/>
    <m/>
    <s v="NA"/>
    <s v="NA"/>
    <s v="NA"/>
    <s v="NA"/>
    <s v="NA"/>
    <s v="NA"/>
    <s v="NA"/>
    <s v="NA"/>
    <s v="NA"/>
    <s v="NA"/>
    <s v="NA"/>
    <s v="NA"/>
    <s v="NA"/>
    <s v="NA"/>
    <s v="NA"/>
    <s v="NA"/>
    <s v="NA"/>
    <s v="NA"/>
    <s v="NA"/>
    <s v="NA"/>
    <s v="NA"/>
  </r>
  <r>
    <n v="1104"/>
    <m/>
    <m/>
    <m/>
    <m/>
    <s v="NA"/>
    <s v="NA"/>
    <x v="27"/>
    <s v="M"/>
    <m/>
    <m/>
    <n v="54.191000000000003"/>
    <n v="48.755000000000003"/>
    <n v="102.386"/>
    <n v="103.38500000000001"/>
    <n v="95.724999999999994"/>
    <n v="95.953999999999994"/>
    <n v="112.902"/>
    <n v="112.18899999999999"/>
    <n v="65.444999999999993"/>
    <n v="64.798000000000002"/>
    <n v="34.555"/>
    <n v="35.201999999999998"/>
    <n v="16.384"/>
    <n v="14.576000000000001"/>
    <n v="35.201999999999998"/>
    <n v="34.555"/>
    <n v="11.194000000000001"/>
    <n v="13"/>
    <n v="14"/>
    <n v="12"/>
    <n v="10"/>
  </r>
  <r>
    <n v="1105"/>
    <m/>
    <m/>
    <m/>
    <m/>
    <s v="NA"/>
    <s v="NA"/>
    <x v="289"/>
    <s v="F"/>
    <m/>
    <m/>
    <n v="37.168999999999997"/>
    <n v="33.466000000000001"/>
    <n v="70.263000000000005"/>
    <n v="70.777000000000001"/>
    <n v="56.539000000000001"/>
    <n v="57.241"/>
    <n v="96.501000000000005"/>
    <n v="96.674000000000007"/>
    <n v="68.694000000000003"/>
    <n v="67.453999999999994"/>
    <n v="31.306000000000001"/>
    <n v="32.545999999999999"/>
    <n v="17.300999999999998"/>
    <n v="18.274999999999999"/>
    <n v="32.545999999999999"/>
    <n v="31.306000000000001"/>
    <n v="13.587999999999999"/>
    <n v="14"/>
    <n v="15"/>
    <n v="12"/>
    <n v="12"/>
  </r>
  <r>
    <n v="1106"/>
    <m/>
    <m/>
    <m/>
    <m/>
    <s v="NA"/>
    <s v="NA"/>
    <x v="344"/>
    <s v="M"/>
    <m/>
    <m/>
    <n v="48.484999999999999"/>
    <n v="54.332999999999998"/>
    <n v="103.01600000000001"/>
    <n v="102.795"/>
    <n v="80.715000000000003"/>
    <n v="80.765000000000001"/>
    <n v="94.167000000000002"/>
    <n v="93.856999999999999"/>
    <n v="65.114000000000004"/>
    <n v="65.072000000000003"/>
    <n v="34.886000000000003"/>
    <n v="34.927999999999997"/>
    <n v="15.673"/>
    <n v="14.706"/>
    <n v="34.927999999999997"/>
    <n v="34.886000000000003"/>
    <n v="13.468"/>
    <n v="13"/>
    <n v="13"/>
    <n v="11"/>
    <n v="10"/>
  </r>
  <r>
    <n v="1107"/>
    <m/>
    <m/>
    <m/>
    <m/>
    <s v="NA"/>
    <s v="NA"/>
    <x v="286"/>
    <s v="F"/>
    <m/>
    <m/>
    <n v="48.167000000000002"/>
    <n v="47.927"/>
    <n v="96.094999999999999"/>
    <n v="96.287000000000006"/>
    <n v="89.748000000000005"/>
    <n v="89.510999999999996"/>
    <n v="111.807"/>
    <n v="112.13"/>
    <n v="63.832999999999998"/>
    <n v="65.206000000000003"/>
    <n v="36.167000000000002"/>
    <n v="34.793999999999997"/>
    <n v="15.194000000000001"/>
    <n v="14.242000000000001"/>
    <n v="34.793999999999997"/>
    <n v="36.167000000000002"/>
    <n v="9.2579999999999991"/>
    <n v="14"/>
    <n v="13"/>
    <n v="10"/>
    <n v="12"/>
  </r>
  <r>
    <n v="1108"/>
    <m/>
    <m/>
    <m/>
    <m/>
    <s v="NA"/>
    <s v="NA"/>
    <x v="342"/>
    <s v="F"/>
    <m/>
    <m/>
    <n v="52.151000000000003"/>
    <n v="51.59"/>
    <n v="103.729"/>
    <n v="103.99299999999999"/>
    <n v="106.136"/>
    <n v="106.17400000000001"/>
    <n v="122.33"/>
    <n v="122.38800000000001"/>
    <n v="61.23"/>
    <n v="60.485999999999997"/>
    <n v="38.770000000000003"/>
    <n v="39.514000000000003"/>
    <n v="11.13"/>
    <n v="11.452999999999999"/>
    <n v="39.514000000000003"/>
    <n v="38.770000000000003"/>
    <n v="7.2279999999999998"/>
    <n v="11"/>
    <n v="13"/>
    <n v="9"/>
    <n v="10"/>
  </r>
  <r>
    <n v="1109"/>
    <m/>
    <m/>
    <m/>
    <m/>
    <s v="NA"/>
    <s v="NA"/>
    <x v="125"/>
    <s v="M"/>
    <m/>
    <m/>
    <n v="26.154"/>
    <n v="23.11"/>
    <n v="49.685000000000002"/>
    <n v="49.613999999999997"/>
    <n v="53.79"/>
    <n v="54.402999999999999"/>
    <n v="130.804"/>
    <n v="131.143"/>
    <n v="67.298000000000002"/>
    <n v="66.644000000000005"/>
    <n v="32.701999999999998"/>
    <n v="33.356000000000002"/>
    <n v="15.222"/>
    <n v="19.134"/>
    <n v="33.356000000000002"/>
    <n v="32.701999999999998"/>
    <n v="20.204000000000001"/>
    <n v="20"/>
    <n v="16"/>
    <n v="15"/>
    <n v="16"/>
  </r>
  <r>
    <n v="1110"/>
    <m/>
    <m/>
    <m/>
    <m/>
    <s v="NA"/>
    <s v="NA"/>
    <x v="229"/>
    <s v="F"/>
    <m/>
    <m/>
    <n v="41.776000000000003"/>
    <n v="41.631999999999998"/>
    <n v="83.576999999999998"/>
    <n v="83.156999999999996"/>
    <n v="70.941999999999993"/>
    <n v="70.614999999999995"/>
    <n v="101.333"/>
    <n v="101.003"/>
    <n v="67.94"/>
    <n v="66.015000000000001"/>
    <n v="32.06"/>
    <n v="33.984999999999999"/>
    <n v="15.957000000000001"/>
    <n v="17.933"/>
    <n v="33.984999999999999"/>
    <n v="32.06"/>
    <n v="14.28"/>
    <n v="12"/>
    <n v="13"/>
    <n v="10"/>
    <n v="10"/>
  </r>
  <r>
    <n v="1111"/>
    <m/>
    <m/>
    <m/>
    <m/>
    <s v="NA"/>
    <s v="NA"/>
    <x v="3"/>
    <s v="M"/>
    <m/>
    <m/>
    <s v="NA"/>
    <s v="NA"/>
    <s v="NA"/>
    <s v="NA"/>
    <s v="NA"/>
    <s v="NA"/>
    <s v="NA"/>
    <s v="NA"/>
    <s v="NA"/>
    <s v="NA"/>
    <s v="NA"/>
    <s v="NA"/>
    <s v="NA"/>
    <s v="NA"/>
    <s v="NA"/>
    <s v="NA"/>
    <s v="NA"/>
    <s v="NA"/>
    <s v="NA"/>
    <s v="NA"/>
    <s v="NA"/>
  </r>
  <r>
    <n v="1112"/>
    <m/>
    <m/>
    <m/>
    <m/>
    <s v="NA"/>
    <s v="NA"/>
    <x v="256"/>
    <s v="NA"/>
    <m/>
    <m/>
    <n v="9.9160000000000004"/>
    <n v="11.509"/>
    <n v="21.800999999999998"/>
    <n v="21.109000000000002"/>
    <n v="17.925999999999998"/>
    <n v="17.125"/>
    <n v="104.322"/>
    <n v="103.776"/>
    <n v="80.927000000000007"/>
    <n v="78.385000000000005"/>
    <n v="19.073"/>
    <n v="21.614999999999998"/>
    <n v="31.803999999999998"/>
    <n v="28.088000000000001"/>
    <n v="21.614999999999998"/>
    <n v="19.073"/>
    <n v="13.464"/>
    <n v="20"/>
    <n v="20"/>
    <n v="16"/>
    <n v="19"/>
  </r>
  <r>
    <n v="1113"/>
    <m/>
    <m/>
    <m/>
    <m/>
    <s v="NA"/>
    <s v="NA"/>
    <x v="37"/>
    <s v="M"/>
    <m/>
    <m/>
    <n v="46.494"/>
    <n v="47.901000000000003"/>
    <n v="93.986999999999995"/>
    <n v="94.165000000000006"/>
    <n v="65.933999999999997"/>
    <n v="66.088999999999999"/>
    <n v="83.337999999999994"/>
    <n v="83.587999999999994"/>
    <n v="65.340999999999994"/>
    <n v="67.177999999999997"/>
    <n v="34.658999999999999"/>
    <n v="32.822000000000003"/>
    <n v="16.18"/>
    <n v="16.873999999999999"/>
    <n v="32.822000000000003"/>
    <n v="34.658999999999999"/>
    <n v="10.577999999999999"/>
    <n v="12"/>
    <n v="13"/>
    <n v="10"/>
    <n v="10"/>
  </r>
  <r>
    <n v="1114"/>
    <m/>
    <m/>
    <m/>
    <m/>
    <s v="NA"/>
    <s v="NA"/>
    <x v="207"/>
    <s v="F"/>
    <m/>
    <m/>
    <n v="28.84"/>
    <n v="30.98"/>
    <n v="59.796999999999997"/>
    <n v="59.835999999999999"/>
    <n v="41.963999999999999"/>
    <n v="42.878999999999998"/>
    <n v="84.367999999999995"/>
    <n v="85.403000000000006"/>
    <n v="73.730999999999995"/>
    <n v="75.311000000000007"/>
    <n v="26.268999999999998"/>
    <n v="24.689"/>
    <n v="26.553000000000001"/>
    <n v="23.155999999999999"/>
    <n v="24.689"/>
    <n v="26.268999999999998"/>
    <n v="17.936"/>
    <n v="15"/>
    <n v="16"/>
    <n v="14"/>
    <n v="12"/>
  </r>
  <r>
    <n v="1115"/>
    <m/>
    <m/>
    <m/>
    <m/>
    <s v="NA"/>
    <s v="NA"/>
    <x v="226"/>
    <s v="M"/>
    <m/>
    <m/>
    <n v="59.137999999999998"/>
    <n v="60.131"/>
    <n v="118.63200000000001"/>
    <n v="119.96599999999999"/>
    <n v="95.53"/>
    <n v="97.099000000000004"/>
    <n v="96.072000000000003"/>
    <n v="96.635999999999996"/>
    <n v="64.486000000000004"/>
    <n v="63.104999999999997"/>
    <n v="35.514000000000003"/>
    <n v="36.895000000000003"/>
    <n v="14.907"/>
    <n v="12.884"/>
    <n v="36.895000000000003"/>
    <n v="35.514000000000003"/>
    <n v="8.51"/>
    <n v="11"/>
    <n v="11"/>
    <n v="8"/>
    <n v="9"/>
  </r>
  <r>
    <n v="1116"/>
    <m/>
    <m/>
    <m/>
    <m/>
    <s v="NA"/>
    <s v="NA"/>
    <x v="125"/>
    <s v="NA"/>
    <m/>
    <m/>
    <s v="NA"/>
    <s v="NA"/>
    <s v="NA"/>
    <s v="NA"/>
    <s v="NA"/>
    <s v="NA"/>
    <s v="NA"/>
    <s v="NA"/>
    <s v="NA"/>
    <s v="NA"/>
    <s v="NA"/>
    <s v="NA"/>
    <s v="NA"/>
    <s v="NA"/>
    <s v="NA"/>
    <s v="NA"/>
    <s v="NA"/>
    <s v="NA"/>
    <s v="NA"/>
    <s v="NA"/>
    <s v="NA"/>
  </r>
  <r>
    <n v="1117"/>
    <m/>
    <m/>
    <m/>
    <m/>
    <s v="NA"/>
    <s v="NA"/>
    <x v="345"/>
    <s v="F"/>
    <m/>
    <m/>
    <n v="30.064"/>
    <n v="22.297000000000001"/>
    <n v="52.116999999999997"/>
    <n v="51.968000000000004"/>
    <n v="51.332000000000001"/>
    <n v="51.345999999999997"/>
    <n v="117.991"/>
    <n v="118.203"/>
    <n v="65.367999999999995"/>
    <n v="66.545000000000002"/>
    <n v="34.631"/>
    <n v="33.454999999999998"/>
    <n v="18.048999999999999"/>
    <n v="14.138"/>
    <n v="33.454999999999998"/>
    <n v="34.631"/>
    <n v="10.826000000000001"/>
    <n v="17"/>
    <n v="16"/>
    <n v="14"/>
    <n v="14"/>
  </r>
  <r>
    <n v="1118"/>
    <m/>
    <m/>
    <m/>
    <m/>
    <s v="NA"/>
    <s v="NA"/>
    <x v="103"/>
    <s v="M"/>
    <m/>
    <m/>
    <n v="47.180999999999997"/>
    <n v="52.177"/>
    <n v="99.841999999999999"/>
    <n v="98.783000000000001"/>
    <n v="83.456000000000003"/>
    <n v="82.632000000000005"/>
    <n v="100.34399999999999"/>
    <n v="100.372"/>
    <n v="66.248000000000005"/>
    <n v="66.727999999999994"/>
    <n v="33.752000000000002"/>
    <n v="33.271999999999998"/>
    <n v="18.03"/>
    <n v="15.412000000000001"/>
    <n v="33.271999999999998"/>
    <n v="33.752000000000002"/>
    <n v="14.39"/>
    <n v="12"/>
    <n v="10"/>
    <n v="9"/>
    <n v="8"/>
  </r>
  <r>
    <n v="1119"/>
    <m/>
    <m/>
    <m/>
    <m/>
    <s v="NA"/>
    <s v="NA"/>
    <x v="196"/>
    <s v="M"/>
    <m/>
    <m/>
    <n v="42.685000000000002"/>
    <n v="41.747"/>
    <n v="85.248000000000005"/>
    <n v="84.251999999999995"/>
    <n v="54.881999999999998"/>
    <n v="54.311999999999998"/>
    <n v="77.305000000000007"/>
    <n v="77.608000000000004"/>
    <n v="69.248999999999995"/>
    <n v="69.165000000000006"/>
    <n v="30.751000000000001"/>
    <n v="30.835000000000001"/>
    <n v="17.318999999999999"/>
    <n v="21.594999999999999"/>
    <n v="30.835000000000001"/>
    <n v="30.751000000000001"/>
    <n v="14.818"/>
    <n v="13"/>
    <n v="14"/>
    <n v="10"/>
    <n v="12"/>
  </r>
  <r>
    <n v="1120"/>
    <m/>
    <m/>
    <m/>
    <m/>
    <s v="NA"/>
    <s v="NA"/>
    <x v="262"/>
    <s v="M"/>
    <m/>
    <m/>
    <s v="NA"/>
    <s v="NA"/>
    <s v="NA"/>
    <s v="NA"/>
    <s v="NA"/>
    <s v="NA"/>
    <s v="NA"/>
    <s v="NA"/>
    <s v="NA"/>
    <s v="NA"/>
    <s v="NA"/>
    <s v="NA"/>
    <s v="NA"/>
    <s v="NA"/>
    <s v="NA"/>
    <s v="NA"/>
    <s v="NA"/>
    <s v="NA"/>
    <s v="NA"/>
    <s v="NA"/>
    <s v="NA"/>
  </r>
  <r>
    <n v="1121"/>
    <m/>
    <m/>
    <m/>
    <m/>
    <s v="NA"/>
    <s v="NA"/>
    <x v="259"/>
    <s v="M"/>
    <m/>
    <m/>
    <n v="57.655000000000001"/>
    <n v="58.731000000000002"/>
    <n v="115.962"/>
    <n v="116.67100000000001"/>
    <n v="97.087000000000003"/>
    <n v="98.686000000000007"/>
    <n v="100.08"/>
    <n v="101.416"/>
    <n v="62.652000000000001"/>
    <n v="65.703999999999994"/>
    <n v="37.347999999999999"/>
    <n v="34.295999999999999"/>
    <n v="12.573"/>
    <n v="14.866"/>
    <n v="34.295999999999999"/>
    <n v="37.347999999999999"/>
    <n v="17.54"/>
    <n v="10"/>
    <n v="12"/>
    <n v="9"/>
    <n v="8"/>
  </r>
  <r>
    <n v="1122"/>
    <m/>
    <m/>
    <m/>
    <m/>
    <s v="NA"/>
    <s v="NA"/>
    <x v="346"/>
    <s v="F"/>
    <m/>
    <m/>
    <n v="45.886000000000003"/>
    <n v="47.201999999999998"/>
    <n v="93.239000000000004"/>
    <n v="92.587999999999994"/>
    <n v="80.27"/>
    <n v="79.519000000000005"/>
    <n v="103.14100000000001"/>
    <n v="102.85599999999999"/>
    <n v="63.598999999999997"/>
    <n v="64.757000000000005"/>
    <n v="36.401000000000003"/>
    <n v="35.243000000000002"/>
    <n v="15.492000000000001"/>
    <n v="13.423999999999999"/>
    <n v="35.243000000000002"/>
    <n v="36.401000000000003"/>
    <n v="12.808"/>
    <n v="12"/>
    <n v="10"/>
    <n v="5"/>
    <n v="5"/>
  </r>
  <r>
    <n v="1123"/>
    <m/>
    <m/>
    <m/>
    <m/>
    <s v="NA"/>
    <s v="NA"/>
    <x v="347"/>
    <s v="F"/>
    <m/>
    <m/>
    <n v="52.454000000000001"/>
    <n v="51.514000000000003"/>
    <n v="104.50700000000001"/>
    <n v="103.783"/>
    <n v="75.677999999999997"/>
    <n v="75.114999999999995"/>
    <n v="86.576999999999998"/>
    <n v="86.474000000000004"/>
    <n v="66.251000000000005"/>
    <n v="66.489999999999995"/>
    <n v="33.749000000000002"/>
    <n v="33.51"/>
    <n v="16.539000000000001"/>
    <n v="16.259"/>
    <n v="33.51"/>
    <n v="33.749000000000002"/>
    <n v="10.507999999999999"/>
    <n v="14"/>
    <n v="13"/>
    <n v="11"/>
    <n v="11"/>
  </r>
  <r>
    <n v="1124"/>
    <m/>
    <m/>
    <m/>
    <m/>
    <s v="NA"/>
    <s v="NA"/>
    <x v="35"/>
    <s v="F"/>
    <m/>
    <m/>
    <s v="NA"/>
    <s v="NA"/>
    <s v="NA"/>
    <s v="NA"/>
    <s v="NA"/>
    <s v="NA"/>
    <s v="NA"/>
    <s v="NA"/>
    <s v="NA"/>
    <s v="NA"/>
    <s v="NA"/>
    <s v="NA"/>
    <s v="NA"/>
    <s v="NA"/>
    <s v="NA"/>
    <s v="NA"/>
    <s v="NA"/>
    <s v="NA"/>
    <s v="NA"/>
    <s v="NA"/>
    <s v="NA"/>
  </r>
  <r>
    <n v="1125"/>
    <m/>
    <m/>
    <m/>
    <m/>
    <s v="NA"/>
    <s v="NA"/>
    <x v="348"/>
    <s v="F"/>
    <m/>
    <m/>
    <n v="44.877000000000002"/>
    <n v="42.018999999999998"/>
    <n v="86.165999999999997"/>
    <n v="88.622"/>
    <n v="79.135999999999996"/>
    <n v="80.95"/>
    <n v="110.22"/>
    <n v="111.379"/>
    <n v="65.893000000000001"/>
    <n v="62.616"/>
    <n v="34.106999999999999"/>
    <n v="37.384"/>
    <n v="15.196"/>
    <n v="13.632999999999999"/>
    <n v="37.384"/>
    <n v="34.106999999999999"/>
    <n v="11.832000000000001"/>
    <n v="15"/>
    <n v="14"/>
    <n v="11"/>
    <n v="13"/>
  </r>
  <r>
    <n v="1126"/>
    <m/>
    <m/>
    <m/>
    <m/>
    <s v="NA"/>
    <s v="NA"/>
    <x v="3"/>
    <s v="M"/>
    <m/>
    <m/>
    <n v="56.353000000000002"/>
    <n v="58.097000000000001"/>
    <n v="114.858"/>
    <n v="114.45099999999999"/>
    <n v="103.36"/>
    <n v="103.252"/>
    <n v="107.66200000000001"/>
    <n v="107.577"/>
    <n v="64.265000000000001"/>
    <n v="62.164000000000001"/>
    <n v="35.734000000000002"/>
    <n v="37.835999999999999"/>
    <n v="13.968"/>
    <n v="12.86"/>
    <n v="37.835999999999999"/>
    <n v="35.734000000000002"/>
    <n v="13.272"/>
    <n v="10"/>
    <n v="14"/>
    <n v="10"/>
    <n v="9"/>
  </r>
  <r>
    <n v="1127"/>
    <m/>
    <m/>
    <m/>
    <m/>
    <s v="NA"/>
    <s v="NA"/>
    <x v="349"/>
    <s v="F"/>
    <m/>
    <m/>
    <s v="NA"/>
    <s v="NA"/>
    <s v="NA"/>
    <s v="NA"/>
    <s v="NA"/>
    <s v="NA"/>
    <s v="NA"/>
    <s v="NA"/>
    <s v="NA"/>
    <s v="NA"/>
    <s v="NA"/>
    <s v="NA"/>
    <s v="NA"/>
    <s v="NA"/>
    <s v="NA"/>
    <s v="NA"/>
    <s v="NA"/>
    <s v="NA"/>
    <s v="NA"/>
    <s v="NA"/>
    <s v="NA"/>
  </r>
  <r>
    <n v="1128"/>
    <m/>
    <m/>
    <m/>
    <m/>
    <s v="NA"/>
    <s v="NA"/>
    <x v="35"/>
    <s v="M"/>
    <m/>
    <m/>
    <s v="NA"/>
    <s v="NA"/>
    <s v="NA"/>
    <s v="NA"/>
    <s v="NA"/>
    <s v="NA"/>
    <s v="NA"/>
    <s v="NA"/>
    <s v="NA"/>
    <s v="NA"/>
    <s v="NA"/>
    <s v="NA"/>
    <s v="NA"/>
    <s v="NA"/>
    <s v="NA"/>
    <s v="NA"/>
    <s v="NA"/>
    <s v="NA"/>
    <s v="NA"/>
    <s v="NA"/>
    <s v="NA"/>
  </r>
  <r>
    <n v="1129"/>
    <m/>
    <m/>
    <m/>
    <m/>
    <s v="NA"/>
    <s v="NA"/>
    <x v="350"/>
    <s v="F"/>
    <m/>
    <m/>
    <s v="NA"/>
    <s v="NA"/>
    <s v="NA"/>
    <s v="NA"/>
    <s v="NA"/>
    <s v="NA"/>
    <s v="NA"/>
    <s v="NA"/>
    <s v="NA"/>
    <s v="NA"/>
    <s v="NA"/>
    <s v="NA"/>
    <s v="NA"/>
    <s v="NA"/>
    <s v="NA"/>
    <s v="NA"/>
    <s v="NA"/>
    <s v="NA"/>
    <s v="NA"/>
    <s v="NA"/>
    <s v="NA"/>
  </r>
  <r>
    <n v="1130"/>
    <m/>
    <m/>
    <m/>
    <m/>
    <s v="NA"/>
    <s v="NA"/>
    <x v="258"/>
    <s v="M"/>
    <m/>
    <m/>
    <s v="NA"/>
    <s v="NA"/>
    <s v="NA"/>
    <s v="NA"/>
    <s v="NA"/>
    <s v="NA"/>
    <s v="NA"/>
    <s v="NA"/>
    <s v="NA"/>
    <s v="NA"/>
    <s v="NA"/>
    <s v="NA"/>
    <s v="NA"/>
    <s v="NA"/>
    <s v="NA"/>
    <s v="NA"/>
    <s v="NA"/>
    <s v="NA"/>
    <s v="NA"/>
    <s v="NA"/>
    <s v="NA"/>
  </r>
  <r>
    <n v="1131"/>
    <m/>
    <m/>
    <m/>
    <m/>
    <s v="NA"/>
    <s v="NA"/>
    <x v="217"/>
    <s v="F"/>
    <m/>
    <m/>
    <s v="NA"/>
    <s v="NA"/>
    <s v="NA"/>
    <s v="NA"/>
    <s v="NA"/>
    <s v="NA"/>
    <s v="NA"/>
    <s v="NA"/>
    <s v="NA"/>
    <s v="NA"/>
    <s v="NA"/>
    <s v="NA"/>
    <s v="NA"/>
    <s v="NA"/>
    <s v="NA"/>
    <s v="NA"/>
    <s v="NA"/>
    <s v="NA"/>
    <s v="NA"/>
    <s v="NA"/>
    <s v="NA"/>
  </r>
  <r>
    <n v="1132"/>
    <m/>
    <m/>
    <m/>
    <m/>
    <s v="NA"/>
    <s v="NA"/>
    <x v="51"/>
    <s v="F"/>
    <m/>
    <m/>
    <s v="NA"/>
    <s v="NA"/>
    <s v="NA"/>
    <s v="NA"/>
    <s v="NA"/>
    <s v="NA"/>
    <s v="NA"/>
    <s v="NA"/>
    <s v="NA"/>
    <s v="NA"/>
    <s v="NA"/>
    <s v="NA"/>
    <s v="NA"/>
    <s v="NA"/>
    <s v="NA"/>
    <s v="NA"/>
    <s v="NA"/>
    <s v="NA"/>
    <s v="NA"/>
    <s v="NA"/>
    <s v="NA"/>
  </r>
  <r>
    <n v="1133"/>
    <m/>
    <m/>
    <m/>
    <m/>
    <s v="NA"/>
    <s v="NA"/>
    <x v="62"/>
    <s v="M"/>
    <m/>
    <m/>
    <s v="NA"/>
    <s v="NA"/>
    <s v="NA"/>
    <s v="NA"/>
    <s v="NA"/>
    <s v="NA"/>
    <s v="NA"/>
    <s v="NA"/>
    <s v="NA"/>
    <s v="NA"/>
    <s v="NA"/>
    <s v="NA"/>
    <s v="NA"/>
    <s v="NA"/>
    <s v="NA"/>
    <s v="NA"/>
    <s v="NA"/>
    <s v="NA"/>
    <s v="NA"/>
    <s v="NA"/>
    <s v="NA"/>
  </r>
  <r>
    <n v="1134"/>
    <m/>
    <m/>
    <m/>
    <m/>
    <s v="NA"/>
    <s v="NA"/>
    <x v="351"/>
    <s v="M"/>
    <m/>
    <m/>
    <s v="NA"/>
    <s v="NA"/>
    <s v="NA"/>
    <s v="NA"/>
    <s v="NA"/>
    <s v="NA"/>
    <s v="NA"/>
    <s v="NA"/>
    <s v="NA"/>
    <s v="NA"/>
    <s v="NA"/>
    <s v="NA"/>
    <s v="NA"/>
    <s v="NA"/>
    <s v="NA"/>
    <s v="NA"/>
    <s v="NA"/>
    <s v="NA"/>
    <s v="NA"/>
    <s v="NA"/>
    <s v="NA"/>
  </r>
  <r>
    <n v="1135"/>
    <m/>
    <m/>
    <m/>
    <m/>
    <s v="NA"/>
    <s v="NA"/>
    <x v="352"/>
    <s v="M"/>
    <m/>
    <m/>
    <s v="NA"/>
    <s v="NA"/>
    <s v="NA"/>
    <s v="NA"/>
    <s v="NA"/>
    <s v="NA"/>
    <s v="NA"/>
    <s v="NA"/>
    <s v="NA"/>
    <s v="NA"/>
    <s v="NA"/>
    <s v="NA"/>
    <s v="NA"/>
    <s v="NA"/>
    <s v="NA"/>
    <s v="NA"/>
    <s v="NA"/>
    <s v="NA"/>
    <s v="NA"/>
    <s v="NA"/>
    <s v="NA"/>
  </r>
  <r>
    <n v="1136"/>
    <m/>
    <m/>
    <m/>
    <m/>
    <s v="NA"/>
    <s v="NA"/>
    <x v="3"/>
    <s v="M"/>
    <m/>
    <m/>
    <s v="NA"/>
    <s v="NA"/>
    <s v="NA"/>
    <s v="NA"/>
    <s v="NA"/>
    <s v="NA"/>
    <s v="NA"/>
    <s v="NA"/>
    <s v="NA"/>
    <s v="NA"/>
    <s v="NA"/>
    <s v="NA"/>
    <s v="NA"/>
    <s v="NA"/>
    <s v="NA"/>
    <s v="NA"/>
    <s v="NA"/>
    <s v="NA"/>
    <s v="NA"/>
    <s v="NA"/>
    <s v="NA"/>
  </r>
  <r>
    <n v="1137"/>
    <m/>
    <m/>
    <m/>
    <m/>
    <s v="NA"/>
    <s v="NA"/>
    <x v="106"/>
    <s v="F"/>
    <m/>
    <m/>
    <s v="NA"/>
    <s v="NA"/>
    <s v="NA"/>
    <s v="NA"/>
    <s v="NA"/>
    <s v="NA"/>
    <s v="NA"/>
    <s v="NA"/>
    <s v="NA"/>
    <s v="NA"/>
    <s v="NA"/>
    <s v="NA"/>
    <s v="NA"/>
    <s v="NA"/>
    <s v="NA"/>
    <s v="NA"/>
    <s v="NA"/>
    <s v="NA"/>
    <s v="NA"/>
    <s v="NA"/>
    <s v="NA"/>
  </r>
  <r>
    <n v="1138"/>
    <m/>
    <m/>
    <m/>
    <m/>
    <s v="NA"/>
    <s v="NA"/>
    <x v="353"/>
    <s v="F"/>
    <m/>
    <m/>
    <s v="NA"/>
    <s v="NA"/>
    <s v="NA"/>
    <s v="NA"/>
    <s v="NA"/>
    <s v="NA"/>
    <s v="NA"/>
    <s v="NA"/>
    <s v="NA"/>
    <s v="NA"/>
    <s v="NA"/>
    <s v="NA"/>
    <s v="NA"/>
    <s v="NA"/>
    <s v="NA"/>
    <s v="NA"/>
    <s v="NA"/>
    <s v="NA"/>
    <s v="NA"/>
    <s v="NA"/>
    <s v="NA"/>
  </r>
  <r>
    <n v="1139"/>
    <m/>
    <m/>
    <m/>
    <m/>
    <s v="NA"/>
    <s v="NA"/>
    <x v="132"/>
    <s v="M"/>
    <m/>
    <m/>
    <s v="NA"/>
    <s v="NA"/>
    <s v="NA"/>
    <s v="NA"/>
    <s v="NA"/>
    <s v="NA"/>
    <s v="NA"/>
    <s v="NA"/>
    <s v="NA"/>
    <s v="NA"/>
    <s v="NA"/>
    <s v="NA"/>
    <s v="NA"/>
    <s v="NA"/>
    <s v="NA"/>
    <s v="NA"/>
    <s v="NA"/>
    <s v="NA"/>
    <s v="NA"/>
    <s v="NA"/>
    <s v="NA"/>
  </r>
  <r>
    <n v="1140"/>
    <m/>
    <m/>
    <m/>
    <m/>
    <s v="NA"/>
    <s v="NA"/>
    <x v="32"/>
    <s v="F"/>
    <m/>
    <m/>
    <s v="NA"/>
    <s v="NA"/>
    <s v="NA"/>
    <s v="NA"/>
    <s v="NA"/>
    <s v="NA"/>
    <s v="NA"/>
    <s v="NA"/>
    <s v="NA"/>
    <s v="NA"/>
    <s v="NA"/>
    <s v="NA"/>
    <s v="NA"/>
    <s v="NA"/>
    <s v="NA"/>
    <s v="NA"/>
    <s v="NA"/>
    <s v="NA"/>
    <s v="NA"/>
    <s v="NA"/>
    <s v="NA"/>
  </r>
  <r>
    <n v="1141"/>
    <m/>
    <m/>
    <m/>
    <m/>
    <s v="NA"/>
    <s v="NA"/>
    <x v="194"/>
    <s v="M"/>
    <m/>
    <m/>
    <s v="NA"/>
    <s v="NA"/>
    <s v="NA"/>
    <s v="NA"/>
    <s v="NA"/>
    <s v="NA"/>
    <s v="NA"/>
    <s v="NA"/>
    <s v="NA"/>
    <s v="NA"/>
    <s v="NA"/>
    <s v="NA"/>
    <s v="NA"/>
    <s v="NA"/>
    <s v="NA"/>
    <s v="NA"/>
    <s v="NA"/>
    <s v="NA"/>
    <s v="NA"/>
    <s v="NA"/>
    <s v="NA"/>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
  <r>
    <x v="0"/>
  </r>
  <r>
    <x v="1"/>
  </r>
  <r>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50F0598-9CBC-B946-8840-89EEBED7A6EF}" name="ptOrtho_age" cacheId="20" applyNumberFormats="0" applyBorderFormats="0" applyFontFormats="0" applyPatternFormats="0" applyAlignmentFormats="0" applyWidthHeightFormats="1" dataCaption="Values" errorCaption="N/A" showError="1" updatedVersion="7" minRefreshableVersion="3" itemPrintTitles="1" createdVersion="6" indent="0" compact="0" outline="1" outlineData="1" compactData="0" multipleFieldFilters="0">
  <location ref="B3:D15" firstHeaderRow="0" firstDataRow="1" firstDataCol="1"/>
  <pivotFields count="32">
    <pivotField compact="0" showAll="0"/>
    <pivotField compact="0" showAll="0"/>
    <pivotField compact="0" showAll="0"/>
    <pivotField compact="0" showAll="0"/>
    <pivotField compact="0" showAll="0"/>
    <pivotField compact="0" showAll="0"/>
    <pivotField compact="0" showAll="0"/>
    <pivotField axis="axisRow" compact="0" numFmtId="2" showAll="0">
      <items count="13">
        <item x="0"/>
        <item x="1"/>
        <item x="2"/>
        <item x="3"/>
        <item x="4"/>
        <item x="5"/>
        <item x="6"/>
        <item x="7"/>
        <item x="8"/>
        <item x="9"/>
        <item x="10"/>
        <item n="No Age Given" x="11"/>
        <item t="default"/>
      </items>
    </pivotField>
    <pivotField compact="0" showAll="0"/>
    <pivotField compact="0" showAll="0"/>
    <pivotField compact="0" showAll="0"/>
    <pivotField compact="0" showAll="0"/>
    <pivotField compact="0" showAll="0"/>
    <pivotField dataField="1" compact="0" showAll="0"/>
    <pivotField dataField="1"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s>
  <rowFields count="1">
    <field x="7"/>
  </rowFields>
  <rowItems count="12">
    <i>
      <x v="1"/>
    </i>
    <i>
      <x v="2"/>
    </i>
    <i>
      <x v="3"/>
    </i>
    <i>
      <x v="4"/>
    </i>
    <i>
      <x v="5"/>
    </i>
    <i>
      <x v="6"/>
    </i>
    <i>
      <x v="7"/>
    </i>
    <i>
      <x v="8"/>
    </i>
    <i>
      <x v="9"/>
    </i>
    <i>
      <x v="10"/>
    </i>
    <i>
      <x v="11"/>
    </i>
    <i t="grand">
      <x/>
    </i>
  </rowItems>
  <colFields count="1">
    <field x="-2"/>
  </colFields>
  <colItems count="2">
    <i>
      <x/>
    </i>
    <i i="1">
      <x v="1"/>
    </i>
  </colItems>
  <dataFields count="2">
    <dataField name="Stride Length Average Left Count" fld="14" subtotal="count" baseField="0" baseItem="0" numFmtId="3"/>
    <dataField name="Stride Length Average Right Count" fld="13" subtotal="count" baseField="0" baseItem="0" numFmtId="3"/>
  </dataFields>
  <formats count="8">
    <format dxfId="43">
      <pivotArea type="all" dataOnly="0" outline="0" fieldPosition="0"/>
    </format>
    <format dxfId="42">
      <pivotArea type="all" dataOnly="0" outline="0" fieldPosition="0"/>
    </format>
    <format dxfId="41">
      <pivotArea outline="0" collapsedLevelsAreSubtotals="1" fieldPosition="0"/>
    </format>
    <format dxfId="40">
      <pivotArea field="7" type="button" dataOnly="0" labelOnly="1" outline="0" axis="axisRow" fieldPosition="0"/>
    </format>
    <format dxfId="39">
      <pivotArea dataOnly="0" labelOnly="1" outline="0" fieldPosition="0">
        <references count="1">
          <reference field="7" count="11">
            <x v="1"/>
            <x v="2"/>
            <x v="3"/>
            <x v="4"/>
            <x v="5"/>
            <x v="6"/>
            <x v="7"/>
            <x v="8"/>
            <x v="9"/>
            <x v="10"/>
            <x v="11"/>
          </reference>
        </references>
      </pivotArea>
    </format>
    <format dxfId="38">
      <pivotArea dataOnly="0" labelOnly="1" grandRow="1" outline="0" fieldPosition="0"/>
    </format>
    <format dxfId="1">
      <pivotArea outline="0" fieldPosition="0">
        <references count="1">
          <reference field="4294967294" count="1">
            <x v="0"/>
          </reference>
        </references>
      </pivotArea>
    </format>
    <format dxfId="0">
      <pivotArea outline="0" fieldPosition="0">
        <references count="1">
          <reference field="4294967294" count="1">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6F5E6F6-ABB0-4B16-9D4A-13EE1D1F8E21}" name="ptGroup" cacheId="11" applyNumberFormats="0" applyBorderFormats="0" applyFontFormats="0" applyPatternFormats="0" applyAlignmentFormats="0" applyWidthHeightFormats="1" dataCaption="Values" updatedVersion="7" minRefreshableVersion="3" rowGrandTotals="0" itemPrintTitles="1" createdVersion="6" indent="0" compact="0" compactData="0" multipleFieldFilters="0">
  <location ref="J5" firstHeaderRow="0" firstDataRow="0" firstDataCol="0" rowPageCount="1" colPageCount="1"/>
  <pivotFields count="2">
    <pivotField compact="0" outline="0" showAll="0"/>
    <pivotField axis="axisPage" compact="0" outline="0" multipleItemSelectionAllowed="1" showAll="0" defaultSubtotal="0">
      <items count="11">
        <item h="1" x="0"/>
        <item h="1" x="1"/>
        <item h="1" x="2"/>
        <item h="1" x="3"/>
        <item h="1" x="4"/>
        <item h="1" x="5"/>
        <item h="1" x="6"/>
        <item h="1" x="7"/>
        <item x="8"/>
        <item h="1" x="9"/>
        <item h="1" x="10"/>
      </items>
    </pivotField>
  </pivotFields>
  <pageFields count="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4A53F18-A7E4-40BF-A19A-0DD70AC816FC}" name="ptFn" cacheId="23" applyNumberFormats="0" applyBorderFormats="0" applyFontFormats="0" applyPatternFormats="0" applyAlignmentFormats="0" applyWidthHeightFormats="1" dataCaption="Values" updatedVersion="7" minRefreshableVersion="3" itemPrintTitles="1" createdVersion="6" indent="0" compact="0" outline="1" outlineData="1" compactData="0" multipleFieldFilters="0">
  <location ref="D5" firstHeaderRow="0" firstDataRow="0" firstDataCol="0" rowPageCount="1" colPageCount="1"/>
  <pivotFields count="1">
    <pivotField axis="axisPage" compact="0" showAll="0">
      <items count="4">
        <item x="0"/>
        <item x="1"/>
        <item x="2"/>
        <item t="default"/>
      </items>
    </pivotField>
  </pivotFields>
  <pageFields count="1">
    <pageField fld="0" item="1" hier="-1"/>
  </pageField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roup" xr10:uid="{E7FBD534-32B3-42DB-AA55-A0CCCEEE1C9B}" sourceName="Group">
  <pivotTables>
    <pivotTable tabId="5" name="ptGroup"/>
  </pivotTables>
  <data>
    <tabular pivotCacheId="723717096">
      <items count="11">
        <i x="0"/>
        <i x="1"/>
        <i x="2"/>
        <i x="3"/>
        <i x="4"/>
        <i x="5"/>
        <i x="6"/>
        <i x="7"/>
        <i x="8" s="1"/>
        <i x="9"/>
        <i x="10"/>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nction" xr10:uid="{B8F6CD87-F721-41A6-BC4B-D64C73169042}" sourceName="Function">
  <pivotTables>
    <pivotTable tabId="5" name="ptFn"/>
  </pivotTables>
  <data>
    <tabular pivotCacheId="674693535">
      <items count="3">
        <i x="0"/>
        <i x="1" s="1"/>
        <i x="2"/>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roup" xr10:uid="{25B79FE3-C988-483C-9C0D-8A5FDCA6EA53}" cache="Slicer_Group" caption="Group" rowHeight="241300"/>
  <slicer name="Function" xr10:uid="{4C91EDB4-CB0F-45F8-8C6A-A007B6A21AB6}" cache="Slicer_Function" caption="Function" columnCount="5" style="SlicerStyleLight6"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44C9516-087B-AE4E-99B6-D4511ACA58FE}" name="Table6" displayName="Table6" ref="A1:AF954" totalsRowShown="0" headerRowDxfId="37" dataDxfId="36">
  <autoFilter ref="A1:AF954" xr:uid="{B44C9516-087B-AE4E-99B6-D4511ACA58FE}"/>
  <tableColumns count="32">
    <tableColumn id="1" xr3:uid="{802F7233-976E-C746-80D5-96AC97568EFF}" name="Record ID" dataDxfId="35"/>
    <tableColumn id="2" xr3:uid="{F8CCF13C-7B9B-EA4F-AC80-AE21DE2DFA9B}" name="Repeat Instrument" dataDxfId="34"/>
    <tableColumn id="3" xr3:uid="{1F69B49E-3324-F64C-A5B3-5A437B890666}" name="Repeat Instance" dataDxfId="33"/>
    <tableColumn id="4" xr3:uid="{7C337E46-D99C-E044-B28A-367BCA18722C}" name="Patient Folder (Full Path)" dataDxfId="32"/>
    <tableColumn id="5" xr3:uid="{51803AA4-97D6-B94A-A98B-284A4304C4FE}" name="Patient Folder Name" dataDxfId="31"/>
    <tableColumn id="6" xr3:uid="{D6061E08-5983-4048-88CD-ED004168D0DD}" name="ICD Code" dataDxfId="30"/>
    <tableColumn id="7" xr3:uid="{007303A5-F9F3-3B44-A74B-B30C31EF783E}" name="Primary Diagnosis" dataDxfId="29"/>
    <tableColumn id="8" xr3:uid="{968B60B7-39C6-F945-BE7F-2BBEDC0B98B2}" name="Age" dataDxfId="28"/>
    <tableColumn id="9" xr3:uid="{93802D1D-590E-1A4E-8E79-9E47F1B2245A}" name="Sex" dataDxfId="27"/>
    <tableColumn id="10" xr3:uid="{4BD6B702-2DEE-194A-94D0-03DBD6A63B19}" name="NRM file" dataDxfId="26"/>
    <tableColumn id="11" xr3:uid="{D3D9C581-30C5-4745-8AA6-CF5F6EA73DFA}" name="Final impression, if available" dataDxfId="25"/>
    <tableColumn id="12" xr3:uid="{E0C3E3D1-AEF0-E948-9673-55DC1480F708}" name="Step Length Average - Right" dataDxfId="24"/>
    <tableColumn id="13" xr3:uid="{1F75F90F-7C27-A34D-9540-71FCF0F29DA5}" name="Step Length Average Left" dataDxfId="23"/>
    <tableColumn id="14" xr3:uid="{826E0123-C43F-DD45-9903-99D44103503C}" name="Stride Length Average Right" dataDxfId="22"/>
    <tableColumn id="15" xr3:uid="{84A0B1E8-EC9A-794D-86F7-4C517ACB9CF3}" name="Stride Length Average Left" dataDxfId="21"/>
    <tableColumn id="16" xr3:uid="{E0C8332F-8D41-E14E-A0F3-3802C522E2F6}" name="Forward Velocity Average Right" dataDxfId="20"/>
    <tableColumn id="17" xr3:uid="{C49E1C71-E256-E44E-A13C-FC0C9D9E5FD3}" name="Forward Velocity Average Left" dataDxfId="19"/>
    <tableColumn id="18" xr3:uid="{39A37773-645A-AD4E-9725-8C624DE202EE}" name="Cadence Average Right" dataDxfId="18"/>
    <tableColumn id="19" xr3:uid="{37E9173D-EF93-5046-B585-386598155BDF}" name="Cadence Average Left" dataDxfId="17"/>
    <tableColumn id="20" xr3:uid="{BEDD7EE4-4000-BE4B-9D77-9345168AB1D6}" name="Total  Support Time Right" dataDxfId="16"/>
    <tableColumn id="21" xr3:uid="{D4655B37-6DAC-6448-9C3E-05CFF3453B10}" name="Total  Support Time Left" dataDxfId="15"/>
    <tableColumn id="22" xr3:uid="{CE8886E3-B0BF-5844-A065-650A9DA0DB27}" name="Swing Phase Right" dataDxfId="14"/>
    <tableColumn id="23" xr3:uid="{33961E82-C693-5048-861F-37D3E6E418C6}" name="Swing Phase Left" dataDxfId="13"/>
    <tableColumn id="24" xr3:uid="{894DD600-49BF-6543-AE4F-4C91BBCC3DCD}" name="Initial Double Support Time Right" dataDxfId="12"/>
    <tableColumn id="25" xr3:uid="{EB646596-859C-D14B-A216-A7D11C854711}" name="Initial Double Support Time Left" dataDxfId="11"/>
    <tableColumn id="26" xr3:uid="{7C06BB42-6A9A-F54B-9D31-C550FB28F00B}" name="Single Support Time Right" dataDxfId="10"/>
    <tableColumn id="27" xr3:uid="{533950DD-0C5C-0540-B600-F9F78B7D51D2}" name="Single Support Time Left" dataDxfId="9"/>
    <tableColumn id="28" xr3:uid="{57AC0171-7BED-554E-8D80-34074EA21F16}" name="Step Width " dataDxfId="8"/>
    <tableColumn id="29" xr3:uid="{5EB64CAE-5AE7-2E45-91CB-36025AD86D65}" name="Number of steps - Right" dataDxfId="7"/>
    <tableColumn id="30" xr3:uid="{F04E0AEE-2921-4A47-9FB9-9008373D6F50}" name="Number of steps - left" dataDxfId="6"/>
    <tableColumn id="31" xr3:uid="{33CF7812-F782-384C-A9D0-E2123EE3719F}" name="Number of strides - Right" dataDxfId="5"/>
    <tableColumn id="32" xr3:uid="{6CF86E9F-693B-2446-9E48-4BFF74B002BE}" name="Number of Strides - Left" dataDxfId="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2BD28F2-EAFD-4D37-AECD-09AB9A694633}" name="tblFields" displayName="tblFields" ref="G3:H24" totalsRowShown="0">
  <autoFilter ref="G3:H24" xr:uid="{B0E7345C-AE95-40CC-B3CF-49265BE8C0CD}"/>
  <tableColumns count="2">
    <tableColumn id="1" xr3:uid="{93248AC4-3D6E-42C0-B34A-745AEE034CD8}" name="Field" dataDxfId="3"/>
    <tableColumn id="2" xr3:uid="{7A081BF4-B39C-4C88-AE7E-A35155CA14CD}" name="Group"/>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06E3FDD-6E87-4C56-A0B9-8228CA4FFCEB}" name="tblFn" displayName="tblFn" ref="B3:B6" totalsRowShown="0" headerRowDxfId="2">
  <autoFilter ref="B3:B6" xr:uid="{CD314E98-CE6C-48AF-B290-4DDD2E7EFC10}"/>
  <sortState xmlns:xlrd2="http://schemas.microsoft.com/office/spreadsheetml/2017/richdata2" ref="B4:B8">
    <sortCondition ref="B4"/>
  </sortState>
  <tableColumns count="1">
    <tableColumn id="1" xr3:uid="{9532BC7D-4855-47F7-A026-0B87D0805BC4}" name="Function"/>
  </tableColumns>
  <tableStyleInfo name="TableStyleLight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table" Target="../tables/table3.xml"/><Relationship Id="rId4"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BF86B-1172-42BB-B7D7-0BC99CF5F3FD}">
  <sheetPr codeName="Sheet4">
    <tabColor theme="4"/>
  </sheetPr>
  <dimension ref="B1:N31"/>
  <sheetViews>
    <sheetView showGridLines="0" zoomScale="160" zoomScaleNormal="160" workbookViewId="0">
      <selection activeCell="C15" sqref="C15"/>
    </sheetView>
  </sheetViews>
  <sheetFormatPr baseColWidth="10" defaultColWidth="8.83203125" defaultRowHeight="16" x14ac:dyDescent="0.2"/>
  <cols>
    <col min="1" max="1" width="3.1640625" style="13" customWidth="1"/>
    <col min="2" max="2" width="22.1640625" style="13" bestFit="1" customWidth="1"/>
    <col min="3" max="3" width="33.1640625" style="13" bestFit="1" customWidth="1"/>
    <col min="4" max="4" width="34.33203125" style="13" bestFit="1" customWidth="1"/>
    <col min="5" max="5" width="14.1640625" style="13" bestFit="1" customWidth="1"/>
    <col min="6" max="6" width="11.83203125" style="13" bestFit="1" customWidth="1"/>
    <col min="7" max="8" width="8.83203125" style="13"/>
    <col min="9" max="9" width="8.83203125" style="13" customWidth="1"/>
    <col min="10" max="10" width="4.6640625" style="13" bestFit="1" customWidth="1"/>
    <col min="11" max="11" width="5.83203125" style="13" bestFit="1" customWidth="1"/>
    <col min="12" max="12" width="12.33203125" style="13" bestFit="1" customWidth="1"/>
    <col min="13" max="13" width="16.83203125" style="13" bestFit="1" customWidth="1"/>
    <col min="14" max="14" width="21.5" style="13" bestFit="1" customWidth="1"/>
    <col min="15" max="16384" width="8.83203125" style="13"/>
  </cols>
  <sheetData>
    <row r="1" spans="2:14" ht="51" customHeight="1" x14ac:dyDescent="0.2"/>
    <row r="3" spans="2:14" x14ac:dyDescent="0.2">
      <c r="B3" s="19" t="s">
        <v>46</v>
      </c>
      <c r="C3" s="20" t="s">
        <v>16490</v>
      </c>
      <c r="D3" s="20" t="s">
        <v>16491</v>
      </c>
      <c r="L3" s="14" t="s">
        <v>46</v>
      </c>
      <c r="M3" s="14" t="s">
        <v>16477</v>
      </c>
      <c r="N3" s="14" t="s">
        <v>16479</v>
      </c>
    </row>
    <row r="4" spans="2:14" x14ac:dyDescent="0.2">
      <c r="B4" s="21" t="s">
        <v>16466</v>
      </c>
      <c r="C4" s="22">
        <v>4</v>
      </c>
      <c r="D4" s="22">
        <v>4</v>
      </c>
      <c r="J4" s="13">
        <v>0</v>
      </c>
      <c r="K4" s="13">
        <v>10</v>
      </c>
      <c r="L4" s="17" t="s">
        <v>16466</v>
      </c>
      <c r="M4" s="18">
        <f>COUNTIFS('Collapsed - Orthotrack outcomes'!$H:$H,"&gt;="&amp;$J4,'Collapsed - Orthotrack outcomes'!$H:$H,"&lt;"&amp;$K4)</f>
        <v>4</v>
      </c>
      <c r="N4" s="18">
        <f>COUNTIFS('Collapsed - Orthotrack outcomes'!$H:$H,"&gt;="&amp;$J4,'Collapsed - Orthotrack outcomes'!$H:$H,"&lt;"&amp;$K4,'Collapsed - Orthotrack outcomes'!$L:$L,"&lt;&gt;NA")</f>
        <v>2</v>
      </c>
    </row>
    <row r="5" spans="2:14" x14ac:dyDescent="0.2">
      <c r="B5" s="21" t="s">
        <v>16467</v>
      </c>
      <c r="C5" s="22">
        <v>3</v>
      </c>
      <c r="D5" s="22">
        <v>3</v>
      </c>
      <c r="J5" s="13">
        <v>10</v>
      </c>
      <c r="K5" s="13">
        <v>20</v>
      </c>
      <c r="L5" s="15" t="s">
        <v>16467</v>
      </c>
      <c r="M5" s="16">
        <f>COUNTIFS('Collapsed - Orthotrack outcomes'!$H:$H,"&gt;="&amp;$J5,'Collapsed - Orthotrack outcomes'!$H:$H,"&lt;"&amp;$K5)</f>
        <v>3</v>
      </c>
      <c r="N5" s="16">
        <f>COUNTIFS('Collapsed - Orthotrack outcomes'!$H:$H,"&gt;="&amp;$J5,'Collapsed - Orthotrack outcomes'!$H:$H,"&lt;"&amp;$K5,'Collapsed - Orthotrack outcomes'!$L:$L,"&lt;&gt;NA")</f>
        <v>3</v>
      </c>
    </row>
    <row r="6" spans="2:14" x14ac:dyDescent="0.2">
      <c r="B6" s="21" t="s">
        <v>16468</v>
      </c>
      <c r="C6" s="22">
        <v>15</v>
      </c>
      <c r="D6" s="22">
        <v>15</v>
      </c>
      <c r="J6" s="13">
        <f>K5</f>
        <v>20</v>
      </c>
      <c r="K6" s="13">
        <f>K5+10</f>
        <v>30</v>
      </c>
      <c r="L6" s="17" t="s">
        <v>16468</v>
      </c>
      <c r="M6" s="18">
        <f>COUNTIFS('Collapsed - Orthotrack outcomes'!$H:$H,"&gt;="&amp;$J6,'Collapsed - Orthotrack outcomes'!$H:$H,"&lt;"&amp;$K6)</f>
        <v>15</v>
      </c>
      <c r="N6" s="18">
        <f>COUNTIFS('Collapsed - Orthotrack outcomes'!$H:$H,"&gt;="&amp;$J6,'Collapsed - Orthotrack outcomes'!$H:$H,"&lt;"&amp;$K6,'Collapsed - Orthotrack outcomes'!$L:$L,"&lt;&gt;NA")</f>
        <v>13</v>
      </c>
    </row>
    <row r="7" spans="2:14" x14ac:dyDescent="0.2">
      <c r="B7" s="21" t="s">
        <v>16469</v>
      </c>
      <c r="C7" s="22">
        <v>20</v>
      </c>
      <c r="D7" s="22">
        <v>20</v>
      </c>
      <c r="J7" s="13">
        <f t="shared" ref="J7:J13" si="0">K6</f>
        <v>30</v>
      </c>
      <c r="K7" s="13">
        <f t="shared" ref="J7:K14" si="1">K6+10</f>
        <v>40</v>
      </c>
      <c r="L7" s="15" t="s">
        <v>16469</v>
      </c>
      <c r="M7" s="16">
        <f>COUNTIFS('Collapsed - Orthotrack outcomes'!$H:$H,"&gt;="&amp;$J7,'Collapsed - Orthotrack outcomes'!$H:$H,"&lt;"&amp;$K7)</f>
        <v>20</v>
      </c>
      <c r="N7" s="16">
        <f>COUNTIFS('Collapsed - Orthotrack outcomes'!$H:$H,"&gt;="&amp;$J7,'Collapsed - Orthotrack outcomes'!$H:$H,"&lt;"&amp;$K7,'Collapsed - Orthotrack outcomes'!$L:$L,"&lt;&gt;NA")</f>
        <v>17</v>
      </c>
    </row>
    <row r="8" spans="2:14" x14ac:dyDescent="0.2">
      <c r="B8" s="21" t="s">
        <v>16470</v>
      </c>
      <c r="C8" s="22">
        <v>44</v>
      </c>
      <c r="D8" s="22">
        <v>44</v>
      </c>
      <c r="J8" s="13">
        <f t="shared" si="0"/>
        <v>40</v>
      </c>
      <c r="K8" s="13">
        <f t="shared" si="1"/>
        <v>50</v>
      </c>
      <c r="L8" s="17" t="s">
        <v>16470</v>
      </c>
      <c r="M8" s="18">
        <f>COUNTIFS('Collapsed - Orthotrack outcomes'!$H:$H,"&gt;="&amp;$J8,'Collapsed - Orthotrack outcomes'!$H:$H,"&lt;"&amp;$K8)</f>
        <v>44</v>
      </c>
      <c r="N8" s="18">
        <f>COUNTIFS('Collapsed - Orthotrack outcomes'!$H:$H,"&gt;="&amp;$J8,'Collapsed - Orthotrack outcomes'!$H:$H,"&lt;"&amp;$K8,'Collapsed - Orthotrack outcomes'!$L:$L,"&lt;&gt;NA")</f>
        <v>34</v>
      </c>
    </row>
    <row r="9" spans="2:14" x14ac:dyDescent="0.2">
      <c r="B9" s="21" t="s">
        <v>16471</v>
      </c>
      <c r="C9" s="22">
        <v>117</v>
      </c>
      <c r="D9" s="22">
        <v>117</v>
      </c>
      <c r="H9" s="20" t="s">
        <v>16484</v>
      </c>
      <c r="J9" s="13">
        <f t="shared" si="0"/>
        <v>50</v>
      </c>
      <c r="K9" s="13">
        <f t="shared" si="1"/>
        <v>60</v>
      </c>
      <c r="L9" s="15" t="s">
        <v>16471</v>
      </c>
      <c r="M9" s="16">
        <f>COUNTIFS('Collapsed - Orthotrack outcomes'!$H:$H,"&gt;="&amp;$J9,'Collapsed - Orthotrack outcomes'!$H:$H,"&lt;"&amp;$K9)</f>
        <v>117</v>
      </c>
      <c r="N9" s="16">
        <f>COUNTIFS('Collapsed - Orthotrack outcomes'!$H:$H,"&gt;="&amp;$J9,'Collapsed - Orthotrack outcomes'!$H:$H,"&lt;"&amp;$K9,'Collapsed - Orthotrack outcomes'!$L:$L,"&lt;&gt;NA")</f>
        <v>96</v>
      </c>
    </row>
    <row r="10" spans="2:14" x14ac:dyDescent="0.2">
      <c r="B10" s="21" t="s">
        <v>16472</v>
      </c>
      <c r="C10" s="22">
        <v>236</v>
      </c>
      <c r="D10" s="22">
        <v>236</v>
      </c>
      <c r="J10" s="13">
        <f t="shared" si="0"/>
        <v>60</v>
      </c>
      <c r="K10" s="13">
        <f t="shared" si="1"/>
        <v>70</v>
      </c>
      <c r="L10" s="17" t="s">
        <v>16472</v>
      </c>
      <c r="M10" s="18">
        <f>COUNTIFS('Collapsed - Orthotrack outcomes'!$H:$H,"&gt;="&amp;$J10,'Collapsed - Orthotrack outcomes'!$H:$H,"&lt;"&amp;$K10)</f>
        <v>236</v>
      </c>
      <c r="N10" s="18">
        <f>COUNTIFS('Collapsed - Orthotrack outcomes'!$H:$H,"&gt;="&amp;$J10,'Collapsed - Orthotrack outcomes'!$H:$H,"&lt;"&amp;$K10,'Collapsed - Orthotrack outcomes'!$L:$L,"&lt;&gt;NA")</f>
        <v>192</v>
      </c>
    </row>
    <row r="11" spans="2:14" x14ac:dyDescent="0.2">
      <c r="B11" s="21" t="s">
        <v>16473</v>
      </c>
      <c r="C11" s="22">
        <v>251</v>
      </c>
      <c r="D11" s="22">
        <v>251</v>
      </c>
      <c r="J11" s="13">
        <f t="shared" si="0"/>
        <v>70</v>
      </c>
      <c r="K11" s="13">
        <f t="shared" si="1"/>
        <v>80</v>
      </c>
      <c r="L11" s="15" t="s">
        <v>16473</v>
      </c>
      <c r="M11" s="16">
        <f>COUNTIFS('Collapsed - Orthotrack outcomes'!$H:$H,"&gt;="&amp;$J11,'Collapsed - Orthotrack outcomes'!$H:$H,"&lt;"&amp;$K11)</f>
        <v>251</v>
      </c>
      <c r="N11" s="16">
        <f>COUNTIFS('Collapsed - Orthotrack outcomes'!$H:$H,"&gt;="&amp;$J11,'Collapsed - Orthotrack outcomes'!$H:$H,"&lt;"&amp;$K11,'Collapsed - Orthotrack outcomes'!$L:$L,"&lt;&gt;NA")</f>
        <v>201</v>
      </c>
    </row>
    <row r="12" spans="2:14" x14ac:dyDescent="0.2">
      <c r="B12" s="21" t="s">
        <v>16474</v>
      </c>
      <c r="C12" s="22">
        <v>45</v>
      </c>
      <c r="D12" s="22">
        <v>45</v>
      </c>
      <c r="J12" s="13">
        <f t="shared" si="0"/>
        <v>80</v>
      </c>
      <c r="K12" s="13">
        <f t="shared" si="1"/>
        <v>90</v>
      </c>
      <c r="L12" s="17" t="s">
        <v>16474</v>
      </c>
      <c r="M12" s="18">
        <f>COUNTIFS('Collapsed - Orthotrack outcomes'!$H:$H,"&gt;="&amp;$J12,'Collapsed - Orthotrack outcomes'!$H:$H,"&lt;"&amp;$K12)</f>
        <v>45</v>
      </c>
      <c r="N12" s="18">
        <f>COUNTIFS('Collapsed - Orthotrack outcomes'!$H:$H,"&gt;="&amp;$J12,'Collapsed - Orthotrack outcomes'!$H:$H,"&lt;"&amp;$K12,'Collapsed - Orthotrack outcomes'!$L:$L,"&lt;&gt;NA")</f>
        <v>37</v>
      </c>
    </row>
    <row r="13" spans="2:14" x14ac:dyDescent="0.2">
      <c r="B13" s="21" t="s">
        <v>16475</v>
      </c>
      <c r="C13" s="22">
        <v>2</v>
      </c>
      <c r="D13" s="22">
        <v>2</v>
      </c>
      <c r="J13" s="13">
        <f t="shared" si="0"/>
        <v>90</v>
      </c>
      <c r="K13" s="13">
        <f t="shared" si="1"/>
        <v>100</v>
      </c>
      <c r="L13" s="15" t="s">
        <v>16475</v>
      </c>
      <c r="M13" s="16">
        <f>COUNTIFS('Collapsed - Orthotrack outcomes'!$H:$H,"&gt;="&amp;$J13,'Collapsed - Orthotrack outcomes'!$H:$H,"&lt;"&amp;$K13)</f>
        <v>2</v>
      </c>
      <c r="N13" s="16">
        <f>COUNTIFS('Collapsed - Orthotrack outcomes'!$H:$H,"&gt;="&amp;$J13,'Collapsed - Orthotrack outcomes'!$H:$H,"&lt;"&amp;$K13,'Collapsed - Orthotrack outcomes'!$L:$L,"&lt;&gt;NA")</f>
        <v>1</v>
      </c>
    </row>
    <row r="14" spans="2:14" x14ac:dyDescent="0.2">
      <c r="B14" s="21" t="s">
        <v>16478</v>
      </c>
      <c r="C14" s="22">
        <v>216</v>
      </c>
      <c r="D14" s="22">
        <v>216</v>
      </c>
      <c r="J14" s="13">
        <f t="shared" si="1"/>
        <v>100</v>
      </c>
      <c r="K14" s="13">
        <v>1000</v>
      </c>
      <c r="L14" s="17" t="s">
        <v>16478</v>
      </c>
      <c r="M14" s="18">
        <f>COUNTIFS('Collapsed - Orthotrack outcomes'!$H:$H,"&gt;="&amp;$J14,'Collapsed - Orthotrack outcomes'!$H:$H,"&lt;"&amp;$K14)</f>
        <v>216</v>
      </c>
      <c r="N14" s="18">
        <f>COUNTIFS('Collapsed - Orthotrack outcomes'!$H:$H,"&gt;="&amp;$J14,'Collapsed - Orthotrack outcomes'!$H:$H,"&lt;"&amp;$K14,'Collapsed - Orthotrack outcomes'!$L:$L,"&lt;&gt;NA")</f>
        <v>169</v>
      </c>
    </row>
    <row r="15" spans="2:14" x14ac:dyDescent="0.2">
      <c r="B15" s="21" t="s">
        <v>0</v>
      </c>
      <c r="C15" s="22">
        <v>953</v>
      </c>
      <c r="D15" s="22">
        <v>953</v>
      </c>
    </row>
    <row r="19" spans="2:4" x14ac:dyDescent="0.2">
      <c r="B19"/>
      <c r="C19"/>
      <c r="D19"/>
    </row>
    <row r="20" spans="2:4" x14ac:dyDescent="0.2">
      <c r="B20"/>
      <c r="C20"/>
      <c r="D20"/>
    </row>
    <row r="21" spans="2:4" x14ac:dyDescent="0.2">
      <c r="B21"/>
      <c r="C21"/>
      <c r="D21"/>
    </row>
    <row r="22" spans="2:4" x14ac:dyDescent="0.2">
      <c r="B22"/>
      <c r="C22"/>
      <c r="D22"/>
    </row>
    <row r="23" spans="2:4" x14ac:dyDescent="0.2">
      <c r="B23"/>
      <c r="C23"/>
      <c r="D23"/>
    </row>
    <row r="24" spans="2:4" x14ac:dyDescent="0.2">
      <c r="B24"/>
      <c r="C24"/>
      <c r="D24"/>
    </row>
    <row r="25" spans="2:4" x14ac:dyDescent="0.2">
      <c r="B25"/>
      <c r="C25"/>
      <c r="D25"/>
    </row>
    <row r="26" spans="2:4" x14ac:dyDescent="0.2">
      <c r="B26"/>
      <c r="C26"/>
      <c r="D26"/>
    </row>
    <row r="27" spans="2:4" x14ac:dyDescent="0.2">
      <c r="B27"/>
      <c r="C27"/>
      <c r="D27"/>
    </row>
    <row r="28" spans="2:4" x14ac:dyDescent="0.2">
      <c r="B28"/>
      <c r="C28"/>
      <c r="D28"/>
    </row>
    <row r="29" spans="2:4" x14ac:dyDescent="0.2">
      <c r="B29"/>
      <c r="C29"/>
      <c r="D29"/>
    </row>
    <row r="30" spans="2:4" x14ac:dyDescent="0.2">
      <c r="B30"/>
      <c r="C30"/>
      <c r="D30"/>
    </row>
    <row r="31" spans="2:4" x14ac:dyDescent="0.2">
      <c r="B31"/>
      <c r="C31"/>
      <c r="D31"/>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9432D0-26AB-0A41-B859-C6926873C597}">
  <sheetPr>
    <tabColor theme="9"/>
  </sheetPr>
  <dimension ref="A1:AB94"/>
  <sheetViews>
    <sheetView tabSelected="1" topLeftCell="A9" zoomScale="107" zoomScaleNormal="100" workbookViewId="0">
      <selection activeCell="I25" sqref="I25"/>
    </sheetView>
  </sheetViews>
  <sheetFormatPr baseColWidth="10" defaultRowHeight="15" x14ac:dyDescent="0.2"/>
  <cols>
    <col min="1" max="3" width="3.6640625" bestFit="1" customWidth="1"/>
    <col min="4" max="4" width="3.6640625" customWidth="1"/>
    <col min="5" max="5" width="5.1640625" bestFit="1" customWidth="1"/>
    <col min="6" max="6" width="11.5" bestFit="1" customWidth="1"/>
    <col min="7" max="7" width="37.1640625" bestFit="1" customWidth="1"/>
    <col min="8" max="8" width="19.6640625" bestFit="1" customWidth="1"/>
    <col min="9" max="9" width="22.1640625" bestFit="1" customWidth="1"/>
    <col min="10" max="10" width="20.83203125" bestFit="1" customWidth="1"/>
    <col min="11" max="11" width="25" bestFit="1" customWidth="1"/>
    <col min="12" max="12" width="23.83203125" bestFit="1" customWidth="1"/>
    <col min="13" max="13" width="18.33203125" bestFit="1" customWidth="1"/>
    <col min="14" max="14" width="17.1640625" bestFit="1" customWidth="1"/>
    <col min="15" max="15" width="20.5" bestFit="1" customWidth="1"/>
    <col min="16" max="16" width="19.33203125" bestFit="1" customWidth="1"/>
    <col min="17" max="17" width="14.83203125" bestFit="1" customWidth="1"/>
    <col min="18" max="18" width="13.6640625" bestFit="1" customWidth="1"/>
    <col min="19" max="19" width="27" bestFit="1" customWidth="1"/>
    <col min="20" max="20" width="25.6640625" bestFit="1" customWidth="1"/>
    <col min="21" max="21" width="20.83203125" bestFit="1" customWidth="1"/>
    <col min="22" max="22" width="19.6640625" bestFit="1" customWidth="1"/>
    <col min="23" max="23" width="10.6640625" bestFit="1" customWidth="1"/>
    <col min="24" max="24" width="18.83203125" bestFit="1" customWidth="1"/>
    <col min="25" max="25" width="17.33203125" bestFit="1" customWidth="1"/>
    <col min="26" max="26" width="20" bestFit="1" customWidth="1"/>
    <col min="27" max="27" width="19" bestFit="1" customWidth="1"/>
    <col min="28" max="28" width="19.83203125" bestFit="1" customWidth="1"/>
  </cols>
  <sheetData>
    <row r="1" spans="1:27" x14ac:dyDescent="0.2">
      <c r="A1" t="s">
        <v>47</v>
      </c>
      <c r="B1" t="s">
        <v>47</v>
      </c>
      <c r="C1" t="s">
        <v>47</v>
      </c>
    </row>
    <row r="2" spans="1:27" x14ac:dyDescent="0.2">
      <c r="A2" t="s">
        <v>16404</v>
      </c>
      <c r="B2" t="s">
        <v>16407</v>
      </c>
      <c r="C2" t="s">
        <v>16403</v>
      </c>
      <c r="F2" s="27" t="s">
        <v>6</v>
      </c>
      <c r="G2" s="31" t="s">
        <v>6</v>
      </c>
      <c r="H2" s="24"/>
      <c r="I2" s="24"/>
      <c r="J2" s="24"/>
      <c r="K2" s="24"/>
      <c r="L2" s="24"/>
      <c r="M2" s="24"/>
      <c r="N2" s="24"/>
      <c r="O2" s="24"/>
      <c r="P2" s="24"/>
      <c r="Q2" s="24"/>
      <c r="R2" s="24"/>
      <c r="S2" s="24"/>
      <c r="T2" s="24"/>
      <c r="U2" s="24"/>
      <c r="V2" s="24"/>
      <c r="W2" s="24"/>
      <c r="X2" s="24"/>
      <c r="Y2" s="24"/>
      <c r="Z2" s="24"/>
      <c r="AA2" s="24"/>
    </row>
    <row r="3" spans="1:27" x14ac:dyDescent="0.2">
      <c r="F3" s="28"/>
      <c r="G3" s="26" t="s">
        <v>50</v>
      </c>
      <c r="H3" s="26" t="s">
        <v>20</v>
      </c>
      <c r="I3" s="26" t="s">
        <v>23</v>
      </c>
      <c r="J3" s="26" t="s">
        <v>22</v>
      </c>
      <c r="K3" s="26" t="s">
        <v>11</v>
      </c>
      <c r="L3" s="26" t="s">
        <v>10</v>
      </c>
      <c r="M3" s="26" t="s">
        <v>9</v>
      </c>
      <c r="N3" s="26" t="s">
        <v>8</v>
      </c>
      <c r="O3" s="26" t="s">
        <v>27</v>
      </c>
      <c r="P3" s="26" t="s">
        <v>26</v>
      </c>
      <c r="Q3" s="26" t="s">
        <v>25</v>
      </c>
      <c r="R3" s="26" t="s">
        <v>24</v>
      </c>
      <c r="S3" s="26" t="s">
        <v>13</v>
      </c>
      <c r="T3" s="26" t="s">
        <v>12</v>
      </c>
      <c r="U3" s="26" t="s">
        <v>19</v>
      </c>
      <c r="V3" s="26" t="s">
        <v>18</v>
      </c>
      <c r="W3" s="26" t="s">
        <v>21</v>
      </c>
      <c r="X3" s="26" t="s">
        <v>15</v>
      </c>
      <c r="Y3" s="26" t="s">
        <v>14</v>
      </c>
      <c r="Z3" s="26" t="s">
        <v>17</v>
      </c>
      <c r="AA3" s="26" t="s">
        <v>16</v>
      </c>
    </row>
    <row r="4" spans="1:27" ht="16" x14ac:dyDescent="0.2">
      <c r="F4" s="27" t="s">
        <v>16404</v>
      </c>
      <c r="G4" s="25">
        <f>AVERAGEIFS('Collapsed - Orthotrack outcomes'!L:L,'Collapsed - Orthotrack outcomes'!$I:$I,'NonPivot Summary'!$F4)</f>
        <v>50.26295342465751</v>
      </c>
      <c r="H4" s="25">
        <f>AVERAGEIFS('Collapsed - Orthotrack outcomes'!M:M,'Collapsed - Orthotrack outcomes'!$I:$I,'NonPivot Summary'!$F4)</f>
        <v>50.56334794520545</v>
      </c>
      <c r="I4" s="25">
        <f>AVERAGEIFS('Collapsed - Orthotrack outcomes'!N:N,'Collapsed - Orthotrack outcomes'!$I:$I,'NonPivot Summary'!$F4)</f>
        <v>101.02024109589041</v>
      </c>
      <c r="J4" s="25">
        <f>AVERAGEIFS('Collapsed - Orthotrack outcomes'!O:O,'Collapsed - Orthotrack outcomes'!$I:$I,'NonPivot Summary'!$F4)</f>
        <v>100.81848219178082</v>
      </c>
      <c r="K4" s="25">
        <f>AVERAGEIFS('Collapsed - Orthotrack outcomes'!P:P,'Collapsed - Orthotrack outcomes'!$I:$I,'NonPivot Summary'!$F4)</f>
        <v>89.866016438356098</v>
      </c>
      <c r="L4" s="25">
        <f>AVERAGEIFS('Collapsed - Orthotrack outcomes'!Q:Q,'Collapsed - Orthotrack outcomes'!$I:$I,'NonPivot Summary'!$F4)</f>
        <v>89.812443835616463</v>
      </c>
      <c r="M4" s="25">
        <f>AVERAGEIFS('Collapsed - Orthotrack outcomes'!R:R,'Collapsed - Orthotrack outcomes'!$I:$I,'NonPivot Summary'!$F4)</f>
        <v>106.03630684931505</v>
      </c>
      <c r="N4" s="25">
        <f>AVERAGEIFS('Collapsed - Orthotrack outcomes'!S:S,'Collapsed - Orthotrack outcomes'!$I:$I,'NonPivot Summary'!$F4)</f>
        <v>105.72336438356164</v>
      </c>
      <c r="O4" s="25">
        <f>AVERAGEIFS('Collapsed - Orthotrack outcomes'!T:T,'Collapsed - Orthotrack outcomes'!$I:$I,'NonPivot Summary'!$F4)</f>
        <v>64.525191780821913</v>
      </c>
      <c r="P4" s="25">
        <f>AVERAGEIFS('Collapsed - Orthotrack outcomes'!U:U,'Collapsed - Orthotrack outcomes'!$I:$I,'NonPivot Summary'!$F4)</f>
        <v>64.167989041095908</v>
      </c>
      <c r="Q4" s="25">
        <f>AVERAGEIFS('Collapsed - Orthotrack outcomes'!V:V,'Collapsed - Orthotrack outcomes'!$I:$I,'NonPivot Summary'!$F4)</f>
        <v>35.474791780821917</v>
      </c>
      <c r="R4" s="25">
        <f>AVERAGEIFS('Collapsed - Orthotrack outcomes'!W:W,'Collapsed - Orthotrack outcomes'!$I:$I,'NonPivot Summary'!$F4)</f>
        <v>35.558027397260282</v>
      </c>
      <c r="S4" s="25">
        <f>AVERAGEIFS('Collapsed - Orthotrack outcomes'!X:X,'Collapsed - Orthotrack outcomes'!$I:$I,'NonPivot Summary'!$F4)</f>
        <v>14.511632876712326</v>
      </c>
      <c r="T4" s="25">
        <f>AVERAGEIFS('Collapsed - Orthotrack outcomes'!Y:Y,'Collapsed - Orthotrack outcomes'!$I:$I,'NonPivot Summary'!$F4)</f>
        <v>14.506926027397254</v>
      </c>
      <c r="U4" s="25">
        <f>AVERAGEIFS('Collapsed - Orthotrack outcomes'!Z:Z,'Collapsed - Orthotrack outcomes'!$I:$I,'NonPivot Summary'!$F4)</f>
        <v>35.665095890410967</v>
      </c>
      <c r="V4" s="25">
        <f>AVERAGEIFS('Collapsed - Orthotrack outcomes'!AA:AA,'Collapsed - Orthotrack outcomes'!$I:$I,'NonPivot Summary'!$F4)</f>
        <v>35.399964383561638</v>
      </c>
      <c r="W4" s="25">
        <f>AVERAGEIFS('Collapsed - Orthotrack outcomes'!AB:AB,'Collapsed - Orthotrack outcomes'!$I:$I,'NonPivot Summary'!$F4)</f>
        <v>12.810531506849317</v>
      </c>
      <c r="X4" s="25">
        <f>AVERAGEIFS('Collapsed - Orthotrack outcomes'!AC:AC,'Collapsed - Orthotrack outcomes'!$I:$I,'NonPivot Summary'!$F4)</f>
        <v>13.364383561643836</v>
      </c>
      <c r="Y4" s="25">
        <f>AVERAGEIFS('Collapsed - Orthotrack outcomes'!AD:AD,'Collapsed - Orthotrack outcomes'!$I:$I,'NonPivot Summary'!$F4)</f>
        <v>13.397260273972602</v>
      </c>
      <c r="Z4" s="25">
        <f>AVERAGEIFS('Collapsed - Orthotrack outcomes'!AE:AE,'Collapsed - Orthotrack outcomes'!$I:$I,'NonPivot Summary'!$F4)</f>
        <v>12.643835616438356</v>
      </c>
      <c r="AA4" s="25">
        <f>AVERAGEIFS('Collapsed - Orthotrack outcomes'!AF:AF,'Collapsed - Orthotrack outcomes'!$I:$I,'NonPivot Summary'!$F4)</f>
        <v>12.621917808219179</v>
      </c>
    </row>
    <row r="5" spans="1:27" ht="16" x14ac:dyDescent="0.2">
      <c r="F5" s="27" t="s">
        <v>16407</v>
      </c>
      <c r="G5" s="22">
        <f>AVERAGEIFS('Collapsed - Orthotrack outcomes'!L:L,'Collapsed - Orthotrack outcomes'!$I:$I,'NonPivot Summary'!$F5)</f>
        <v>44.934747899159639</v>
      </c>
      <c r="H5" s="22">
        <f>AVERAGEIFS('Collapsed - Orthotrack outcomes'!M:M,'Collapsed - Orthotrack outcomes'!$I:$I,'NonPivot Summary'!$F5)</f>
        <v>44.264584033613431</v>
      </c>
      <c r="I5" s="22">
        <f>AVERAGEIFS('Collapsed - Orthotrack outcomes'!N:N,'Collapsed - Orthotrack outcomes'!$I:$I,'NonPivot Summary'!$F5)</f>
        <v>89.386021008403361</v>
      </c>
      <c r="J5" s="22">
        <f>AVERAGEIFS('Collapsed - Orthotrack outcomes'!O:O,'Collapsed - Orthotrack outcomes'!$I:$I,'NonPivot Summary'!$F5)</f>
        <v>89.322857142857131</v>
      </c>
      <c r="K5" s="22">
        <f>AVERAGEIFS('Collapsed - Orthotrack outcomes'!P:P,'Collapsed - Orthotrack outcomes'!$I:$I,'NonPivot Summary'!$F5)</f>
        <v>79.15435714285708</v>
      </c>
      <c r="L5" s="22">
        <f>AVERAGEIFS('Collapsed - Orthotrack outcomes'!Q:Q,'Collapsed - Orthotrack outcomes'!$I:$I,'NonPivot Summary'!$F5)</f>
        <v>79.139663865546225</v>
      </c>
      <c r="M5" s="22">
        <f>AVERAGEIFS('Collapsed - Orthotrack outcomes'!R:R,'Collapsed - Orthotrack outcomes'!$I:$I,'NonPivot Summary'!$F5)</f>
        <v>103.68440336134464</v>
      </c>
      <c r="N5" s="22">
        <f>AVERAGEIFS('Collapsed - Orthotrack outcomes'!S:S,'Collapsed - Orthotrack outcomes'!$I:$I,'NonPivot Summary'!$F5)</f>
        <v>103.58309243697489</v>
      </c>
      <c r="O5" s="22">
        <f>AVERAGEIFS('Collapsed - Orthotrack outcomes'!T:T,'Collapsed - Orthotrack outcomes'!$I:$I,'NonPivot Summary'!$F5)</f>
        <v>65.576163865546249</v>
      </c>
      <c r="P5" s="22">
        <f>AVERAGEIFS('Collapsed - Orthotrack outcomes'!U:U,'Collapsed - Orthotrack outcomes'!$I:$I,'NonPivot Summary'!$F5)</f>
        <v>65.591802521008375</v>
      </c>
      <c r="Q5" s="22">
        <f>AVERAGEIFS('Collapsed - Orthotrack outcomes'!V:V,'Collapsed - Orthotrack outcomes'!$I:$I,'NonPivot Summary'!$F5)</f>
        <v>34.423827731092423</v>
      </c>
      <c r="R5" s="22">
        <f>AVERAGEIFS('Collapsed - Orthotrack outcomes'!W:W,'Collapsed - Orthotrack outcomes'!$I:$I,'NonPivot Summary'!$F5)</f>
        <v>34.408184873949594</v>
      </c>
      <c r="S5" s="22">
        <f>AVERAGEIFS('Collapsed - Orthotrack outcomes'!X:X,'Collapsed - Orthotrack outcomes'!$I:$I,'NonPivot Summary'!$F5)</f>
        <v>15.598710084033611</v>
      </c>
      <c r="T5" s="22">
        <f>AVERAGEIFS('Collapsed - Orthotrack outcomes'!Y:Y,'Collapsed - Orthotrack outcomes'!$I:$I,'NonPivot Summary'!$F5)</f>
        <v>15.843487394957977</v>
      </c>
      <c r="U5" s="22">
        <f>AVERAGEIFS('Collapsed - Orthotrack outcomes'!Z:Z,'Collapsed - Orthotrack outcomes'!$I:$I,'NonPivot Summary'!$F5)</f>
        <v>34.408184873949594</v>
      </c>
      <c r="V5" s="22">
        <f>AVERAGEIFS('Collapsed - Orthotrack outcomes'!AA:AA,'Collapsed - Orthotrack outcomes'!$I:$I,'NonPivot Summary'!$F5)</f>
        <v>34.423827731092423</v>
      </c>
      <c r="W5" s="22">
        <f>AVERAGEIFS('Collapsed - Orthotrack outcomes'!AB:AB,'Collapsed - Orthotrack outcomes'!$I:$I,'NonPivot Summary'!$F5)</f>
        <v>12.145966386554614</v>
      </c>
      <c r="X5" s="22">
        <f>AVERAGEIFS('Collapsed - Orthotrack outcomes'!AC:AC,'Collapsed - Orthotrack outcomes'!$I:$I,'NonPivot Summary'!$F5)</f>
        <v>14.260504201680673</v>
      </c>
      <c r="Y5" s="22">
        <f>AVERAGEIFS('Collapsed - Orthotrack outcomes'!AD:AD,'Collapsed - Orthotrack outcomes'!$I:$I,'NonPivot Summary'!$F5)</f>
        <v>14.214285714285714</v>
      </c>
      <c r="Z5" s="22">
        <f>AVERAGEIFS('Collapsed - Orthotrack outcomes'!AE:AE,'Collapsed - Orthotrack outcomes'!$I:$I,'NonPivot Summary'!$F5)</f>
        <v>13.420168067226891</v>
      </c>
      <c r="AA5" s="22">
        <f>AVERAGEIFS('Collapsed - Orthotrack outcomes'!AF:AF,'Collapsed - Orthotrack outcomes'!$I:$I,'NonPivot Summary'!$F5)</f>
        <v>13.411764705882353</v>
      </c>
    </row>
    <row r="6" spans="1:27" ht="16" x14ac:dyDescent="0.2">
      <c r="F6" s="27" t="s">
        <v>16403</v>
      </c>
      <c r="G6" s="25">
        <f>AVERAGEIFS('Collapsed - Orthotrack outcomes'!L:L,'Collapsed - Orthotrack outcomes'!$I:$I,'NonPivot Summary'!$F6)</f>
        <v>48.718932098765421</v>
      </c>
      <c r="H6" s="25">
        <f>AVERAGEIFS('Collapsed - Orthotrack outcomes'!M:M,'Collapsed - Orthotrack outcomes'!$I:$I,'NonPivot Summary'!$F6)</f>
        <v>49.440722222222242</v>
      </c>
      <c r="I6" s="25">
        <f>AVERAGEIFS('Collapsed - Orthotrack outcomes'!N:N,'Collapsed - Orthotrack outcomes'!$I:$I,'NonPivot Summary'!$F6)</f>
        <v>98.251895061728447</v>
      </c>
      <c r="J6" s="25">
        <f>AVERAGEIFS('Collapsed - Orthotrack outcomes'!O:O,'Collapsed - Orthotrack outcomes'!$I:$I,'NonPivot Summary'!$F6)</f>
        <v>98.288518518518515</v>
      </c>
      <c r="K6" s="25">
        <f>AVERAGEIFS('Collapsed - Orthotrack outcomes'!P:P,'Collapsed - Orthotrack outcomes'!$I:$I,'NonPivot Summary'!$F6)</f>
        <v>89.426771604938267</v>
      </c>
      <c r="L6" s="25">
        <f>AVERAGEIFS('Collapsed - Orthotrack outcomes'!Q:Q,'Collapsed - Orthotrack outcomes'!$I:$I,'NonPivot Summary'!$F6)</f>
        <v>89.557000000000002</v>
      </c>
      <c r="M6" s="25">
        <f>AVERAGEIFS('Collapsed - Orthotrack outcomes'!R:R,'Collapsed - Orthotrack outcomes'!$I:$I,'NonPivot Summary'!$F6)</f>
        <v>118.76357407407406</v>
      </c>
      <c r="N6" s="25">
        <f>AVERAGEIFS('Collapsed - Orthotrack outcomes'!S:S,'Collapsed - Orthotrack outcomes'!$I:$I,'NonPivot Summary'!$F6)</f>
        <v>114.58258024691358</v>
      </c>
      <c r="O6" s="25">
        <f>AVERAGEIFS('Collapsed - Orthotrack outcomes'!T:T,'Collapsed - Orthotrack outcomes'!$I:$I,'NonPivot Summary'!$F6)</f>
        <v>65.066635802469122</v>
      </c>
      <c r="P6" s="25">
        <f>AVERAGEIFS('Collapsed - Orthotrack outcomes'!U:U,'Collapsed - Orthotrack outcomes'!$I:$I,'NonPivot Summary'!$F6)</f>
        <v>60.571401234567915</v>
      </c>
      <c r="Q6" s="25">
        <f>AVERAGEIFS('Collapsed - Orthotrack outcomes'!V:V,'Collapsed - Orthotrack outcomes'!$I:$I,'NonPivot Summary'!$F6)</f>
        <v>34.933370370370362</v>
      </c>
      <c r="R6" s="25">
        <f>AVERAGEIFS('Collapsed - Orthotrack outcomes'!W:W,'Collapsed - Orthotrack outcomes'!$I:$I,'NonPivot Summary'!$F6)</f>
        <v>39.428604938271597</v>
      </c>
      <c r="S6" s="25">
        <f>AVERAGEIFS('Collapsed - Orthotrack outcomes'!X:X,'Collapsed - Orthotrack outcomes'!$I:$I,'NonPivot Summary'!$F6)</f>
        <v>9.1295246913580286</v>
      </c>
      <c r="T6" s="25">
        <f>AVERAGEIFS('Collapsed - Orthotrack outcomes'!Y:Y,'Collapsed - Orthotrack outcomes'!$I:$I,'NonPivot Summary'!$F6)</f>
        <v>9.1758641975308599</v>
      </c>
      <c r="U6" s="25">
        <f>AVERAGEIFS('Collapsed - Orthotrack outcomes'!Z:Z,'Collapsed - Orthotrack outcomes'!$I:$I,'NonPivot Summary'!$F6)</f>
        <v>39.428604938271597</v>
      </c>
      <c r="V6" s="25">
        <f>AVERAGEIFS('Collapsed - Orthotrack outcomes'!AA:AA,'Collapsed - Orthotrack outcomes'!$I:$I,'NonPivot Summary'!$F6)</f>
        <v>34.933370370370362</v>
      </c>
      <c r="W6" s="25">
        <f>AVERAGEIFS('Collapsed - Orthotrack outcomes'!AB:AB,'Collapsed - Orthotrack outcomes'!$I:$I,'NonPivot Summary'!$F6)</f>
        <v>12.624543209876544</v>
      </c>
      <c r="X6" s="25">
        <f>AVERAGEIFS('Collapsed - Orthotrack outcomes'!AC:AC,'Collapsed - Orthotrack outcomes'!$I:$I,'NonPivot Summary'!$F6)</f>
        <v>13.345679012345679</v>
      </c>
      <c r="Y6" s="25">
        <f>AVERAGEIFS('Collapsed - Orthotrack outcomes'!AD:AD,'Collapsed - Orthotrack outcomes'!$I:$I,'NonPivot Summary'!$F6)</f>
        <v>13.160493827160494</v>
      </c>
      <c r="Z6" s="25">
        <f>AVERAGEIFS('Collapsed - Orthotrack outcomes'!AE:AE,'Collapsed - Orthotrack outcomes'!$I:$I,'NonPivot Summary'!$F6)</f>
        <v>12.549382716049383</v>
      </c>
      <c r="AA6" s="25">
        <f>AVERAGEIFS('Collapsed - Orthotrack outcomes'!AF:AF,'Collapsed - Orthotrack outcomes'!$I:$I,'NonPivot Summary'!$F6)</f>
        <v>12.598765432098766</v>
      </c>
    </row>
    <row r="8" spans="1:27" x14ac:dyDescent="0.2">
      <c r="F8" s="27" t="s">
        <v>16476</v>
      </c>
      <c r="G8" s="24" t="s">
        <v>16476</v>
      </c>
      <c r="H8" s="24"/>
      <c r="I8" s="24"/>
      <c r="J8" s="24"/>
      <c r="K8" s="24"/>
      <c r="L8" s="24"/>
      <c r="M8" s="24"/>
      <c r="N8" s="24"/>
      <c r="O8" s="24"/>
      <c r="P8" s="24"/>
      <c r="Q8" s="24"/>
      <c r="R8" s="24"/>
      <c r="S8" s="24"/>
      <c r="T8" s="24"/>
      <c r="U8" s="24"/>
      <c r="V8" s="24"/>
      <c r="W8" s="24"/>
      <c r="X8" s="24"/>
      <c r="Y8" s="24"/>
      <c r="Z8" s="24"/>
      <c r="AA8" s="24"/>
    </row>
    <row r="9" spans="1:27" x14ac:dyDescent="0.2">
      <c r="F9" s="28"/>
      <c r="G9" s="26" t="s">
        <v>50</v>
      </c>
      <c r="H9" s="26" t="s">
        <v>20</v>
      </c>
      <c r="I9" s="26" t="s">
        <v>23</v>
      </c>
      <c r="J9" s="26" t="s">
        <v>22</v>
      </c>
      <c r="K9" s="26" t="s">
        <v>11</v>
      </c>
      <c r="L9" s="26" t="s">
        <v>10</v>
      </c>
      <c r="M9" s="26" t="s">
        <v>9</v>
      </c>
      <c r="N9" s="26" t="s">
        <v>8</v>
      </c>
      <c r="O9" s="26" t="s">
        <v>27</v>
      </c>
      <c r="P9" s="26" t="s">
        <v>26</v>
      </c>
      <c r="Q9" s="26" t="s">
        <v>25</v>
      </c>
      <c r="R9" s="26" t="s">
        <v>24</v>
      </c>
      <c r="S9" s="26" t="s">
        <v>13</v>
      </c>
      <c r="T9" s="26" t="s">
        <v>12</v>
      </c>
      <c r="U9" s="26" t="s">
        <v>19</v>
      </c>
      <c r="V9" s="26" t="s">
        <v>18</v>
      </c>
      <c r="W9" s="26" t="s">
        <v>21</v>
      </c>
      <c r="X9" s="26" t="s">
        <v>15</v>
      </c>
      <c r="Y9" s="26" t="s">
        <v>14</v>
      </c>
      <c r="Z9" s="26" t="s">
        <v>17</v>
      </c>
      <c r="AA9" s="26" t="s">
        <v>16</v>
      </c>
    </row>
    <row r="10" spans="1:27" ht="16" x14ac:dyDescent="0.2">
      <c r="F10" s="27" t="s">
        <v>16404</v>
      </c>
      <c r="G10" s="25">
        <f>DSTDEV('Collapsed - Orthotrack outcomes'!$I:$AF,'NonPivot Summary'!G$9,$A$1:$A$2)</f>
        <v>14.394749290173358</v>
      </c>
      <c r="H10" s="25">
        <f>DSTDEV('Collapsed - Orthotrack outcomes'!$I:$AF,'NonPivot Summary'!H$9,$A$1:$A$2)</f>
        <v>14.280688079700605</v>
      </c>
      <c r="I10" s="25">
        <f>DSTDEV('Collapsed - Orthotrack outcomes'!$I:$AF,'NonPivot Summary'!I$9,$A$1:$A$2)</f>
        <v>28.052022112417522</v>
      </c>
      <c r="J10" s="25">
        <f>DSTDEV('Collapsed - Orthotrack outcomes'!$I:$AF,'NonPivot Summary'!J$9,$A$1:$A$2)</f>
        <v>28.506799356803505</v>
      </c>
      <c r="K10" s="25">
        <f>DSTDEV('Collapsed - Orthotrack outcomes'!$I:$AF,'NonPivot Summary'!K$9,$A$1:$A$2)</f>
        <v>28.961540414885238</v>
      </c>
      <c r="L10" s="25">
        <f>DSTDEV('Collapsed - Orthotrack outcomes'!$I:$AF,'NonPivot Summary'!L$9,$A$1:$A$2)</f>
        <v>29.332880509860818</v>
      </c>
      <c r="M10" s="25">
        <f>DSTDEV('Collapsed - Orthotrack outcomes'!$I:$AF,'NonPivot Summary'!M$9,$A$1:$A$2)</f>
        <v>17.476332456206812</v>
      </c>
      <c r="N10" s="25">
        <f>DSTDEV('Collapsed - Orthotrack outcomes'!$I:$AF,'NonPivot Summary'!N$9,$A$1:$A$2)</f>
        <v>18.342726251178114</v>
      </c>
      <c r="O10" s="25">
        <f>DSTDEV('Collapsed - Orthotrack outcomes'!$I:$AF,'NonPivot Summary'!O$9,$A$1:$A$2)</f>
        <v>3.8319299675628069</v>
      </c>
      <c r="P10" s="25">
        <f>DSTDEV('Collapsed - Orthotrack outcomes'!$I:$AF,'NonPivot Summary'!P$9,$A$1:$A$2)</f>
        <v>5.1394154481060603</v>
      </c>
      <c r="Q10" s="25">
        <f>DSTDEV('Collapsed - Orthotrack outcomes'!$I:$AF,'NonPivot Summary'!Q$9,$A$1:$A$2)</f>
        <v>3.8319372091942094</v>
      </c>
      <c r="R10" s="25">
        <f>DSTDEV('Collapsed - Orthotrack outcomes'!$I:$AF,'NonPivot Summary'!R$9,$A$1:$A$2)</f>
        <v>4.3074026197833435</v>
      </c>
      <c r="S10" s="25">
        <f>DSTDEV('Collapsed - Orthotrack outcomes'!$I:$AF,'NonPivot Summary'!S$9,$A$1:$A$2)</f>
        <v>3.8871547833737314</v>
      </c>
      <c r="T10" s="25">
        <f>DSTDEV('Collapsed - Orthotrack outcomes'!$I:$AF,'NonPivot Summary'!T$9,$A$1:$A$2)</f>
        <v>3.8511196313336042</v>
      </c>
      <c r="U10" s="25">
        <f>DSTDEV('Collapsed - Orthotrack outcomes'!$I:$AF,'NonPivot Summary'!U$9,$A$1:$A$2)</f>
        <v>3.8862252687768075</v>
      </c>
      <c r="V10" s="25">
        <f>DSTDEV('Collapsed - Orthotrack outcomes'!$I:$AF,'NonPivot Summary'!V$9,$A$1:$A$2)</f>
        <v>4.2370255630990066</v>
      </c>
      <c r="W10" s="25">
        <f>DSTDEV('Collapsed - Orthotrack outcomes'!$I:$AF,'NonPivot Summary'!W$9,$A$1:$A$2)</f>
        <v>4.0297275324710355</v>
      </c>
      <c r="X10" s="25">
        <f>DSTDEV('Collapsed - Orthotrack outcomes'!$I:$AF,'NonPivot Summary'!X$9,$A$1:$A$2)</f>
        <v>4.7470456359780986</v>
      </c>
      <c r="Y10" s="25">
        <f>DSTDEV('Collapsed - Orthotrack outcomes'!$I:$AF,'NonPivot Summary'!Y$9,$A$1:$A$2)</f>
        <v>4.655552415928315</v>
      </c>
      <c r="Z10" s="25">
        <f>DSTDEV('Collapsed - Orthotrack outcomes'!$I:$AF,'NonPivot Summary'!Z$9,$A$1:$A$2)</f>
        <v>4.6638952940179887</v>
      </c>
      <c r="AA10" s="25">
        <f>DSTDEV('Collapsed - Orthotrack outcomes'!$I:$AF,'NonPivot Summary'!AA$9,$A$1:$A$2)</f>
        <v>4.6598072926050245</v>
      </c>
    </row>
    <row r="11" spans="1:27" ht="16" x14ac:dyDescent="0.2">
      <c r="F11" s="27" t="s">
        <v>16407</v>
      </c>
      <c r="G11" s="22">
        <f>DSTDEV('Collapsed - Orthotrack outcomes'!$I:$AF,'NonPivot Summary'!G$9,$B$1:$B$2)</f>
        <v>13.186354819975501</v>
      </c>
      <c r="H11" s="22">
        <f>DSTDEV('Collapsed - Orthotrack outcomes'!$I:$AF,'NonPivot Summary'!H$9,$B$1:$B$2)</f>
        <v>13.562892517226505</v>
      </c>
      <c r="I11" s="22">
        <f>DSTDEV('Collapsed - Orthotrack outcomes'!$I:$AF,'NonPivot Summary'!I$9,$B$1:$B$2)</f>
        <v>26.314672150890328</v>
      </c>
      <c r="J11" s="22">
        <f>DSTDEV('Collapsed - Orthotrack outcomes'!$I:$AF,'NonPivot Summary'!J$9,$B$1:$B$2)</f>
        <v>26.381834714586887</v>
      </c>
      <c r="K11" s="22">
        <f>DSTDEV('Collapsed - Orthotrack outcomes'!$I:$AF,'NonPivot Summary'!K$9,$B$1:$B$2)</f>
        <v>29.992396326743251</v>
      </c>
      <c r="L11" s="22">
        <f>DSTDEV('Collapsed - Orthotrack outcomes'!$I:$AF,'NonPivot Summary'!L$9,$B$1:$B$2)</f>
        <v>29.965468103658043</v>
      </c>
      <c r="M11" s="22">
        <f>DSTDEV('Collapsed - Orthotrack outcomes'!$I:$AF,'NonPivot Summary'!M$9,$B$1:$B$2)</f>
        <v>17.05722037684556</v>
      </c>
      <c r="N11" s="22">
        <f>DSTDEV('Collapsed - Orthotrack outcomes'!$I:$AF,'NonPivot Summary'!N$9,$B$1:$B$2)</f>
        <v>17.191482855407408</v>
      </c>
      <c r="O11" s="22">
        <f>DSTDEV('Collapsed - Orthotrack outcomes'!$I:$AF,'NonPivot Summary'!O$9,$B$1:$B$2)</f>
        <v>4.5342433961540296</v>
      </c>
      <c r="P11" s="22">
        <f>DSTDEV('Collapsed - Orthotrack outcomes'!$I:$AF,'NonPivot Summary'!P$9,$B$1:$B$2)</f>
        <v>4.9915825728010041</v>
      </c>
      <c r="Q11" s="22">
        <f>DSTDEV('Collapsed - Orthotrack outcomes'!$I:$AF,'NonPivot Summary'!Q$9,$B$1:$B$2)</f>
        <v>4.5342492593290062</v>
      </c>
      <c r="R11" s="22">
        <f>DSTDEV('Collapsed - Orthotrack outcomes'!$I:$AF,'NonPivot Summary'!R$9,$B$1:$B$2)</f>
        <v>4.9915824519843861</v>
      </c>
      <c r="S11" s="22">
        <f>DSTDEV('Collapsed - Orthotrack outcomes'!$I:$AF,'NonPivot Summary'!S$9,$B$1:$B$2)</f>
        <v>4.4909286697116473</v>
      </c>
      <c r="T11" s="22">
        <f>DSTDEV('Collapsed - Orthotrack outcomes'!$I:$AF,'NonPivot Summary'!T$9,$B$1:$B$2)</f>
        <v>5.3172576334372543</v>
      </c>
      <c r="U11" s="22">
        <f>DSTDEV('Collapsed - Orthotrack outcomes'!$I:$AF,'NonPivot Summary'!U$9,$B$1:$B$2)</f>
        <v>4.9915824519843861</v>
      </c>
      <c r="V11" s="22">
        <f>DSTDEV('Collapsed - Orthotrack outcomes'!$I:$AF,'NonPivot Summary'!V$9,$B$1:$B$2)</f>
        <v>4.5342492593290062</v>
      </c>
      <c r="W11" s="22">
        <f>DSTDEV('Collapsed - Orthotrack outcomes'!$I:$AF,'NonPivot Summary'!W$9,$B$1:$B$2)</f>
        <v>4.2549446538473612</v>
      </c>
      <c r="X11" s="22">
        <f>DSTDEV('Collapsed - Orthotrack outcomes'!$I:$AF,'NonPivot Summary'!X$9,$B$1:$B$2)</f>
        <v>4.164268713942846</v>
      </c>
      <c r="Y11" s="22">
        <f>DSTDEV('Collapsed - Orthotrack outcomes'!$I:$AF,'NonPivot Summary'!Y$9,$B$1:$B$2)</f>
        <v>4.2842422627722829</v>
      </c>
      <c r="Z11" s="22">
        <f>DSTDEV('Collapsed - Orthotrack outcomes'!$I:$AF,'NonPivot Summary'!Z$9,$B$1:$B$2)</f>
        <v>4.085573669378773</v>
      </c>
      <c r="AA11" s="22">
        <f>DSTDEV('Collapsed - Orthotrack outcomes'!$I:$AF,'NonPivot Summary'!AA$9,$B$1:$B$2)</f>
        <v>4.0729876130798406</v>
      </c>
    </row>
    <row r="12" spans="1:27" ht="16" x14ac:dyDescent="0.2">
      <c r="F12" s="27" t="s">
        <v>16403</v>
      </c>
      <c r="G12" s="25">
        <f>DSTDEV('Collapsed - Orthotrack outcomes'!$I:$AF,'NonPivot Summary'!G$9,$C$1:$C$2)</f>
        <v>13.409598746724527</v>
      </c>
      <c r="H12" s="25">
        <f>DSTDEV('Collapsed - Orthotrack outcomes'!$I:$AF,'NonPivot Summary'!H$9,$C$1:$C$2)</f>
        <v>13.215348406538904</v>
      </c>
      <c r="I12" s="25">
        <f>DSTDEV('Collapsed - Orthotrack outcomes'!$I:$AF,'NonPivot Summary'!I$9,$C$1:$C$2)</f>
        <v>26.42106585288662</v>
      </c>
      <c r="J12" s="25">
        <f>DSTDEV('Collapsed - Orthotrack outcomes'!$I:$AF,'NonPivot Summary'!J$9,$C$1:$C$2)</f>
        <v>26.227014529075706</v>
      </c>
      <c r="K12" s="25">
        <f>DSTDEV('Collapsed - Orthotrack outcomes'!$I:$AF,'NonPivot Summary'!K$9,$C$1:$C$2)</f>
        <v>27.667483530720066</v>
      </c>
      <c r="L12" s="25">
        <f>DSTDEV('Collapsed - Orthotrack outcomes'!$I:$AF,'NonPivot Summary'!L$9,$C$1:$C$2)</f>
        <v>27.713421230482059</v>
      </c>
      <c r="M12" s="25">
        <f>DSTDEV('Collapsed - Orthotrack outcomes'!$I:$AF,'NonPivot Summary'!M$9,$C$1:$C$2)</f>
        <v>130.58932633862244</v>
      </c>
      <c r="N12" s="25">
        <f>DSTDEV('Collapsed - Orthotrack outcomes'!$I:$AF,'NonPivot Summary'!N$9,$C$1:$C$2)</f>
        <v>78.11076935768078</v>
      </c>
      <c r="O12" s="25">
        <f>DSTDEV('Collapsed - Orthotrack outcomes'!$I:$AF,'NonPivot Summary'!O$9,$C$1:$C$2)</f>
        <v>11.492029789388967</v>
      </c>
      <c r="P12" s="25">
        <f>DSTDEV('Collapsed - Orthotrack outcomes'!$I:$AF,'NonPivot Summary'!P$9,$C$1:$C$2)</f>
        <v>45.000735260033224</v>
      </c>
      <c r="Q12" s="25">
        <f>DSTDEV('Collapsed - Orthotrack outcomes'!$I:$AF,'NonPivot Summary'!Q$9,$C$1:$C$2)</f>
        <v>11.491877266862558</v>
      </c>
      <c r="R12" s="25">
        <f>DSTDEV('Collapsed - Orthotrack outcomes'!$I:$AF,'NonPivot Summary'!R$9,$C$1:$C$2)</f>
        <v>45.000894506824942</v>
      </c>
      <c r="S12" s="25">
        <f>DSTDEV('Collapsed - Orthotrack outcomes'!$I:$AF,'NonPivot Summary'!S$9,$C$1:$C$2)</f>
        <v>64.452285855237321</v>
      </c>
      <c r="T12" s="25">
        <f>DSTDEV('Collapsed - Orthotrack outcomes'!$I:$AF,'NonPivot Summary'!T$9,$C$1:$C$2)</f>
        <v>66.727141146027051</v>
      </c>
      <c r="U12" s="25">
        <f>DSTDEV('Collapsed - Orthotrack outcomes'!$I:$AF,'NonPivot Summary'!U$9,$C$1:$C$2)</f>
        <v>45.000894506824942</v>
      </c>
      <c r="V12" s="25">
        <f>DSTDEV('Collapsed - Orthotrack outcomes'!$I:$AF,'NonPivot Summary'!V$9,$C$1:$C$2)</f>
        <v>11.491877266862558</v>
      </c>
      <c r="W12" s="25">
        <f>DSTDEV('Collapsed - Orthotrack outcomes'!$I:$AF,'NonPivot Summary'!W$9,$C$1:$C$2)</f>
        <v>3.7177364115912739</v>
      </c>
      <c r="X12" s="25">
        <f>DSTDEV('Collapsed - Orthotrack outcomes'!$I:$AF,'NonPivot Summary'!X$9,$C$1:$C$2)</f>
        <v>4.1588355209259937</v>
      </c>
      <c r="Y12" s="25">
        <f>DSTDEV('Collapsed - Orthotrack outcomes'!$I:$AF,'NonPivot Summary'!Y$9,$C$1:$C$2)</f>
        <v>4.1612133625938945</v>
      </c>
      <c r="Z12" s="25">
        <f>DSTDEV('Collapsed - Orthotrack outcomes'!$I:$AF,'NonPivot Summary'!Z$9,$C$1:$C$2)</f>
        <v>4.0093872289911765</v>
      </c>
      <c r="AA12" s="25">
        <f>DSTDEV('Collapsed - Orthotrack outcomes'!$I:$AF,'NonPivot Summary'!AA$9,$C$1:$C$2)</f>
        <v>4.031644820300829</v>
      </c>
    </row>
    <row r="14" spans="1:27" x14ac:dyDescent="0.2">
      <c r="F14" s="28" t="s">
        <v>5</v>
      </c>
      <c r="G14" s="26" t="s">
        <v>16480</v>
      </c>
      <c r="H14" s="26" t="s">
        <v>16481</v>
      </c>
      <c r="I14" s="26" t="s">
        <v>16482</v>
      </c>
    </row>
    <row r="15" spans="1:27" ht="16" x14ac:dyDescent="0.2">
      <c r="F15" s="27" t="s">
        <v>16404</v>
      </c>
      <c r="G15" s="25">
        <f>COUNTIFS('Collapsed - Orthotrack outcomes'!$I:$I,'NonPivot Summary'!$F15,'Collapsed - Orthotrack outcomes'!L:L,"&lt;&gt;NA")</f>
        <v>365</v>
      </c>
      <c r="H15" s="25">
        <f>COUNTIFS('Collapsed - Orthotrack outcomes'!$I:$I,'NonPivot Summary'!$F15)</f>
        <v>448</v>
      </c>
      <c r="I15" s="25">
        <f>H15-G15</f>
        <v>83</v>
      </c>
    </row>
    <row r="16" spans="1:27" ht="16" x14ac:dyDescent="0.2">
      <c r="F16" s="27" t="s">
        <v>16407</v>
      </c>
      <c r="G16" s="22">
        <f>COUNTIFS('Collapsed - Orthotrack outcomes'!$I:$I,'NonPivot Summary'!$F16,'Collapsed - Orthotrack outcomes'!L:L,"&lt;&gt;NA")</f>
        <v>238</v>
      </c>
      <c r="H16" s="22">
        <f>COUNTIFS('Collapsed - Orthotrack outcomes'!$I:$I,'NonPivot Summary'!$F16)</f>
        <v>297</v>
      </c>
      <c r="I16" s="22">
        <f t="shared" ref="I16:I17" si="0">H16-G16</f>
        <v>59</v>
      </c>
    </row>
    <row r="17" spans="4:27" ht="16" x14ac:dyDescent="0.2">
      <c r="F17" s="27" t="s">
        <v>16403</v>
      </c>
      <c r="G17" s="25">
        <f>COUNTIFS('Collapsed - Orthotrack outcomes'!$I:$I,'NonPivot Summary'!$F17,'Collapsed - Orthotrack outcomes'!L:L,"&lt;&gt;NA")</f>
        <v>162</v>
      </c>
      <c r="H17" s="25">
        <f>COUNTIFS('Collapsed - Orthotrack outcomes'!$I:$I,'NonPivot Summary'!$F17)</f>
        <v>208</v>
      </c>
      <c r="I17" s="25">
        <f t="shared" si="0"/>
        <v>46</v>
      </c>
    </row>
    <row r="18" spans="4:27" s="32" customFormat="1" x14ac:dyDescent="0.2"/>
    <row r="19" spans="4:27" x14ac:dyDescent="0.2">
      <c r="F19" s="27" t="s">
        <v>6</v>
      </c>
      <c r="G19" s="24" t="s">
        <v>6</v>
      </c>
      <c r="H19" s="24"/>
      <c r="I19" s="24"/>
      <c r="J19" s="24"/>
      <c r="K19" s="24"/>
      <c r="L19" s="24"/>
      <c r="M19" s="24"/>
      <c r="N19" s="24"/>
      <c r="O19" s="24"/>
      <c r="P19" s="24"/>
      <c r="Q19" s="24"/>
      <c r="R19" s="24"/>
      <c r="S19" s="24"/>
      <c r="T19" s="24"/>
      <c r="U19" s="24"/>
      <c r="V19" s="24"/>
      <c r="W19" s="24"/>
      <c r="X19" s="24"/>
      <c r="Y19" s="24"/>
      <c r="Z19" s="24"/>
      <c r="AA19" s="24"/>
    </row>
    <row r="20" spans="4:27" ht="16" x14ac:dyDescent="0.2">
      <c r="D20" s="13"/>
      <c r="E20" s="13"/>
      <c r="F20" s="28"/>
      <c r="G20" s="26" t="s">
        <v>50</v>
      </c>
      <c r="H20" s="26" t="s">
        <v>20</v>
      </c>
      <c r="I20" s="26" t="s">
        <v>23</v>
      </c>
      <c r="J20" s="26" t="s">
        <v>22</v>
      </c>
      <c r="K20" s="26" t="s">
        <v>11</v>
      </c>
      <c r="L20" s="26" t="s">
        <v>10</v>
      </c>
      <c r="M20" s="26" t="s">
        <v>9</v>
      </c>
      <c r="N20" s="26" t="s">
        <v>8</v>
      </c>
      <c r="O20" s="26" t="s">
        <v>27</v>
      </c>
      <c r="P20" s="26" t="s">
        <v>26</v>
      </c>
      <c r="Q20" s="26" t="s">
        <v>25</v>
      </c>
      <c r="R20" s="26" t="s">
        <v>24</v>
      </c>
      <c r="S20" s="26" t="s">
        <v>13</v>
      </c>
      <c r="T20" s="26" t="s">
        <v>12</v>
      </c>
      <c r="U20" s="26" t="s">
        <v>19</v>
      </c>
      <c r="V20" s="26" t="s">
        <v>18</v>
      </c>
      <c r="W20" s="26" t="s">
        <v>21</v>
      </c>
      <c r="X20" s="26" t="s">
        <v>15</v>
      </c>
      <c r="Y20" s="26" t="s">
        <v>14</v>
      </c>
      <c r="Z20" s="26" t="s">
        <v>17</v>
      </c>
      <c r="AA20" s="26" t="s">
        <v>16</v>
      </c>
    </row>
    <row r="21" spans="4:27" ht="16" x14ac:dyDescent="0.2">
      <c r="D21" s="13">
        <v>0</v>
      </c>
      <c r="E21" s="13">
        <v>10</v>
      </c>
      <c r="F21" s="27" t="s">
        <v>16466</v>
      </c>
      <c r="G21" s="25">
        <f>AVERAGEIFS('Collapsed - Orthotrack outcomes'!L:L,'Collapsed - Orthotrack outcomes'!$H:$H,"&gt;="&amp;$D21,'Collapsed - Orthotrack outcomes'!$H:$H,"&lt;"&amp;$E21)</f>
        <v>45.584000000000003</v>
      </c>
      <c r="H21" s="25">
        <f>AVERAGEIFS('Collapsed - Orthotrack outcomes'!M:M,'Collapsed - Orthotrack outcomes'!$H:$H,"&gt;="&amp;$D21,'Collapsed - Orthotrack outcomes'!$H:$H,"&lt;"&amp;$E21)</f>
        <v>39.342500000000001</v>
      </c>
      <c r="I21" s="25">
        <f>AVERAGEIFS('Collapsed - Orthotrack outcomes'!N:N,'Collapsed - Orthotrack outcomes'!$H:$H,"&gt;="&amp;$D21,'Collapsed - Orthotrack outcomes'!$H:$H,"&lt;"&amp;$E21)</f>
        <v>84.891500000000008</v>
      </c>
      <c r="J21" s="25">
        <f>AVERAGEIFS('Collapsed - Orthotrack outcomes'!O:O,'Collapsed - Orthotrack outcomes'!$H:$H,"&gt;="&amp;$D21,'Collapsed - Orthotrack outcomes'!$H:$H,"&lt;"&amp;$E21)</f>
        <v>85.138000000000005</v>
      </c>
      <c r="K21" s="25">
        <f>AVERAGEIFS('Collapsed - Orthotrack outcomes'!P:P,'Collapsed - Orthotrack outcomes'!$H:$H,"&gt;="&amp;$D21,'Collapsed - Orthotrack outcomes'!$H:$H,"&lt;"&amp;$E21)</f>
        <v>72.485500000000002</v>
      </c>
      <c r="L21" s="25">
        <f>AVERAGEIFS('Collapsed - Orthotrack outcomes'!Q:Q,'Collapsed - Orthotrack outcomes'!$H:$H,"&gt;="&amp;$D21,'Collapsed - Orthotrack outcomes'!$H:$H,"&lt;"&amp;$E21)</f>
        <v>72.384500000000003</v>
      </c>
      <c r="M21" s="25">
        <f>AVERAGEIFS('Collapsed - Orthotrack outcomes'!R:R,'Collapsed - Orthotrack outcomes'!$H:$H,"&gt;="&amp;$D21,'Collapsed - Orthotrack outcomes'!$H:$H,"&lt;"&amp;$E21)</f>
        <v>103.2535</v>
      </c>
      <c r="N21" s="25">
        <f>AVERAGEIFS('Collapsed - Orthotrack outcomes'!S:S,'Collapsed - Orthotrack outcomes'!$H:$H,"&gt;="&amp;$D21,'Collapsed - Orthotrack outcomes'!$H:$H,"&lt;"&amp;$E21)</f>
        <v>103.72450000000001</v>
      </c>
      <c r="O21" s="25">
        <f>AVERAGEIFS('Collapsed - Orthotrack outcomes'!T:T,'Collapsed - Orthotrack outcomes'!$H:$H,"&gt;="&amp;$D21,'Collapsed - Orthotrack outcomes'!$H:$H,"&lt;"&amp;$E21)</f>
        <v>68.352499999999992</v>
      </c>
      <c r="P21" s="25">
        <f>AVERAGEIFS('Collapsed - Orthotrack outcomes'!U:U,'Collapsed - Orthotrack outcomes'!$H:$H,"&gt;="&amp;$D21,'Collapsed - Orthotrack outcomes'!$H:$H,"&lt;"&amp;$E21)</f>
        <v>65.627499999999998</v>
      </c>
      <c r="Q21" s="25">
        <f>AVERAGEIFS('Collapsed - Orthotrack outcomes'!V:V,'Collapsed - Orthotrack outcomes'!$H:$H,"&gt;="&amp;$D21,'Collapsed - Orthotrack outcomes'!$H:$H,"&lt;"&amp;$E21)</f>
        <v>31.647500000000001</v>
      </c>
      <c r="R21" s="25">
        <f>AVERAGEIFS('Collapsed - Orthotrack outcomes'!W:W,'Collapsed - Orthotrack outcomes'!$H:$H,"&gt;="&amp;$D21,'Collapsed - Orthotrack outcomes'!$H:$H,"&lt;"&amp;$E21)</f>
        <v>34.372500000000002</v>
      </c>
      <c r="S21" s="25">
        <f>AVERAGEIFS('Collapsed - Orthotrack outcomes'!X:X,'Collapsed - Orthotrack outcomes'!$H:$H,"&gt;="&amp;$D21,'Collapsed - Orthotrack outcomes'!$H:$H,"&lt;"&amp;$E21)</f>
        <v>16.91</v>
      </c>
      <c r="T21" s="25">
        <f>AVERAGEIFS('Collapsed - Orthotrack outcomes'!Y:Y,'Collapsed - Orthotrack outcomes'!$H:$H,"&gt;="&amp;$D21,'Collapsed - Orthotrack outcomes'!$H:$H,"&lt;"&amp;$E21)</f>
        <v>16.3445</v>
      </c>
      <c r="U21" s="25">
        <f>AVERAGEIFS('Collapsed - Orthotrack outcomes'!Z:Z,'Collapsed - Orthotrack outcomes'!$H:$H,"&gt;="&amp;$D21,'Collapsed - Orthotrack outcomes'!$H:$H,"&lt;"&amp;$E21)</f>
        <v>34.372500000000002</v>
      </c>
      <c r="V21" s="25">
        <f>AVERAGEIFS('Collapsed - Orthotrack outcomes'!AA:AA,'Collapsed - Orthotrack outcomes'!$H:$H,"&gt;="&amp;$D21,'Collapsed - Orthotrack outcomes'!$H:$H,"&lt;"&amp;$E21)</f>
        <v>31.647500000000001</v>
      </c>
      <c r="W21" s="25">
        <f>AVERAGEIFS('Collapsed - Orthotrack outcomes'!AB:AB,'Collapsed - Orthotrack outcomes'!$H:$H,"&gt;="&amp;$D21,'Collapsed - Orthotrack outcomes'!$H:$H,"&lt;"&amp;$E21)</f>
        <v>14.536999999999999</v>
      </c>
      <c r="X21" s="25">
        <f>AVERAGEIFS('Collapsed - Orthotrack outcomes'!AC:AC,'Collapsed - Orthotrack outcomes'!$H:$H,"&gt;="&amp;$D21,'Collapsed - Orthotrack outcomes'!$H:$H,"&lt;"&amp;$E21)</f>
        <v>12</v>
      </c>
      <c r="Y21" s="25">
        <f>AVERAGEIFS('Collapsed - Orthotrack outcomes'!AD:AD,'Collapsed - Orthotrack outcomes'!$H:$H,"&gt;="&amp;$D21,'Collapsed - Orthotrack outcomes'!$H:$H,"&lt;"&amp;$E21)</f>
        <v>12</v>
      </c>
      <c r="Z21" s="25">
        <f>AVERAGEIFS('Collapsed - Orthotrack outcomes'!AE:AE,'Collapsed - Orthotrack outcomes'!$H:$H,"&gt;="&amp;$D21,'Collapsed - Orthotrack outcomes'!$H:$H,"&lt;"&amp;$E21)</f>
        <v>11.5</v>
      </c>
      <c r="AA21" s="25">
        <f>AVERAGEIFS('Collapsed - Orthotrack outcomes'!AF:AF,'Collapsed - Orthotrack outcomes'!$H:$H,"&gt;="&amp;$D21,'Collapsed - Orthotrack outcomes'!$H:$H,"&lt;"&amp;$E21)</f>
        <v>11.5</v>
      </c>
    </row>
    <row r="22" spans="4:27" ht="16" x14ac:dyDescent="0.2">
      <c r="D22" s="13">
        <v>10</v>
      </c>
      <c r="E22" s="13">
        <v>20</v>
      </c>
      <c r="F22" s="27" t="s">
        <v>16467</v>
      </c>
      <c r="G22" s="22">
        <f>AVERAGEIFS('Collapsed - Orthotrack outcomes'!L:L,'Collapsed - Orthotrack outcomes'!$H:$H,"&gt;="&amp;$D22,'Collapsed - Orthotrack outcomes'!$H:$H,"&lt;"&amp;$E22)</f>
        <v>63.201999999999998</v>
      </c>
      <c r="H22" s="22">
        <f>AVERAGEIFS('Collapsed - Orthotrack outcomes'!M:M,'Collapsed - Orthotrack outcomes'!$H:$H,"&gt;="&amp;$D22,'Collapsed - Orthotrack outcomes'!$H:$H,"&lt;"&amp;$E22)</f>
        <v>65.960999999999999</v>
      </c>
      <c r="I22" s="22">
        <f>AVERAGEIFS('Collapsed - Orthotrack outcomes'!N:N,'Collapsed - Orthotrack outcomes'!$H:$H,"&gt;="&amp;$D22,'Collapsed - Orthotrack outcomes'!$H:$H,"&lt;"&amp;$E22)</f>
        <v>129.27233333333334</v>
      </c>
      <c r="J22" s="22">
        <f>AVERAGEIFS('Collapsed - Orthotrack outcomes'!O:O,'Collapsed - Orthotrack outcomes'!$H:$H,"&gt;="&amp;$D22,'Collapsed - Orthotrack outcomes'!$H:$H,"&lt;"&amp;$E22)</f>
        <v>127.75999999999999</v>
      </c>
      <c r="K22" s="22">
        <f>AVERAGEIFS('Collapsed - Orthotrack outcomes'!P:P,'Collapsed - Orthotrack outcomes'!$H:$H,"&gt;="&amp;$D22,'Collapsed - Orthotrack outcomes'!$H:$H,"&lt;"&amp;$E22)</f>
        <v>117.76966666666668</v>
      </c>
      <c r="L22" s="22">
        <f>AVERAGEIFS('Collapsed - Orthotrack outcomes'!Q:Q,'Collapsed - Orthotrack outcomes'!$H:$H,"&gt;="&amp;$D22,'Collapsed - Orthotrack outcomes'!$H:$H,"&lt;"&amp;$E22)</f>
        <v>116.12533333333333</v>
      </c>
      <c r="M22" s="22">
        <f>AVERAGEIFS('Collapsed - Orthotrack outcomes'!R:R,'Collapsed - Orthotrack outcomes'!$H:$H,"&gt;="&amp;$D22,'Collapsed - Orthotrack outcomes'!$H:$H,"&lt;"&amp;$E22)</f>
        <v>109.19666666666666</v>
      </c>
      <c r="N22" s="22">
        <f>AVERAGEIFS('Collapsed - Orthotrack outcomes'!S:S,'Collapsed - Orthotrack outcomes'!$H:$H,"&gt;="&amp;$D22,'Collapsed - Orthotrack outcomes'!$H:$H,"&lt;"&amp;$E22)</f>
        <v>109.16966666666667</v>
      </c>
      <c r="O22" s="22">
        <f>AVERAGEIFS('Collapsed - Orthotrack outcomes'!T:T,'Collapsed - Orthotrack outcomes'!$H:$H,"&gt;="&amp;$D22,'Collapsed - Orthotrack outcomes'!$H:$H,"&lt;"&amp;$E22)</f>
        <v>63.123333333333335</v>
      </c>
      <c r="P22" s="22">
        <f>AVERAGEIFS('Collapsed - Orthotrack outcomes'!U:U,'Collapsed - Orthotrack outcomes'!$H:$H,"&gt;="&amp;$D22,'Collapsed - Orthotrack outcomes'!$H:$H,"&lt;"&amp;$E22)</f>
        <v>63.078333333333326</v>
      </c>
      <c r="Q22" s="22">
        <f>AVERAGEIFS('Collapsed - Orthotrack outcomes'!V:V,'Collapsed - Orthotrack outcomes'!$H:$H,"&gt;="&amp;$D22,'Collapsed - Orthotrack outcomes'!$H:$H,"&lt;"&amp;$E22)</f>
        <v>36.876666666666665</v>
      </c>
      <c r="R22" s="22">
        <f>AVERAGEIFS('Collapsed - Orthotrack outcomes'!W:W,'Collapsed - Orthotrack outcomes'!$H:$H,"&gt;="&amp;$D22,'Collapsed - Orthotrack outcomes'!$H:$H,"&lt;"&amp;$E22)</f>
        <v>36.921666666666674</v>
      </c>
      <c r="S22" s="22">
        <f>AVERAGEIFS('Collapsed - Orthotrack outcomes'!X:X,'Collapsed - Orthotrack outcomes'!$H:$H,"&gt;="&amp;$D22,'Collapsed - Orthotrack outcomes'!$H:$H,"&lt;"&amp;$E22)</f>
        <v>13.430999999999999</v>
      </c>
      <c r="T22" s="22">
        <f>AVERAGEIFS('Collapsed - Orthotrack outcomes'!Y:Y,'Collapsed - Orthotrack outcomes'!$H:$H,"&gt;="&amp;$D22,'Collapsed - Orthotrack outcomes'!$H:$H,"&lt;"&amp;$E22)</f>
        <v>13.076666666666666</v>
      </c>
      <c r="U22" s="22">
        <f>AVERAGEIFS('Collapsed - Orthotrack outcomes'!Z:Z,'Collapsed - Orthotrack outcomes'!$H:$H,"&gt;="&amp;$D22,'Collapsed - Orthotrack outcomes'!$H:$H,"&lt;"&amp;$E22)</f>
        <v>36.921666666666674</v>
      </c>
      <c r="V22" s="22">
        <f>AVERAGEIFS('Collapsed - Orthotrack outcomes'!AA:AA,'Collapsed - Orthotrack outcomes'!$H:$H,"&gt;="&amp;$D22,'Collapsed - Orthotrack outcomes'!$H:$H,"&lt;"&amp;$E22)</f>
        <v>36.876666666666665</v>
      </c>
      <c r="W22" s="22">
        <f>AVERAGEIFS('Collapsed - Orthotrack outcomes'!AB:AB,'Collapsed - Orthotrack outcomes'!$H:$H,"&gt;="&amp;$D22,'Collapsed - Orthotrack outcomes'!$H:$H,"&lt;"&amp;$E22)</f>
        <v>12.348999999999998</v>
      </c>
      <c r="X22" s="22">
        <f>AVERAGEIFS('Collapsed - Orthotrack outcomes'!AC:AC,'Collapsed - Orthotrack outcomes'!$H:$H,"&gt;="&amp;$D22,'Collapsed - Orthotrack outcomes'!$H:$H,"&lt;"&amp;$E22)</f>
        <v>15</v>
      </c>
      <c r="Y22" s="22">
        <f>AVERAGEIFS('Collapsed - Orthotrack outcomes'!AD:AD,'Collapsed - Orthotrack outcomes'!$H:$H,"&gt;="&amp;$D22,'Collapsed - Orthotrack outcomes'!$H:$H,"&lt;"&amp;$E22)</f>
        <v>13.666666666666666</v>
      </c>
      <c r="Z22" s="22">
        <f>AVERAGEIFS('Collapsed - Orthotrack outcomes'!AE:AE,'Collapsed - Orthotrack outcomes'!$H:$H,"&gt;="&amp;$D22,'Collapsed - Orthotrack outcomes'!$H:$H,"&lt;"&amp;$E22)</f>
        <v>13.666666666666666</v>
      </c>
      <c r="AA22" s="22">
        <f>AVERAGEIFS('Collapsed - Orthotrack outcomes'!AF:AF,'Collapsed - Orthotrack outcomes'!$H:$H,"&gt;="&amp;$D22,'Collapsed - Orthotrack outcomes'!$H:$H,"&lt;"&amp;$E22)</f>
        <v>13.666666666666666</v>
      </c>
    </row>
    <row r="23" spans="4:27" ht="16" x14ac:dyDescent="0.2">
      <c r="D23" s="13">
        <f>E22</f>
        <v>20</v>
      </c>
      <c r="E23" s="13">
        <f>E22+10</f>
        <v>30</v>
      </c>
      <c r="F23" s="27" t="s">
        <v>16468</v>
      </c>
      <c r="G23" s="25">
        <f>AVERAGEIFS('Collapsed - Orthotrack outcomes'!L:L,'Collapsed - Orthotrack outcomes'!$H:$H,"&gt;="&amp;$D23,'Collapsed - Orthotrack outcomes'!$H:$H,"&lt;"&amp;$E23)</f>
        <v>53.389230769230757</v>
      </c>
      <c r="H23" s="25">
        <f>AVERAGEIFS('Collapsed - Orthotrack outcomes'!M:M,'Collapsed - Orthotrack outcomes'!$H:$H,"&gt;="&amp;$D23,'Collapsed - Orthotrack outcomes'!$H:$H,"&lt;"&amp;$E23)</f>
        <v>51.114692307692309</v>
      </c>
      <c r="I23" s="25">
        <f>AVERAGEIFS('Collapsed - Orthotrack outcomes'!N:N,'Collapsed - Orthotrack outcomes'!$H:$H,"&gt;="&amp;$D23,'Collapsed - Orthotrack outcomes'!$H:$H,"&lt;"&amp;$E23)</f>
        <v>104.95792307692308</v>
      </c>
      <c r="J23" s="25">
        <f>AVERAGEIFS('Collapsed - Orthotrack outcomes'!O:O,'Collapsed - Orthotrack outcomes'!$H:$H,"&gt;="&amp;$D23,'Collapsed - Orthotrack outcomes'!$H:$H,"&lt;"&amp;$E23)</f>
        <v>104.76184615384612</v>
      </c>
      <c r="K23" s="25">
        <f>AVERAGEIFS('Collapsed - Orthotrack outcomes'!P:P,'Collapsed - Orthotrack outcomes'!$H:$H,"&gt;="&amp;$D23,'Collapsed - Orthotrack outcomes'!$H:$H,"&lt;"&amp;$E23)</f>
        <v>90.66707692307692</v>
      </c>
      <c r="L23" s="25">
        <f>AVERAGEIFS('Collapsed - Orthotrack outcomes'!Q:Q,'Collapsed - Orthotrack outcomes'!$H:$H,"&gt;="&amp;$D23,'Collapsed - Orthotrack outcomes'!$H:$H,"&lt;"&amp;$E23)</f>
        <v>90.629230769230773</v>
      </c>
      <c r="M23" s="25">
        <f>AVERAGEIFS('Collapsed - Orthotrack outcomes'!R:R,'Collapsed - Orthotrack outcomes'!$H:$H,"&gt;="&amp;$D23,'Collapsed - Orthotrack outcomes'!$H:$H,"&lt;"&amp;$E23)</f>
        <v>102.01769230769231</v>
      </c>
      <c r="N23" s="25">
        <f>AVERAGEIFS('Collapsed - Orthotrack outcomes'!S:S,'Collapsed - Orthotrack outcomes'!$H:$H,"&gt;="&amp;$D23,'Collapsed - Orthotrack outcomes'!$H:$H,"&lt;"&amp;$E23)</f>
        <v>101.83246153846153</v>
      </c>
      <c r="O23" s="25">
        <f>AVERAGEIFS('Collapsed - Orthotrack outcomes'!T:T,'Collapsed - Orthotrack outcomes'!$H:$H,"&gt;="&amp;$D23,'Collapsed - Orthotrack outcomes'!$H:$H,"&lt;"&amp;$E23)</f>
        <v>63.310615384615389</v>
      </c>
      <c r="P23" s="25">
        <f>AVERAGEIFS('Collapsed - Orthotrack outcomes'!U:U,'Collapsed - Orthotrack outcomes'!$H:$H,"&gt;="&amp;$D23,'Collapsed - Orthotrack outcomes'!$H:$H,"&lt;"&amp;$E23)</f>
        <v>63.932615384615389</v>
      </c>
      <c r="Q23" s="25">
        <f>AVERAGEIFS('Collapsed - Orthotrack outcomes'!V:V,'Collapsed - Orthotrack outcomes'!$H:$H,"&gt;="&amp;$D23,'Collapsed - Orthotrack outcomes'!$H:$H,"&lt;"&amp;$E23)</f>
        <v>36.689461538461543</v>
      </c>
      <c r="R23" s="25">
        <f>AVERAGEIFS('Collapsed - Orthotrack outcomes'!W:W,'Collapsed - Orthotrack outcomes'!$H:$H,"&gt;="&amp;$D23,'Collapsed - Orthotrack outcomes'!$H:$H,"&lt;"&amp;$E23)</f>
        <v>36.067307692307686</v>
      </c>
      <c r="S23" s="25">
        <f>AVERAGEIFS('Collapsed - Orthotrack outcomes'!X:X,'Collapsed - Orthotrack outcomes'!$H:$H,"&gt;="&amp;$D23,'Collapsed - Orthotrack outcomes'!$H:$H,"&lt;"&amp;$E23)</f>
        <v>14.014692307692306</v>
      </c>
      <c r="T23" s="25">
        <f>AVERAGEIFS('Collapsed - Orthotrack outcomes'!Y:Y,'Collapsed - Orthotrack outcomes'!$H:$H,"&gt;="&amp;$D23,'Collapsed - Orthotrack outcomes'!$H:$H,"&lt;"&amp;$E23)</f>
        <v>13.569769230769234</v>
      </c>
      <c r="U23" s="25">
        <f>AVERAGEIFS('Collapsed - Orthotrack outcomes'!Z:Z,'Collapsed - Orthotrack outcomes'!$H:$H,"&gt;="&amp;$D23,'Collapsed - Orthotrack outcomes'!$H:$H,"&lt;"&amp;$E23)</f>
        <v>36.067307692307686</v>
      </c>
      <c r="V23" s="25">
        <f>AVERAGEIFS('Collapsed - Orthotrack outcomes'!AA:AA,'Collapsed - Orthotrack outcomes'!$H:$H,"&gt;="&amp;$D23,'Collapsed - Orthotrack outcomes'!$H:$H,"&lt;"&amp;$E23)</f>
        <v>36.689461538461543</v>
      </c>
      <c r="W23" s="25">
        <f>AVERAGEIFS('Collapsed - Orthotrack outcomes'!AB:AB,'Collapsed - Orthotrack outcomes'!$H:$H,"&gt;="&amp;$D23,'Collapsed - Orthotrack outcomes'!$H:$H,"&lt;"&amp;$E23)</f>
        <v>13.608615384615385</v>
      </c>
      <c r="X23" s="25">
        <f>AVERAGEIFS('Collapsed - Orthotrack outcomes'!AC:AC,'Collapsed - Orthotrack outcomes'!$H:$H,"&gt;="&amp;$D23,'Collapsed - Orthotrack outcomes'!$H:$H,"&lt;"&amp;$E23)</f>
        <v>13.153846153846153</v>
      </c>
      <c r="Y23" s="25">
        <f>AVERAGEIFS('Collapsed - Orthotrack outcomes'!AD:AD,'Collapsed - Orthotrack outcomes'!$H:$H,"&gt;="&amp;$D23,'Collapsed - Orthotrack outcomes'!$H:$H,"&lt;"&amp;$E23)</f>
        <v>12.923076923076923</v>
      </c>
      <c r="Z23" s="25">
        <f>AVERAGEIFS('Collapsed - Orthotrack outcomes'!AE:AE,'Collapsed - Orthotrack outcomes'!$H:$H,"&gt;="&amp;$D23,'Collapsed - Orthotrack outcomes'!$H:$H,"&lt;"&amp;$E23)</f>
        <v>11.76923076923077</v>
      </c>
      <c r="AA23" s="25">
        <f>AVERAGEIFS('Collapsed - Orthotrack outcomes'!AF:AF,'Collapsed - Orthotrack outcomes'!$H:$H,"&gt;="&amp;$D23,'Collapsed - Orthotrack outcomes'!$H:$H,"&lt;"&amp;$E23)</f>
        <v>11.615384615384615</v>
      </c>
    </row>
    <row r="24" spans="4:27" ht="16" x14ac:dyDescent="0.2">
      <c r="D24" s="13">
        <f t="shared" ref="D24:D30" si="1">E23</f>
        <v>30</v>
      </c>
      <c r="E24" s="13">
        <f t="shared" ref="D24:F31" si="2">E23+10</f>
        <v>40</v>
      </c>
      <c r="F24" s="27" t="s">
        <v>16469</v>
      </c>
      <c r="G24" s="22">
        <f>AVERAGEIFS('Collapsed - Orthotrack outcomes'!L:L,'Collapsed - Orthotrack outcomes'!$H:$H,"&gt;="&amp;$D24,'Collapsed - Orthotrack outcomes'!$H:$H,"&lt;"&amp;$E24)</f>
        <v>53.107411764705887</v>
      </c>
      <c r="H24" s="22">
        <f>AVERAGEIFS('Collapsed - Orthotrack outcomes'!M:M,'Collapsed - Orthotrack outcomes'!$H:$H,"&gt;="&amp;$D24,'Collapsed - Orthotrack outcomes'!$H:$H,"&lt;"&amp;$E24)</f>
        <v>53.571529411764701</v>
      </c>
      <c r="I24" s="22">
        <f>AVERAGEIFS('Collapsed - Orthotrack outcomes'!N:N,'Collapsed - Orthotrack outcomes'!$H:$H,"&gt;="&amp;$D24,'Collapsed - Orthotrack outcomes'!$H:$H,"&lt;"&amp;$E24)</f>
        <v>106.72923529411766</v>
      </c>
      <c r="J24" s="22">
        <f>AVERAGEIFS('Collapsed - Orthotrack outcomes'!O:O,'Collapsed - Orthotrack outcomes'!$H:$H,"&gt;="&amp;$D24,'Collapsed - Orthotrack outcomes'!$H:$H,"&lt;"&amp;$E24)</f>
        <v>106.70682352941176</v>
      </c>
      <c r="K24" s="22">
        <f>AVERAGEIFS('Collapsed - Orthotrack outcomes'!P:P,'Collapsed - Orthotrack outcomes'!$H:$H,"&gt;="&amp;$D24,'Collapsed - Orthotrack outcomes'!$H:$H,"&lt;"&amp;$E24)</f>
        <v>94.445647058823525</v>
      </c>
      <c r="L24" s="22">
        <f>AVERAGEIFS('Collapsed - Orthotrack outcomes'!Q:Q,'Collapsed - Orthotrack outcomes'!$H:$H,"&gt;="&amp;$D24,'Collapsed - Orthotrack outcomes'!$H:$H,"&lt;"&amp;$E24)</f>
        <v>94.352352941176491</v>
      </c>
      <c r="M24" s="22">
        <f>AVERAGEIFS('Collapsed - Orthotrack outcomes'!R:R,'Collapsed - Orthotrack outcomes'!$H:$H,"&gt;="&amp;$D24,'Collapsed - Orthotrack outcomes'!$H:$H,"&lt;"&amp;$E24)</f>
        <v>104.05929411764706</v>
      </c>
      <c r="N24" s="22">
        <f>AVERAGEIFS('Collapsed - Orthotrack outcomes'!S:S,'Collapsed - Orthotrack outcomes'!$H:$H,"&gt;="&amp;$D24,'Collapsed - Orthotrack outcomes'!$H:$H,"&lt;"&amp;$E24)</f>
        <v>103.62023529411763</v>
      </c>
      <c r="O24" s="22">
        <f>AVERAGEIFS('Collapsed - Orthotrack outcomes'!T:T,'Collapsed - Orthotrack outcomes'!$H:$H,"&gt;="&amp;$D24,'Collapsed - Orthotrack outcomes'!$H:$H,"&lt;"&amp;$E24)</f>
        <v>65.176882352941163</v>
      </c>
      <c r="P24" s="22">
        <f>AVERAGEIFS('Collapsed - Orthotrack outcomes'!U:U,'Collapsed - Orthotrack outcomes'!$H:$H,"&gt;="&amp;$D24,'Collapsed - Orthotrack outcomes'!$H:$H,"&lt;"&amp;$E24)</f>
        <v>63.544882352941187</v>
      </c>
      <c r="Q24" s="22">
        <f>AVERAGEIFS('Collapsed - Orthotrack outcomes'!V:V,'Collapsed - Orthotrack outcomes'!$H:$H,"&gt;="&amp;$D24,'Collapsed - Orthotrack outcomes'!$H:$H,"&lt;"&amp;$E24)</f>
        <v>34.82311764705883</v>
      </c>
      <c r="R24" s="22">
        <f>AVERAGEIFS('Collapsed - Orthotrack outcomes'!W:W,'Collapsed - Orthotrack outcomes'!$H:$H,"&gt;="&amp;$D24,'Collapsed - Orthotrack outcomes'!$H:$H,"&lt;"&amp;$E24)</f>
        <v>36.455117647058827</v>
      </c>
      <c r="S24" s="22">
        <f>AVERAGEIFS('Collapsed - Orthotrack outcomes'!X:X,'Collapsed - Orthotrack outcomes'!$H:$H,"&gt;="&amp;$D24,'Collapsed - Orthotrack outcomes'!$H:$H,"&lt;"&amp;$E24)</f>
        <v>14.178941176470587</v>
      </c>
      <c r="T24" s="22">
        <f>AVERAGEIFS('Collapsed - Orthotrack outcomes'!Y:Y,'Collapsed - Orthotrack outcomes'!$H:$H,"&gt;="&amp;$D24,'Collapsed - Orthotrack outcomes'!$H:$H,"&lt;"&amp;$E24)</f>
        <v>14.559352941176471</v>
      </c>
      <c r="U24" s="22">
        <f>AVERAGEIFS('Collapsed - Orthotrack outcomes'!Z:Z,'Collapsed - Orthotrack outcomes'!$H:$H,"&gt;="&amp;$D24,'Collapsed - Orthotrack outcomes'!$H:$H,"&lt;"&amp;$E24)</f>
        <v>36.455117647058827</v>
      </c>
      <c r="V24" s="22">
        <f>AVERAGEIFS('Collapsed - Orthotrack outcomes'!AA:AA,'Collapsed - Orthotrack outcomes'!$H:$H,"&gt;="&amp;$D24,'Collapsed - Orthotrack outcomes'!$H:$H,"&lt;"&amp;$E24)</f>
        <v>34.82311764705883</v>
      </c>
      <c r="W24" s="22">
        <f>AVERAGEIFS('Collapsed - Orthotrack outcomes'!AB:AB,'Collapsed - Orthotrack outcomes'!$H:$H,"&gt;="&amp;$D24,'Collapsed - Orthotrack outcomes'!$H:$H,"&lt;"&amp;$E24)</f>
        <v>14.652117647058825</v>
      </c>
      <c r="X24" s="22">
        <f>AVERAGEIFS('Collapsed - Orthotrack outcomes'!AC:AC,'Collapsed - Orthotrack outcomes'!$H:$H,"&gt;="&amp;$D24,'Collapsed - Orthotrack outcomes'!$H:$H,"&lt;"&amp;$E24)</f>
        <v>12.411764705882353</v>
      </c>
      <c r="Y24" s="22">
        <f>AVERAGEIFS('Collapsed - Orthotrack outcomes'!AD:AD,'Collapsed - Orthotrack outcomes'!$H:$H,"&gt;="&amp;$D24,'Collapsed - Orthotrack outcomes'!$H:$H,"&lt;"&amp;$E24)</f>
        <v>11.470588235294118</v>
      </c>
      <c r="Z24" s="22">
        <f>AVERAGEIFS('Collapsed - Orthotrack outcomes'!AE:AE,'Collapsed - Orthotrack outcomes'!$H:$H,"&gt;="&amp;$D24,'Collapsed - Orthotrack outcomes'!$H:$H,"&lt;"&amp;$E24)</f>
        <v>11.117647058823529</v>
      </c>
      <c r="AA24" s="22">
        <f>AVERAGEIFS('Collapsed - Orthotrack outcomes'!AF:AF,'Collapsed - Orthotrack outcomes'!$H:$H,"&gt;="&amp;$D24,'Collapsed - Orthotrack outcomes'!$H:$H,"&lt;"&amp;$E24)</f>
        <v>11.117647058823529</v>
      </c>
    </row>
    <row r="25" spans="4:27" ht="16" x14ac:dyDescent="0.2">
      <c r="D25" s="13">
        <f t="shared" si="1"/>
        <v>40</v>
      </c>
      <c r="E25" s="13">
        <f t="shared" si="2"/>
        <v>50</v>
      </c>
      <c r="F25" s="27" t="s">
        <v>16470</v>
      </c>
      <c r="G25" s="25">
        <f>AVERAGEIFS('Collapsed - Orthotrack outcomes'!L:L,'Collapsed - Orthotrack outcomes'!$H:$H,"&gt;="&amp;$D25,'Collapsed - Orthotrack outcomes'!$H:$H,"&lt;"&amp;$E25)</f>
        <v>53.522147058823535</v>
      </c>
      <c r="H25" s="25">
        <f>AVERAGEIFS('Collapsed - Orthotrack outcomes'!M:M,'Collapsed - Orthotrack outcomes'!$H:$H,"&gt;="&amp;$D25,'Collapsed - Orthotrack outcomes'!$H:$H,"&lt;"&amp;$E25)</f>
        <v>54.134558823529431</v>
      </c>
      <c r="I25" s="25">
        <f>AVERAGEIFS('Collapsed - Orthotrack outcomes'!N:N,'Collapsed - Orthotrack outcomes'!$H:$H,"&gt;="&amp;$D25,'Collapsed - Orthotrack outcomes'!$H:$H,"&lt;"&amp;$E25)</f>
        <v>108.00552941176474</v>
      </c>
      <c r="J25" s="25">
        <f>AVERAGEIFS('Collapsed - Orthotrack outcomes'!O:O,'Collapsed - Orthotrack outcomes'!$H:$H,"&gt;="&amp;$D25,'Collapsed - Orthotrack outcomes'!$H:$H,"&lt;"&amp;$E25)</f>
        <v>107.67411764705884</v>
      </c>
      <c r="K25" s="25">
        <f>AVERAGEIFS('Collapsed - Orthotrack outcomes'!P:P,'Collapsed - Orthotrack outcomes'!$H:$H,"&gt;="&amp;$D25,'Collapsed - Orthotrack outcomes'!$H:$H,"&lt;"&amp;$E25)</f>
        <v>93.170617647058805</v>
      </c>
      <c r="L25" s="25">
        <f>AVERAGEIFS('Collapsed - Orthotrack outcomes'!Q:Q,'Collapsed - Orthotrack outcomes'!$H:$H,"&gt;="&amp;$D25,'Collapsed - Orthotrack outcomes'!$H:$H,"&lt;"&amp;$E25)</f>
        <v>93.123352941176464</v>
      </c>
      <c r="M25" s="25">
        <f>AVERAGEIFS('Collapsed - Orthotrack outcomes'!R:R,'Collapsed - Orthotrack outcomes'!$H:$H,"&gt;="&amp;$D25,'Collapsed - Orthotrack outcomes'!$H:$H,"&lt;"&amp;$E25)</f>
        <v>100.18123529411763</v>
      </c>
      <c r="N25" s="25">
        <f>AVERAGEIFS('Collapsed - Orthotrack outcomes'!S:S,'Collapsed - Orthotrack outcomes'!$H:$H,"&gt;="&amp;$D25,'Collapsed - Orthotrack outcomes'!$H:$H,"&lt;"&amp;$E25)</f>
        <v>100.23817647058823</v>
      </c>
      <c r="O25" s="25">
        <f>AVERAGEIFS('Collapsed - Orthotrack outcomes'!T:T,'Collapsed - Orthotrack outcomes'!$H:$H,"&gt;="&amp;$D25,'Collapsed - Orthotrack outcomes'!$H:$H,"&lt;"&amp;$E25)</f>
        <v>64.66632352941177</v>
      </c>
      <c r="P25" s="25">
        <f>AVERAGEIFS('Collapsed - Orthotrack outcomes'!U:U,'Collapsed - Orthotrack outcomes'!$H:$H,"&gt;="&amp;$D25,'Collapsed - Orthotrack outcomes'!$H:$H,"&lt;"&amp;$E25)</f>
        <v>64.481911764705899</v>
      </c>
      <c r="Q25" s="25">
        <f>AVERAGEIFS('Collapsed - Orthotrack outcomes'!V:V,'Collapsed - Orthotrack outcomes'!$H:$H,"&gt;="&amp;$D25,'Collapsed - Orthotrack outcomes'!$H:$H,"&lt;"&amp;$E25)</f>
        <v>35.333705882352945</v>
      </c>
      <c r="R25" s="25">
        <f>AVERAGEIFS('Collapsed - Orthotrack outcomes'!W:W,'Collapsed - Orthotrack outcomes'!$H:$H,"&gt;="&amp;$D25,'Collapsed - Orthotrack outcomes'!$H:$H,"&lt;"&amp;$E25)</f>
        <v>35.51808823529413</v>
      </c>
      <c r="S25" s="25">
        <f>AVERAGEIFS('Collapsed - Orthotrack outcomes'!X:X,'Collapsed - Orthotrack outcomes'!$H:$H,"&gt;="&amp;$D25,'Collapsed - Orthotrack outcomes'!$H:$H,"&lt;"&amp;$E25)</f>
        <v>14.734147058823529</v>
      </c>
      <c r="T25" s="25">
        <f>AVERAGEIFS('Collapsed - Orthotrack outcomes'!Y:Y,'Collapsed - Orthotrack outcomes'!$H:$H,"&gt;="&amp;$D25,'Collapsed - Orthotrack outcomes'!$H:$H,"&lt;"&amp;$E25)</f>
        <v>14.59255882352941</v>
      </c>
      <c r="U25" s="25">
        <f>AVERAGEIFS('Collapsed - Orthotrack outcomes'!Z:Z,'Collapsed - Orthotrack outcomes'!$H:$H,"&gt;="&amp;$D25,'Collapsed - Orthotrack outcomes'!$H:$H,"&lt;"&amp;$E25)</f>
        <v>35.51808823529413</v>
      </c>
      <c r="V25" s="25">
        <f>AVERAGEIFS('Collapsed - Orthotrack outcomes'!AA:AA,'Collapsed - Orthotrack outcomes'!$H:$H,"&gt;="&amp;$D25,'Collapsed - Orthotrack outcomes'!$H:$H,"&lt;"&amp;$E25)</f>
        <v>35.333705882352945</v>
      </c>
      <c r="W25" s="25">
        <f>AVERAGEIFS('Collapsed - Orthotrack outcomes'!AB:AB,'Collapsed - Orthotrack outcomes'!$H:$H,"&gt;="&amp;$D25,'Collapsed - Orthotrack outcomes'!$H:$H,"&lt;"&amp;$E25)</f>
        <v>14.505647058823527</v>
      </c>
      <c r="X25" s="25">
        <f>AVERAGEIFS('Collapsed - Orthotrack outcomes'!AC:AC,'Collapsed - Orthotrack outcomes'!$H:$H,"&gt;="&amp;$D25,'Collapsed - Orthotrack outcomes'!$H:$H,"&lt;"&amp;$E25)</f>
        <v>13.647058823529411</v>
      </c>
      <c r="Y25" s="25">
        <f>AVERAGEIFS('Collapsed - Orthotrack outcomes'!AD:AD,'Collapsed - Orthotrack outcomes'!$H:$H,"&gt;="&amp;$D25,'Collapsed - Orthotrack outcomes'!$H:$H,"&lt;"&amp;$E25)</f>
        <v>13.941176470588236</v>
      </c>
      <c r="Z25" s="25">
        <f>AVERAGEIFS('Collapsed - Orthotrack outcomes'!AE:AE,'Collapsed - Orthotrack outcomes'!$H:$H,"&gt;="&amp;$D25,'Collapsed - Orthotrack outcomes'!$H:$H,"&lt;"&amp;$E25)</f>
        <v>12.941176470588236</v>
      </c>
      <c r="AA25" s="25">
        <f>AVERAGEIFS('Collapsed - Orthotrack outcomes'!AF:AF,'Collapsed - Orthotrack outcomes'!$H:$H,"&gt;="&amp;$D25,'Collapsed - Orthotrack outcomes'!$H:$H,"&lt;"&amp;$E25)</f>
        <v>12.941176470588236</v>
      </c>
    </row>
    <row r="26" spans="4:27" ht="16" x14ac:dyDescent="0.2">
      <c r="D26" s="13">
        <f t="shared" si="1"/>
        <v>50</v>
      </c>
      <c r="E26" s="13">
        <f t="shared" si="2"/>
        <v>60</v>
      </c>
      <c r="F26" s="27" t="s">
        <v>16471</v>
      </c>
      <c r="G26" s="22">
        <f>AVERAGEIFS('Collapsed - Orthotrack outcomes'!L:L,'Collapsed - Orthotrack outcomes'!$H:$H,"&gt;="&amp;$D26,'Collapsed - Orthotrack outcomes'!$H:$H,"&lt;"&amp;$E26)</f>
        <v>48.054187499999983</v>
      </c>
      <c r="H26" s="22">
        <f>AVERAGEIFS('Collapsed - Orthotrack outcomes'!M:M,'Collapsed - Orthotrack outcomes'!$H:$H,"&gt;="&amp;$D26,'Collapsed - Orthotrack outcomes'!$H:$H,"&lt;"&amp;$E26)</f>
        <v>48.108385416666664</v>
      </c>
      <c r="I26" s="22">
        <f>AVERAGEIFS('Collapsed - Orthotrack outcomes'!N:N,'Collapsed - Orthotrack outcomes'!$H:$H,"&gt;="&amp;$D26,'Collapsed - Orthotrack outcomes'!$H:$H,"&lt;"&amp;$E26)</f>
        <v>96.596583333333342</v>
      </c>
      <c r="J26" s="22">
        <f>AVERAGEIFS('Collapsed - Orthotrack outcomes'!O:O,'Collapsed - Orthotrack outcomes'!$H:$H,"&gt;="&amp;$D26,'Collapsed - Orthotrack outcomes'!$H:$H,"&lt;"&amp;$E26)</f>
        <v>95.918635416666675</v>
      </c>
      <c r="K26" s="22">
        <f>AVERAGEIFS('Collapsed - Orthotrack outcomes'!P:P,'Collapsed - Orthotrack outcomes'!$H:$H,"&gt;="&amp;$D26,'Collapsed - Orthotrack outcomes'!$H:$H,"&lt;"&amp;$E26)</f>
        <v>87.004260416666639</v>
      </c>
      <c r="L26" s="22">
        <f>AVERAGEIFS('Collapsed - Orthotrack outcomes'!Q:Q,'Collapsed - Orthotrack outcomes'!$H:$H,"&gt;="&amp;$D26,'Collapsed - Orthotrack outcomes'!$H:$H,"&lt;"&amp;$E26)</f>
        <v>86.506875000000022</v>
      </c>
      <c r="M26" s="22">
        <f>AVERAGEIFS('Collapsed - Orthotrack outcomes'!R:R,'Collapsed - Orthotrack outcomes'!$H:$H,"&gt;="&amp;$D26,'Collapsed - Orthotrack outcomes'!$H:$H,"&lt;"&amp;$E26)</f>
        <v>104.80303125000006</v>
      </c>
      <c r="N26" s="22">
        <f>AVERAGEIFS('Collapsed - Orthotrack outcomes'!S:S,'Collapsed - Orthotrack outcomes'!$H:$H,"&gt;="&amp;$D26,'Collapsed - Orthotrack outcomes'!$H:$H,"&lt;"&amp;$E26)</f>
        <v>103.76701041666665</v>
      </c>
      <c r="O26" s="22">
        <f>AVERAGEIFS('Collapsed - Orthotrack outcomes'!T:T,'Collapsed - Orthotrack outcomes'!$H:$H,"&gt;="&amp;$D26,'Collapsed - Orthotrack outcomes'!$H:$H,"&lt;"&amp;$E26)</f>
        <v>65.373635416666687</v>
      </c>
      <c r="P26" s="22">
        <f>AVERAGEIFS('Collapsed - Orthotrack outcomes'!U:U,'Collapsed - Orthotrack outcomes'!$H:$H,"&gt;="&amp;$D26,'Collapsed - Orthotrack outcomes'!$H:$H,"&lt;"&amp;$E26)</f>
        <v>64.838562500000009</v>
      </c>
      <c r="Q26" s="22">
        <f>AVERAGEIFS('Collapsed - Orthotrack outcomes'!V:V,'Collapsed - Orthotrack outcomes'!$H:$H,"&gt;="&amp;$D26,'Collapsed - Orthotrack outcomes'!$H:$H,"&lt;"&amp;$E26)</f>
        <v>34.626364583333334</v>
      </c>
      <c r="R26" s="22">
        <f>AVERAGEIFS('Collapsed - Orthotrack outcomes'!W:W,'Collapsed - Orthotrack outcomes'!$H:$H,"&gt;="&amp;$D26,'Collapsed - Orthotrack outcomes'!$H:$H,"&lt;"&amp;$E26)</f>
        <v>34.119750000000003</v>
      </c>
      <c r="S26" s="22">
        <f>AVERAGEIFS('Collapsed - Orthotrack outcomes'!X:X,'Collapsed - Orthotrack outcomes'!$H:$H,"&gt;="&amp;$D26,'Collapsed - Orthotrack outcomes'!$H:$H,"&lt;"&amp;$E26)</f>
        <v>15.334739583333331</v>
      </c>
      <c r="T26" s="22">
        <f>AVERAGEIFS('Collapsed - Orthotrack outcomes'!Y:Y,'Collapsed - Orthotrack outcomes'!$H:$H,"&gt;="&amp;$D26,'Collapsed - Orthotrack outcomes'!$H:$H,"&lt;"&amp;$E26)</f>
        <v>15.513604166666669</v>
      </c>
      <c r="U26" s="22">
        <f>AVERAGEIFS('Collapsed - Orthotrack outcomes'!Z:Z,'Collapsed - Orthotrack outcomes'!$H:$H,"&gt;="&amp;$D26,'Collapsed - Orthotrack outcomes'!$H:$H,"&lt;"&amp;$E26)</f>
        <v>34.526833333333336</v>
      </c>
      <c r="V26" s="22">
        <f>AVERAGEIFS('Collapsed - Orthotrack outcomes'!AA:AA,'Collapsed - Orthotrack outcomes'!$H:$H,"&gt;="&amp;$D26,'Collapsed - Orthotrack outcomes'!$H:$H,"&lt;"&amp;$E26)</f>
        <v>34.34186458333334</v>
      </c>
      <c r="W26" s="22">
        <f>AVERAGEIFS('Collapsed - Orthotrack outcomes'!AB:AB,'Collapsed - Orthotrack outcomes'!$H:$H,"&gt;="&amp;$D26,'Collapsed - Orthotrack outcomes'!$H:$H,"&lt;"&amp;$E26)</f>
        <v>13.072874999999998</v>
      </c>
      <c r="X26" s="22">
        <f>AVERAGEIFS('Collapsed - Orthotrack outcomes'!AC:AC,'Collapsed - Orthotrack outcomes'!$H:$H,"&gt;="&amp;$D26,'Collapsed - Orthotrack outcomes'!$H:$H,"&lt;"&amp;$E26)</f>
        <v>14.03125</v>
      </c>
      <c r="Y26" s="22">
        <f>AVERAGEIFS('Collapsed - Orthotrack outcomes'!AD:AD,'Collapsed - Orthotrack outcomes'!$H:$H,"&gt;="&amp;$D26,'Collapsed - Orthotrack outcomes'!$H:$H,"&lt;"&amp;$E26)</f>
        <v>14.125</v>
      </c>
      <c r="Z26" s="22">
        <f>AVERAGEIFS('Collapsed - Orthotrack outcomes'!AE:AE,'Collapsed - Orthotrack outcomes'!$H:$H,"&gt;="&amp;$D26,'Collapsed - Orthotrack outcomes'!$H:$H,"&lt;"&amp;$E26)</f>
        <v>13.229166666666666</v>
      </c>
      <c r="AA26" s="22">
        <f>AVERAGEIFS('Collapsed - Orthotrack outcomes'!AF:AF,'Collapsed - Orthotrack outcomes'!$H:$H,"&gt;="&amp;$D26,'Collapsed - Orthotrack outcomes'!$H:$H,"&lt;"&amp;$E26)</f>
        <v>13.166666666666666</v>
      </c>
    </row>
    <row r="27" spans="4:27" ht="16" x14ac:dyDescent="0.2">
      <c r="D27" s="13">
        <f t="shared" si="1"/>
        <v>60</v>
      </c>
      <c r="E27" s="13">
        <f t="shared" si="2"/>
        <v>70</v>
      </c>
      <c r="F27" s="27" t="s">
        <v>16472</v>
      </c>
      <c r="G27" s="25">
        <f>AVERAGEIFS('Collapsed - Orthotrack outcomes'!L:L,'Collapsed - Orthotrack outcomes'!$H:$H,"&gt;="&amp;$D27,'Collapsed - Orthotrack outcomes'!$H:$H,"&lt;"&amp;$E27)</f>
        <v>48.232859374999975</v>
      </c>
      <c r="H27" s="25">
        <f>AVERAGEIFS('Collapsed - Orthotrack outcomes'!M:M,'Collapsed - Orthotrack outcomes'!$H:$H,"&gt;="&amp;$D27,'Collapsed - Orthotrack outcomes'!$H:$H,"&lt;"&amp;$E27)</f>
        <v>48.255755208333348</v>
      </c>
      <c r="I27" s="25">
        <f>AVERAGEIFS('Collapsed - Orthotrack outcomes'!N:N,'Collapsed - Orthotrack outcomes'!$H:$H,"&gt;="&amp;$D27,'Collapsed - Orthotrack outcomes'!$H:$H,"&lt;"&amp;$E27)</f>
        <v>96.625942708333312</v>
      </c>
      <c r="J27" s="25">
        <f>AVERAGEIFS('Collapsed - Orthotrack outcomes'!O:O,'Collapsed - Orthotrack outcomes'!$H:$H,"&gt;="&amp;$D27,'Collapsed - Orthotrack outcomes'!$H:$H,"&lt;"&amp;$E27)</f>
        <v>96.640239583333312</v>
      </c>
      <c r="K27" s="25">
        <f>AVERAGEIFS('Collapsed - Orthotrack outcomes'!P:P,'Collapsed - Orthotrack outcomes'!$H:$H,"&gt;="&amp;$D27,'Collapsed - Orthotrack outcomes'!$H:$H,"&lt;"&amp;$E27)</f>
        <v>85.16301041666668</v>
      </c>
      <c r="L27" s="25">
        <f>AVERAGEIFS('Collapsed - Orthotrack outcomes'!Q:Q,'Collapsed - Orthotrack outcomes'!$H:$H,"&gt;="&amp;$D27,'Collapsed - Orthotrack outcomes'!$H:$H,"&lt;"&amp;$E27)</f>
        <v>85.323114583333364</v>
      </c>
      <c r="M27" s="25">
        <f>AVERAGEIFS('Collapsed - Orthotrack outcomes'!R:R,'Collapsed - Orthotrack outcomes'!$H:$H,"&gt;="&amp;$D27,'Collapsed - Orthotrack outcomes'!$H:$H,"&lt;"&amp;$E27)</f>
        <v>104.93596875000003</v>
      </c>
      <c r="N27" s="25">
        <f>AVERAGEIFS('Collapsed - Orthotrack outcomes'!S:S,'Collapsed - Orthotrack outcomes'!$H:$H,"&gt;="&amp;$D27,'Collapsed - Orthotrack outcomes'!$H:$H,"&lt;"&amp;$E27)</f>
        <v>104.8820208333333</v>
      </c>
      <c r="O27" s="25">
        <f>AVERAGEIFS('Collapsed - Orthotrack outcomes'!T:T,'Collapsed - Orthotrack outcomes'!$H:$H,"&gt;="&amp;$D27,'Collapsed - Orthotrack outcomes'!$H:$H,"&lt;"&amp;$E27)</f>
        <v>64.723031250000005</v>
      </c>
      <c r="P27" s="25">
        <f>AVERAGEIFS('Collapsed - Orthotrack outcomes'!U:U,'Collapsed - Orthotrack outcomes'!$H:$H,"&gt;="&amp;$D27,'Collapsed - Orthotrack outcomes'!$H:$H,"&lt;"&amp;$E27)</f>
        <v>64.677187499999988</v>
      </c>
      <c r="Q27" s="25">
        <f>AVERAGEIFS('Collapsed - Orthotrack outcomes'!V:V,'Collapsed - Orthotrack outcomes'!$H:$H,"&gt;="&amp;$D27,'Collapsed - Orthotrack outcomes'!$H:$H,"&lt;"&amp;$E27)</f>
        <v>35.276942708333316</v>
      </c>
      <c r="R27" s="25">
        <f>AVERAGEIFS('Collapsed - Orthotrack outcomes'!W:W,'Collapsed - Orthotrack outcomes'!$H:$H,"&gt;="&amp;$D27,'Collapsed - Orthotrack outcomes'!$H:$H,"&lt;"&amp;$E27)</f>
        <v>35.322807291666678</v>
      </c>
      <c r="S27" s="25">
        <f>AVERAGEIFS('Collapsed - Orthotrack outcomes'!X:X,'Collapsed - Orthotrack outcomes'!$H:$H,"&gt;="&amp;$D27,'Collapsed - Orthotrack outcomes'!$H:$H,"&lt;"&amp;$E27)</f>
        <v>14.763979166666665</v>
      </c>
      <c r="T27" s="25">
        <f>AVERAGEIFS('Collapsed - Orthotrack outcomes'!Y:Y,'Collapsed - Orthotrack outcomes'!$H:$H,"&gt;="&amp;$D27,'Collapsed - Orthotrack outcomes'!$H:$H,"&lt;"&amp;$E27)</f>
        <v>14.99111458333334</v>
      </c>
      <c r="U27" s="25">
        <f>AVERAGEIFS('Collapsed - Orthotrack outcomes'!Z:Z,'Collapsed - Orthotrack outcomes'!$H:$H,"&gt;="&amp;$D27,'Collapsed - Orthotrack outcomes'!$H:$H,"&lt;"&amp;$E27)</f>
        <v>35.322807291666678</v>
      </c>
      <c r="V27" s="25">
        <f>AVERAGEIFS('Collapsed - Orthotrack outcomes'!AA:AA,'Collapsed - Orthotrack outcomes'!$H:$H,"&gt;="&amp;$D27,'Collapsed - Orthotrack outcomes'!$H:$H,"&lt;"&amp;$E27)</f>
        <v>35.276942708333316</v>
      </c>
      <c r="W27" s="25">
        <f>AVERAGEIFS('Collapsed - Orthotrack outcomes'!AB:AB,'Collapsed - Orthotrack outcomes'!$H:$H,"&gt;="&amp;$D27,'Collapsed - Orthotrack outcomes'!$H:$H,"&lt;"&amp;$E27)</f>
        <v>12.179692708333336</v>
      </c>
      <c r="X27" s="25">
        <f>AVERAGEIFS('Collapsed - Orthotrack outcomes'!AC:AC,'Collapsed - Orthotrack outcomes'!$H:$H,"&gt;="&amp;$D27,'Collapsed - Orthotrack outcomes'!$H:$H,"&lt;"&amp;$E27)</f>
        <v>13.640625</v>
      </c>
      <c r="Y27" s="25">
        <f>AVERAGEIFS('Collapsed - Orthotrack outcomes'!AD:AD,'Collapsed - Orthotrack outcomes'!$H:$H,"&gt;="&amp;$D27,'Collapsed - Orthotrack outcomes'!$H:$H,"&lt;"&amp;$E27)</f>
        <v>13.557291666666666</v>
      </c>
      <c r="Z27" s="25">
        <f>AVERAGEIFS('Collapsed - Orthotrack outcomes'!AE:AE,'Collapsed - Orthotrack outcomes'!$H:$H,"&gt;="&amp;$D27,'Collapsed - Orthotrack outcomes'!$H:$H,"&lt;"&amp;$E27)</f>
        <v>12.84375</v>
      </c>
      <c r="AA27" s="25">
        <f>AVERAGEIFS('Collapsed - Orthotrack outcomes'!AF:AF,'Collapsed - Orthotrack outcomes'!$H:$H,"&gt;="&amp;$D27,'Collapsed - Orthotrack outcomes'!$H:$H,"&lt;"&amp;$E27)</f>
        <v>12.869791666666666</v>
      </c>
    </row>
    <row r="28" spans="4:27" ht="16" x14ac:dyDescent="0.2">
      <c r="D28" s="13">
        <f t="shared" si="1"/>
        <v>70</v>
      </c>
      <c r="E28" s="13">
        <f t="shared" si="2"/>
        <v>80</v>
      </c>
      <c r="F28" s="27" t="s">
        <v>16473</v>
      </c>
      <c r="G28" s="22">
        <f>AVERAGEIFS('Collapsed - Orthotrack outcomes'!L:L,'Collapsed - Orthotrack outcomes'!$H:$H,"&gt;="&amp;$D28,'Collapsed - Orthotrack outcomes'!$H:$H,"&lt;"&amp;$E28)</f>
        <v>47.408661691542292</v>
      </c>
      <c r="H28" s="22">
        <f>AVERAGEIFS('Collapsed - Orthotrack outcomes'!M:M,'Collapsed - Orthotrack outcomes'!$H:$H,"&gt;="&amp;$D28,'Collapsed - Orthotrack outcomes'!$H:$H,"&lt;"&amp;$E28)</f>
        <v>47.305373134328356</v>
      </c>
      <c r="I28" s="22">
        <f>AVERAGEIFS('Collapsed - Orthotrack outcomes'!N:N,'Collapsed - Orthotrack outcomes'!$H:$H,"&gt;="&amp;$D28,'Collapsed - Orthotrack outcomes'!$H:$H,"&lt;"&amp;$E28)</f>
        <v>94.807402985074617</v>
      </c>
      <c r="J28" s="22">
        <f>AVERAGEIFS('Collapsed - Orthotrack outcomes'!O:O,'Collapsed - Orthotrack outcomes'!$H:$H,"&gt;="&amp;$D28,'Collapsed - Orthotrack outcomes'!$H:$H,"&lt;"&amp;$E28)</f>
        <v>94.804985074626842</v>
      </c>
      <c r="K28" s="22">
        <f>AVERAGEIFS('Collapsed - Orthotrack outcomes'!P:P,'Collapsed - Orthotrack outcomes'!$H:$H,"&gt;="&amp;$D28,'Collapsed - Orthotrack outcomes'!$H:$H,"&lt;"&amp;$E28)</f>
        <v>84.541189054726303</v>
      </c>
      <c r="L28" s="22">
        <f>AVERAGEIFS('Collapsed - Orthotrack outcomes'!Q:Q,'Collapsed - Orthotrack outcomes'!$H:$H,"&gt;="&amp;$D28,'Collapsed - Orthotrack outcomes'!$H:$H,"&lt;"&amp;$E28)</f>
        <v>84.57040796019902</v>
      </c>
      <c r="M28" s="22">
        <f>AVERAGEIFS('Collapsed - Orthotrack outcomes'!R:R,'Collapsed - Orthotrack outcomes'!$H:$H,"&gt;="&amp;$D28,'Collapsed - Orthotrack outcomes'!$H:$H,"&lt;"&amp;$E28)</f>
        <v>106.047736318408</v>
      </c>
      <c r="N28" s="22">
        <f>AVERAGEIFS('Collapsed - Orthotrack outcomes'!S:S,'Collapsed - Orthotrack outcomes'!$H:$H,"&gt;="&amp;$D28,'Collapsed - Orthotrack outcomes'!$H:$H,"&lt;"&amp;$E28)</f>
        <v>105.96190049751245</v>
      </c>
      <c r="O28" s="22">
        <f>AVERAGEIFS('Collapsed - Orthotrack outcomes'!T:T,'Collapsed - Orthotrack outcomes'!$H:$H,"&gt;="&amp;$D28,'Collapsed - Orthotrack outcomes'!$H:$H,"&lt;"&amp;$E28)</f>
        <v>64.991527363184076</v>
      </c>
      <c r="P28" s="22">
        <f>AVERAGEIFS('Collapsed - Orthotrack outcomes'!U:U,'Collapsed - Orthotrack outcomes'!$H:$H,"&gt;="&amp;$D28,'Collapsed - Orthotrack outcomes'!$H:$H,"&lt;"&amp;$E28)</f>
        <v>64.86082587064675</v>
      </c>
      <c r="Q28" s="22">
        <f>AVERAGEIFS('Collapsed - Orthotrack outcomes'!V:V,'Collapsed - Orthotrack outcomes'!$H:$H,"&gt;="&amp;$D28,'Collapsed - Orthotrack outcomes'!$H:$H,"&lt;"&amp;$E28)</f>
        <v>35.008457711442766</v>
      </c>
      <c r="R28" s="22">
        <f>AVERAGEIFS('Collapsed - Orthotrack outcomes'!W:W,'Collapsed - Orthotrack outcomes'!$H:$H,"&gt;="&amp;$D28,'Collapsed - Orthotrack outcomes'!$H:$H,"&lt;"&amp;$E28)</f>
        <v>35.139159203980121</v>
      </c>
      <c r="S28" s="22">
        <f>AVERAGEIFS('Collapsed - Orthotrack outcomes'!X:X,'Collapsed - Orthotrack outcomes'!$H:$H,"&gt;="&amp;$D28,'Collapsed - Orthotrack outcomes'!$H:$H,"&lt;"&amp;$E28)</f>
        <v>15.037303482587063</v>
      </c>
      <c r="T28" s="22">
        <f>AVERAGEIFS('Collapsed - Orthotrack outcomes'!Y:Y,'Collapsed - Orthotrack outcomes'!$H:$H,"&gt;="&amp;$D28,'Collapsed - Orthotrack outcomes'!$H:$H,"&lt;"&amp;$E28)</f>
        <v>15.003726368159212</v>
      </c>
      <c r="U28" s="22">
        <f>AVERAGEIFS('Collapsed - Orthotrack outcomes'!Z:Z,'Collapsed - Orthotrack outcomes'!$H:$H,"&gt;="&amp;$D28,'Collapsed - Orthotrack outcomes'!$H:$H,"&lt;"&amp;$E28)</f>
        <v>35.139159203980121</v>
      </c>
      <c r="V28" s="22">
        <f>AVERAGEIFS('Collapsed - Orthotrack outcomes'!AA:AA,'Collapsed - Orthotrack outcomes'!$H:$H,"&gt;="&amp;$D28,'Collapsed - Orthotrack outcomes'!$H:$H,"&lt;"&amp;$E28)</f>
        <v>35.008457711442766</v>
      </c>
      <c r="W28" s="22">
        <f>AVERAGEIFS('Collapsed - Orthotrack outcomes'!AB:AB,'Collapsed - Orthotrack outcomes'!$H:$H,"&gt;="&amp;$D28,'Collapsed - Orthotrack outcomes'!$H:$H,"&lt;"&amp;$E28)</f>
        <v>12.037517412935317</v>
      </c>
      <c r="X28" s="22">
        <f>AVERAGEIFS('Collapsed - Orthotrack outcomes'!AC:AC,'Collapsed - Orthotrack outcomes'!$H:$H,"&gt;="&amp;$D28,'Collapsed - Orthotrack outcomes'!$H:$H,"&lt;"&amp;$E28)</f>
        <v>13.796019900497512</v>
      </c>
      <c r="Y28" s="22">
        <f>AVERAGEIFS('Collapsed - Orthotrack outcomes'!AD:AD,'Collapsed - Orthotrack outcomes'!$H:$H,"&gt;="&amp;$D28,'Collapsed - Orthotrack outcomes'!$H:$H,"&lt;"&amp;$E28)</f>
        <v>13.800995024875622</v>
      </c>
      <c r="Z28" s="22">
        <f>AVERAGEIFS('Collapsed - Orthotrack outcomes'!AE:AE,'Collapsed - Orthotrack outcomes'!$H:$H,"&gt;="&amp;$D28,'Collapsed - Orthotrack outcomes'!$H:$H,"&lt;"&amp;$E28)</f>
        <v>13.044776119402986</v>
      </c>
      <c r="AA28" s="22">
        <f>AVERAGEIFS('Collapsed - Orthotrack outcomes'!AF:AF,'Collapsed - Orthotrack outcomes'!$H:$H,"&gt;="&amp;$D28,'Collapsed - Orthotrack outcomes'!$H:$H,"&lt;"&amp;$E28)</f>
        <v>13.049751243781095</v>
      </c>
    </row>
    <row r="29" spans="4:27" ht="16" x14ac:dyDescent="0.2">
      <c r="D29" s="13">
        <f t="shared" si="1"/>
        <v>80</v>
      </c>
      <c r="E29" s="13">
        <f t="shared" si="2"/>
        <v>90</v>
      </c>
      <c r="F29" s="27" t="s">
        <v>16474</v>
      </c>
      <c r="G29" s="25">
        <f>AVERAGEIFS('Collapsed - Orthotrack outcomes'!L:L,'Collapsed - Orthotrack outcomes'!$H:$H,"&gt;="&amp;$D29,'Collapsed - Orthotrack outcomes'!$H:$H,"&lt;"&amp;$E29)</f>
        <v>41.870513513513515</v>
      </c>
      <c r="H29" s="25">
        <f>AVERAGEIFS('Collapsed - Orthotrack outcomes'!M:M,'Collapsed - Orthotrack outcomes'!$H:$H,"&gt;="&amp;$D29,'Collapsed - Orthotrack outcomes'!$H:$H,"&lt;"&amp;$E29)</f>
        <v>40.965594594594577</v>
      </c>
      <c r="I29" s="25">
        <f>AVERAGEIFS('Collapsed - Orthotrack outcomes'!N:N,'Collapsed - Orthotrack outcomes'!$H:$H,"&gt;="&amp;$D29,'Collapsed - Orthotrack outcomes'!$H:$H,"&lt;"&amp;$E29)</f>
        <v>83.076729729729749</v>
      </c>
      <c r="J29" s="25">
        <f>AVERAGEIFS('Collapsed - Orthotrack outcomes'!O:O,'Collapsed - Orthotrack outcomes'!$H:$H,"&gt;="&amp;$D29,'Collapsed - Orthotrack outcomes'!$H:$H,"&lt;"&amp;$E29)</f>
        <v>82.851459459459434</v>
      </c>
      <c r="K29" s="25">
        <f>AVERAGEIFS('Collapsed - Orthotrack outcomes'!P:P,'Collapsed - Orthotrack outcomes'!$H:$H,"&gt;="&amp;$D29,'Collapsed - Orthotrack outcomes'!$H:$H,"&lt;"&amp;$E29)</f>
        <v>73.456486486486497</v>
      </c>
      <c r="L29" s="25">
        <f>AVERAGEIFS('Collapsed - Orthotrack outcomes'!Q:Q,'Collapsed - Orthotrack outcomes'!$H:$H,"&gt;="&amp;$D29,'Collapsed - Orthotrack outcomes'!$H:$H,"&lt;"&amp;$E29)</f>
        <v>73.355972972972964</v>
      </c>
      <c r="M29" s="25">
        <f>AVERAGEIFS('Collapsed - Orthotrack outcomes'!R:R,'Collapsed - Orthotrack outcomes'!$H:$H,"&gt;="&amp;$D29,'Collapsed - Orthotrack outcomes'!$H:$H,"&lt;"&amp;$E29)</f>
        <v>104.49837837837838</v>
      </c>
      <c r="N29" s="25">
        <f>AVERAGEIFS('Collapsed - Orthotrack outcomes'!S:S,'Collapsed - Orthotrack outcomes'!$H:$H,"&gt;="&amp;$D29,'Collapsed - Orthotrack outcomes'!$H:$H,"&lt;"&amp;$E29)</f>
        <v>104.35735135135134</v>
      </c>
      <c r="O29" s="25">
        <f>AVERAGEIFS('Collapsed - Orthotrack outcomes'!T:T,'Collapsed - Orthotrack outcomes'!$H:$H,"&gt;="&amp;$D29,'Collapsed - Orthotrack outcomes'!$H:$H,"&lt;"&amp;$E29)</f>
        <v>65.95256756756757</v>
      </c>
      <c r="P29" s="25">
        <f>AVERAGEIFS('Collapsed - Orthotrack outcomes'!U:U,'Collapsed - Orthotrack outcomes'!$H:$H,"&gt;="&amp;$D29,'Collapsed - Orthotrack outcomes'!$H:$H,"&lt;"&amp;$E29)</f>
        <v>65.794702702702722</v>
      </c>
      <c r="Q29" s="25">
        <f>AVERAGEIFS('Collapsed - Orthotrack outcomes'!V:V,'Collapsed - Orthotrack outcomes'!$H:$H,"&gt;="&amp;$D29,'Collapsed - Orthotrack outcomes'!$H:$H,"&lt;"&amp;$E29)</f>
        <v>34.047405405405406</v>
      </c>
      <c r="R29" s="25">
        <f>AVERAGEIFS('Collapsed - Orthotrack outcomes'!W:W,'Collapsed - Orthotrack outcomes'!$H:$H,"&gt;="&amp;$D29,'Collapsed - Orthotrack outcomes'!$H:$H,"&lt;"&amp;$E29)</f>
        <v>34.205297297297292</v>
      </c>
      <c r="S29" s="25">
        <f>AVERAGEIFS('Collapsed - Orthotrack outcomes'!X:X,'Collapsed - Orthotrack outcomes'!$H:$H,"&gt;="&amp;$D29,'Collapsed - Orthotrack outcomes'!$H:$H,"&lt;"&amp;$E29)</f>
        <v>15.82483783783784</v>
      </c>
      <c r="T29" s="25">
        <f>AVERAGEIFS('Collapsed - Orthotrack outcomes'!Y:Y,'Collapsed - Orthotrack outcomes'!$H:$H,"&gt;="&amp;$D29,'Collapsed - Orthotrack outcomes'!$H:$H,"&lt;"&amp;$E29)</f>
        <v>16.053945945945944</v>
      </c>
      <c r="U29" s="25">
        <f>AVERAGEIFS('Collapsed - Orthotrack outcomes'!Z:Z,'Collapsed - Orthotrack outcomes'!$H:$H,"&gt;="&amp;$D29,'Collapsed - Orthotrack outcomes'!$H:$H,"&lt;"&amp;$E29)</f>
        <v>34.205297297297292</v>
      </c>
      <c r="V29" s="25">
        <f>AVERAGEIFS('Collapsed - Orthotrack outcomes'!AA:AA,'Collapsed - Orthotrack outcomes'!$H:$H,"&gt;="&amp;$D29,'Collapsed - Orthotrack outcomes'!$H:$H,"&lt;"&amp;$E29)</f>
        <v>34.047405405405406</v>
      </c>
      <c r="W29" s="25">
        <f>AVERAGEIFS('Collapsed - Orthotrack outcomes'!AB:AB,'Collapsed - Orthotrack outcomes'!$H:$H,"&gt;="&amp;$D29,'Collapsed - Orthotrack outcomes'!$H:$H,"&lt;"&amp;$E29)</f>
        <v>12.32283783783784</v>
      </c>
      <c r="X29" s="25">
        <f>AVERAGEIFS('Collapsed - Orthotrack outcomes'!AC:AC,'Collapsed - Orthotrack outcomes'!$H:$H,"&gt;="&amp;$D29,'Collapsed - Orthotrack outcomes'!$H:$H,"&lt;"&amp;$E29)</f>
        <v>13.648648648648649</v>
      </c>
      <c r="Y29" s="25">
        <f>AVERAGEIFS('Collapsed - Orthotrack outcomes'!AD:AD,'Collapsed - Orthotrack outcomes'!$H:$H,"&gt;="&amp;$D29,'Collapsed - Orthotrack outcomes'!$H:$H,"&lt;"&amp;$E29)</f>
        <v>13.945945945945946</v>
      </c>
      <c r="Z29" s="25">
        <f>AVERAGEIFS('Collapsed - Orthotrack outcomes'!AE:AE,'Collapsed - Orthotrack outcomes'!$H:$H,"&gt;="&amp;$D29,'Collapsed - Orthotrack outcomes'!$H:$H,"&lt;"&amp;$E29)</f>
        <v>13.135135135135135</v>
      </c>
      <c r="AA29" s="25">
        <f>AVERAGEIFS('Collapsed - Orthotrack outcomes'!AF:AF,'Collapsed - Orthotrack outcomes'!$H:$H,"&gt;="&amp;$D29,'Collapsed - Orthotrack outcomes'!$H:$H,"&lt;"&amp;$E29)</f>
        <v>13.135135135135135</v>
      </c>
    </row>
    <row r="30" spans="4:27" ht="16" x14ac:dyDescent="0.2">
      <c r="D30" s="13">
        <f t="shared" si="1"/>
        <v>90</v>
      </c>
      <c r="E30" s="13">
        <f t="shared" si="2"/>
        <v>100</v>
      </c>
      <c r="F30" s="27" t="s">
        <v>16475</v>
      </c>
      <c r="G30" s="22">
        <f>AVERAGEIFS('Collapsed - Orthotrack outcomes'!L:L,'Collapsed - Orthotrack outcomes'!$H:$H,"&gt;="&amp;$D30,'Collapsed - Orthotrack outcomes'!$H:$H,"&lt;"&amp;$E30)</f>
        <v>44.825000000000003</v>
      </c>
      <c r="H30" s="22">
        <f>AVERAGEIFS('Collapsed - Orthotrack outcomes'!M:M,'Collapsed - Orthotrack outcomes'!$H:$H,"&gt;="&amp;$D30,'Collapsed - Orthotrack outcomes'!$H:$H,"&lt;"&amp;$E30)</f>
        <v>43.295999999999999</v>
      </c>
      <c r="I30" s="22">
        <f>AVERAGEIFS('Collapsed - Orthotrack outcomes'!N:N,'Collapsed - Orthotrack outcomes'!$H:$H,"&gt;="&amp;$D30,'Collapsed - Orthotrack outcomes'!$H:$H,"&lt;"&amp;$E30)</f>
        <v>88.593000000000004</v>
      </c>
      <c r="J30" s="22">
        <f>AVERAGEIFS('Collapsed - Orthotrack outcomes'!O:O,'Collapsed - Orthotrack outcomes'!$H:$H,"&gt;="&amp;$D30,'Collapsed - Orthotrack outcomes'!$H:$H,"&lt;"&amp;$E30)</f>
        <v>87.879000000000005</v>
      </c>
      <c r="K30" s="22">
        <f>AVERAGEIFS('Collapsed - Orthotrack outcomes'!P:P,'Collapsed - Orthotrack outcomes'!$H:$H,"&gt;="&amp;$D30,'Collapsed - Orthotrack outcomes'!$H:$H,"&lt;"&amp;$E30)</f>
        <v>74.494</v>
      </c>
      <c r="L30" s="22">
        <f>AVERAGEIFS('Collapsed - Orthotrack outcomes'!Q:Q,'Collapsed - Orthotrack outcomes'!$H:$H,"&gt;="&amp;$D30,'Collapsed - Orthotrack outcomes'!$H:$H,"&lt;"&amp;$E30)</f>
        <v>73.801000000000002</v>
      </c>
      <c r="M30" s="22">
        <f>AVERAGEIFS('Collapsed - Orthotrack outcomes'!R:R,'Collapsed - Orthotrack outcomes'!$H:$H,"&gt;="&amp;$D30,'Collapsed - Orthotrack outcomes'!$H:$H,"&lt;"&amp;$E30)</f>
        <v>100.63200000000001</v>
      </c>
      <c r="N30" s="22">
        <f>AVERAGEIFS('Collapsed - Orthotrack outcomes'!S:S,'Collapsed - Orthotrack outcomes'!$H:$H,"&gt;="&amp;$D30,'Collapsed - Orthotrack outcomes'!$H:$H,"&lt;"&amp;$E30)</f>
        <v>100.443</v>
      </c>
      <c r="O30" s="22">
        <f>AVERAGEIFS('Collapsed - Orthotrack outcomes'!T:T,'Collapsed - Orthotrack outcomes'!$H:$H,"&gt;="&amp;$D30,'Collapsed - Orthotrack outcomes'!$H:$H,"&lt;"&amp;$E30)</f>
        <v>62.183</v>
      </c>
      <c r="P30" s="22">
        <f>AVERAGEIFS('Collapsed - Orthotrack outcomes'!U:U,'Collapsed - Orthotrack outcomes'!$H:$H,"&gt;="&amp;$D30,'Collapsed - Orthotrack outcomes'!$H:$H,"&lt;"&amp;$E30)</f>
        <v>61.743000000000002</v>
      </c>
      <c r="Q30" s="22">
        <f>AVERAGEIFS('Collapsed - Orthotrack outcomes'!V:V,'Collapsed - Orthotrack outcomes'!$H:$H,"&gt;="&amp;$D30,'Collapsed - Orthotrack outcomes'!$H:$H,"&lt;"&amp;$E30)</f>
        <v>37.817</v>
      </c>
      <c r="R30" s="22">
        <f>AVERAGEIFS('Collapsed - Orthotrack outcomes'!W:W,'Collapsed - Orthotrack outcomes'!$H:$H,"&gt;="&amp;$D30,'Collapsed - Orthotrack outcomes'!$H:$H,"&lt;"&amp;$E30)</f>
        <v>38.256999999999998</v>
      </c>
      <c r="S30" s="22">
        <f>AVERAGEIFS('Collapsed - Orthotrack outcomes'!X:X,'Collapsed - Orthotrack outcomes'!$H:$H,"&gt;="&amp;$D30,'Collapsed - Orthotrack outcomes'!$H:$H,"&lt;"&amp;$E30)</f>
        <v>11.435</v>
      </c>
      <c r="T30" s="22">
        <f>AVERAGEIFS('Collapsed - Orthotrack outcomes'!Y:Y,'Collapsed - Orthotrack outcomes'!$H:$H,"&gt;="&amp;$D30,'Collapsed - Orthotrack outcomes'!$H:$H,"&lt;"&amp;$E30)</f>
        <v>12.394</v>
      </c>
      <c r="U30" s="22">
        <f>AVERAGEIFS('Collapsed - Orthotrack outcomes'!Z:Z,'Collapsed - Orthotrack outcomes'!$H:$H,"&gt;="&amp;$D30,'Collapsed - Orthotrack outcomes'!$H:$H,"&lt;"&amp;$E30)</f>
        <v>38.256999999999998</v>
      </c>
      <c r="V30" s="22">
        <f>AVERAGEIFS('Collapsed - Orthotrack outcomes'!AA:AA,'Collapsed - Orthotrack outcomes'!$H:$H,"&gt;="&amp;$D30,'Collapsed - Orthotrack outcomes'!$H:$H,"&lt;"&amp;$E30)</f>
        <v>37.817</v>
      </c>
      <c r="W30" s="22">
        <f>AVERAGEIFS('Collapsed - Orthotrack outcomes'!AB:AB,'Collapsed - Orthotrack outcomes'!$H:$H,"&gt;="&amp;$D30,'Collapsed - Orthotrack outcomes'!$H:$H,"&lt;"&amp;$E30)</f>
        <v>11.954000000000001</v>
      </c>
      <c r="X30" s="22">
        <f>AVERAGEIFS('Collapsed - Orthotrack outcomes'!AC:AC,'Collapsed - Orthotrack outcomes'!$H:$H,"&gt;="&amp;$D30,'Collapsed - Orthotrack outcomes'!$H:$H,"&lt;"&amp;$E30)</f>
        <v>15</v>
      </c>
      <c r="Y30" s="22">
        <f>AVERAGEIFS('Collapsed - Orthotrack outcomes'!AD:AD,'Collapsed - Orthotrack outcomes'!$H:$H,"&gt;="&amp;$D30,'Collapsed - Orthotrack outcomes'!$H:$H,"&lt;"&amp;$E30)</f>
        <v>17</v>
      </c>
      <c r="Z30" s="22">
        <f>AVERAGEIFS('Collapsed - Orthotrack outcomes'!AE:AE,'Collapsed - Orthotrack outcomes'!$H:$H,"&gt;="&amp;$D30,'Collapsed - Orthotrack outcomes'!$H:$H,"&lt;"&amp;$E30)</f>
        <v>15</v>
      </c>
      <c r="AA30" s="22">
        <f>AVERAGEIFS('Collapsed - Orthotrack outcomes'!AF:AF,'Collapsed - Orthotrack outcomes'!$H:$H,"&gt;="&amp;$D30,'Collapsed - Orthotrack outcomes'!$H:$H,"&lt;"&amp;$E30)</f>
        <v>15</v>
      </c>
    </row>
    <row r="31" spans="4:27" ht="16" x14ac:dyDescent="0.2">
      <c r="D31" s="13">
        <f t="shared" si="2"/>
        <v>100</v>
      </c>
      <c r="E31" s="13">
        <v>1000</v>
      </c>
      <c r="F31" s="27" t="s">
        <v>16478</v>
      </c>
      <c r="G31" s="25">
        <f>AVERAGEIFS('Collapsed - Orthotrack outcomes'!L:L,'Collapsed - Orthotrack outcomes'!$H:$H,"&gt;="&amp;$D31,'Collapsed - Orthotrack outcomes'!$H:$H,"&lt;"&amp;$E31)</f>
        <v>48.748023668639036</v>
      </c>
      <c r="H31" s="25">
        <f>AVERAGEIFS('Collapsed - Orthotrack outcomes'!M:M,'Collapsed - Orthotrack outcomes'!$H:$H,"&gt;="&amp;$D31,'Collapsed - Orthotrack outcomes'!$H:$H,"&lt;"&amp;$E31)</f>
        <v>49.448088757396462</v>
      </c>
      <c r="I31" s="25">
        <f>AVERAGEIFS('Collapsed - Orthotrack outcomes'!N:N,'Collapsed - Orthotrack outcomes'!$H:$H,"&gt;="&amp;$D31,'Collapsed - Orthotrack outcomes'!$H:$H,"&lt;"&amp;$E31)</f>
        <v>98.285544378698305</v>
      </c>
      <c r="J31" s="25">
        <f>AVERAGEIFS('Collapsed - Orthotrack outcomes'!O:O,'Collapsed - Orthotrack outcomes'!$H:$H,"&gt;="&amp;$D31,'Collapsed - Orthotrack outcomes'!$H:$H,"&lt;"&amp;$E31)</f>
        <v>98.329171597633149</v>
      </c>
      <c r="K31" s="25">
        <f>AVERAGEIFS('Collapsed - Orthotrack outcomes'!P:P,'Collapsed - Orthotrack outcomes'!$H:$H,"&gt;="&amp;$D31,'Collapsed - Orthotrack outcomes'!$H:$H,"&lt;"&amp;$E31)</f>
        <v>89.8684674556213</v>
      </c>
      <c r="L31" s="25">
        <f>AVERAGEIFS('Collapsed - Orthotrack outcomes'!Q:Q,'Collapsed - Orthotrack outcomes'!$H:$H,"&gt;="&amp;$D31,'Collapsed - Orthotrack outcomes'!$H:$H,"&lt;"&amp;$E31)</f>
        <v>90.001094674556214</v>
      </c>
      <c r="M31" s="25">
        <f>AVERAGEIFS('Collapsed - Orthotrack outcomes'!R:R,'Collapsed - Orthotrack outcomes'!$H:$H,"&gt;="&amp;$D31,'Collapsed - Orthotrack outcomes'!$H:$H,"&lt;"&amp;$E31)</f>
        <v>118.89276923076926</v>
      </c>
      <c r="N31" s="25">
        <f>AVERAGEIFS('Collapsed - Orthotrack outcomes'!S:S,'Collapsed - Orthotrack outcomes'!$H:$H,"&gt;="&amp;$D31,'Collapsed - Orthotrack outcomes'!$H:$H,"&lt;"&amp;$E31)</f>
        <v>114.89214201183435</v>
      </c>
      <c r="O31" s="25">
        <f>AVERAGEIFS('Collapsed - Orthotrack outcomes'!T:T,'Collapsed - Orthotrack outcomes'!$H:$H,"&gt;="&amp;$D31,'Collapsed - Orthotrack outcomes'!$H:$H,"&lt;"&amp;$E31)</f>
        <v>64.943349112426048</v>
      </c>
      <c r="P31" s="25">
        <f>AVERAGEIFS('Collapsed - Orthotrack outcomes'!U:U,'Collapsed - Orthotrack outcomes'!$H:$H,"&gt;="&amp;$D31,'Collapsed - Orthotrack outcomes'!$H:$H,"&lt;"&amp;$E31)</f>
        <v>60.619970414201191</v>
      </c>
      <c r="Q31" s="25">
        <f>AVERAGEIFS('Collapsed - Orthotrack outcomes'!V:V,'Collapsed - Orthotrack outcomes'!$H:$H,"&gt;="&amp;$D31,'Collapsed - Orthotrack outcomes'!$H:$H,"&lt;"&amp;$E31)</f>
        <v>35.056650887573944</v>
      </c>
      <c r="R31" s="25">
        <f>AVERAGEIFS('Collapsed - Orthotrack outcomes'!W:W,'Collapsed - Orthotrack outcomes'!$H:$H,"&gt;="&amp;$D31,'Collapsed - Orthotrack outcomes'!$H:$H,"&lt;"&amp;$E31)</f>
        <v>39.380035502958584</v>
      </c>
      <c r="S31" s="25">
        <f>AVERAGEIFS('Collapsed - Orthotrack outcomes'!X:X,'Collapsed - Orthotrack outcomes'!$H:$H,"&gt;="&amp;$D31,'Collapsed - Orthotrack outcomes'!$H:$H,"&lt;"&amp;$E31)</f>
        <v>9.2523313609467479</v>
      </c>
      <c r="T31" s="25">
        <f>AVERAGEIFS('Collapsed - Orthotrack outcomes'!Y:Y,'Collapsed - Orthotrack outcomes'!$H:$H,"&gt;="&amp;$D31,'Collapsed - Orthotrack outcomes'!$H:$H,"&lt;"&amp;$E31)</f>
        <v>9.2931775147928981</v>
      </c>
      <c r="U31" s="25">
        <f>AVERAGEIFS('Collapsed - Orthotrack outcomes'!Z:Z,'Collapsed - Orthotrack outcomes'!$H:$H,"&gt;="&amp;$D31,'Collapsed - Orthotrack outcomes'!$H:$H,"&lt;"&amp;$E31)</f>
        <v>39.380035502958584</v>
      </c>
      <c r="V31" s="25">
        <f>AVERAGEIFS('Collapsed - Orthotrack outcomes'!AA:AA,'Collapsed - Orthotrack outcomes'!$H:$H,"&gt;="&amp;$D31,'Collapsed - Orthotrack outcomes'!$H:$H,"&lt;"&amp;$E31)</f>
        <v>35.056650887573944</v>
      </c>
      <c r="W31" s="25">
        <f>AVERAGEIFS('Collapsed - Orthotrack outcomes'!AB:AB,'Collapsed - Orthotrack outcomes'!$H:$H,"&gt;="&amp;$D31,'Collapsed - Orthotrack outcomes'!$H:$H,"&lt;"&amp;$E31)</f>
        <v>12.695337278106512</v>
      </c>
      <c r="X31" s="25">
        <f>AVERAGEIFS('Collapsed - Orthotrack outcomes'!AC:AC,'Collapsed - Orthotrack outcomes'!$H:$H,"&gt;="&amp;$D31,'Collapsed - Orthotrack outcomes'!$H:$H,"&lt;"&amp;$E31)</f>
        <v>13.372781065088757</v>
      </c>
      <c r="Y31" s="25">
        <f>AVERAGEIFS('Collapsed - Orthotrack outcomes'!AD:AD,'Collapsed - Orthotrack outcomes'!$H:$H,"&gt;="&amp;$D31,'Collapsed - Orthotrack outcomes'!$H:$H,"&lt;"&amp;$E31)</f>
        <v>13.236686390532544</v>
      </c>
      <c r="Z31" s="25">
        <f>AVERAGEIFS('Collapsed - Orthotrack outcomes'!AE:AE,'Collapsed - Orthotrack outcomes'!$H:$H,"&gt;="&amp;$D31,'Collapsed - Orthotrack outcomes'!$H:$H,"&lt;"&amp;$E31)</f>
        <v>12.644970414201184</v>
      </c>
      <c r="AA31" s="25">
        <f>AVERAGEIFS('Collapsed - Orthotrack outcomes'!AF:AF,'Collapsed - Orthotrack outcomes'!$H:$H,"&gt;="&amp;$D31,'Collapsed - Orthotrack outcomes'!$H:$H,"&lt;"&amp;$E31)</f>
        <v>12.644970414201184</v>
      </c>
    </row>
    <row r="34" spans="5:27" x14ac:dyDescent="0.2">
      <c r="F34" s="27" t="s">
        <v>16476</v>
      </c>
      <c r="G34" s="24" t="s">
        <v>16476</v>
      </c>
      <c r="H34" s="24"/>
      <c r="I34" s="24"/>
      <c r="J34" s="24"/>
      <c r="K34" s="24"/>
      <c r="L34" s="24"/>
      <c r="M34" s="24"/>
      <c r="N34" s="24"/>
      <c r="O34" s="24"/>
      <c r="P34" s="24"/>
      <c r="Q34" s="24"/>
      <c r="R34" s="24"/>
      <c r="S34" s="24"/>
      <c r="T34" s="24"/>
      <c r="U34" s="24"/>
      <c r="V34" s="24"/>
      <c r="W34" s="24"/>
      <c r="X34" s="24"/>
      <c r="Y34" s="24"/>
      <c r="Z34" s="24"/>
      <c r="AA34" s="24"/>
    </row>
    <row r="35" spans="5:27" ht="16" x14ac:dyDescent="0.2">
      <c r="E35" s="13"/>
      <c r="F35" s="28"/>
      <c r="G35" s="26" t="s">
        <v>50</v>
      </c>
      <c r="H35" s="26" t="s">
        <v>20</v>
      </c>
      <c r="I35" s="26" t="s">
        <v>23</v>
      </c>
      <c r="J35" s="26" t="s">
        <v>22</v>
      </c>
      <c r="K35" s="26" t="s">
        <v>11</v>
      </c>
      <c r="L35" s="26" t="s">
        <v>10</v>
      </c>
      <c r="M35" s="26" t="s">
        <v>9</v>
      </c>
      <c r="N35" s="26" t="s">
        <v>8</v>
      </c>
      <c r="O35" s="26" t="s">
        <v>27</v>
      </c>
      <c r="P35" s="26" t="s">
        <v>26</v>
      </c>
      <c r="Q35" s="26" t="s">
        <v>25</v>
      </c>
      <c r="R35" s="26" t="s">
        <v>24</v>
      </c>
      <c r="S35" s="26" t="s">
        <v>13</v>
      </c>
      <c r="T35" s="26" t="s">
        <v>12</v>
      </c>
      <c r="U35" s="26" t="s">
        <v>19</v>
      </c>
      <c r="V35" s="26" t="s">
        <v>18</v>
      </c>
      <c r="W35" s="26" t="s">
        <v>21</v>
      </c>
      <c r="X35" s="26" t="s">
        <v>15</v>
      </c>
      <c r="Y35" s="26" t="s">
        <v>14</v>
      </c>
      <c r="Z35" s="26" t="s">
        <v>17</v>
      </c>
      <c r="AA35" s="26" t="s">
        <v>16</v>
      </c>
    </row>
    <row r="36" spans="5:27" ht="16" x14ac:dyDescent="0.2">
      <c r="E36" s="13"/>
      <c r="F36" s="27" t="s">
        <v>16466</v>
      </c>
      <c r="G36" s="25"/>
      <c r="H36" s="25"/>
      <c r="I36" s="25"/>
      <c r="J36" s="25"/>
      <c r="K36" s="25"/>
      <c r="L36" s="25"/>
      <c r="M36" s="25"/>
      <c r="N36" s="25"/>
      <c r="O36" s="25"/>
      <c r="P36" s="25"/>
      <c r="Q36" s="25"/>
      <c r="R36" s="25"/>
      <c r="S36" s="25"/>
      <c r="T36" s="25"/>
      <c r="U36" s="25"/>
      <c r="V36" s="25"/>
      <c r="W36" s="25"/>
      <c r="X36" s="25"/>
      <c r="Y36" s="25"/>
      <c r="Z36" s="25"/>
      <c r="AA36" s="25"/>
    </row>
    <row r="37" spans="5:27" ht="16" x14ac:dyDescent="0.2">
      <c r="E37" s="13"/>
      <c r="F37" s="27" t="s">
        <v>16467</v>
      </c>
      <c r="G37" s="22"/>
      <c r="H37" s="22"/>
      <c r="I37" s="22"/>
      <c r="J37" s="22"/>
      <c r="K37" s="22"/>
      <c r="L37" s="22"/>
      <c r="M37" s="22"/>
      <c r="N37" s="22"/>
      <c r="O37" s="22"/>
      <c r="P37" s="22"/>
      <c r="Q37" s="22"/>
      <c r="R37" s="22"/>
      <c r="S37" s="22"/>
      <c r="T37" s="22"/>
      <c r="U37" s="22"/>
      <c r="V37" s="22"/>
      <c r="W37" s="22"/>
      <c r="X37" s="22"/>
      <c r="Y37" s="22"/>
      <c r="Z37" s="22"/>
      <c r="AA37" s="22"/>
    </row>
    <row r="38" spans="5:27" ht="16" x14ac:dyDescent="0.2">
      <c r="E38" s="13"/>
      <c r="F38" s="27" t="s">
        <v>16468</v>
      </c>
      <c r="G38" s="25"/>
      <c r="H38" s="25"/>
      <c r="I38" s="25"/>
      <c r="J38" s="25"/>
      <c r="K38" s="25"/>
      <c r="L38" s="25"/>
      <c r="M38" s="25"/>
      <c r="N38" s="25"/>
      <c r="O38" s="25"/>
      <c r="P38" s="25"/>
      <c r="Q38" s="25"/>
      <c r="R38" s="25"/>
      <c r="S38" s="25"/>
      <c r="T38" s="25"/>
      <c r="U38" s="25"/>
      <c r="V38" s="25"/>
      <c r="W38" s="25"/>
      <c r="X38" s="25"/>
      <c r="Y38" s="25"/>
      <c r="Z38" s="25"/>
      <c r="AA38" s="25"/>
    </row>
    <row r="39" spans="5:27" ht="16" x14ac:dyDescent="0.2">
      <c r="E39" s="13"/>
      <c r="F39" s="27" t="s">
        <v>16469</v>
      </c>
      <c r="G39" s="22"/>
      <c r="H39" s="22"/>
      <c r="I39" s="22"/>
      <c r="J39" s="22"/>
      <c r="K39" s="22"/>
      <c r="L39" s="22"/>
      <c r="M39" s="22"/>
      <c r="N39" s="22"/>
      <c r="O39" s="22"/>
      <c r="P39" s="22"/>
      <c r="Q39" s="22"/>
      <c r="R39" s="22"/>
      <c r="S39" s="22"/>
      <c r="T39" s="22"/>
      <c r="U39" s="22"/>
      <c r="V39" s="22"/>
      <c r="W39" s="22"/>
      <c r="X39" s="22"/>
      <c r="Y39" s="22"/>
      <c r="Z39" s="22"/>
      <c r="AA39" s="22"/>
    </row>
    <row r="40" spans="5:27" ht="16" x14ac:dyDescent="0.2">
      <c r="E40" s="13"/>
      <c r="F40" s="27" t="s">
        <v>16470</v>
      </c>
      <c r="G40" s="25"/>
      <c r="H40" s="25"/>
      <c r="I40" s="25"/>
      <c r="J40" s="25"/>
      <c r="K40" s="25"/>
      <c r="L40" s="25"/>
      <c r="M40" s="25"/>
      <c r="N40" s="25"/>
      <c r="O40" s="25"/>
      <c r="P40" s="25"/>
      <c r="Q40" s="25"/>
      <c r="R40" s="25"/>
      <c r="S40" s="25"/>
      <c r="T40" s="25"/>
      <c r="U40" s="25"/>
      <c r="V40" s="25"/>
      <c r="W40" s="25"/>
      <c r="X40" s="25"/>
      <c r="Y40" s="25"/>
      <c r="Z40" s="25"/>
      <c r="AA40" s="25"/>
    </row>
    <row r="41" spans="5:27" ht="16" x14ac:dyDescent="0.2">
      <c r="E41" s="13"/>
      <c r="F41" s="27" t="s">
        <v>16471</v>
      </c>
      <c r="G41" s="22"/>
      <c r="H41" s="22"/>
      <c r="I41" s="22"/>
      <c r="J41" s="22"/>
      <c r="K41" s="22"/>
      <c r="L41" s="22"/>
      <c r="M41" s="22"/>
      <c r="N41" s="22"/>
      <c r="O41" s="22"/>
      <c r="P41" s="22"/>
      <c r="Q41" s="22"/>
      <c r="R41" s="22"/>
      <c r="S41" s="22"/>
      <c r="T41" s="22"/>
      <c r="U41" s="22"/>
      <c r="V41" s="22"/>
      <c r="W41" s="22"/>
      <c r="X41" s="22"/>
      <c r="Y41" s="22"/>
      <c r="Z41" s="22"/>
      <c r="AA41" s="22"/>
    </row>
    <row r="42" spans="5:27" ht="16" x14ac:dyDescent="0.2">
      <c r="E42" s="13"/>
      <c r="F42" s="27" t="s">
        <v>16472</v>
      </c>
      <c r="G42" s="25"/>
      <c r="H42" s="25"/>
      <c r="I42" s="25"/>
      <c r="J42" s="25"/>
      <c r="K42" s="25"/>
      <c r="L42" s="25"/>
      <c r="M42" s="25"/>
      <c r="N42" s="25"/>
      <c r="O42" s="25"/>
      <c r="P42" s="25"/>
      <c r="Q42" s="25"/>
      <c r="R42" s="25"/>
      <c r="S42" s="25"/>
      <c r="T42" s="25"/>
      <c r="U42" s="25"/>
      <c r="V42" s="25"/>
      <c r="W42" s="25"/>
      <c r="X42" s="25"/>
      <c r="Y42" s="25"/>
      <c r="Z42" s="25"/>
      <c r="AA42" s="25"/>
    </row>
    <row r="43" spans="5:27" ht="16" x14ac:dyDescent="0.2">
      <c r="E43" s="13"/>
      <c r="F43" s="27" t="s">
        <v>16473</v>
      </c>
      <c r="G43" s="22"/>
      <c r="H43" s="22"/>
      <c r="I43" s="22"/>
      <c r="J43" s="22"/>
      <c r="K43" s="22"/>
      <c r="L43" s="22"/>
      <c r="M43" s="22"/>
      <c r="N43" s="22"/>
      <c r="O43" s="22"/>
      <c r="P43" s="22"/>
      <c r="Q43" s="22"/>
      <c r="R43" s="22"/>
      <c r="S43" s="22"/>
      <c r="T43" s="22"/>
      <c r="U43" s="22"/>
      <c r="V43" s="22"/>
      <c r="W43" s="22"/>
      <c r="X43" s="22"/>
      <c r="Y43" s="22"/>
      <c r="Z43" s="22"/>
      <c r="AA43" s="22"/>
    </row>
    <row r="44" spans="5:27" ht="16" x14ac:dyDescent="0.2">
      <c r="E44" s="13"/>
      <c r="F44" s="27" t="s">
        <v>16474</v>
      </c>
      <c r="G44" s="25"/>
      <c r="H44" s="25"/>
      <c r="I44" s="25"/>
      <c r="J44" s="25"/>
      <c r="K44" s="25"/>
      <c r="L44" s="25"/>
      <c r="M44" s="25"/>
      <c r="N44" s="25"/>
      <c r="O44" s="25"/>
      <c r="P44" s="25"/>
      <c r="Q44" s="25"/>
      <c r="R44" s="25"/>
      <c r="S44" s="25"/>
      <c r="T44" s="25"/>
      <c r="U44" s="25"/>
      <c r="V44" s="25"/>
      <c r="W44" s="25"/>
      <c r="X44" s="25"/>
      <c r="Y44" s="25"/>
      <c r="Z44" s="25"/>
      <c r="AA44" s="25"/>
    </row>
    <row r="45" spans="5:27" ht="16" x14ac:dyDescent="0.2">
      <c r="E45" s="13"/>
      <c r="F45" s="27" t="s">
        <v>16475</v>
      </c>
      <c r="G45" s="22"/>
      <c r="H45" s="22"/>
      <c r="I45" s="22"/>
      <c r="J45" s="22"/>
      <c r="K45" s="22"/>
      <c r="L45" s="22"/>
      <c r="M45" s="22"/>
      <c r="N45" s="22"/>
      <c r="O45" s="22"/>
      <c r="P45" s="22"/>
      <c r="Q45" s="22"/>
      <c r="R45" s="22"/>
      <c r="S45" s="22"/>
      <c r="T45" s="22"/>
      <c r="U45" s="22"/>
      <c r="V45" s="22"/>
      <c r="W45" s="22"/>
      <c r="X45" s="22"/>
      <c r="Y45" s="22"/>
      <c r="Z45" s="22"/>
      <c r="AA45" s="22"/>
    </row>
    <row r="46" spans="5:27" ht="16" x14ac:dyDescent="0.2">
      <c r="E46" s="13"/>
      <c r="F46" s="27" t="s">
        <v>16478</v>
      </c>
      <c r="G46" s="25"/>
      <c r="H46" s="25"/>
      <c r="I46" s="25"/>
      <c r="J46" s="25"/>
      <c r="K46" s="25"/>
      <c r="L46" s="25"/>
      <c r="M46" s="25"/>
      <c r="N46" s="25"/>
      <c r="O46" s="25"/>
      <c r="P46" s="25"/>
      <c r="Q46" s="25"/>
      <c r="R46" s="25"/>
      <c r="S46" s="25"/>
      <c r="T46" s="25"/>
      <c r="U46" s="25"/>
      <c r="V46" s="25"/>
      <c r="W46" s="25"/>
      <c r="X46" s="25"/>
      <c r="Y46" s="25"/>
      <c r="Z46" s="25"/>
      <c r="AA46" s="25"/>
    </row>
    <row r="48" spans="5:27" x14ac:dyDescent="0.2">
      <c r="F48" s="28" t="s">
        <v>5</v>
      </c>
      <c r="G48" s="26" t="s">
        <v>16480</v>
      </c>
      <c r="H48" s="26" t="s">
        <v>16481</v>
      </c>
      <c r="I48" s="26" t="s">
        <v>16482</v>
      </c>
    </row>
    <row r="49" spans="1:10" ht="16" x14ac:dyDescent="0.2">
      <c r="F49" s="27" t="s">
        <v>16466</v>
      </c>
      <c r="G49" s="25">
        <f>COUNTIFS('Collapsed - Orthotrack outcomes'!$H:$H,"&gt;="&amp;$D21,'Collapsed - Orthotrack outcomes'!$H:$H,"&lt;"&amp;$E21)</f>
        <v>4</v>
      </c>
      <c r="H49" s="25">
        <f>COUNTIFS('Collapsed - Orthotrack outcomes'!$H:$H,"&gt;="&amp;$D21,'Collapsed - Orthotrack outcomes'!$H:$H,"&lt;"&amp;$E21,'Collapsed - Orthotrack outcomes'!$L:$L,"&lt;&gt;NA")</f>
        <v>2</v>
      </c>
      <c r="I49" s="25">
        <f>G49-H49</f>
        <v>2</v>
      </c>
    </row>
    <row r="50" spans="1:10" ht="16" x14ac:dyDescent="0.2">
      <c r="F50" s="27" t="s">
        <v>16467</v>
      </c>
      <c r="G50" s="22">
        <f>COUNTIFS('Collapsed - Orthotrack outcomes'!$H:$H,"&gt;="&amp;$D22,'Collapsed - Orthotrack outcomes'!$H:$H,"&lt;"&amp;$E22)</f>
        <v>3</v>
      </c>
      <c r="H50" s="22">
        <f>COUNTIFS('Collapsed - Orthotrack outcomes'!$H:$H,"&gt;="&amp;$D22,'Collapsed - Orthotrack outcomes'!$H:$H,"&lt;"&amp;$E22,'Collapsed - Orthotrack outcomes'!$L:$L,"&lt;&gt;NA")</f>
        <v>3</v>
      </c>
      <c r="I50" s="22">
        <f t="shared" ref="I50:I59" si="3">G50-H50</f>
        <v>0</v>
      </c>
    </row>
    <row r="51" spans="1:10" ht="16" x14ac:dyDescent="0.2">
      <c r="F51" s="27" t="s">
        <v>16468</v>
      </c>
      <c r="G51" s="25">
        <f>COUNTIFS('Collapsed - Orthotrack outcomes'!$H:$H,"&gt;="&amp;$D23,'Collapsed - Orthotrack outcomes'!$H:$H,"&lt;"&amp;$E23)</f>
        <v>15</v>
      </c>
      <c r="H51" s="25">
        <f>COUNTIFS('Collapsed - Orthotrack outcomes'!$H:$H,"&gt;="&amp;$D23,'Collapsed - Orthotrack outcomes'!$H:$H,"&lt;"&amp;$E23,'Collapsed - Orthotrack outcomes'!$L:$L,"&lt;&gt;NA")</f>
        <v>13</v>
      </c>
      <c r="I51" s="25">
        <f t="shared" si="3"/>
        <v>2</v>
      </c>
    </row>
    <row r="52" spans="1:10" ht="16" x14ac:dyDescent="0.2">
      <c r="F52" s="27" t="s">
        <v>16469</v>
      </c>
      <c r="G52" s="22">
        <f>COUNTIFS('Collapsed - Orthotrack outcomes'!$H:$H,"&gt;="&amp;$D24,'Collapsed - Orthotrack outcomes'!$H:$H,"&lt;"&amp;$E24)</f>
        <v>20</v>
      </c>
      <c r="H52" s="22">
        <f>COUNTIFS('Collapsed - Orthotrack outcomes'!$H:$H,"&gt;="&amp;$D24,'Collapsed - Orthotrack outcomes'!$H:$H,"&lt;"&amp;$E24,'Collapsed - Orthotrack outcomes'!$L:$L,"&lt;&gt;NA")</f>
        <v>17</v>
      </c>
      <c r="I52" s="22">
        <f t="shared" si="3"/>
        <v>3</v>
      </c>
    </row>
    <row r="53" spans="1:10" ht="16" x14ac:dyDescent="0.2">
      <c r="F53" s="27" t="s">
        <v>16470</v>
      </c>
      <c r="G53" s="25">
        <f>COUNTIFS('Collapsed - Orthotrack outcomes'!$H:$H,"&gt;="&amp;$D25,'Collapsed - Orthotrack outcomes'!$H:$H,"&lt;"&amp;$E25)</f>
        <v>44</v>
      </c>
      <c r="H53" s="25">
        <f>COUNTIFS('Collapsed - Orthotrack outcomes'!$H:$H,"&gt;="&amp;$D25,'Collapsed - Orthotrack outcomes'!$H:$H,"&lt;"&amp;$E25,'Collapsed - Orthotrack outcomes'!$L:$L,"&lt;&gt;NA")</f>
        <v>34</v>
      </c>
      <c r="I53" s="25">
        <f t="shared" si="3"/>
        <v>10</v>
      </c>
    </row>
    <row r="54" spans="1:10" ht="16" x14ac:dyDescent="0.2">
      <c r="F54" s="27" t="s">
        <v>16471</v>
      </c>
      <c r="G54" s="22">
        <f>COUNTIFS('Collapsed - Orthotrack outcomes'!$H:$H,"&gt;="&amp;$D26,'Collapsed - Orthotrack outcomes'!$H:$H,"&lt;"&amp;$E26)</f>
        <v>117</v>
      </c>
      <c r="H54" s="22">
        <f>COUNTIFS('Collapsed - Orthotrack outcomes'!$H:$H,"&gt;="&amp;$D26,'Collapsed - Orthotrack outcomes'!$H:$H,"&lt;"&amp;$E26,'Collapsed - Orthotrack outcomes'!$L:$L,"&lt;&gt;NA")</f>
        <v>96</v>
      </c>
      <c r="I54" s="22">
        <f t="shared" si="3"/>
        <v>21</v>
      </c>
    </row>
    <row r="55" spans="1:10" ht="16" x14ac:dyDescent="0.2">
      <c r="F55" s="27" t="s">
        <v>16472</v>
      </c>
      <c r="G55" s="25">
        <f>COUNTIFS('Collapsed - Orthotrack outcomes'!$H:$H,"&gt;="&amp;$D27,'Collapsed - Orthotrack outcomes'!$H:$H,"&lt;"&amp;$E27)</f>
        <v>236</v>
      </c>
      <c r="H55" s="25">
        <f>COUNTIFS('Collapsed - Orthotrack outcomes'!$H:$H,"&gt;="&amp;$D27,'Collapsed - Orthotrack outcomes'!$H:$H,"&lt;"&amp;$E27,'Collapsed - Orthotrack outcomes'!$L:$L,"&lt;&gt;NA")</f>
        <v>192</v>
      </c>
      <c r="I55" s="25">
        <f t="shared" si="3"/>
        <v>44</v>
      </c>
    </row>
    <row r="56" spans="1:10" ht="16" x14ac:dyDescent="0.2">
      <c r="F56" s="27" t="s">
        <v>16473</v>
      </c>
      <c r="G56" s="22">
        <f>COUNTIFS('Collapsed - Orthotrack outcomes'!$H:$H,"&gt;="&amp;$D28,'Collapsed - Orthotrack outcomes'!$H:$H,"&lt;"&amp;$E28)</f>
        <v>251</v>
      </c>
      <c r="H56" s="22">
        <f>COUNTIFS('Collapsed - Orthotrack outcomes'!$H:$H,"&gt;="&amp;$D28,'Collapsed - Orthotrack outcomes'!$H:$H,"&lt;"&amp;$E28,'Collapsed - Orthotrack outcomes'!$L:$L,"&lt;&gt;NA")</f>
        <v>201</v>
      </c>
      <c r="I56" s="22">
        <f t="shared" si="3"/>
        <v>50</v>
      </c>
    </row>
    <row r="57" spans="1:10" ht="16" x14ac:dyDescent="0.2">
      <c r="F57" s="27" t="s">
        <v>16474</v>
      </c>
      <c r="G57" s="25">
        <f>COUNTIFS('Collapsed - Orthotrack outcomes'!$H:$H,"&gt;="&amp;$D29,'Collapsed - Orthotrack outcomes'!$H:$H,"&lt;"&amp;$E29)</f>
        <v>45</v>
      </c>
      <c r="H57" s="25">
        <f>COUNTIFS('Collapsed - Orthotrack outcomes'!$H:$H,"&gt;="&amp;$D29,'Collapsed - Orthotrack outcomes'!$H:$H,"&lt;"&amp;$E29,'Collapsed - Orthotrack outcomes'!$L:$L,"&lt;&gt;NA")</f>
        <v>37</v>
      </c>
      <c r="I57" s="25">
        <f t="shared" si="3"/>
        <v>8</v>
      </c>
    </row>
    <row r="58" spans="1:10" ht="16" x14ac:dyDescent="0.2">
      <c r="F58" s="27" t="s">
        <v>16475</v>
      </c>
      <c r="G58" s="22">
        <f>COUNTIFS('Collapsed - Orthotrack outcomes'!$H:$H,"&gt;="&amp;$D30,'Collapsed - Orthotrack outcomes'!$H:$H,"&lt;"&amp;$E30)</f>
        <v>2</v>
      </c>
      <c r="H58" s="22">
        <f>COUNTIFS('Collapsed - Orthotrack outcomes'!$H:$H,"&gt;="&amp;$D30,'Collapsed - Orthotrack outcomes'!$H:$H,"&lt;"&amp;$E30,'Collapsed - Orthotrack outcomes'!$L:$L,"&lt;&gt;NA")</f>
        <v>1</v>
      </c>
      <c r="I58" s="22">
        <f t="shared" si="3"/>
        <v>1</v>
      </c>
    </row>
    <row r="59" spans="1:10" ht="16" x14ac:dyDescent="0.2">
      <c r="F59" s="27" t="s">
        <v>16478</v>
      </c>
      <c r="G59" s="25">
        <f>COUNTIFS('Collapsed - Orthotrack outcomes'!$H:$H,"&gt;="&amp;$D31,'Collapsed - Orthotrack outcomes'!$H:$H,"&lt;"&amp;$E31)</f>
        <v>216</v>
      </c>
      <c r="H59" s="25">
        <f>COUNTIFS('Collapsed - Orthotrack outcomes'!$H:$H,"&gt;="&amp;$D31,'Collapsed - Orthotrack outcomes'!$H:$H,"&lt;"&amp;$E31,'Collapsed - Orthotrack outcomes'!$L:$L,"&lt;&gt;NA")</f>
        <v>169</v>
      </c>
      <c r="I59" s="25">
        <f t="shared" si="3"/>
        <v>47</v>
      </c>
    </row>
    <row r="60" spans="1:10" s="32" customFormat="1" x14ac:dyDescent="0.2"/>
    <row r="61" spans="1:10" x14ac:dyDescent="0.2">
      <c r="F61" s="26" t="s">
        <v>44</v>
      </c>
      <c r="G61" s="28" t="s">
        <v>16486</v>
      </c>
      <c r="H61" s="26" t="s">
        <v>16480</v>
      </c>
      <c r="I61" s="26" t="s">
        <v>16481</v>
      </c>
      <c r="J61" s="28" t="s">
        <v>16482</v>
      </c>
    </row>
    <row r="62" spans="1:10" ht="16" x14ac:dyDescent="0.2">
      <c r="A62" t="s">
        <v>44</v>
      </c>
      <c r="B62" t="s">
        <v>44</v>
      </c>
      <c r="C62" t="s">
        <v>44</v>
      </c>
      <c r="D62" t="s">
        <v>44</v>
      </c>
      <c r="E62" t="s">
        <v>44</v>
      </c>
      <c r="F62" s="30" t="s">
        <v>16414</v>
      </c>
      <c r="G62" s="27" t="s">
        <v>16415</v>
      </c>
      <c r="H62" s="25">
        <f>COUNTIFS('Collapsed - Orthotrack outcomes'!$F:$F,'NonPivot Summary'!$F62)</f>
        <v>255</v>
      </c>
      <c r="I62" s="25">
        <f>COUNTIFS('Collapsed - Orthotrack outcomes'!$F:$F,'NonPivot Summary'!$F62,'Collapsed - Orthotrack outcomes'!L:L,"&lt;&gt;NA")</f>
        <v>219</v>
      </c>
      <c r="J62" s="25">
        <f>H62-I62</f>
        <v>36</v>
      </c>
    </row>
    <row r="63" spans="1:10" ht="16" x14ac:dyDescent="0.2">
      <c r="A63" t="s">
        <v>16414</v>
      </c>
      <c r="B63" t="s">
        <v>16420</v>
      </c>
      <c r="C63" t="s">
        <v>16424</v>
      </c>
      <c r="D63">
        <v>332</v>
      </c>
      <c r="E63">
        <v>333.1</v>
      </c>
      <c r="F63" s="30" t="s">
        <v>16420</v>
      </c>
      <c r="G63" s="27" t="s">
        <v>16421</v>
      </c>
      <c r="H63" s="22">
        <f>COUNTIFS('Collapsed - Orthotrack outcomes'!$F:$F,'NonPivot Summary'!$F63)</f>
        <v>105</v>
      </c>
      <c r="I63" s="22">
        <f>COUNTIFS('Collapsed - Orthotrack outcomes'!$F:$F,'NonPivot Summary'!$F63,'Collapsed - Orthotrack outcomes'!L:L,"&lt;&gt;NA")</f>
        <v>96</v>
      </c>
      <c r="J63" s="22">
        <f t="shared" ref="J63:J69" si="4">H63-I63</f>
        <v>9</v>
      </c>
    </row>
    <row r="64" spans="1:10" ht="16" x14ac:dyDescent="0.2">
      <c r="F64" s="30" t="s">
        <v>16424</v>
      </c>
      <c r="G64" s="27" t="s">
        <v>16425</v>
      </c>
      <c r="H64" s="25">
        <f>COUNTIFS('Collapsed - Orthotrack outcomes'!$F:$F,'NonPivot Summary'!$F64)</f>
        <v>74</v>
      </c>
      <c r="I64" s="25">
        <f>COUNTIFS('Collapsed - Orthotrack outcomes'!$F:$F,'NonPivot Summary'!$F64,'Collapsed - Orthotrack outcomes'!L:L,"&lt;&gt;NA")</f>
        <v>66</v>
      </c>
      <c r="J64" s="25">
        <f t="shared" si="4"/>
        <v>8</v>
      </c>
    </row>
    <row r="65" spans="1:28" ht="16" x14ac:dyDescent="0.2">
      <c r="A65" t="s">
        <v>44</v>
      </c>
      <c r="B65" t="s">
        <v>44</v>
      </c>
      <c r="C65" t="s">
        <v>44</v>
      </c>
      <c r="D65" t="s">
        <v>44</v>
      </c>
      <c r="F65" s="30">
        <v>332</v>
      </c>
      <c r="G65" s="27" t="s">
        <v>16405</v>
      </c>
      <c r="H65" s="22">
        <f>COUNTIFS('Collapsed - Orthotrack outcomes'!$F:$F,'NonPivot Summary'!$F65)</f>
        <v>36</v>
      </c>
      <c r="I65" s="22">
        <f>COUNTIFS('Collapsed - Orthotrack outcomes'!$F:$F,'NonPivot Summary'!$F65,'Collapsed - Orthotrack outcomes'!L:L,"&lt;&gt;NA")</f>
        <v>26</v>
      </c>
      <c r="J65" s="22">
        <f t="shared" si="4"/>
        <v>10</v>
      </c>
    </row>
    <row r="66" spans="1:28" ht="16" x14ac:dyDescent="0.2">
      <c r="A66" s="33" t="s">
        <v>16432</v>
      </c>
      <c r="B66" s="33" t="s">
        <v>16428</v>
      </c>
      <c r="C66" s="33" t="s">
        <v>16454</v>
      </c>
      <c r="D66" s="33" t="s">
        <v>16487</v>
      </c>
      <c r="F66" s="30">
        <v>333.1</v>
      </c>
      <c r="G66" s="27" t="s">
        <v>16406</v>
      </c>
      <c r="H66" s="25">
        <f>COUNTIFS('Collapsed - Orthotrack outcomes'!$F:$F,'NonPivot Summary'!$F66)</f>
        <v>30</v>
      </c>
      <c r="I66" s="25">
        <f>COUNTIFS('Collapsed - Orthotrack outcomes'!$F:$F,'NonPivot Summary'!$F66,'Collapsed - Orthotrack outcomes'!L:L,"&lt;&gt;NA")</f>
        <v>21</v>
      </c>
      <c r="J66" s="25">
        <f t="shared" si="4"/>
        <v>9</v>
      </c>
    </row>
    <row r="67" spans="1:28" ht="16" x14ac:dyDescent="0.2">
      <c r="F67" s="30" t="s">
        <v>16432</v>
      </c>
      <c r="G67" s="27" t="s">
        <v>16433</v>
      </c>
      <c r="H67" s="22">
        <f>COUNTIFS('Collapsed - Orthotrack outcomes'!$F:$F,'NonPivot Summary'!$F67)</f>
        <v>15</v>
      </c>
      <c r="I67" s="22">
        <f>COUNTIFS('Collapsed - Orthotrack outcomes'!$F:$F,'NonPivot Summary'!$F67,'Collapsed - Orthotrack outcomes'!L:L,"&lt;&gt;NA")</f>
        <v>15</v>
      </c>
      <c r="J67" s="22">
        <f t="shared" si="4"/>
        <v>0</v>
      </c>
    </row>
    <row r="68" spans="1:28" ht="16" x14ac:dyDescent="0.2">
      <c r="F68" s="30" t="s">
        <v>16428</v>
      </c>
      <c r="G68" s="27" t="s">
        <v>16429</v>
      </c>
      <c r="H68" s="25">
        <f>COUNTIFS('Collapsed - Orthotrack outcomes'!$F:$F,'NonPivot Summary'!$F68)</f>
        <v>11</v>
      </c>
      <c r="I68" s="25">
        <f>COUNTIFS('Collapsed - Orthotrack outcomes'!$F:$F,'NonPivot Summary'!$F68,'Collapsed - Orthotrack outcomes'!L:L,"&lt;&gt;NA")</f>
        <v>9</v>
      </c>
      <c r="J68" s="25">
        <f t="shared" si="4"/>
        <v>2</v>
      </c>
    </row>
    <row r="69" spans="1:28" ht="16" x14ac:dyDescent="0.2">
      <c r="F69" s="30" t="s">
        <v>16454</v>
      </c>
      <c r="G69" s="27" t="s">
        <v>16455</v>
      </c>
      <c r="H69" s="22">
        <f>COUNTIFS('Collapsed - Orthotrack outcomes'!$F:$F,'NonPivot Summary'!$F69)</f>
        <v>10</v>
      </c>
      <c r="I69" s="22">
        <f>COUNTIFS('Collapsed - Orthotrack outcomes'!$F:$F,'NonPivot Summary'!$F69,'Collapsed - Orthotrack outcomes'!L:L,"&lt;&gt;NA")</f>
        <v>10</v>
      </c>
      <c r="J69" s="22">
        <f t="shared" si="4"/>
        <v>0</v>
      </c>
    </row>
    <row r="70" spans="1:28" ht="16" x14ac:dyDescent="0.2">
      <c r="F70" s="30" t="s">
        <v>16487</v>
      </c>
      <c r="G70" s="27"/>
      <c r="H70" s="25"/>
      <c r="I70" s="25"/>
      <c r="J70" s="25"/>
    </row>
    <row r="72" spans="1:28" x14ac:dyDescent="0.2">
      <c r="F72" s="29" t="s">
        <v>6</v>
      </c>
      <c r="G72" s="27"/>
      <c r="H72" s="31" t="s">
        <v>6</v>
      </c>
      <c r="I72" s="24"/>
      <c r="J72" s="24"/>
      <c r="K72" s="24"/>
      <c r="L72" s="24"/>
      <c r="M72" s="24"/>
      <c r="N72" s="24"/>
      <c r="O72" s="24"/>
      <c r="P72" s="24"/>
      <c r="Q72" s="24"/>
      <c r="R72" s="24"/>
      <c r="S72" s="24"/>
      <c r="T72" s="24"/>
      <c r="U72" s="24"/>
      <c r="V72" s="24"/>
      <c r="W72" s="24"/>
      <c r="X72" s="24"/>
      <c r="Y72" s="24"/>
      <c r="Z72" s="24"/>
      <c r="AA72" s="24"/>
      <c r="AB72" s="24"/>
    </row>
    <row r="73" spans="1:28" x14ac:dyDescent="0.2">
      <c r="F73" s="26" t="s">
        <v>44</v>
      </c>
      <c r="G73" s="28" t="s">
        <v>16486</v>
      </c>
      <c r="H73" s="26" t="s">
        <v>50</v>
      </c>
      <c r="I73" s="26" t="s">
        <v>20</v>
      </c>
      <c r="J73" s="26" t="s">
        <v>23</v>
      </c>
      <c r="K73" s="26" t="s">
        <v>22</v>
      </c>
      <c r="L73" s="26" t="s">
        <v>11</v>
      </c>
      <c r="M73" s="26" t="s">
        <v>10</v>
      </c>
      <c r="N73" s="26" t="s">
        <v>9</v>
      </c>
      <c r="O73" s="26" t="s">
        <v>8</v>
      </c>
      <c r="P73" s="26" t="s">
        <v>27</v>
      </c>
      <c r="Q73" s="26" t="s">
        <v>26</v>
      </c>
      <c r="R73" s="26" t="s">
        <v>25</v>
      </c>
      <c r="S73" s="26" t="s">
        <v>24</v>
      </c>
      <c r="T73" s="26" t="s">
        <v>13</v>
      </c>
      <c r="U73" s="26" t="s">
        <v>12</v>
      </c>
      <c r="V73" s="26" t="s">
        <v>19</v>
      </c>
      <c r="W73" s="26" t="s">
        <v>18</v>
      </c>
      <c r="X73" s="26" t="s">
        <v>21</v>
      </c>
      <c r="Y73" s="26" t="s">
        <v>15</v>
      </c>
      <c r="Z73" s="26" t="s">
        <v>14</v>
      </c>
      <c r="AA73" s="26" t="s">
        <v>17</v>
      </c>
      <c r="AB73" s="26" t="s">
        <v>16</v>
      </c>
    </row>
    <row r="74" spans="1:28" ht="16" x14ac:dyDescent="0.2">
      <c r="F74" s="30" t="s">
        <v>16414</v>
      </c>
      <c r="G74" s="27" t="s">
        <v>16415</v>
      </c>
      <c r="H74" s="25">
        <f>AVERAGEIFS('Collapsed - Orthotrack outcomes'!L:L,'Collapsed - Orthotrack outcomes'!$F:$F,'NonPivot Summary'!$F74)</f>
        <v>48.276894977168958</v>
      </c>
      <c r="I74" s="25">
        <f>AVERAGEIFS('Collapsed - Orthotrack outcomes'!M:M,'Collapsed - Orthotrack outcomes'!$F:$F,'NonPivot Summary'!$F74)</f>
        <v>48.709876712328722</v>
      </c>
      <c r="J74" s="25">
        <f>AVERAGEIFS('Collapsed - Orthotrack outcomes'!N:N,'Collapsed - Orthotrack outcomes'!$F:$F,'NonPivot Summary'!$F74)</f>
        <v>97.12220091324204</v>
      </c>
      <c r="K74" s="25">
        <f>AVERAGEIFS('Collapsed - Orthotrack outcomes'!O:O,'Collapsed - Orthotrack outcomes'!$F:$F,'NonPivot Summary'!$F74)</f>
        <v>97.111223744292204</v>
      </c>
      <c r="L74" s="25">
        <f>AVERAGEIFS('Collapsed - Orthotrack outcomes'!P:P,'Collapsed - Orthotrack outcomes'!$F:$F,'NonPivot Summary'!$F74)</f>
        <v>89.17778082191775</v>
      </c>
      <c r="M74" s="25">
        <f>AVERAGEIFS('Collapsed - Orthotrack outcomes'!Q:Q,'Collapsed - Orthotrack outcomes'!$F:$F,'NonPivot Summary'!$F74)</f>
        <v>89.23088584474894</v>
      </c>
      <c r="N74" s="25">
        <f>AVERAGEIFS('Collapsed - Orthotrack outcomes'!R:R,'Collapsed - Orthotrack outcomes'!$F:$F,'NonPivot Summary'!$F74)</f>
        <v>110.0406118721462</v>
      </c>
      <c r="O74" s="25">
        <f>AVERAGEIFS('Collapsed - Orthotrack outcomes'!S:S,'Collapsed - Orthotrack outcomes'!$F:$F,'NonPivot Summary'!$F74)</f>
        <v>109.93621461187206</v>
      </c>
      <c r="P74" s="25">
        <f>AVERAGEIFS('Collapsed - Orthotrack outcomes'!T:T,'Collapsed - Orthotrack outcomes'!$F:$F,'NonPivot Summary'!$F74)</f>
        <v>64.488821917808238</v>
      </c>
      <c r="Q74" s="25">
        <f>AVERAGEIFS('Collapsed - Orthotrack outcomes'!U:U,'Collapsed - Orthotrack outcomes'!$F:$F,'NonPivot Summary'!$F74)</f>
        <v>64.398114155251108</v>
      </c>
      <c r="R74" s="25">
        <f>AVERAGEIFS('Collapsed - Orthotrack outcomes'!V:V,'Collapsed - Orthotrack outcomes'!$F:$F,'NonPivot Summary'!$F74)</f>
        <v>35.511173515981717</v>
      </c>
      <c r="S74" s="25">
        <f>AVERAGEIFS('Collapsed - Orthotrack outcomes'!W:W,'Collapsed - Orthotrack outcomes'!$F:$F,'NonPivot Summary'!$F74)</f>
        <v>35.601863013698619</v>
      </c>
      <c r="T74" s="25">
        <f>AVERAGEIFS('Collapsed - Orthotrack outcomes'!X:X,'Collapsed - Orthotrack outcomes'!$F:$F,'NonPivot Summary'!$F74)</f>
        <v>14.302735159817335</v>
      </c>
      <c r="U74" s="25">
        <f>AVERAGEIFS('Collapsed - Orthotrack outcomes'!Y:Y,'Collapsed - Orthotrack outcomes'!$F:$F,'NonPivot Summary'!$F74)</f>
        <v>14.837315068493158</v>
      </c>
      <c r="V74" s="25">
        <f>AVERAGEIFS('Collapsed - Orthotrack outcomes'!Z:Z,'Collapsed - Orthotrack outcomes'!$F:$F,'NonPivot Summary'!$F74)</f>
        <v>35.601863013698619</v>
      </c>
      <c r="W74" s="25">
        <f>AVERAGEIFS('Collapsed - Orthotrack outcomes'!AA:AA,'Collapsed - Orthotrack outcomes'!$F:$F,'NonPivot Summary'!$F74)</f>
        <v>35.511173515981717</v>
      </c>
      <c r="X74" s="25">
        <f>AVERAGEIFS('Collapsed - Orthotrack outcomes'!AB:AB,'Collapsed - Orthotrack outcomes'!$F:$F,'NonPivot Summary'!$F74)</f>
        <v>11.41213242009133</v>
      </c>
      <c r="Y74" s="25">
        <f>AVERAGEIFS('Collapsed - Orthotrack outcomes'!AC:AC,'Collapsed - Orthotrack outcomes'!$F:$F,'NonPivot Summary'!$F74)</f>
        <v>14.337899543378995</v>
      </c>
      <c r="Z74" s="25">
        <f>AVERAGEIFS('Collapsed - Orthotrack outcomes'!AD:AD,'Collapsed - Orthotrack outcomes'!$F:$F,'NonPivot Summary'!$F74)</f>
        <v>14.406392694063927</v>
      </c>
      <c r="AA74" s="25">
        <f>AVERAGEIFS('Collapsed - Orthotrack outcomes'!AE:AE,'Collapsed - Orthotrack outcomes'!$F:$F,'NonPivot Summary'!$F74)</f>
        <v>13.730593607305936</v>
      </c>
      <c r="AB74" s="25">
        <f>AVERAGEIFS('Collapsed - Orthotrack outcomes'!AF:AF,'Collapsed - Orthotrack outcomes'!$F:$F,'NonPivot Summary'!$F74)</f>
        <v>13.730593607305936</v>
      </c>
    </row>
    <row r="75" spans="1:28" ht="16" x14ac:dyDescent="0.2">
      <c r="F75" s="30" t="s">
        <v>16420</v>
      </c>
      <c r="G75" s="27" t="s">
        <v>16421</v>
      </c>
      <c r="H75" s="22">
        <f>AVERAGEIFS('Collapsed - Orthotrack outcomes'!L:L,'Collapsed - Orthotrack outcomes'!$F:$F,'NonPivot Summary'!$F75)</f>
        <v>52.246364583333353</v>
      </c>
      <c r="I75" s="22">
        <f>AVERAGEIFS('Collapsed - Orthotrack outcomes'!M:M,'Collapsed - Orthotrack outcomes'!$F:$F,'NonPivot Summary'!$F75)</f>
        <v>51.861468750000022</v>
      </c>
      <c r="J75" s="22">
        <f>AVERAGEIFS('Collapsed - Orthotrack outcomes'!N:N,'Collapsed - Orthotrack outcomes'!$F:$F,'NonPivot Summary'!$F75)</f>
        <v>104.27524999999996</v>
      </c>
      <c r="K75" s="22">
        <f>AVERAGEIFS('Collapsed - Orthotrack outcomes'!O:O,'Collapsed - Orthotrack outcomes'!$F:$F,'NonPivot Summary'!$F75)</f>
        <v>104.21585416666665</v>
      </c>
      <c r="L75" s="22">
        <f>AVERAGEIFS('Collapsed - Orthotrack outcomes'!P:P,'Collapsed - Orthotrack outcomes'!$F:$F,'NonPivot Summary'!$F75)</f>
        <v>92.00613541666668</v>
      </c>
      <c r="M75" s="22">
        <f>AVERAGEIFS('Collapsed - Orthotrack outcomes'!Q:Q,'Collapsed - Orthotrack outcomes'!$F:$F,'NonPivot Summary'!$F75)</f>
        <v>92.021593749999965</v>
      </c>
      <c r="N75" s="22">
        <f>AVERAGEIFS('Collapsed - Orthotrack outcomes'!R:R,'Collapsed - Orthotrack outcomes'!$F:$F,'NonPivot Summary'!$F75)</f>
        <v>104.45463541666668</v>
      </c>
      <c r="O75" s="22">
        <f>AVERAGEIFS('Collapsed - Orthotrack outcomes'!S:S,'Collapsed - Orthotrack outcomes'!$F:$F,'NonPivot Summary'!$F75)</f>
        <v>104.42360416666664</v>
      </c>
      <c r="P75" s="22">
        <f>AVERAGEIFS('Collapsed - Orthotrack outcomes'!T:T,'Collapsed - Orthotrack outcomes'!$F:$F,'NonPivot Summary'!$F75)</f>
        <v>64.478218750000025</v>
      </c>
      <c r="Q75" s="22">
        <f>AVERAGEIFS('Collapsed - Orthotrack outcomes'!U:U,'Collapsed - Orthotrack outcomes'!$F:$F,'NonPivot Summary'!$F75)</f>
        <v>64.381385416666674</v>
      </c>
      <c r="R75" s="22">
        <f>AVERAGEIFS('Collapsed - Orthotrack outcomes'!V:V,'Collapsed - Orthotrack outcomes'!$F:$F,'NonPivot Summary'!$F75)</f>
        <v>35.521791666666665</v>
      </c>
      <c r="S75" s="22">
        <f>AVERAGEIFS('Collapsed - Orthotrack outcomes'!W:W,'Collapsed - Orthotrack outcomes'!$F:$F,'NonPivot Summary'!$F75)</f>
        <v>35.618614583333319</v>
      </c>
      <c r="T75" s="22">
        <f>AVERAGEIFS('Collapsed - Orthotrack outcomes'!X:X,'Collapsed - Orthotrack outcomes'!$F:$F,'NonPivot Summary'!$F75)</f>
        <v>14.71034375</v>
      </c>
      <c r="U75" s="22">
        <f>AVERAGEIFS('Collapsed - Orthotrack outcomes'!Y:Y,'Collapsed - Orthotrack outcomes'!$F:$F,'NonPivot Summary'!$F75)</f>
        <v>14.390218749999997</v>
      </c>
      <c r="V75" s="22">
        <f>AVERAGEIFS('Collapsed - Orthotrack outcomes'!Z:Z,'Collapsed - Orthotrack outcomes'!$F:$F,'NonPivot Summary'!$F75)</f>
        <v>35.618614583333319</v>
      </c>
      <c r="W75" s="22">
        <f>AVERAGEIFS('Collapsed - Orthotrack outcomes'!AA:AA,'Collapsed - Orthotrack outcomes'!$F:$F,'NonPivot Summary'!$F75)</f>
        <v>35.521791666666665</v>
      </c>
      <c r="X75" s="22">
        <f>AVERAGEIFS('Collapsed - Orthotrack outcomes'!AB:AB,'Collapsed - Orthotrack outcomes'!$F:$F,'NonPivot Summary'!$F75)</f>
        <v>12.425260416666665</v>
      </c>
      <c r="Y75" s="22">
        <f>AVERAGEIFS('Collapsed - Orthotrack outcomes'!AC:AC,'Collapsed - Orthotrack outcomes'!$F:$F,'NonPivot Summary'!$F75)</f>
        <v>14.135416666666666</v>
      </c>
      <c r="Z75" s="22">
        <f>AVERAGEIFS('Collapsed - Orthotrack outcomes'!AD:AD,'Collapsed - Orthotrack outcomes'!$F:$F,'NonPivot Summary'!$F75)</f>
        <v>14.125</v>
      </c>
      <c r="AA75" s="22">
        <f>AVERAGEIFS('Collapsed - Orthotrack outcomes'!AE:AE,'Collapsed - Orthotrack outcomes'!$F:$F,'NonPivot Summary'!$F75)</f>
        <v>13.40625</v>
      </c>
      <c r="AB75" s="22">
        <f>AVERAGEIFS('Collapsed - Orthotrack outcomes'!AF:AF,'Collapsed - Orthotrack outcomes'!$F:$F,'NonPivot Summary'!$F75)</f>
        <v>13.40625</v>
      </c>
    </row>
    <row r="76" spans="1:28" ht="16" x14ac:dyDescent="0.2">
      <c r="F76" s="30" t="s">
        <v>16424</v>
      </c>
      <c r="G76" s="27" t="s">
        <v>16425</v>
      </c>
      <c r="H76" s="25">
        <f>AVERAGEIFS('Collapsed - Orthotrack outcomes'!L:L,'Collapsed - Orthotrack outcomes'!$F:$F,'NonPivot Summary'!$F76)</f>
        <v>51.087030303030318</v>
      </c>
      <c r="I76" s="25">
        <f>AVERAGEIFS('Collapsed - Orthotrack outcomes'!M:M,'Collapsed - Orthotrack outcomes'!$F:$F,'NonPivot Summary'!$F76)</f>
        <v>50.568303030303028</v>
      </c>
      <c r="J76" s="25">
        <f>AVERAGEIFS('Collapsed - Orthotrack outcomes'!N:N,'Collapsed - Orthotrack outcomes'!$F:$F,'NonPivot Summary'!$F76)</f>
        <v>101.7077727272727</v>
      </c>
      <c r="K76" s="25">
        <f>AVERAGEIFS('Collapsed - Orthotrack outcomes'!O:O,'Collapsed - Orthotrack outcomes'!$F:$F,'NonPivot Summary'!$F76)</f>
        <v>101.63831818181819</v>
      </c>
      <c r="L76" s="25">
        <f>AVERAGEIFS('Collapsed - Orthotrack outcomes'!P:P,'Collapsed - Orthotrack outcomes'!$F:$F,'NonPivot Summary'!$F76)</f>
        <v>92.040681818181824</v>
      </c>
      <c r="M76" s="25">
        <f>AVERAGEIFS('Collapsed - Orthotrack outcomes'!Q:Q,'Collapsed - Orthotrack outcomes'!$F:$F,'NonPivot Summary'!$F76)</f>
        <v>91.964636363636373</v>
      </c>
      <c r="N76" s="25">
        <f>AVERAGEIFS('Collapsed - Orthotrack outcomes'!R:R,'Collapsed - Orthotrack outcomes'!$F:$F,'NonPivot Summary'!$F76)</f>
        <v>105.33443939393938</v>
      </c>
      <c r="O76" s="25">
        <f>AVERAGEIFS('Collapsed - Orthotrack outcomes'!S:S,'Collapsed - Orthotrack outcomes'!$F:$F,'NonPivot Summary'!$F76)</f>
        <v>105.25321212121213</v>
      </c>
      <c r="P76" s="25">
        <f>AVERAGEIFS('Collapsed - Orthotrack outcomes'!T:T,'Collapsed - Orthotrack outcomes'!$F:$F,'NonPivot Summary'!$F76)</f>
        <v>64.722878787878798</v>
      </c>
      <c r="Q76" s="25">
        <f>AVERAGEIFS('Collapsed - Orthotrack outcomes'!U:U,'Collapsed - Orthotrack outcomes'!$F:$F,'NonPivot Summary'!$F76)</f>
        <v>64.728590909090883</v>
      </c>
      <c r="R76" s="25">
        <f>AVERAGEIFS('Collapsed - Orthotrack outcomes'!V:V,'Collapsed - Orthotrack outcomes'!$F:$F,'NonPivot Summary'!$F76)</f>
        <v>35.277106060606066</v>
      </c>
      <c r="S76" s="25">
        <f>AVERAGEIFS('Collapsed - Orthotrack outcomes'!W:W,'Collapsed - Orthotrack outcomes'!$F:$F,'NonPivot Summary'!$F76)</f>
        <v>35.271393939393938</v>
      </c>
      <c r="T76" s="25">
        <f>AVERAGEIFS('Collapsed - Orthotrack outcomes'!X:X,'Collapsed - Orthotrack outcomes'!$F:$F,'NonPivot Summary'!$F76)</f>
        <v>15.110833333333336</v>
      </c>
      <c r="U76" s="25">
        <f>AVERAGEIFS('Collapsed - Orthotrack outcomes'!Y:Y,'Collapsed - Orthotrack outcomes'!$F:$F,'NonPivot Summary'!$F76)</f>
        <v>14.668272727272726</v>
      </c>
      <c r="V76" s="25">
        <f>AVERAGEIFS('Collapsed - Orthotrack outcomes'!Z:Z,'Collapsed - Orthotrack outcomes'!$F:$F,'NonPivot Summary'!$F76)</f>
        <v>35.271393939393938</v>
      </c>
      <c r="W76" s="25">
        <f>AVERAGEIFS('Collapsed - Orthotrack outcomes'!AA:AA,'Collapsed - Orthotrack outcomes'!$F:$F,'NonPivot Summary'!$F76)</f>
        <v>35.277106060606066</v>
      </c>
      <c r="X76" s="25">
        <f>AVERAGEIFS('Collapsed - Orthotrack outcomes'!AB:AB,'Collapsed - Orthotrack outcomes'!$F:$F,'NonPivot Summary'!$F76)</f>
        <v>12.820469696969701</v>
      </c>
      <c r="Y76" s="25">
        <f>AVERAGEIFS('Collapsed - Orthotrack outcomes'!AC:AC,'Collapsed - Orthotrack outcomes'!$F:$F,'NonPivot Summary'!$F76)</f>
        <v>11.969696969696969</v>
      </c>
      <c r="Z76" s="25">
        <f>AVERAGEIFS('Collapsed - Orthotrack outcomes'!AD:AD,'Collapsed - Orthotrack outcomes'!$F:$F,'NonPivot Summary'!$F76)</f>
        <v>11.666666666666666</v>
      </c>
      <c r="AA76" s="25">
        <f>AVERAGEIFS('Collapsed - Orthotrack outcomes'!AE:AE,'Collapsed - Orthotrack outcomes'!$F:$F,'NonPivot Summary'!$F76)</f>
        <v>11.333333333333334</v>
      </c>
      <c r="AB76" s="25">
        <f>AVERAGEIFS('Collapsed - Orthotrack outcomes'!AF:AF,'Collapsed - Orthotrack outcomes'!$F:$F,'NonPivot Summary'!$F76)</f>
        <v>11.333333333333334</v>
      </c>
    </row>
    <row r="77" spans="1:28" ht="16" x14ac:dyDescent="0.2">
      <c r="F77" s="30">
        <v>332</v>
      </c>
      <c r="G77" s="27" t="s">
        <v>16405</v>
      </c>
      <c r="H77" s="22">
        <f>AVERAGEIFS('Collapsed - Orthotrack outcomes'!L:L,'Collapsed - Orthotrack outcomes'!$F:$F,'NonPivot Summary'!$F77)</f>
        <v>49.595769230769221</v>
      </c>
      <c r="I77" s="22">
        <f>AVERAGEIFS('Collapsed - Orthotrack outcomes'!M:M,'Collapsed - Orthotrack outcomes'!$F:$F,'NonPivot Summary'!$F77)</f>
        <v>50.605807692307685</v>
      </c>
      <c r="J77" s="22">
        <f>AVERAGEIFS('Collapsed - Orthotrack outcomes'!N:N,'Collapsed - Orthotrack outcomes'!$F:$F,'NonPivot Summary'!$F77)</f>
        <v>100.36588461538463</v>
      </c>
      <c r="K77" s="22">
        <f>AVERAGEIFS('Collapsed - Orthotrack outcomes'!O:O,'Collapsed - Orthotrack outcomes'!$F:$F,'NonPivot Summary'!$F77)</f>
        <v>100.34142307692309</v>
      </c>
      <c r="L77" s="22">
        <f>AVERAGEIFS('Collapsed - Orthotrack outcomes'!P:P,'Collapsed - Orthotrack outcomes'!$F:$F,'NonPivot Summary'!$F77)</f>
        <v>91.033461538461538</v>
      </c>
      <c r="M77" s="22">
        <f>AVERAGEIFS('Collapsed - Orthotrack outcomes'!Q:Q,'Collapsed - Orthotrack outcomes'!$F:$F,'NonPivot Summary'!$F77)</f>
        <v>91.074230769230766</v>
      </c>
      <c r="N77" s="22">
        <f>AVERAGEIFS('Collapsed - Orthotrack outcomes'!R:R,'Collapsed - Orthotrack outcomes'!$F:$F,'NonPivot Summary'!$F77)</f>
        <v>104.12884615384618</v>
      </c>
      <c r="O77" s="22">
        <f>AVERAGEIFS('Collapsed - Orthotrack outcomes'!S:S,'Collapsed - Orthotrack outcomes'!$F:$F,'NonPivot Summary'!$F77)</f>
        <v>103.41976923076922</v>
      </c>
      <c r="P77" s="22">
        <f>AVERAGEIFS('Collapsed - Orthotrack outcomes'!T:T,'Collapsed - Orthotrack outcomes'!$F:$F,'NonPivot Summary'!$F77)</f>
        <v>64.398807692307699</v>
      </c>
      <c r="Q77" s="22">
        <f>AVERAGEIFS('Collapsed - Orthotrack outcomes'!U:U,'Collapsed - Orthotrack outcomes'!$F:$F,'NonPivot Summary'!$F77)</f>
        <v>64.083499999999987</v>
      </c>
      <c r="R77" s="22">
        <f>AVERAGEIFS('Collapsed - Orthotrack outcomes'!V:V,'Collapsed - Orthotrack outcomes'!$F:$F,'NonPivot Summary'!$F77)</f>
        <v>35.601153846153849</v>
      </c>
      <c r="S77" s="22">
        <f>AVERAGEIFS('Collapsed - Orthotrack outcomes'!W:W,'Collapsed - Orthotrack outcomes'!$F:$F,'NonPivot Summary'!$F77)</f>
        <v>35.916499999999999</v>
      </c>
      <c r="T77" s="22">
        <f>AVERAGEIFS('Collapsed - Orthotrack outcomes'!X:X,'Collapsed - Orthotrack outcomes'!$F:$F,'NonPivot Summary'!$F77)</f>
        <v>14.094884615384617</v>
      </c>
      <c r="U77" s="22">
        <f>AVERAGEIFS('Collapsed - Orthotrack outcomes'!Y:Y,'Collapsed - Orthotrack outcomes'!$F:$F,'NonPivot Summary'!$F77)</f>
        <v>14.650346153846154</v>
      </c>
      <c r="V77" s="22">
        <f>AVERAGEIFS('Collapsed - Orthotrack outcomes'!Z:Z,'Collapsed - Orthotrack outcomes'!$F:$F,'NonPivot Summary'!$F77)</f>
        <v>35.916499999999999</v>
      </c>
      <c r="W77" s="22">
        <f>AVERAGEIFS('Collapsed - Orthotrack outcomes'!AA:AA,'Collapsed - Orthotrack outcomes'!$F:$F,'NonPivot Summary'!$F77)</f>
        <v>35.601153846153849</v>
      </c>
      <c r="X77" s="22">
        <f>AVERAGEIFS('Collapsed - Orthotrack outcomes'!AB:AB,'Collapsed - Orthotrack outcomes'!$F:$F,'NonPivot Summary'!$F77)</f>
        <v>12.202653846153844</v>
      </c>
      <c r="Y77" s="22">
        <f>AVERAGEIFS('Collapsed - Orthotrack outcomes'!AC:AC,'Collapsed - Orthotrack outcomes'!$F:$F,'NonPivot Summary'!$F77)</f>
        <v>12.961538461538462</v>
      </c>
      <c r="Z77" s="22">
        <f>AVERAGEIFS('Collapsed - Orthotrack outcomes'!AD:AD,'Collapsed - Orthotrack outcomes'!$F:$F,'NonPivot Summary'!$F77)</f>
        <v>13.115384615384615</v>
      </c>
      <c r="AA77" s="22">
        <f>AVERAGEIFS('Collapsed - Orthotrack outcomes'!AE:AE,'Collapsed - Orthotrack outcomes'!$F:$F,'NonPivot Summary'!$F77)</f>
        <v>12.26923076923077</v>
      </c>
      <c r="AB77" s="22">
        <f>AVERAGEIFS('Collapsed - Orthotrack outcomes'!AF:AF,'Collapsed - Orthotrack outcomes'!$F:$F,'NonPivot Summary'!$F77)</f>
        <v>12.26923076923077</v>
      </c>
    </row>
    <row r="78" spans="1:28" ht="16" x14ac:dyDescent="0.2">
      <c r="F78" s="30">
        <v>333.1</v>
      </c>
      <c r="G78" s="27" t="s">
        <v>16406</v>
      </c>
      <c r="H78" s="25">
        <f>AVERAGEIFS('Collapsed - Orthotrack outcomes'!L:L,'Collapsed - Orthotrack outcomes'!$F:$F,'NonPivot Summary'!$F78)</f>
        <v>49.208238095238094</v>
      </c>
      <c r="I78" s="25">
        <f>AVERAGEIFS('Collapsed - Orthotrack outcomes'!M:M,'Collapsed - Orthotrack outcomes'!$F:$F,'NonPivot Summary'!$F78)</f>
        <v>47.183571428571426</v>
      </c>
      <c r="J78" s="25">
        <f>AVERAGEIFS('Collapsed - Orthotrack outcomes'!N:N,'Collapsed - Orthotrack outcomes'!$F:$F,'NonPivot Summary'!$F78)</f>
        <v>96.34176190476191</v>
      </c>
      <c r="K78" s="25">
        <f>AVERAGEIFS('Collapsed - Orthotrack outcomes'!O:O,'Collapsed - Orthotrack outcomes'!$F:$F,'NonPivot Summary'!$F78)</f>
        <v>96.576761904761923</v>
      </c>
      <c r="L78" s="25">
        <f>AVERAGEIFS('Collapsed - Orthotrack outcomes'!P:P,'Collapsed - Orthotrack outcomes'!$F:$F,'NonPivot Summary'!$F78)</f>
        <v>85.171714285714287</v>
      </c>
      <c r="M78" s="25">
        <f>AVERAGEIFS('Collapsed - Orthotrack outcomes'!Q:Q,'Collapsed - Orthotrack outcomes'!$F:$F,'NonPivot Summary'!$F78)</f>
        <v>85.209619047619043</v>
      </c>
      <c r="N78" s="25">
        <f>AVERAGEIFS('Collapsed - Orthotrack outcomes'!R:R,'Collapsed - Orthotrack outcomes'!$F:$F,'NonPivot Summary'!$F78)</f>
        <v>104.0024761904762</v>
      </c>
      <c r="O78" s="25">
        <f>AVERAGEIFS('Collapsed - Orthotrack outcomes'!S:S,'Collapsed - Orthotrack outcomes'!$F:$F,'NonPivot Summary'!$F78)</f>
        <v>103.99085714285714</v>
      </c>
      <c r="P78" s="25">
        <f>AVERAGEIFS('Collapsed - Orthotrack outcomes'!T:T,'Collapsed - Orthotrack outcomes'!$F:$F,'NonPivot Summary'!$F78)</f>
        <v>64.112619047619035</v>
      </c>
      <c r="Q78" s="25">
        <f>AVERAGEIFS('Collapsed - Orthotrack outcomes'!U:U,'Collapsed - Orthotrack outcomes'!$F:$F,'NonPivot Summary'!$F78)</f>
        <v>64.332190476190476</v>
      </c>
      <c r="R78" s="25">
        <f>AVERAGEIFS('Collapsed - Orthotrack outcomes'!V:V,'Collapsed - Orthotrack outcomes'!$F:$F,'NonPivot Summary'!$F78)</f>
        <v>35.887380952380965</v>
      </c>
      <c r="S78" s="25">
        <f>AVERAGEIFS('Collapsed - Orthotrack outcomes'!W:W,'Collapsed - Orthotrack outcomes'!$F:$F,'NonPivot Summary'!$F78)</f>
        <v>35.667809523809538</v>
      </c>
      <c r="T78" s="25">
        <f>AVERAGEIFS('Collapsed - Orthotrack outcomes'!X:X,'Collapsed - Orthotrack outcomes'!$F:$F,'NonPivot Summary'!$F78)</f>
        <v>13.99495238095238</v>
      </c>
      <c r="U78" s="25">
        <f>AVERAGEIFS('Collapsed - Orthotrack outcomes'!Y:Y,'Collapsed - Orthotrack outcomes'!$F:$F,'NonPivot Summary'!$F78)</f>
        <v>14.512</v>
      </c>
      <c r="V78" s="25">
        <f>AVERAGEIFS('Collapsed - Orthotrack outcomes'!Z:Z,'Collapsed - Orthotrack outcomes'!$F:$F,'NonPivot Summary'!$F78)</f>
        <v>35.667809523809538</v>
      </c>
      <c r="W78" s="25">
        <f>AVERAGEIFS('Collapsed - Orthotrack outcomes'!AA:AA,'Collapsed - Orthotrack outcomes'!$F:$F,'NonPivot Summary'!$F78)</f>
        <v>35.887380952380965</v>
      </c>
      <c r="X78" s="25">
        <f>AVERAGEIFS('Collapsed - Orthotrack outcomes'!AB:AB,'Collapsed - Orthotrack outcomes'!$F:$F,'NonPivot Summary'!$F78)</f>
        <v>13.549095238095239</v>
      </c>
      <c r="Y78" s="25">
        <f>AVERAGEIFS('Collapsed - Orthotrack outcomes'!AC:AC,'Collapsed - Orthotrack outcomes'!$F:$F,'NonPivot Summary'!$F78)</f>
        <v>13.19047619047619</v>
      </c>
      <c r="Z78" s="25">
        <f>AVERAGEIFS('Collapsed - Orthotrack outcomes'!AD:AD,'Collapsed - Orthotrack outcomes'!$F:$F,'NonPivot Summary'!$F78)</f>
        <v>13.142857142857142</v>
      </c>
      <c r="AA78" s="25">
        <f>AVERAGEIFS('Collapsed - Orthotrack outcomes'!AE:AE,'Collapsed - Orthotrack outcomes'!$F:$F,'NonPivot Summary'!$F78)</f>
        <v>12.571428571428571</v>
      </c>
      <c r="AB78" s="25">
        <f>AVERAGEIFS('Collapsed - Orthotrack outcomes'!AF:AF,'Collapsed - Orthotrack outcomes'!$F:$F,'NonPivot Summary'!$F78)</f>
        <v>12.571428571428571</v>
      </c>
    </row>
    <row r="79" spans="1:28" ht="16" x14ac:dyDescent="0.2">
      <c r="F79" s="30" t="s">
        <v>16432</v>
      </c>
      <c r="G79" s="27" t="s">
        <v>16433</v>
      </c>
      <c r="H79" s="22">
        <f>AVERAGEIFS('Collapsed - Orthotrack outcomes'!L:L,'Collapsed - Orthotrack outcomes'!$F:$F,'NonPivot Summary'!$F79)</f>
        <v>50.364133333333335</v>
      </c>
      <c r="I79" s="22">
        <f>AVERAGEIFS('Collapsed - Orthotrack outcomes'!M:M,'Collapsed - Orthotrack outcomes'!$F:$F,'NonPivot Summary'!$F79)</f>
        <v>48.530533333333338</v>
      </c>
      <c r="J79" s="22">
        <f>AVERAGEIFS('Collapsed - Orthotrack outcomes'!N:N,'Collapsed - Orthotrack outcomes'!$F:$F,'NonPivot Summary'!$F79)</f>
        <v>99.056000000000012</v>
      </c>
      <c r="K79" s="22">
        <f>AVERAGEIFS('Collapsed - Orthotrack outcomes'!O:O,'Collapsed - Orthotrack outcomes'!$F:$F,'NonPivot Summary'!$F79)</f>
        <v>99.290466666666646</v>
      </c>
      <c r="L79" s="22">
        <f>AVERAGEIFS('Collapsed - Orthotrack outcomes'!P:P,'Collapsed - Orthotrack outcomes'!$F:$F,'NonPivot Summary'!$F79)</f>
        <v>89.214199999999977</v>
      </c>
      <c r="M79" s="22">
        <f>AVERAGEIFS('Collapsed - Orthotrack outcomes'!Q:Q,'Collapsed - Orthotrack outcomes'!$F:$F,'NonPivot Summary'!$F79)</f>
        <v>89.244799999999998</v>
      </c>
      <c r="N79" s="22">
        <f>AVERAGEIFS('Collapsed - Orthotrack outcomes'!R:R,'Collapsed - Orthotrack outcomes'!$F:$F,'NonPivot Summary'!$F79)</f>
        <v>104.64473333333333</v>
      </c>
      <c r="O79" s="22">
        <f>AVERAGEIFS('Collapsed - Orthotrack outcomes'!S:S,'Collapsed - Orthotrack outcomes'!$F:$F,'NonPivot Summary'!$F79)</f>
        <v>104.40720000000002</v>
      </c>
      <c r="P79" s="22">
        <f>AVERAGEIFS('Collapsed - Orthotrack outcomes'!T:T,'Collapsed - Orthotrack outcomes'!$F:$F,'NonPivot Summary'!$F79)</f>
        <v>65.411466666666669</v>
      </c>
      <c r="Q79" s="22">
        <f>AVERAGEIFS('Collapsed - Orthotrack outcomes'!U:U,'Collapsed - Orthotrack outcomes'!$F:$F,'NonPivot Summary'!$F79)</f>
        <v>64.56753333333333</v>
      </c>
      <c r="R79" s="22">
        <f>AVERAGEIFS('Collapsed - Orthotrack outcomes'!V:V,'Collapsed - Orthotrack outcomes'!$F:$F,'NonPivot Summary'!$F79)</f>
        <v>34.588533333333331</v>
      </c>
      <c r="S79" s="22">
        <f>AVERAGEIFS('Collapsed - Orthotrack outcomes'!W:W,'Collapsed - Orthotrack outcomes'!$F:$F,'NonPivot Summary'!$F79)</f>
        <v>35.432466666666663</v>
      </c>
      <c r="T79" s="22">
        <f>AVERAGEIFS('Collapsed - Orthotrack outcomes'!X:X,'Collapsed - Orthotrack outcomes'!$F:$F,'NonPivot Summary'!$F79)</f>
        <v>14.607466666666669</v>
      </c>
      <c r="U79" s="22">
        <f>AVERAGEIFS('Collapsed - Orthotrack outcomes'!Y:Y,'Collapsed - Orthotrack outcomes'!$F:$F,'NonPivot Summary'!$F79)</f>
        <v>15.435199999999996</v>
      </c>
      <c r="V79" s="22">
        <f>AVERAGEIFS('Collapsed - Orthotrack outcomes'!Z:Z,'Collapsed - Orthotrack outcomes'!$F:$F,'NonPivot Summary'!$F79)</f>
        <v>35.432466666666663</v>
      </c>
      <c r="W79" s="22">
        <f>AVERAGEIFS('Collapsed - Orthotrack outcomes'!AA:AA,'Collapsed - Orthotrack outcomes'!$F:$F,'NonPivot Summary'!$F79)</f>
        <v>34.588533333333331</v>
      </c>
      <c r="X79" s="22">
        <f>AVERAGEIFS('Collapsed - Orthotrack outcomes'!AB:AB,'Collapsed - Orthotrack outcomes'!$F:$F,'NonPivot Summary'!$F79)</f>
        <v>12.112733333333333</v>
      </c>
      <c r="Y79" s="22">
        <f>AVERAGEIFS('Collapsed - Orthotrack outcomes'!AC:AC,'Collapsed - Orthotrack outcomes'!$F:$F,'NonPivot Summary'!$F79)</f>
        <v>15.733333333333333</v>
      </c>
      <c r="Z79" s="22">
        <f>AVERAGEIFS('Collapsed - Orthotrack outcomes'!AD:AD,'Collapsed - Orthotrack outcomes'!$F:$F,'NonPivot Summary'!$F79)</f>
        <v>16.399999999999999</v>
      </c>
      <c r="AA79" s="22">
        <f>AVERAGEIFS('Collapsed - Orthotrack outcomes'!AE:AE,'Collapsed - Orthotrack outcomes'!$F:$F,'NonPivot Summary'!$F79)</f>
        <v>14.933333333333334</v>
      </c>
      <c r="AB79" s="22">
        <f>AVERAGEIFS('Collapsed - Orthotrack outcomes'!AF:AF,'Collapsed - Orthotrack outcomes'!$F:$F,'NonPivot Summary'!$F79)</f>
        <v>14.933333333333334</v>
      </c>
    </row>
    <row r="80" spans="1:28" ht="16" x14ac:dyDescent="0.2">
      <c r="F80" s="30" t="s">
        <v>16428</v>
      </c>
      <c r="G80" s="27" t="s">
        <v>16429</v>
      </c>
      <c r="H80" s="25">
        <f>AVERAGEIFS('Collapsed - Orthotrack outcomes'!L:L,'Collapsed - Orthotrack outcomes'!$F:$F,'NonPivot Summary'!$F80)</f>
        <v>48.910555555555554</v>
      </c>
      <c r="I80" s="25">
        <f>AVERAGEIFS('Collapsed - Orthotrack outcomes'!M:M,'Collapsed - Orthotrack outcomes'!$F:$F,'NonPivot Summary'!$F80)</f>
        <v>48.585666666666661</v>
      </c>
      <c r="J80" s="25">
        <f>AVERAGEIFS('Collapsed - Orthotrack outcomes'!N:N,'Collapsed - Orthotrack outcomes'!$F:$F,'NonPivot Summary'!$F80)</f>
        <v>97.490888888888904</v>
      </c>
      <c r="K80" s="25">
        <f>AVERAGEIFS('Collapsed - Orthotrack outcomes'!O:O,'Collapsed - Orthotrack outcomes'!$F:$F,'NonPivot Summary'!$F80)</f>
        <v>97.611555555555555</v>
      </c>
      <c r="L80" s="25">
        <f>AVERAGEIFS('Collapsed - Orthotrack outcomes'!P:P,'Collapsed - Orthotrack outcomes'!$F:$F,'NonPivot Summary'!$F80)</f>
        <v>78.587222222222223</v>
      </c>
      <c r="M80" s="25">
        <f>AVERAGEIFS('Collapsed - Orthotrack outcomes'!Q:Q,'Collapsed - Orthotrack outcomes'!$F:$F,'NonPivot Summary'!$F80)</f>
        <v>79.030333333333346</v>
      </c>
      <c r="N80" s="25">
        <f>AVERAGEIFS('Collapsed - Orthotrack outcomes'!R:R,'Collapsed - Orthotrack outcomes'!$F:$F,'NonPivot Summary'!$F80)</f>
        <v>95.13277777777779</v>
      </c>
      <c r="O80" s="25">
        <f>AVERAGEIFS('Collapsed - Orthotrack outcomes'!S:S,'Collapsed - Orthotrack outcomes'!$F:$F,'NonPivot Summary'!$F80)</f>
        <v>95.428777777777782</v>
      </c>
      <c r="P80" s="25">
        <f>AVERAGEIFS('Collapsed - Orthotrack outcomes'!T:T,'Collapsed - Orthotrack outcomes'!$F:$F,'NonPivot Summary'!$F80)</f>
        <v>63.44755555555556</v>
      </c>
      <c r="Q80" s="25">
        <f>AVERAGEIFS('Collapsed - Orthotrack outcomes'!U:U,'Collapsed - Orthotrack outcomes'!$F:$F,'NonPivot Summary'!$F80)</f>
        <v>65.135666666666665</v>
      </c>
      <c r="R80" s="25">
        <f>AVERAGEIFS('Collapsed - Orthotrack outcomes'!V:V,'Collapsed - Orthotrack outcomes'!$F:$F,'NonPivot Summary'!$F80)</f>
        <v>36.55244444444444</v>
      </c>
      <c r="S80" s="25">
        <f>AVERAGEIFS('Collapsed - Orthotrack outcomes'!W:W,'Collapsed - Orthotrack outcomes'!$F:$F,'NonPivot Summary'!$F80)</f>
        <v>34.864222222222217</v>
      </c>
      <c r="T80" s="25">
        <f>AVERAGEIFS('Collapsed - Orthotrack outcomes'!X:X,'Collapsed - Orthotrack outcomes'!$F:$F,'NonPivot Summary'!$F80)</f>
        <v>14.481444444444444</v>
      </c>
      <c r="U80" s="25">
        <f>AVERAGEIFS('Collapsed - Orthotrack outcomes'!Y:Y,'Collapsed - Orthotrack outcomes'!$F:$F,'NonPivot Summary'!$F80)</f>
        <v>14.029777777777777</v>
      </c>
      <c r="V80" s="25">
        <f>AVERAGEIFS('Collapsed - Orthotrack outcomes'!Z:Z,'Collapsed - Orthotrack outcomes'!$F:$F,'NonPivot Summary'!$F80)</f>
        <v>34.864222222222217</v>
      </c>
      <c r="W80" s="25">
        <f>AVERAGEIFS('Collapsed - Orthotrack outcomes'!AA:AA,'Collapsed - Orthotrack outcomes'!$F:$F,'NonPivot Summary'!$F80)</f>
        <v>36.55244444444444</v>
      </c>
      <c r="X80" s="25">
        <f>AVERAGEIFS('Collapsed - Orthotrack outcomes'!AB:AB,'Collapsed - Orthotrack outcomes'!$F:$F,'NonPivot Summary'!$F80)</f>
        <v>16.602777777777778</v>
      </c>
      <c r="Y80" s="25">
        <f>AVERAGEIFS('Collapsed - Orthotrack outcomes'!AC:AC,'Collapsed - Orthotrack outcomes'!$F:$F,'NonPivot Summary'!$F80)</f>
        <v>16.111111111111111</v>
      </c>
      <c r="Z80" s="25">
        <f>AVERAGEIFS('Collapsed - Orthotrack outcomes'!AD:AD,'Collapsed - Orthotrack outcomes'!$F:$F,'NonPivot Summary'!$F80)</f>
        <v>14.888888888888889</v>
      </c>
      <c r="AA80" s="25">
        <f>AVERAGEIFS('Collapsed - Orthotrack outcomes'!AE:AE,'Collapsed - Orthotrack outcomes'!$F:$F,'NonPivot Summary'!$F80)</f>
        <v>14.555555555555555</v>
      </c>
      <c r="AB80" s="25">
        <f>AVERAGEIFS('Collapsed - Orthotrack outcomes'!AF:AF,'Collapsed - Orthotrack outcomes'!$F:$F,'NonPivot Summary'!$F80)</f>
        <v>14.555555555555555</v>
      </c>
    </row>
    <row r="81" spans="6:28" ht="16" x14ac:dyDescent="0.2">
      <c r="F81" s="30" t="s">
        <v>16454</v>
      </c>
      <c r="G81" s="27" t="s">
        <v>16455</v>
      </c>
      <c r="H81" s="22">
        <f>AVERAGEIFS('Collapsed - Orthotrack outcomes'!L:L,'Collapsed - Orthotrack outcomes'!$F:$F,'NonPivot Summary'!$F81)</f>
        <v>37.781599999999997</v>
      </c>
      <c r="I81" s="22">
        <f>AVERAGEIFS('Collapsed - Orthotrack outcomes'!M:M,'Collapsed - Orthotrack outcomes'!$F:$F,'NonPivot Summary'!$F81)</f>
        <v>36.002899999999997</v>
      </c>
      <c r="J81" s="22">
        <f>AVERAGEIFS('Collapsed - Orthotrack outcomes'!N:N,'Collapsed - Orthotrack outcomes'!$F:$F,'NonPivot Summary'!$F81)</f>
        <v>74.031100000000009</v>
      </c>
      <c r="K81" s="22">
        <f>AVERAGEIFS('Collapsed - Orthotrack outcomes'!O:O,'Collapsed - Orthotrack outcomes'!$F:$F,'NonPivot Summary'!$F81)</f>
        <v>73.775400000000005</v>
      </c>
      <c r="L81" s="22">
        <f>AVERAGEIFS('Collapsed - Orthotrack outcomes'!P:P,'Collapsed - Orthotrack outcomes'!$F:$F,'NonPivot Summary'!$F81)</f>
        <v>65.543599999999998</v>
      </c>
      <c r="M81" s="22">
        <f>AVERAGEIFS('Collapsed - Orthotrack outcomes'!Q:Q,'Collapsed - Orthotrack outcomes'!$F:$F,'NonPivot Summary'!$F81)</f>
        <v>65.495100000000008</v>
      </c>
      <c r="N81" s="22">
        <f>AVERAGEIFS('Collapsed - Orthotrack outcomes'!R:R,'Collapsed - Orthotrack outcomes'!$F:$F,'NonPivot Summary'!$F81)</f>
        <v>108.205</v>
      </c>
      <c r="O81" s="22">
        <f>AVERAGEIFS('Collapsed - Orthotrack outcomes'!S:S,'Collapsed - Orthotrack outcomes'!$F:$F,'NonPivot Summary'!$F81)</f>
        <v>108.18980000000002</v>
      </c>
      <c r="P81" s="22">
        <f>AVERAGEIFS('Collapsed - Orthotrack outcomes'!T:T,'Collapsed - Orthotrack outcomes'!$F:$F,'NonPivot Summary'!$F81)</f>
        <v>66.64009999999999</v>
      </c>
      <c r="Q81" s="22">
        <f>AVERAGEIFS('Collapsed - Orthotrack outcomes'!U:U,'Collapsed - Orthotrack outcomes'!$F:$F,'NonPivot Summary'!$F81)</f>
        <v>67.281899999999993</v>
      </c>
      <c r="R81" s="22">
        <f>AVERAGEIFS('Collapsed - Orthotrack outcomes'!V:V,'Collapsed - Orthotrack outcomes'!$F:$F,'NonPivot Summary'!$F81)</f>
        <v>33.359699999999997</v>
      </c>
      <c r="S81" s="22">
        <f>AVERAGEIFS('Collapsed - Orthotrack outcomes'!W:W,'Collapsed - Orthotrack outcomes'!$F:$F,'NonPivot Summary'!$F81)</f>
        <v>32.718100000000007</v>
      </c>
      <c r="T81" s="22">
        <f>AVERAGEIFS('Collapsed - Orthotrack outcomes'!X:X,'Collapsed - Orthotrack outcomes'!$F:$F,'NonPivot Summary'!$F81)</f>
        <v>16.601300000000002</v>
      </c>
      <c r="U81" s="22">
        <f>AVERAGEIFS('Collapsed - Orthotrack outcomes'!Y:Y,'Collapsed - Orthotrack outcomes'!$F:$F,'NonPivot Summary'!$F81)</f>
        <v>17.302300000000002</v>
      </c>
      <c r="V81" s="22">
        <f>AVERAGEIFS('Collapsed - Orthotrack outcomes'!Z:Z,'Collapsed - Orthotrack outcomes'!$F:$F,'NonPivot Summary'!$F81)</f>
        <v>32.718100000000007</v>
      </c>
      <c r="W81" s="22">
        <f>AVERAGEIFS('Collapsed - Orthotrack outcomes'!AA:AA,'Collapsed - Orthotrack outcomes'!$F:$F,'NonPivot Summary'!$F81)</f>
        <v>33.359699999999997</v>
      </c>
      <c r="X81" s="22">
        <f>AVERAGEIFS('Collapsed - Orthotrack outcomes'!AB:AB,'Collapsed - Orthotrack outcomes'!$F:$F,'NonPivot Summary'!$F81)</f>
        <v>14.325199999999999</v>
      </c>
      <c r="Y81" s="22">
        <f>AVERAGEIFS('Collapsed - Orthotrack outcomes'!AC:AC,'Collapsed - Orthotrack outcomes'!$F:$F,'NonPivot Summary'!$F81)</f>
        <v>12.8</v>
      </c>
      <c r="Z81" s="22">
        <f>AVERAGEIFS('Collapsed - Orthotrack outcomes'!AD:AD,'Collapsed - Orthotrack outcomes'!$F:$F,'NonPivot Summary'!$F81)</f>
        <v>13.1</v>
      </c>
      <c r="AA81" s="22">
        <f>AVERAGEIFS('Collapsed - Orthotrack outcomes'!AE:AE,'Collapsed - Orthotrack outcomes'!$F:$F,'NonPivot Summary'!$F81)</f>
        <v>12.3</v>
      </c>
      <c r="AB81" s="22">
        <f>AVERAGEIFS('Collapsed - Orthotrack outcomes'!AF:AF,'Collapsed - Orthotrack outcomes'!$F:$F,'NonPivot Summary'!$F81)</f>
        <v>12.3</v>
      </c>
    </row>
    <row r="82" spans="6:28" ht="16" x14ac:dyDescent="0.2">
      <c r="F82" s="30" t="s">
        <v>16487</v>
      </c>
      <c r="G82" s="27"/>
      <c r="H82" s="25"/>
      <c r="I82" s="25"/>
      <c r="J82" s="25"/>
      <c r="K82" s="25"/>
      <c r="L82" s="25"/>
      <c r="M82" s="25"/>
      <c r="N82" s="25"/>
      <c r="O82" s="25"/>
      <c r="P82" s="25"/>
      <c r="Q82" s="25"/>
      <c r="R82" s="25"/>
      <c r="S82" s="25"/>
      <c r="T82" s="25"/>
      <c r="U82" s="25"/>
      <c r="V82" s="25"/>
      <c r="W82" s="25"/>
      <c r="X82" s="25"/>
      <c r="Y82" s="25"/>
      <c r="Z82" s="25"/>
      <c r="AA82" s="25"/>
      <c r="AB82" s="25"/>
    </row>
    <row r="84" spans="6:28" x14ac:dyDescent="0.2">
      <c r="F84" s="29" t="s">
        <v>16476</v>
      </c>
      <c r="G84" s="27"/>
      <c r="H84" s="31" t="s">
        <v>16476</v>
      </c>
      <c r="I84" s="24"/>
      <c r="J84" s="24"/>
      <c r="K84" s="24"/>
      <c r="L84" s="24"/>
      <c r="M84" s="24"/>
      <c r="N84" s="24"/>
      <c r="O84" s="24"/>
      <c r="P84" s="24"/>
      <c r="Q84" s="24"/>
      <c r="R84" s="24"/>
      <c r="S84" s="24"/>
      <c r="T84" s="24"/>
      <c r="U84" s="24"/>
      <c r="V84" s="24"/>
      <c r="W84" s="24"/>
      <c r="X84" s="24"/>
      <c r="Y84" s="24"/>
      <c r="Z84" s="24"/>
      <c r="AA84" s="24"/>
      <c r="AB84" s="24"/>
    </row>
    <row r="85" spans="6:28" x14ac:dyDescent="0.2">
      <c r="F85" s="26" t="s">
        <v>44</v>
      </c>
      <c r="G85" s="28" t="s">
        <v>16486</v>
      </c>
      <c r="H85" s="26" t="s">
        <v>50</v>
      </c>
      <c r="I85" s="26" t="s">
        <v>20</v>
      </c>
      <c r="J85" s="26" t="s">
        <v>23</v>
      </c>
      <c r="K85" s="26" t="s">
        <v>22</v>
      </c>
      <c r="L85" s="26" t="s">
        <v>11</v>
      </c>
      <c r="M85" s="26" t="s">
        <v>10</v>
      </c>
      <c r="N85" s="26" t="s">
        <v>9</v>
      </c>
      <c r="O85" s="26" t="s">
        <v>8</v>
      </c>
      <c r="P85" s="26" t="s">
        <v>27</v>
      </c>
      <c r="Q85" s="26" t="s">
        <v>26</v>
      </c>
      <c r="R85" s="26" t="s">
        <v>25</v>
      </c>
      <c r="S85" s="26" t="s">
        <v>24</v>
      </c>
      <c r="T85" s="26" t="s">
        <v>13</v>
      </c>
      <c r="U85" s="26" t="s">
        <v>12</v>
      </c>
      <c r="V85" s="26" t="s">
        <v>19</v>
      </c>
      <c r="W85" s="26" t="s">
        <v>18</v>
      </c>
      <c r="X85" s="26" t="s">
        <v>21</v>
      </c>
      <c r="Y85" s="26" t="s">
        <v>15</v>
      </c>
      <c r="Z85" s="26" t="s">
        <v>14</v>
      </c>
      <c r="AA85" s="26" t="s">
        <v>17</v>
      </c>
      <c r="AB85" s="26" t="s">
        <v>16</v>
      </c>
    </row>
    <row r="86" spans="6:28" ht="16" x14ac:dyDescent="0.2">
      <c r="F86" s="30" t="s">
        <v>16414</v>
      </c>
      <c r="G86" s="27" t="s">
        <v>16415</v>
      </c>
      <c r="H86" s="25">
        <f>DSTDEV('Collapsed - Orthotrack outcomes'!$F:$AF,'NonPivot Summary'!H$85,$A$62:$A$63)</f>
        <v>14.875856052860708</v>
      </c>
      <c r="I86" s="25">
        <f>DSTDEV('Collapsed - Orthotrack outcomes'!$F:$AF,'NonPivot Summary'!I$85,$A$62:$A$63)</f>
        <v>14.927481004686729</v>
      </c>
      <c r="J86" s="25">
        <f>DSTDEV('Collapsed - Orthotrack outcomes'!$F:$AF,'NonPivot Summary'!J$85,$A$62:$A$63)</f>
        <v>29.334137424293399</v>
      </c>
      <c r="K86" s="25">
        <f>DSTDEV('Collapsed - Orthotrack outcomes'!$F:$AF,'NonPivot Summary'!K$85,$A$62:$A$63)</f>
        <v>29.402168329360659</v>
      </c>
      <c r="L86" s="25">
        <f>DSTDEV('Collapsed - Orthotrack outcomes'!$F:$AF,'NonPivot Summary'!L$85,$A$62:$A$63)</f>
        <v>29.07013850712292</v>
      </c>
      <c r="M86" s="25">
        <f>DSTDEV('Collapsed - Orthotrack outcomes'!$F:$AF,'NonPivot Summary'!M$85,$A$62:$A$63)</f>
        <v>29.244083863561158</v>
      </c>
      <c r="N86" s="25">
        <f>DSTDEV('Collapsed - Orthotrack outcomes'!$F:$AF,'NonPivot Summary'!N$85,$A$62:$A$63)</f>
        <v>15.668918462937707</v>
      </c>
      <c r="O86" s="25">
        <f>DSTDEV('Collapsed - Orthotrack outcomes'!$F:$AF,'NonPivot Summary'!O$85,$A$62:$A$63)</f>
        <v>15.895146068705852</v>
      </c>
      <c r="P86" s="25">
        <f>DSTDEV('Collapsed - Orthotrack outcomes'!$F:$AF,'NonPivot Summary'!P$85,$A$62:$A$63)</f>
        <v>4.0359150287781596</v>
      </c>
      <c r="Q86" s="25">
        <f>DSTDEV('Collapsed - Orthotrack outcomes'!$F:$AF,'NonPivot Summary'!Q$85,$A$62:$A$63)</f>
        <v>4.1027013187364743</v>
      </c>
      <c r="R86" s="25">
        <f>DSTDEV('Collapsed - Orthotrack outcomes'!$F:$AF,'NonPivot Summary'!R$85,$A$62:$A$63)</f>
        <v>4.0359279752159702</v>
      </c>
      <c r="S86" s="25">
        <f>DSTDEV('Collapsed - Orthotrack outcomes'!$F:$AF,'NonPivot Summary'!S$85,$A$62:$A$63)</f>
        <v>4.1027127990420711</v>
      </c>
      <c r="T86" s="25">
        <f>DSTDEV('Collapsed - Orthotrack outcomes'!$F:$AF,'NonPivot Summary'!T$85,$A$62:$A$63)</f>
        <v>3.6215777218766676</v>
      </c>
      <c r="U86" s="25">
        <f>DSTDEV('Collapsed - Orthotrack outcomes'!$F:$AF,'NonPivot Summary'!U$85,$A$62:$A$63)</f>
        <v>4.7545868849089183</v>
      </c>
      <c r="V86" s="25">
        <f>DSTDEV('Collapsed - Orthotrack outcomes'!$F:$AF,'NonPivot Summary'!V$85,$A$62:$A$63)</f>
        <v>4.1027127990420711</v>
      </c>
      <c r="W86" s="25">
        <f>DSTDEV('Collapsed - Orthotrack outcomes'!$F:$AF,'NonPivot Summary'!W$85,$A$62:$A$63)</f>
        <v>4.0359279752159702</v>
      </c>
      <c r="X86" s="25">
        <f>DSTDEV('Collapsed - Orthotrack outcomes'!$F:$AF,'NonPivot Summary'!X$85,$A$62:$A$63)</f>
        <v>3.2249880030782925</v>
      </c>
      <c r="Y86" s="25">
        <f>DSTDEV('Collapsed - Orthotrack outcomes'!$F:$AF,'NonPivot Summary'!Y$85,$A$62:$A$63)</f>
        <v>5.3333791523313554</v>
      </c>
      <c r="Z86" s="25">
        <f>DSTDEV('Collapsed - Orthotrack outcomes'!$F:$AF,'NonPivot Summary'!Z$85,$A$62:$A$63)</f>
        <v>5.2788443316801388</v>
      </c>
      <c r="AA86" s="25">
        <f>DSTDEV('Collapsed - Orthotrack outcomes'!$F:$AF,'NonPivot Summary'!AA$85,$A$62:$A$63)</f>
        <v>5.2423404250632668</v>
      </c>
      <c r="AB86" s="25">
        <f>DSTDEV('Collapsed - Orthotrack outcomes'!$F:$AF,'NonPivot Summary'!AB$85,$A$62:$A$63)</f>
        <v>5.2423404250632668</v>
      </c>
    </row>
    <row r="87" spans="6:28" ht="16" x14ac:dyDescent="0.2">
      <c r="F87" s="30" t="s">
        <v>16420</v>
      </c>
      <c r="G87" s="27" t="s">
        <v>16421</v>
      </c>
      <c r="H87" s="22">
        <f>DSTDEV('Collapsed - Orthotrack outcomes'!$F:$AF,'NonPivot Summary'!H$85,$B$62:$B$63)</f>
        <v>12.236128023727325</v>
      </c>
      <c r="I87" s="22">
        <f>DSTDEV('Collapsed - Orthotrack outcomes'!$F:$AF,'NonPivot Summary'!I$85,$B$62:$B$63)</f>
        <v>11.878061153105165</v>
      </c>
      <c r="J87" s="22">
        <f>DSTDEV('Collapsed - Orthotrack outcomes'!$F:$AF,'NonPivot Summary'!J$85,$B$62:$B$63)</f>
        <v>23.958718175447835</v>
      </c>
      <c r="K87" s="22">
        <f>DSTDEV('Collapsed - Orthotrack outcomes'!$F:$AF,'NonPivot Summary'!K$85,$B$62:$B$63)</f>
        <v>24.017131028970205</v>
      </c>
      <c r="L87" s="22">
        <f>DSTDEV('Collapsed - Orthotrack outcomes'!$F:$AF,'NonPivot Summary'!L$85,$B$62:$B$63)</f>
        <v>25.677593497923912</v>
      </c>
      <c r="M87" s="22">
        <f>DSTDEV('Collapsed - Orthotrack outcomes'!$F:$AF,'NonPivot Summary'!M$85,$B$62:$B$63)</f>
        <v>25.678453168111893</v>
      </c>
      <c r="N87" s="22">
        <f>DSTDEV('Collapsed - Orthotrack outcomes'!$F:$AF,'NonPivot Summary'!N$85,$B$62:$B$63)</f>
        <v>13.580335519550832</v>
      </c>
      <c r="O87" s="22">
        <f>DSTDEV('Collapsed - Orthotrack outcomes'!$F:$AF,'NonPivot Summary'!O$85,$B$62:$B$63)</f>
        <v>13.539890150747262</v>
      </c>
      <c r="P87" s="22">
        <f>DSTDEV('Collapsed - Orthotrack outcomes'!$F:$AF,'NonPivot Summary'!P$85,$B$62:$B$63)</f>
        <v>4.0662540454540057</v>
      </c>
      <c r="Q87" s="22">
        <f>DSTDEV('Collapsed - Orthotrack outcomes'!$F:$AF,'NonPivot Summary'!Q$85,$B$62:$B$63)</f>
        <v>4.0397795129249623</v>
      </c>
      <c r="R87" s="22">
        <f>DSTDEV('Collapsed - Orthotrack outcomes'!$F:$AF,'NonPivot Summary'!R$85,$B$62:$B$63)</f>
        <v>4.0662558335043819</v>
      </c>
      <c r="S87" s="22">
        <f>DSTDEV('Collapsed - Orthotrack outcomes'!$F:$AF,'NonPivot Summary'!S$85,$B$62:$B$63)</f>
        <v>4.0397737153142161</v>
      </c>
      <c r="T87" s="22">
        <f>DSTDEV('Collapsed - Orthotrack outcomes'!$F:$AF,'NonPivot Summary'!T$85,$B$62:$B$63)</f>
        <v>4.5444520851557382</v>
      </c>
      <c r="U87" s="22">
        <f>DSTDEV('Collapsed - Orthotrack outcomes'!$F:$AF,'NonPivot Summary'!U$85,$B$62:$B$63)</f>
        <v>3.7694487750113188</v>
      </c>
      <c r="V87" s="22">
        <f>DSTDEV('Collapsed - Orthotrack outcomes'!$F:$AF,'NonPivot Summary'!V$85,$B$62:$B$63)</f>
        <v>4.0397737153142161</v>
      </c>
      <c r="W87" s="22">
        <f>DSTDEV('Collapsed - Orthotrack outcomes'!$F:$AF,'NonPivot Summary'!W$85,$B$62:$B$63)</f>
        <v>4.0662558335043819</v>
      </c>
      <c r="X87" s="22">
        <f>DSTDEV('Collapsed - Orthotrack outcomes'!$F:$AF,'NonPivot Summary'!X$85,$B$62:$B$63)</f>
        <v>4.4400448201739469</v>
      </c>
      <c r="Y87" s="22">
        <f>DSTDEV('Collapsed - Orthotrack outcomes'!$F:$AF,'NonPivot Summary'!Y$85,$B$62:$B$63)</f>
        <v>4.0642725552685022</v>
      </c>
      <c r="Z87" s="22">
        <f>DSTDEV('Collapsed - Orthotrack outcomes'!$F:$AF,'NonPivot Summary'!Z$85,$B$62:$B$63)</f>
        <v>3.9236127283544771</v>
      </c>
      <c r="AA87" s="22">
        <f>DSTDEV('Collapsed - Orthotrack outcomes'!$F:$AF,'NonPivot Summary'!AA$85,$B$62:$B$63)</f>
        <v>3.8294650581483243</v>
      </c>
      <c r="AB87" s="22">
        <f>DSTDEV('Collapsed - Orthotrack outcomes'!$F:$AF,'NonPivot Summary'!AB$85,$B$62:$B$63)</f>
        <v>3.8294650581483243</v>
      </c>
    </row>
    <row r="88" spans="6:28" ht="16" x14ac:dyDescent="0.2">
      <c r="F88" s="30" t="s">
        <v>16424</v>
      </c>
      <c r="G88" s="27" t="s">
        <v>16425</v>
      </c>
      <c r="H88" s="25">
        <f>DSTDEV('Collapsed - Orthotrack outcomes'!$F:$AF,'NonPivot Summary'!H$85,$C$62:$C$63)</f>
        <v>12.660626107946642</v>
      </c>
      <c r="I88" s="25">
        <f>DSTDEV('Collapsed - Orthotrack outcomes'!$F:$AF,'NonPivot Summary'!I$85,$C$62:$C$63)</f>
        <v>13.311404320494601</v>
      </c>
      <c r="J88" s="25">
        <f>DSTDEV('Collapsed - Orthotrack outcomes'!$F:$AF,'NonPivot Summary'!J$85,$C$62:$C$63)</f>
        <v>25.772230619436229</v>
      </c>
      <c r="K88" s="25">
        <f>DSTDEV('Collapsed - Orthotrack outcomes'!$F:$AF,'NonPivot Summary'!K$85,$C$62:$C$63)</f>
        <v>25.669622515674</v>
      </c>
      <c r="L88" s="25">
        <f>DSTDEV('Collapsed - Orthotrack outcomes'!$F:$AF,'NonPivot Summary'!L$85,$C$62:$C$63)</f>
        <v>31.246496227040122</v>
      </c>
      <c r="M88" s="25">
        <f>DSTDEV('Collapsed - Orthotrack outcomes'!$F:$AF,'NonPivot Summary'!M$85,$C$62:$C$63)</f>
        <v>31.061724064606143</v>
      </c>
      <c r="N88" s="25">
        <f>DSTDEV('Collapsed - Orthotrack outcomes'!$F:$AF,'NonPivot Summary'!N$85,$C$62:$C$63)</f>
        <v>18.874691053715239</v>
      </c>
      <c r="O88" s="25">
        <f>DSTDEV('Collapsed - Orthotrack outcomes'!$F:$AF,'NonPivot Summary'!O$85,$C$62:$C$63)</f>
        <v>18.93324019367083</v>
      </c>
      <c r="P88" s="25">
        <f>DSTDEV('Collapsed - Orthotrack outcomes'!$F:$AF,'NonPivot Summary'!P$85,$C$62:$C$63)</f>
        <v>4.7684853247938062</v>
      </c>
      <c r="Q88" s="25">
        <f>DSTDEV('Collapsed - Orthotrack outcomes'!$F:$AF,'NonPivot Summary'!Q$85,$C$62:$C$63)</f>
        <v>5.4265974889421269</v>
      </c>
      <c r="R88" s="25">
        <f>DSTDEV('Collapsed - Orthotrack outcomes'!$F:$AF,'NonPivot Summary'!R$85,$C$62:$C$63)</f>
        <v>4.7684893725655275</v>
      </c>
      <c r="S88" s="25">
        <f>DSTDEV('Collapsed - Orthotrack outcomes'!$F:$AF,'NonPivot Summary'!S$85,$C$62:$C$63)</f>
        <v>5.4265900580207589</v>
      </c>
      <c r="T88" s="25">
        <f>DSTDEV('Collapsed - Orthotrack outcomes'!$F:$AF,'NonPivot Summary'!T$85,$C$62:$C$63)</f>
        <v>5.2373557790559024</v>
      </c>
      <c r="U88" s="25">
        <f>DSTDEV('Collapsed - Orthotrack outcomes'!$F:$AF,'NonPivot Summary'!U$85,$C$62:$C$63)</f>
        <v>4.6047357379966165</v>
      </c>
      <c r="V88" s="25">
        <f>DSTDEV('Collapsed - Orthotrack outcomes'!$F:$AF,'NonPivot Summary'!V$85,$C$62:$C$63)</f>
        <v>5.4265900580207589</v>
      </c>
      <c r="W88" s="25">
        <f>DSTDEV('Collapsed - Orthotrack outcomes'!$F:$AF,'NonPivot Summary'!W$85,$C$62:$C$63)</f>
        <v>4.7684893725655275</v>
      </c>
      <c r="X88" s="25">
        <f>DSTDEV('Collapsed - Orthotrack outcomes'!$F:$AF,'NonPivot Summary'!X$85,$C$62:$C$63)</f>
        <v>4.7354075422686961</v>
      </c>
      <c r="Y88" s="25">
        <f>DSTDEV('Collapsed - Orthotrack outcomes'!$F:$AF,'NonPivot Summary'!Y$85,$C$62:$C$63)</f>
        <v>2.7454560891642648</v>
      </c>
      <c r="Z88" s="25">
        <f>DSTDEV('Collapsed - Orthotrack outcomes'!$F:$AF,'NonPivot Summary'!Z$85,$C$62:$C$63)</f>
        <v>2.8733969890027806</v>
      </c>
      <c r="AA88" s="25">
        <f>DSTDEV('Collapsed - Orthotrack outcomes'!$F:$AF,'NonPivot Summary'!AA$85,$C$62:$C$63)</f>
        <v>2.7586693187579407</v>
      </c>
      <c r="AB88" s="25">
        <f>DSTDEV('Collapsed - Orthotrack outcomes'!$F:$AF,'NonPivot Summary'!AB$85,$C$62:$C$63)</f>
        <v>2.7586693187579407</v>
      </c>
    </row>
    <row r="89" spans="6:28" ht="16" x14ac:dyDescent="0.2">
      <c r="F89" s="30">
        <v>332</v>
      </c>
      <c r="G89" s="27" t="s">
        <v>16405</v>
      </c>
      <c r="H89" s="22">
        <f>DSTDEV('Collapsed - Orthotrack outcomes'!$F:$AF,'NonPivot Summary'!H$85,$D$62:$D$63)</f>
        <v>18.369694319302543</v>
      </c>
      <c r="I89" s="22">
        <f>DSTDEV('Collapsed - Orthotrack outcomes'!$F:$AF,'NonPivot Summary'!I$85,$D$62:$D$63)</f>
        <v>18.66256101615047</v>
      </c>
      <c r="J89" s="22">
        <f>DSTDEV('Collapsed - Orthotrack outcomes'!$F:$AF,'NonPivot Summary'!J$85,$D$62:$D$63)</f>
        <v>36.436224699413508</v>
      </c>
      <c r="K89" s="22">
        <f>DSTDEV('Collapsed - Orthotrack outcomes'!$F:$AF,'NonPivot Summary'!K$85,$D$62:$D$63)</f>
        <v>36.69633906991055</v>
      </c>
      <c r="L89" s="22">
        <f>DSTDEV('Collapsed - Orthotrack outcomes'!$F:$AF,'NonPivot Summary'!L$85,$D$62:$D$63)</f>
        <v>40.418295611003487</v>
      </c>
      <c r="M89" s="22">
        <f>DSTDEV('Collapsed - Orthotrack outcomes'!$F:$AF,'NonPivot Summary'!M$85,$D$62:$D$63)</f>
        <v>40.35433493572426</v>
      </c>
      <c r="N89" s="22">
        <f>DSTDEV('Collapsed - Orthotrack outcomes'!$F:$AF,'NonPivot Summary'!N$85,$D$62:$D$63)</f>
        <v>23.189731913400344</v>
      </c>
      <c r="O89" s="22">
        <f>DSTDEV('Collapsed - Orthotrack outcomes'!$F:$AF,'NonPivot Summary'!O$85,$D$62:$D$63)</f>
        <v>23.615526808111074</v>
      </c>
      <c r="P89" s="22">
        <f>DSTDEV('Collapsed - Orthotrack outcomes'!$F:$AF,'NonPivot Summary'!P$85,$D$62:$D$63)</f>
        <v>5.1655320966516589</v>
      </c>
      <c r="Q89" s="22">
        <f>DSTDEV('Collapsed - Orthotrack outcomes'!$F:$AF,'NonPivot Summary'!Q$85,$D$62:$D$63)</f>
        <v>5.4119917978503986</v>
      </c>
      <c r="R89" s="22">
        <f>DSTDEV('Collapsed - Orthotrack outcomes'!$F:$AF,'NonPivot Summary'!R$85,$D$62:$D$63)</f>
        <v>5.1655357491149507</v>
      </c>
      <c r="S89" s="22">
        <f>DSTDEV('Collapsed - Orthotrack outcomes'!$F:$AF,'NonPivot Summary'!S$85,$D$62:$D$63)</f>
        <v>5.4119917978503844</v>
      </c>
      <c r="T89" s="22">
        <f>DSTDEV('Collapsed - Orthotrack outcomes'!$F:$AF,'NonPivot Summary'!T$85,$D$62:$D$63)</f>
        <v>5.2752665701511035</v>
      </c>
      <c r="U89" s="22">
        <f>DSTDEV('Collapsed - Orthotrack outcomes'!$F:$AF,'NonPivot Summary'!U$85,$D$62:$D$63)</f>
        <v>6.6729405748429036</v>
      </c>
      <c r="V89" s="22">
        <f>DSTDEV('Collapsed - Orthotrack outcomes'!$F:$AF,'NonPivot Summary'!V$85,$D$62:$D$63)</f>
        <v>5.4119917978503844</v>
      </c>
      <c r="W89" s="22">
        <f>DSTDEV('Collapsed - Orthotrack outcomes'!$F:$AF,'NonPivot Summary'!W$85,$D$62:$D$63)</f>
        <v>5.1655357491149507</v>
      </c>
      <c r="X89" s="22">
        <f>DSTDEV('Collapsed - Orthotrack outcomes'!$F:$AF,'NonPivot Summary'!X$85,$D$62:$D$63)</f>
        <v>4.0549224993068194</v>
      </c>
      <c r="Y89" s="22">
        <f>DSTDEV('Collapsed - Orthotrack outcomes'!$F:$AF,'NonPivot Summary'!Y$85,$D$62:$D$63)</f>
        <v>4.3403296578095913</v>
      </c>
      <c r="Z89" s="22">
        <f>DSTDEV('Collapsed - Orthotrack outcomes'!$F:$AF,'NonPivot Summary'!Z$85,$D$62:$D$63)</f>
        <v>4.6417834768711295</v>
      </c>
      <c r="AA89" s="22">
        <f>DSTDEV('Collapsed - Orthotrack outcomes'!$F:$AF,'NonPivot Summary'!AA$85,$D$62:$D$63)</f>
        <v>4.4502376773174026</v>
      </c>
      <c r="AB89" s="22">
        <f>DSTDEV('Collapsed - Orthotrack outcomes'!$F:$AF,'NonPivot Summary'!AB$85,$D$62:$D$63)</f>
        <v>4.4502376773174026</v>
      </c>
    </row>
    <row r="90" spans="6:28" ht="16" x14ac:dyDescent="0.2">
      <c r="F90" s="30">
        <v>333.1</v>
      </c>
      <c r="G90" s="27" t="s">
        <v>16406</v>
      </c>
      <c r="H90" s="25">
        <f>DSTDEV('Collapsed - Orthotrack outcomes'!$F:$AF,'NonPivot Summary'!H$85,$E$62:$E$63)</f>
        <v>13.899519160405358</v>
      </c>
      <c r="I90" s="25">
        <f>DSTDEV('Collapsed - Orthotrack outcomes'!$F:$AF,'NonPivot Summary'!I$85,$E$62:$E$63)</f>
        <v>15.525597281816346</v>
      </c>
      <c r="J90" s="25">
        <f>DSTDEV('Collapsed - Orthotrack outcomes'!$F:$AF,'NonPivot Summary'!J$85,$E$62:$E$63)</f>
        <v>28.841087881535842</v>
      </c>
      <c r="K90" s="25">
        <f>DSTDEV('Collapsed - Orthotrack outcomes'!$F:$AF,'NonPivot Summary'!K$85,$E$62:$E$63)</f>
        <v>29.267337138702462</v>
      </c>
      <c r="L90" s="25">
        <f>DSTDEV('Collapsed - Orthotrack outcomes'!$F:$AF,'NonPivot Summary'!L$85,$E$62:$E$63)</f>
        <v>32.054933155667086</v>
      </c>
      <c r="M90" s="25">
        <f>DSTDEV('Collapsed - Orthotrack outcomes'!$F:$AF,'NonPivot Summary'!M$85,$E$62:$E$63)</f>
        <v>32.082329468846559</v>
      </c>
      <c r="N90" s="25">
        <f>DSTDEV('Collapsed - Orthotrack outcomes'!$F:$AF,'NonPivot Summary'!N$85,$E$62:$E$63)</f>
        <v>17.144728535672503</v>
      </c>
      <c r="O90" s="25">
        <f>DSTDEV('Collapsed - Orthotrack outcomes'!$F:$AF,'NonPivot Summary'!O$85,$E$62:$E$63)</f>
        <v>17.058353045607035</v>
      </c>
      <c r="P90" s="25">
        <f>DSTDEV('Collapsed - Orthotrack outcomes'!$F:$AF,'NonPivot Summary'!P$85,$E$62:$E$63)</f>
        <v>2.9287105435018748</v>
      </c>
      <c r="Q90" s="25">
        <f>DSTDEV('Collapsed - Orthotrack outcomes'!$F:$AF,'NonPivot Summary'!Q$85,$E$62:$E$63)</f>
        <v>3.326547498819874</v>
      </c>
      <c r="R90" s="25">
        <f>DSTDEV('Collapsed - Orthotrack outcomes'!$F:$AF,'NonPivot Summary'!R$85,$E$62:$E$63)</f>
        <v>2.9287105435018752</v>
      </c>
      <c r="S90" s="25">
        <f>DSTDEV('Collapsed - Orthotrack outcomes'!$F:$AF,'NonPivot Summary'!S$85,$E$62:$E$63)</f>
        <v>3.326547498819874</v>
      </c>
      <c r="T90" s="25">
        <f>DSTDEV('Collapsed - Orthotrack outcomes'!$F:$AF,'NonPivot Summary'!T$85,$E$62:$E$63)</f>
        <v>3.3278307119832666</v>
      </c>
      <c r="U90" s="25">
        <f>DSTDEV('Collapsed - Orthotrack outcomes'!$F:$AF,'NonPivot Summary'!U$85,$E$62:$E$63)</f>
        <v>2.9691686378513333</v>
      </c>
      <c r="V90" s="25">
        <f>DSTDEV('Collapsed - Orthotrack outcomes'!$F:$AF,'NonPivot Summary'!V$85,$E$62:$E$63)</f>
        <v>3.326547498819874</v>
      </c>
      <c r="W90" s="25">
        <f>DSTDEV('Collapsed - Orthotrack outcomes'!$F:$AF,'NonPivot Summary'!W$85,$E$62:$E$63)</f>
        <v>2.9287105435018752</v>
      </c>
      <c r="X90" s="25">
        <f>DSTDEV('Collapsed - Orthotrack outcomes'!$F:$AF,'NonPivot Summary'!X$85,$E$62:$E$63)</f>
        <v>3.9764328097524966</v>
      </c>
      <c r="Y90" s="25">
        <f>DSTDEV('Collapsed - Orthotrack outcomes'!$F:$AF,'NonPivot Summary'!Y$85,$E$62:$E$63)</f>
        <v>4.9559968484558956</v>
      </c>
      <c r="Z90" s="25">
        <f>DSTDEV('Collapsed - Orthotrack outcomes'!$F:$AF,'NonPivot Summary'!Z$85,$E$62:$E$63)</f>
        <v>4.6398891612377362</v>
      </c>
      <c r="AA90" s="25">
        <f>DSTDEV('Collapsed - Orthotrack outcomes'!$F:$AF,'NonPivot Summary'!AA$85,$E$62:$E$63)</f>
        <v>4.6321855378582217</v>
      </c>
      <c r="AB90" s="25">
        <f>DSTDEV('Collapsed - Orthotrack outcomes'!$F:$AF,'NonPivot Summary'!AB$85,$E$62:$E$63)</f>
        <v>4.6321855378582217</v>
      </c>
    </row>
    <row r="91" spans="6:28" ht="16" x14ac:dyDescent="0.2">
      <c r="F91" s="30" t="s">
        <v>16432</v>
      </c>
      <c r="G91" s="27" t="s">
        <v>16433</v>
      </c>
      <c r="H91" s="22">
        <f>DSTDEV('Collapsed - Orthotrack outcomes'!$F:$AF,'NonPivot Summary'!H$85,$A$65:$A$66)</f>
        <v>13.621035034443022</v>
      </c>
      <c r="I91" s="22">
        <f>DSTDEV('Collapsed - Orthotrack outcomes'!$F:$AF,'NonPivot Summary'!I$85,$A$65:$A$66)</f>
        <v>16.58377545704003</v>
      </c>
      <c r="J91" s="22">
        <f>DSTDEV('Collapsed - Orthotrack outcomes'!$F:$AF,'NonPivot Summary'!J$85,$A$65:$A$66)</f>
        <v>30.327720054667584</v>
      </c>
      <c r="K91" s="22">
        <f>DSTDEV('Collapsed - Orthotrack outcomes'!$F:$AF,'NonPivot Summary'!K$85,$A$65:$A$66)</f>
        <v>29.953689970320845</v>
      </c>
      <c r="L91" s="22">
        <f>DSTDEV('Collapsed - Orthotrack outcomes'!$F:$AF,'NonPivot Summary'!L$85,$A$65:$A$66)</f>
        <v>36.297626845291205</v>
      </c>
      <c r="M91" s="22">
        <f>DSTDEV('Collapsed - Orthotrack outcomes'!$F:$AF,'NonPivot Summary'!M$85,$A$65:$A$66)</f>
        <v>36.056083073456549</v>
      </c>
      <c r="N91" s="22">
        <f>DSTDEV('Collapsed - Orthotrack outcomes'!$F:$AF,'NonPivot Summary'!N$85,$A$65:$A$66)</f>
        <v>16.35628327701906</v>
      </c>
      <c r="O91" s="22">
        <f>DSTDEV('Collapsed - Orthotrack outcomes'!$F:$AF,'NonPivot Summary'!O$85,$A$65:$A$66)</f>
        <v>16.469336543146724</v>
      </c>
      <c r="P91" s="22">
        <f>DSTDEV('Collapsed - Orthotrack outcomes'!$F:$AF,'NonPivot Summary'!P$85,$A$65:$A$66)</f>
        <v>4.8526150956640555</v>
      </c>
      <c r="Q91" s="22">
        <f>DSTDEV('Collapsed - Orthotrack outcomes'!$F:$AF,'NonPivot Summary'!Q$85,$A$65:$A$66)</f>
        <v>4.3844789210947068</v>
      </c>
      <c r="R91" s="22">
        <f>DSTDEV('Collapsed - Orthotrack outcomes'!$F:$AF,'NonPivot Summary'!R$85,$A$65:$A$66)</f>
        <v>4.852615095664091</v>
      </c>
      <c r="S91" s="22">
        <f>DSTDEV('Collapsed - Orthotrack outcomes'!$F:$AF,'NonPivot Summary'!S$85,$A$65:$A$66)</f>
        <v>4.3844789210947219</v>
      </c>
      <c r="T91" s="22">
        <f>DSTDEV('Collapsed - Orthotrack outcomes'!$F:$AF,'NonPivot Summary'!T$85,$A$65:$A$66)</f>
        <v>4.3241181903145893</v>
      </c>
      <c r="U91" s="22">
        <f>DSTDEV('Collapsed - Orthotrack outcomes'!$F:$AF,'NonPivot Summary'!U$85,$A$65:$A$66)</f>
        <v>5.1494993959191389</v>
      </c>
      <c r="V91" s="22">
        <f>DSTDEV('Collapsed - Orthotrack outcomes'!$F:$AF,'NonPivot Summary'!V$85,$A$65:$A$66)</f>
        <v>4.3844789210947219</v>
      </c>
      <c r="W91" s="22">
        <f>DSTDEV('Collapsed - Orthotrack outcomes'!$F:$AF,'NonPivot Summary'!W$85,$A$65:$A$66)</f>
        <v>4.852615095664091</v>
      </c>
      <c r="X91" s="22">
        <f>DSTDEV('Collapsed - Orthotrack outcomes'!$F:$AF,'NonPivot Summary'!X$85,$A$65:$A$66)</f>
        <v>3.4254533061159873</v>
      </c>
      <c r="Y91" s="22">
        <f>DSTDEV('Collapsed - Orthotrack outcomes'!$F:$AF,'NonPivot Summary'!Y$85,$A$65:$A$66)</f>
        <v>4.6975170746540851</v>
      </c>
      <c r="Z91" s="22">
        <f>DSTDEV('Collapsed - Orthotrack outcomes'!$F:$AF,'NonPivot Summary'!Z$85,$A$65:$A$66)</f>
        <v>5.395765535518172</v>
      </c>
      <c r="AA91" s="22">
        <f>DSTDEV('Collapsed - Orthotrack outcomes'!$F:$AF,'NonPivot Summary'!AA$85,$A$65:$A$66)</f>
        <v>4.5429170406353716</v>
      </c>
      <c r="AB91" s="22">
        <f>DSTDEV('Collapsed - Orthotrack outcomes'!$F:$AF,'NonPivot Summary'!AB$85,$A$65:$A$66)</f>
        <v>4.5429170406353716</v>
      </c>
    </row>
    <row r="92" spans="6:28" ht="16" x14ac:dyDescent="0.2">
      <c r="F92" s="30" t="s">
        <v>16428</v>
      </c>
      <c r="G92" s="27" t="s">
        <v>16429</v>
      </c>
      <c r="H92" s="25">
        <f>DSTDEV('Collapsed - Orthotrack outcomes'!$F:$AF,'NonPivot Summary'!H$85,$B$65:$B$66)</f>
        <v>12.811608126140047</v>
      </c>
      <c r="I92" s="25">
        <f>DSTDEV('Collapsed - Orthotrack outcomes'!$F:$AF,'NonPivot Summary'!I$85,$B$65:$B$66)</f>
        <v>10.21498841164299</v>
      </c>
      <c r="J92" s="25">
        <f>DSTDEV('Collapsed - Orthotrack outcomes'!$F:$AF,'NonPivot Summary'!J$85,$B$65:$B$66)</f>
        <v>22.510141072661213</v>
      </c>
      <c r="K92" s="25">
        <f>DSTDEV('Collapsed - Orthotrack outcomes'!$F:$AF,'NonPivot Summary'!K$85,$B$65:$B$66)</f>
        <v>22.281026149568973</v>
      </c>
      <c r="L92" s="25">
        <f>DSTDEV('Collapsed - Orthotrack outcomes'!$F:$AF,'NonPivot Summary'!L$85,$B$65:$B$66)</f>
        <v>25.225849796279306</v>
      </c>
      <c r="M92" s="25">
        <f>DSTDEV('Collapsed - Orthotrack outcomes'!$F:$AF,'NonPivot Summary'!M$85,$B$65:$B$66)</f>
        <v>25.101965206931432</v>
      </c>
      <c r="N92" s="25">
        <f>DSTDEV('Collapsed - Orthotrack outcomes'!$F:$AF,'NonPivot Summary'!N$85,$B$65:$B$66)</f>
        <v>14.188600827581405</v>
      </c>
      <c r="O92" s="25">
        <f>DSTDEV('Collapsed - Orthotrack outcomes'!$F:$AF,'NonPivot Summary'!O$85,$B$65:$B$66)</f>
        <v>14.173373970034287</v>
      </c>
      <c r="P92" s="25">
        <f>DSTDEV('Collapsed - Orthotrack outcomes'!$F:$AF,'NonPivot Summary'!P$85,$B$65:$B$66)</f>
        <v>4.5049907633398956</v>
      </c>
      <c r="Q92" s="25">
        <f>DSTDEV('Collapsed - Orthotrack outcomes'!$F:$AF,'NonPivot Summary'!Q$85,$B$65:$B$66)</f>
        <v>4.3461943410298645</v>
      </c>
      <c r="R92" s="25">
        <f>DSTDEV('Collapsed - Orthotrack outcomes'!$F:$AF,'NonPivot Summary'!R$85,$B$65:$B$66)</f>
        <v>4.5049907633399373</v>
      </c>
      <c r="S92" s="25">
        <f>DSTDEV('Collapsed - Orthotrack outcomes'!$F:$AF,'NonPivot Summary'!S$85,$B$65:$B$66)</f>
        <v>4.3461259696935484</v>
      </c>
      <c r="T92" s="25">
        <f>DSTDEV('Collapsed - Orthotrack outcomes'!$F:$AF,'NonPivot Summary'!T$85,$B$65:$B$66)</f>
        <v>3.6650231960763633</v>
      </c>
      <c r="U92" s="25">
        <f>DSTDEV('Collapsed - Orthotrack outcomes'!$F:$AF,'NonPivot Summary'!U$85,$B$65:$B$66)</f>
        <v>2.9386665248789967</v>
      </c>
      <c r="V92" s="25">
        <f>DSTDEV('Collapsed - Orthotrack outcomes'!$F:$AF,'NonPivot Summary'!V$85,$B$65:$B$66)</f>
        <v>4.3461259696935484</v>
      </c>
      <c r="W92" s="25">
        <f>DSTDEV('Collapsed - Orthotrack outcomes'!$F:$AF,'NonPivot Summary'!W$85,$B$65:$B$66)</f>
        <v>4.5049907633399373</v>
      </c>
      <c r="X92" s="25">
        <f>DSTDEV('Collapsed - Orthotrack outcomes'!$F:$AF,'NonPivot Summary'!X$85,$B$65:$B$66)</f>
        <v>5.0450207328061962</v>
      </c>
      <c r="Y92" s="25">
        <f>DSTDEV('Collapsed - Orthotrack outcomes'!$F:$AF,'NonPivot Summary'!Y$85,$B$65:$B$66)</f>
        <v>5.30199124019562</v>
      </c>
      <c r="Z92" s="25">
        <f>DSTDEV('Collapsed - Orthotrack outcomes'!$F:$AF,'NonPivot Summary'!Z$85,$B$65:$B$66)</f>
        <v>4.8847836299176155</v>
      </c>
      <c r="AA92" s="25">
        <f>DSTDEV('Collapsed - Orthotrack outcomes'!$F:$AF,'NonPivot Summary'!AA$85,$B$65:$B$66)</f>
        <v>5.1261854997432321</v>
      </c>
      <c r="AB92" s="25">
        <f>DSTDEV('Collapsed - Orthotrack outcomes'!$F:$AF,'NonPivot Summary'!AB$85,$B$65:$B$66)</f>
        <v>5.1261854997432321</v>
      </c>
    </row>
    <row r="93" spans="6:28" ht="16" x14ac:dyDescent="0.2">
      <c r="F93" s="30" t="s">
        <v>16454</v>
      </c>
      <c r="G93" s="27" t="s">
        <v>16455</v>
      </c>
      <c r="H93" s="22">
        <f>DSTDEV('Collapsed - Orthotrack outcomes'!$F:$AF,'NonPivot Summary'!H$85,$C$65:$C$66)</f>
        <v>17.054719152708966</v>
      </c>
      <c r="I93" s="22">
        <f>DSTDEV('Collapsed - Orthotrack outcomes'!$F:$AF,'NonPivot Summary'!I$85,$C$65:$C$66)</f>
        <v>17.108022864206781</v>
      </c>
      <c r="J93" s="22">
        <f>DSTDEV('Collapsed - Orthotrack outcomes'!$F:$AF,'NonPivot Summary'!J$85,$C$65:$C$66)</f>
        <v>33.716774774748401</v>
      </c>
      <c r="K93" s="22">
        <f>DSTDEV('Collapsed - Orthotrack outcomes'!$F:$AF,'NonPivot Summary'!K$85,$C$65:$C$66)</f>
        <v>33.602642790246257</v>
      </c>
      <c r="L93" s="22">
        <f>DSTDEV('Collapsed - Orthotrack outcomes'!$F:$AF,'NonPivot Summary'!L$85,$C$65:$C$66)</f>
        <v>30.698670275943751</v>
      </c>
      <c r="M93" s="22">
        <f>DSTDEV('Collapsed - Orthotrack outcomes'!$F:$AF,'NonPivot Summary'!M$85,$C$65:$C$66)</f>
        <v>30.619004648347971</v>
      </c>
      <c r="N93" s="22">
        <f>DSTDEV('Collapsed - Orthotrack outcomes'!$F:$AF,'NonPivot Summary'!N$85,$C$65:$C$66)</f>
        <v>17.16763170103037</v>
      </c>
      <c r="O93" s="22">
        <f>DSTDEV('Collapsed - Orthotrack outcomes'!$F:$AF,'NonPivot Summary'!O$85,$C$65:$C$66)</f>
        <v>16.332649263225868</v>
      </c>
      <c r="P93" s="22">
        <f>DSTDEV('Collapsed - Orthotrack outcomes'!$F:$AF,'NonPivot Summary'!P$85,$C$65:$C$66)</f>
        <v>3.1076058827049211</v>
      </c>
      <c r="Q93" s="22">
        <f>DSTDEV('Collapsed - Orthotrack outcomes'!$F:$AF,'NonPivot Summary'!Q$85,$C$65:$C$66)</f>
        <v>5.4204938981609434</v>
      </c>
      <c r="R93" s="22">
        <f>DSTDEV('Collapsed - Orthotrack outcomes'!$F:$AF,'NonPivot Summary'!R$85,$C$65:$C$66)</f>
        <v>3.1076805588019423</v>
      </c>
      <c r="S93" s="22">
        <f>DSTDEV('Collapsed - Orthotrack outcomes'!$F:$AF,'NonPivot Summary'!S$85,$C$65:$C$66)</f>
        <v>5.4204938981609372</v>
      </c>
      <c r="T93" s="22">
        <f>DSTDEV('Collapsed - Orthotrack outcomes'!$F:$AF,'NonPivot Summary'!T$85,$C$65:$C$66)</f>
        <v>3.6482496883970064</v>
      </c>
      <c r="U93" s="22">
        <f>DSTDEV('Collapsed - Orthotrack outcomes'!$F:$AF,'NonPivot Summary'!U$85,$C$65:$C$66)</f>
        <v>4.5456686355743425</v>
      </c>
      <c r="V93" s="22">
        <f>DSTDEV('Collapsed - Orthotrack outcomes'!$F:$AF,'NonPivot Summary'!V$85,$C$65:$C$66)</f>
        <v>5.4204938981609372</v>
      </c>
      <c r="W93" s="22">
        <f>DSTDEV('Collapsed - Orthotrack outcomes'!$F:$AF,'NonPivot Summary'!W$85,$C$65:$C$66)</f>
        <v>3.1076805588019423</v>
      </c>
      <c r="X93" s="22">
        <f>DSTDEV('Collapsed - Orthotrack outcomes'!$F:$AF,'NonPivot Summary'!X$85,$C$65:$C$66)</f>
        <v>4.2270125725965118</v>
      </c>
      <c r="Y93" s="22">
        <f>DSTDEV('Collapsed - Orthotrack outcomes'!$F:$AF,'NonPivot Summary'!Y$85,$C$65:$C$66)</f>
        <v>4.3153472887152677</v>
      </c>
      <c r="Z93" s="22">
        <f>DSTDEV('Collapsed - Orthotrack outcomes'!$F:$AF,'NonPivot Summary'!Z$85,$C$65:$C$66)</f>
        <v>3.8427420765212275</v>
      </c>
      <c r="AA93" s="22">
        <f>DSTDEV('Collapsed - Orthotrack outcomes'!$F:$AF,'NonPivot Summary'!AA$85,$C$65:$C$66)</f>
        <v>3.9454615277134124</v>
      </c>
      <c r="AB93" s="22">
        <f>DSTDEV('Collapsed - Orthotrack outcomes'!$F:$AF,'NonPivot Summary'!AB$85,$C$65:$C$66)</f>
        <v>3.9454615277134124</v>
      </c>
    </row>
    <row r="94" spans="6:28" ht="16" x14ac:dyDescent="0.2">
      <c r="F94" s="30" t="s">
        <v>16487</v>
      </c>
      <c r="G94" s="27"/>
      <c r="H94" s="25"/>
      <c r="I94" s="25"/>
      <c r="J94" s="25"/>
      <c r="K94" s="25"/>
      <c r="L94" s="25"/>
      <c r="M94" s="25"/>
      <c r="N94" s="25"/>
      <c r="O94" s="25"/>
      <c r="P94" s="25"/>
      <c r="Q94" s="25"/>
      <c r="R94" s="25"/>
      <c r="S94" s="25"/>
      <c r="T94" s="25"/>
      <c r="U94" s="25"/>
      <c r="V94" s="25"/>
      <c r="W94" s="25"/>
      <c r="X94" s="25"/>
      <c r="Y94" s="25"/>
      <c r="Z94" s="25"/>
      <c r="AA94" s="25"/>
      <c r="AB94" s="25"/>
    </row>
  </sheetData>
  <mergeCells count="6">
    <mergeCell ref="H72:AB72"/>
    <mergeCell ref="H84:AB84"/>
    <mergeCell ref="G8:AA8"/>
    <mergeCell ref="G19:AA19"/>
    <mergeCell ref="G34:AA34"/>
    <mergeCell ref="G2:AA2"/>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937093-DEA0-8348-AC92-21A67C245619}">
  <dimension ref="D9:K11"/>
  <sheetViews>
    <sheetView zoomScale="105" workbookViewId="0">
      <selection activeCell="I26" sqref="I26"/>
    </sheetView>
  </sheetViews>
  <sheetFormatPr baseColWidth="10" defaultRowHeight="15" x14ac:dyDescent="0.2"/>
  <cols>
    <col min="7" max="7" width="15.5" bestFit="1" customWidth="1"/>
    <col min="8" max="8" width="9.83203125" bestFit="1" customWidth="1"/>
    <col min="9" max="9" width="12.6640625" bestFit="1" customWidth="1"/>
    <col min="10" max="10" width="14.6640625" bestFit="1" customWidth="1"/>
    <col min="11" max="11" width="19.6640625" bestFit="1" customWidth="1"/>
  </cols>
  <sheetData>
    <row r="9" spans="4:11" x14ac:dyDescent="0.2">
      <c r="E9" t="s">
        <v>16493</v>
      </c>
      <c r="F9" t="s">
        <v>16494</v>
      </c>
      <c r="G9" t="s">
        <v>16495</v>
      </c>
      <c r="H9" t="s">
        <v>16496</v>
      </c>
      <c r="I9" t="s">
        <v>16499</v>
      </c>
      <c r="J9" t="s">
        <v>16500</v>
      </c>
      <c r="K9" t="s">
        <v>16501</v>
      </c>
    </row>
    <row r="10" spans="4:11" x14ac:dyDescent="0.2">
      <c r="D10" t="s">
        <v>16492</v>
      </c>
      <c r="E10" s="32"/>
      <c r="F10" s="34"/>
      <c r="G10" s="34"/>
      <c r="H10" s="34"/>
    </row>
    <row r="11" spans="4:11" x14ac:dyDescent="0.2">
      <c r="E11" t="s">
        <v>16497</v>
      </c>
      <c r="F11" t="s">
        <v>16498</v>
      </c>
      <c r="G11" t="s">
        <v>16498</v>
      </c>
      <c r="H11" t="s">
        <v>16498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1201E2-0F09-431E-A8F0-EF4399FCD00F}">
  <sheetPr codeName="Sheet2">
    <tabColor rgb="FFC00000"/>
  </sheetPr>
  <dimension ref="A1:XFD954"/>
  <sheetViews>
    <sheetView zoomScale="110" zoomScaleNormal="110" workbookViewId="0">
      <pane ySplit="1" topLeftCell="A2" activePane="bottomLeft" state="frozen"/>
      <selection activeCell="C1" sqref="C1"/>
      <selection pane="bottomLeft" activeCell="F1" sqref="F1:G1048576"/>
    </sheetView>
  </sheetViews>
  <sheetFormatPr baseColWidth="10" defaultColWidth="8.83203125" defaultRowHeight="16" x14ac:dyDescent="0.2"/>
  <cols>
    <col min="1" max="1" width="11" style="1" customWidth="1"/>
    <col min="2" max="2" width="19" style="1" customWidth="1"/>
    <col min="3" max="3" width="16.33203125" style="2" customWidth="1"/>
    <col min="4" max="4" width="23.83203125" style="2" customWidth="1"/>
    <col min="5" max="5" width="20.5" style="3" customWidth="1"/>
    <col min="6" max="6" width="10.6640625" style="3" customWidth="1"/>
    <col min="7" max="7" width="28.6640625" style="3" customWidth="1"/>
    <col min="8" max="8" width="6.33203125" style="3" customWidth="1"/>
    <col min="9" max="9" width="7.5" style="3" customWidth="1"/>
    <col min="10" max="10" width="10.33203125" style="1" customWidth="1"/>
    <col min="11" max="11" width="26" style="1" customWidth="1"/>
    <col min="12" max="12" width="26" style="6" customWidth="1"/>
    <col min="13" max="13" width="24" style="6" customWidth="1"/>
    <col min="14" max="14" width="26.1640625" style="6" customWidth="1"/>
    <col min="15" max="15" width="25.1640625" style="6" customWidth="1"/>
    <col min="16" max="16" width="29.1640625" style="6" customWidth="1"/>
    <col min="17" max="17" width="28.1640625" style="6" customWidth="1"/>
    <col min="18" max="18" width="22.1640625" style="1" customWidth="1"/>
    <col min="19" max="19" width="21" style="1" customWidth="1"/>
    <col min="20" max="20" width="24.1640625" style="1" customWidth="1"/>
    <col min="21" max="21" width="23" style="1" customWidth="1"/>
    <col min="22" max="22" width="18" style="1" customWidth="1"/>
    <col min="23" max="23" width="17" style="1" customWidth="1"/>
    <col min="24" max="24" width="30.5" style="1" customWidth="1"/>
    <col min="25" max="25" width="29.33203125" style="1" customWidth="1"/>
    <col min="26" max="26" width="24.33203125" style="1" customWidth="1"/>
    <col min="27" max="27" width="23.33203125" style="1" customWidth="1"/>
    <col min="28" max="28" width="13" style="1" customWidth="1"/>
    <col min="29" max="29" width="22.83203125" style="1" customWidth="1"/>
    <col min="30" max="30" width="21.5" style="1" customWidth="1"/>
    <col min="31" max="31" width="24.1640625" style="1" customWidth="1"/>
    <col min="32" max="32" width="23.1640625" style="1" customWidth="1"/>
    <col min="33" max="16384" width="8.83203125" style="1"/>
  </cols>
  <sheetData>
    <row r="1" spans="1:16384" s="9" customFormat="1" ht="18" customHeight="1" x14ac:dyDescent="0.2">
      <c r="A1" s="9" t="s">
        <v>39</v>
      </c>
      <c r="B1" s="9" t="s">
        <v>40</v>
      </c>
      <c r="C1" s="9" t="s">
        <v>41</v>
      </c>
      <c r="D1" s="9" t="s">
        <v>42</v>
      </c>
      <c r="E1" s="9" t="s">
        <v>43</v>
      </c>
      <c r="F1" s="9" t="s">
        <v>44</v>
      </c>
      <c r="G1" s="9" t="s">
        <v>45</v>
      </c>
      <c r="H1" s="10" t="s">
        <v>46</v>
      </c>
      <c r="I1" s="9" t="s">
        <v>47</v>
      </c>
      <c r="J1" s="9" t="s">
        <v>48</v>
      </c>
      <c r="K1" s="9" t="s">
        <v>49</v>
      </c>
      <c r="L1" s="9" t="s">
        <v>50</v>
      </c>
      <c r="M1" s="9" t="s">
        <v>20</v>
      </c>
      <c r="N1" s="9" t="s">
        <v>23</v>
      </c>
      <c r="O1" s="9" t="s">
        <v>22</v>
      </c>
      <c r="P1" s="9" t="s">
        <v>11</v>
      </c>
      <c r="Q1" s="9" t="s">
        <v>10</v>
      </c>
      <c r="R1" s="9" t="s">
        <v>9</v>
      </c>
      <c r="S1" s="9" t="s">
        <v>8</v>
      </c>
      <c r="T1" s="9" t="s">
        <v>27</v>
      </c>
      <c r="U1" s="9" t="s">
        <v>26</v>
      </c>
      <c r="V1" s="9" t="s">
        <v>25</v>
      </c>
      <c r="W1" s="9" t="s">
        <v>24</v>
      </c>
      <c r="X1" s="9" t="s">
        <v>13</v>
      </c>
      <c r="Y1" s="9" t="s">
        <v>12</v>
      </c>
      <c r="Z1" s="9" t="s">
        <v>19</v>
      </c>
      <c r="AA1" s="9" t="s">
        <v>18</v>
      </c>
      <c r="AB1" s="9" t="s">
        <v>21</v>
      </c>
      <c r="AC1" s="9" t="s">
        <v>15</v>
      </c>
      <c r="AD1" s="9" t="s">
        <v>14</v>
      </c>
      <c r="AE1" s="9" t="s">
        <v>17</v>
      </c>
      <c r="AF1" s="9" t="s">
        <v>16</v>
      </c>
      <c r="AG1" s="9" t="s">
        <v>51</v>
      </c>
      <c r="AH1" s="9" t="s">
        <v>52</v>
      </c>
      <c r="AI1" s="9" t="s">
        <v>53</v>
      </c>
      <c r="AJ1" s="9" t="s">
        <v>54</v>
      </c>
      <c r="AK1" s="9" t="s">
        <v>55</v>
      </c>
      <c r="AL1" s="9" t="s">
        <v>56</v>
      </c>
      <c r="AM1" s="9" t="s">
        <v>57</v>
      </c>
      <c r="AN1" s="9" t="s">
        <v>58</v>
      </c>
      <c r="AO1" s="9" t="s">
        <v>59</v>
      </c>
      <c r="AP1" s="9" t="s">
        <v>60</v>
      </c>
      <c r="AQ1" s="9" t="s">
        <v>61</v>
      </c>
      <c r="AR1" s="9" t="s">
        <v>62</v>
      </c>
      <c r="AS1" s="9" t="s">
        <v>63</v>
      </c>
      <c r="AT1" s="9" t="s">
        <v>64</v>
      </c>
      <c r="AU1" s="9" t="s">
        <v>65</v>
      </c>
      <c r="AV1" s="9" t="s">
        <v>66</v>
      </c>
      <c r="AW1" s="9" t="s">
        <v>67</v>
      </c>
      <c r="AX1" s="9" t="s">
        <v>68</v>
      </c>
      <c r="AY1" s="9" t="s">
        <v>69</v>
      </c>
      <c r="AZ1" s="9" t="s">
        <v>70</v>
      </c>
      <c r="BA1" s="9" t="s">
        <v>71</v>
      </c>
      <c r="BB1" s="9" t="s">
        <v>72</v>
      </c>
      <c r="BC1" s="9" t="s">
        <v>73</v>
      </c>
      <c r="BD1" s="9" t="s">
        <v>74</v>
      </c>
      <c r="BE1" s="9" t="s">
        <v>75</v>
      </c>
      <c r="BF1" s="9" t="s">
        <v>76</v>
      </c>
      <c r="BG1" s="9" t="s">
        <v>77</v>
      </c>
      <c r="BH1" s="9" t="s">
        <v>78</v>
      </c>
      <c r="BI1" s="9" t="s">
        <v>79</v>
      </c>
      <c r="BJ1" s="9" t="s">
        <v>80</v>
      </c>
      <c r="BK1" s="9" t="s">
        <v>81</v>
      </c>
      <c r="BL1" s="9" t="s">
        <v>82</v>
      </c>
      <c r="BM1" s="9" t="s">
        <v>83</v>
      </c>
      <c r="BN1" s="9" t="s">
        <v>84</v>
      </c>
      <c r="BO1" s="9" t="s">
        <v>85</v>
      </c>
      <c r="BP1" s="9" t="s">
        <v>86</v>
      </c>
      <c r="BQ1" s="9" t="s">
        <v>87</v>
      </c>
      <c r="BR1" s="9" t="s">
        <v>88</v>
      </c>
      <c r="BS1" s="9" t="s">
        <v>89</v>
      </c>
      <c r="BT1" s="9" t="s">
        <v>90</v>
      </c>
      <c r="BU1" s="9" t="s">
        <v>91</v>
      </c>
      <c r="BV1" s="9" t="s">
        <v>92</v>
      </c>
      <c r="BW1" s="9" t="s">
        <v>93</v>
      </c>
      <c r="BX1" s="9" t="s">
        <v>94</v>
      </c>
      <c r="BY1" s="9" t="s">
        <v>95</v>
      </c>
      <c r="BZ1" s="9" t="s">
        <v>96</v>
      </c>
      <c r="CA1" s="9" t="s">
        <v>97</v>
      </c>
      <c r="CB1" s="9" t="s">
        <v>98</v>
      </c>
      <c r="CC1" s="9" t="s">
        <v>99</v>
      </c>
      <c r="CD1" s="9" t="s">
        <v>100</v>
      </c>
      <c r="CE1" s="9" t="s">
        <v>101</v>
      </c>
      <c r="CF1" s="9" t="s">
        <v>102</v>
      </c>
      <c r="CG1" s="9" t="s">
        <v>103</v>
      </c>
      <c r="CH1" s="9" t="s">
        <v>104</v>
      </c>
      <c r="CI1" s="9" t="s">
        <v>105</v>
      </c>
      <c r="CJ1" s="9" t="s">
        <v>106</v>
      </c>
      <c r="CK1" s="9" t="s">
        <v>107</v>
      </c>
      <c r="CL1" s="9" t="s">
        <v>108</v>
      </c>
      <c r="CM1" s="9" t="s">
        <v>109</v>
      </c>
      <c r="CN1" s="9" t="s">
        <v>110</v>
      </c>
      <c r="CO1" s="9" t="s">
        <v>111</v>
      </c>
      <c r="CP1" s="9" t="s">
        <v>112</v>
      </c>
      <c r="CQ1" s="9" t="s">
        <v>113</v>
      </c>
      <c r="CR1" s="9" t="s">
        <v>114</v>
      </c>
      <c r="CS1" s="9" t="s">
        <v>115</v>
      </c>
      <c r="CT1" s="9" t="s">
        <v>116</v>
      </c>
      <c r="CU1" s="9" t="s">
        <v>117</v>
      </c>
      <c r="CV1" s="9" t="s">
        <v>118</v>
      </c>
      <c r="CW1" s="9" t="s">
        <v>119</v>
      </c>
      <c r="CX1" s="9" t="s">
        <v>120</v>
      </c>
      <c r="CY1" s="9" t="s">
        <v>121</v>
      </c>
      <c r="CZ1" s="9" t="s">
        <v>122</v>
      </c>
      <c r="DA1" s="9" t="s">
        <v>123</v>
      </c>
      <c r="DB1" s="9" t="s">
        <v>124</v>
      </c>
      <c r="DC1" s="9" t="s">
        <v>125</v>
      </c>
      <c r="DD1" s="9" t="s">
        <v>126</v>
      </c>
      <c r="DE1" s="9" t="s">
        <v>127</v>
      </c>
      <c r="DF1" s="9" t="s">
        <v>128</v>
      </c>
      <c r="DG1" s="9" t="s">
        <v>129</v>
      </c>
      <c r="DH1" s="9" t="s">
        <v>130</v>
      </c>
      <c r="DI1" s="9" t="s">
        <v>131</v>
      </c>
      <c r="DJ1" s="9" t="s">
        <v>132</v>
      </c>
      <c r="DK1" s="9" t="s">
        <v>133</v>
      </c>
      <c r="DL1" s="9" t="s">
        <v>134</v>
      </c>
      <c r="DM1" s="9" t="s">
        <v>135</v>
      </c>
      <c r="DN1" s="9" t="s">
        <v>136</v>
      </c>
      <c r="DO1" s="9" t="s">
        <v>137</v>
      </c>
      <c r="DP1" s="9" t="s">
        <v>138</v>
      </c>
      <c r="DQ1" s="9" t="s">
        <v>139</v>
      </c>
      <c r="DR1" s="9" t="s">
        <v>140</v>
      </c>
      <c r="DS1" s="9" t="s">
        <v>141</v>
      </c>
      <c r="DT1" s="9" t="s">
        <v>142</v>
      </c>
      <c r="DU1" s="9" t="s">
        <v>143</v>
      </c>
      <c r="DV1" s="9" t="s">
        <v>144</v>
      </c>
      <c r="DW1" s="9" t="s">
        <v>145</v>
      </c>
      <c r="DX1" s="9" t="s">
        <v>146</v>
      </c>
      <c r="DY1" s="9" t="s">
        <v>147</v>
      </c>
      <c r="DZ1" s="9" t="s">
        <v>148</v>
      </c>
      <c r="EA1" s="9" t="s">
        <v>149</v>
      </c>
      <c r="EB1" s="9" t="s">
        <v>150</v>
      </c>
      <c r="EC1" s="9" t="s">
        <v>151</v>
      </c>
      <c r="ED1" s="9" t="s">
        <v>152</v>
      </c>
      <c r="EE1" s="9" t="s">
        <v>153</v>
      </c>
      <c r="EF1" s="9" t="s">
        <v>154</v>
      </c>
      <c r="EG1" s="9" t="s">
        <v>155</v>
      </c>
      <c r="EH1" s="9" t="s">
        <v>156</v>
      </c>
      <c r="EI1" s="9" t="s">
        <v>157</v>
      </c>
      <c r="EJ1" s="9" t="s">
        <v>158</v>
      </c>
      <c r="EK1" s="9" t="s">
        <v>159</v>
      </c>
      <c r="EL1" s="9" t="s">
        <v>160</v>
      </c>
      <c r="EM1" s="9" t="s">
        <v>161</v>
      </c>
      <c r="EN1" s="9" t="s">
        <v>162</v>
      </c>
      <c r="EO1" s="9" t="s">
        <v>163</v>
      </c>
      <c r="EP1" s="9" t="s">
        <v>164</v>
      </c>
      <c r="EQ1" s="9" t="s">
        <v>165</v>
      </c>
      <c r="ER1" s="9" t="s">
        <v>166</v>
      </c>
      <c r="ES1" s="9" t="s">
        <v>167</v>
      </c>
      <c r="ET1" s="9" t="s">
        <v>168</v>
      </c>
      <c r="EU1" s="9" t="s">
        <v>169</v>
      </c>
      <c r="EV1" s="9" t="s">
        <v>170</v>
      </c>
      <c r="EW1" s="9" t="s">
        <v>171</v>
      </c>
      <c r="EX1" s="9" t="s">
        <v>172</v>
      </c>
      <c r="EY1" s="9" t="s">
        <v>173</v>
      </c>
      <c r="EZ1" s="9" t="s">
        <v>174</v>
      </c>
      <c r="FA1" s="9" t="s">
        <v>175</v>
      </c>
      <c r="FB1" s="9" t="s">
        <v>176</v>
      </c>
      <c r="FC1" s="9" t="s">
        <v>177</v>
      </c>
      <c r="FD1" s="9" t="s">
        <v>178</v>
      </c>
      <c r="FE1" s="9" t="s">
        <v>179</v>
      </c>
      <c r="FF1" s="9" t="s">
        <v>180</v>
      </c>
      <c r="FG1" s="9" t="s">
        <v>181</v>
      </c>
      <c r="FH1" s="9" t="s">
        <v>182</v>
      </c>
      <c r="FI1" s="9" t="s">
        <v>183</v>
      </c>
      <c r="FJ1" s="9" t="s">
        <v>184</v>
      </c>
      <c r="FK1" s="9" t="s">
        <v>185</v>
      </c>
      <c r="FL1" s="9" t="s">
        <v>186</v>
      </c>
      <c r="FM1" s="9" t="s">
        <v>187</v>
      </c>
      <c r="FN1" s="9" t="s">
        <v>188</v>
      </c>
      <c r="FO1" s="9" t="s">
        <v>189</v>
      </c>
      <c r="FP1" s="9" t="s">
        <v>190</v>
      </c>
      <c r="FQ1" s="9" t="s">
        <v>191</v>
      </c>
      <c r="FR1" s="9" t="s">
        <v>192</v>
      </c>
      <c r="FS1" s="9" t="s">
        <v>193</v>
      </c>
      <c r="FT1" s="9" t="s">
        <v>194</v>
      </c>
      <c r="FU1" s="9" t="s">
        <v>195</v>
      </c>
      <c r="FV1" s="9" t="s">
        <v>196</v>
      </c>
      <c r="FW1" s="9" t="s">
        <v>197</v>
      </c>
      <c r="FX1" s="9" t="s">
        <v>198</v>
      </c>
      <c r="FY1" s="9" t="s">
        <v>199</v>
      </c>
      <c r="FZ1" s="9" t="s">
        <v>200</v>
      </c>
      <c r="GA1" s="9" t="s">
        <v>201</v>
      </c>
      <c r="GB1" s="9" t="s">
        <v>202</v>
      </c>
      <c r="GC1" s="9" t="s">
        <v>203</v>
      </c>
      <c r="GD1" s="9" t="s">
        <v>204</v>
      </c>
      <c r="GE1" s="9" t="s">
        <v>205</v>
      </c>
      <c r="GF1" s="9" t="s">
        <v>206</v>
      </c>
      <c r="GG1" s="9" t="s">
        <v>207</v>
      </c>
      <c r="GH1" s="9" t="s">
        <v>208</v>
      </c>
      <c r="GI1" s="9" t="s">
        <v>209</v>
      </c>
      <c r="GJ1" s="9" t="s">
        <v>210</v>
      </c>
      <c r="GK1" s="9" t="s">
        <v>211</v>
      </c>
      <c r="GL1" s="9" t="s">
        <v>212</v>
      </c>
      <c r="GM1" s="9" t="s">
        <v>213</v>
      </c>
      <c r="GN1" s="9" t="s">
        <v>214</v>
      </c>
      <c r="GO1" s="9" t="s">
        <v>215</v>
      </c>
      <c r="GP1" s="9" t="s">
        <v>216</v>
      </c>
      <c r="GQ1" s="9" t="s">
        <v>217</v>
      </c>
      <c r="GR1" s="9" t="s">
        <v>218</v>
      </c>
      <c r="GS1" s="9" t="s">
        <v>219</v>
      </c>
      <c r="GT1" s="9" t="s">
        <v>220</v>
      </c>
      <c r="GU1" s="9" t="s">
        <v>221</v>
      </c>
      <c r="GV1" s="9" t="s">
        <v>222</v>
      </c>
      <c r="GW1" s="9" t="s">
        <v>223</v>
      </c>
      <c r="GX1" s="9" t="s">
        <v>224</v>
      </c>
      <c r="GY1" s="9" t="s">
        <v>225</v>
      </c>
      <c r="GZ1" s="9" t="s">
        <v>226</v>
      </c>
      <c r="HA1" s="9" t="s">
        <v>227</v>
      </c>
      <c r="HB1" s="9" t="s">
        <v>228</v>
      </c>
      <c r="HC1" s="9" t="s">
        <v>229</v>
      </c>
      <c r="HD1" s="9" t="s">
        <v>230</v>
      </c>
      <c r="HE1" s="9" t="s">
        <v>231</v>
      </c>
      <c r="HF1" s="9" t="s">
        <v>232</v>
      </c>
      <c r="HG1" s="9" t="s">
        <v>233</v>
      </c>
      <c r="HH1" s="9" t="s">
        <v>234</v>
      </c>
      <c r="HI1" s="9" t="s">
        <v>235</v>
      </c>
      <c r="HJ1" s="9" t="s">
        <v>236</v>
      </c>
      <c r="HK1" s="9" t="s">
        <v>237</v>
      </c>
      <c r="HL1" s="9" t="s">
        <v>238</v>
      </c>
      <c r="HM1" s="9" t="s">
        <v>239</v>
      </c>
      <c r="HN1" s="9" t="s">
        <v>240</v>
      </c>
      <c r="HO1" s="9" t="s">
        <v>241</v>
      </c>
      <c r="HP1" s="9" t="s">
        <v>242</v>
      </c>
      <c r="HQ1" s="9" t="s">
        <v>243</v>
      </c>
      <c r="HR1" s="9" t="s">
        <v>244</v>
      </c>
      <c r="HS1" s="9" t="s">
        <v>245</v>
      </c>
      <c r="HT1" s="9" t="s">
        <v>246</v>
      </c>
      <c r="HU1" s="9" t="s">
        <v>247</v>
      </c>
      <c r="HV1" s="9" t="s">
        <v>248</v>
      </c>
      <c r="HW1" s="9" t="s">
        <v>249</v>
      </c>
      <c r="HX1" s="9" t="s">
        <v>250</v>
      </c>
      <c r="HY1" s="9" t="s">
        <v>251</v>
      </c>
      <c r="HZ1" s="9" t="s">
        <v>252</v>
      </c>
      <c r="IA1" s="9" t="s">
        <v>253</v>
      </c>
      <c r="IB1" s="9" t="s">
        <v>254</v>
      </c>
      <c r="IC1" s="9" t="s">
        <v>255</v>
      </c>
      <c r="ID1" s="9" t="s">
        <v>256</v>
      </c>
      <c r="IE1" s="9" t="s">
        <v>257</v>
      </c>
      <c r="IF1" s="9" t="s">
        <v>258</v>
      </c>
      <c r="IG1" s="9" t="s">
        <v>259</v>
      </c>
      <c r="IH1" s="9" t="s">
        <v>260</v>
      </c>
      <c r="II1" s="9" t="s">
        <v>261</v>
      </c>
      <c r="IJ1" s="9" t="s">
        <v>262</v>
      </c>
      <c r="IK1" s="9" t="s">
        <v>263</v>
      </c>
      <c r="IL1" s="9" t="s">
        <v>264</v>
      </c>
      <c r="IM1" s="9" t="s">
        <v>265</v>
      </c>
      <c r="IN1" s="9" t="s">
        <v>266</v>
      </c>
      <c r="IO1" s="9" t="s">
        <v>267</v>
      </c>
      <c r="IP1" s="9" t="s">
        <v>268</v>
      </c>
      <c r="IQ1" s="9" t="s">
        <v>269</v>
      </c>
      <c r="IR1" s="9" t="s">
        <v>270</v>
      </c>
      <c r="IS1" s="9" t="s">
        <v>271</v>
      </c>
      <c r="IT1" s="9" t="s">
        <v>272</v>
      </c>
      <c r="IU1" s="9" t="s">
        <v>273</v>
      </c>
      <c r="IV1" s="9" t="s">
        <v>274</v>
      </c>
      <c r="IW1" s="9" t="s">
        <v>275</v>
      </c>
      <c r="IX1" s="9" t="s">
        <v>276</v>
      </c>
      <c r="IY1" s="9" t="s">
        <v>277</v>
      </c>
      <c r="IZ1" s="9" t="s">
        <v>278</v>
      </c>
      <c r="JA1" s="9" t="s">
        <v>279</v>
      </c>
      <c r="JB1" s="9" t="s">
        <v>280</v>
      </c>
      <c r="JC1" s="9" t="s">
        <v>281</v>
      </c>
      <c r="JD1" s="9" t="s">
        <v>282</v>
      </c>
      <c r="JE1" s="9" t="s">
        <v>283</v>
      </c>
      <c r="JF1" s="9" t="s">
        <v>284</v>
      </c>
      <c r="JG1" s="9" t="s">
        <v>285</v>
      </c>
      <c r="JH1" s="9" t="s">
        <v>286</v>
      </c>
      <c r="JI1" s="9" t="s">
        <v>287</v>
      </c>
      <c r="JJ1" s="9" t="s">
        <v>288</v>
      </c>
      <c r="JK1" s="9" t="s">
        <v>289</v>
      </c>
      <c r="JL1" s="9" t="s">
        <v>290</v>
      </c>
      <c r="JM1" s="9" t="s">
        <v>291</v>
      </c>
      <c r="JN1" s="9" t="s">
        <v>292</v>
      </c>
      <c r="JO1" s="9" t="s">
        <v>293</v>
      </c>
      <c r="JP1" s="9" t="s">
        <v>294</v>
      </c>
      <c r="JQ1" s="9" t="s">
        <v>295</v>
      </c>
      <c r="JR1" s="9" t="s">
        <v>296</v>
      </c>
      <c r="JS1" s="9" t="s">
        <v>297</v>
      </c>
      <c r="JT1" s="9" t="s">
        <v>298</v>
      </c>
      <c r="JU1" s="9" t="s">
        <v>299</v>
      </c>
      <c r="JV1" s="9" t="s">
        <v>300</v>
      </c>
      <c r="JW1" s="9" t="s">
        <v>301</v>
      </c>
      <c r="JX1" s="9" t="s">
        <v>302</v>
      </c>
      <c r="JY1" s="9" t="s">
        <v>303</v>
      </c>
      <c r="JZ1" s="9" t="s">
        <v>304</v>
      </c>
      <c r="KA1" s="9" t="s">
        <v>305</v>
      </c>
      <c r="KB1" s="9" t="s">
        <v>306</v>
      </c>
      <c r="KC1" s="9" t="s">
        <v>307</v>
      </c>
      <c r="KD1" s="9" t="s">
        <v>308</v>
      </c>
      <c r="KE1" s="9" t="s">
        <v>309</v>
      </c>
      <c r="KF1" s="9" t="s">
        <v>310</v>
      </c>
      <c r="KG1" s="9" t="s">
        <v>311</v>
      </c>
      <c r="KH1" s="9" t="s">
        <v>312</v>
      </c>
      <c r="KI1" s="9" t="s">
        <v>313</v>
      </c>
      <c r="KJ1" s="9" t="s">
        <v>314</v>
      </c>
      <c r="KK1" s="9" t="s">
        <v>315</v>
      </c>
      <c r="KL1" s="9" t="s">
        <v>316</v>
      </c>
      <c r="KM1" s="9" t="s">
        <v>317</v>
      </c>
      <c r="KN1" s="9" t="s">
        <v>318</v>
      </c>
      <c r="KO1" s="9" t="s">
        <v>319</v>
      </c>
      <c r="KP1" s="9" t="s">
        <v>320</v>
      </c>
      <c r="KQ1" s="9" t="s">
        <v>321</v>
      </c>
      <c r="KR1" s="9" t="s">
        <v>322</v>
      </c>
      <c r="KS1" s="9" t="s">
        <v>323</v>
      </c>
      <c r="KT1" s="9" t="s">
        <v>324</v>
      </c>
      <c r="KU1" s="9" t="s">
        <v>325</v>
      </c>
      <c r="KV1" s="9" t="s">
        <v>326</v>
      </c>
      <c r="KW1" s="9" t="s">
        <v>327</v>
      </c>
      <c r="KX1" s="9" t="s">
        <v>328</v>
      </c>
      <c r="KY1" s="9" t="s">
        <v>329</v>
      </c>
      <c r="KZ1" s="9" t="s">
        <v>330</v>
      </c>
      <c r="LA1" s="9" t="s">
        <v>331</v>
      </c>
      <c r="LB1" s="9" t="s">
        <v>332</v>
      </c>
      <c r="LC1" s="9" t="s">
        <v>333</v>
      </c>
      <c r="LD1" s="9" t="s">
        <v>334</v>
      </c>
      <c r="LE1" s="9" t="s">
        <v>335</v>
      </c>
      <c r="LF1" s="9" t="s">
        <v>336</v>
      </c>
      <c r="LG1" s="9" t="s">
        <v>337</v>
      </c>
      <c r="LH1" s="9" t="s">
        <v>338</v>
      </c>
      <c r="LI1" s="9" t="s">
        <v>339</v>
      </c>
      <c r="LJ1" s="9" t="s">
        <v>340</v>
      </c>
      <c r="LK1" s="9" t="s">
        <v>341</v>
      </c>
      <c r="LL1" s="9" t="s">
        <v>342</v>
      </c>
      <c r="LM1" s="9" t="s">
        <v>343</v>
      </c>
      <c r="LN1" s="9" t="s">
        <v>344</v>
      </c>
      <c r="LO1" s="9" t="s">
        <v>345</v>
      </c>
      <c r="LP1" s="9" t="s">
        <v>346</v>
      </c>
      <c r="LQ1" s="9" t="s">
        <v>347</v>
      </c>
      <c r="LR1" s="9" t="s">
        <v>348</v>
      </c>
      <c r="LS1" s="9" t="s">
        <v>349</v>
      </c>
      <c r="LT1" s="9" t="s">
        <v>350</v>
      </c>
      <c r="LU1" s="9" t="s">
        <v>351</v>
      </c>
      <c r="LV1" s="9" t="s">
        <v>352</v>
      </c>
      <c r="LW1" s="9" t="s">
        <v>353</v>
      </c>
      <c r="LX1" s="9" t="s">
        <v>354</v>
      </c>
      <c r="LY1" s="9" t="s">
        <v>355</v>
      </c>
      <c r="LZ1" s="9" t="s">
        <v>356</v>
      </c>
      <c r="MA1" s="9" t="s">
        <v>357</v>
      </c>
      <c r="MB1" s="9" t="s">
        <v>358</v>
      </c>
      <c r="MC1" s="9" t="s">
        <v>359</v>
      </c>
      <c r="MD1" s="9" t="s">
        <v>360</v>
      </c>
      <c r="ME1" s="9" t="s">
        <v>361</v>
      </c>
      <c r="MF1" s="9" t="s">
        <v>362</v>
      </c>
      <c r="MG1" s="9" t="s">
        <v>363</v>
      </c>
      <c r="MH1" s="9" t="s">
        <v>364</v>
      </c>
      <c r="MI1" s="9" t="s">
        <v>365</v>
      </c>
      <c r="MJ1" s="9" t="s">
        <v>366</v>
      </c>
      <c r="MK1" s="9" t="s">
        <v>367</v>
      </c>
      <c r="ML1" s="9" t="s">
        <v>368</v>
      </c>
      <c r="MM1" s="9" t="s">
        <v>369</v>
      </c>
      <c r="MN1" s="9" t="s">
        <v>370</v>
      </c>
      <c r="MO1" s="9" t="s">
        <v>371</v>
      </c>
      <c r="MP1" s="9" t="s">
        <v>372</v>
      </c>
      <c r="MQ1" s="9" t="s">
        <v>373</v>
      </c>
      <c r="MR1" s="9" t="s">
        <v>374</v>
      </c>
      <c r="MS1" s="9" t="s">
        <v>375</v>
      </c>
      <c r="MT1" s="9" t="s">
        <v>376</v>
      </c>
      <c r="MU1" s="9" t="s">
        <v>377</v>
      </c>
      <c r="MV1" s="9" t="s">
        <v>378</v>
      </c>
      <c r="MW1" s="9" t="s">
        <v>379</v>
      </c>
      <c r="MX1" s="9" t="s">
        <v>380</v>
      </c>
      <c r="MY1" s="9" t="s">
        <v>381</v>
      </c>
      <c r="MZ1" s="9" t="s">
        <v>382</v>
      </c>
      <c r="NA1" s="9" t="s">
        <v>383</v>
      </c>
      <c r="NB1" s="9" t="s">
        <v>384</v>
      </c>
      <c r="NC1" s="9" t="s">
        <v>385</v>
      </c>
      <c r="ND1" s="9" t="s">
        <v>386</v>
      </c>
      <c r="NE1" s="9" t="s">
        <v>387</v>
      </c>
      <c r="NF1" s="9" t="s">
        <v>388</v>
      </c>
      <c r="NG1" s="9" t="s">
        <v>389</v>
      </c>
      <c r="NH1" s="9" t="s">
        <v>390</v>
      </c>
      <c r="NI1" s="9" t="s">
        <v>391</v>
      </c>
      <c r="NJ1" s="9" t="s">
        <v>392</v>
      </c>
      <c r="NK1" s="9" t="s">
        <v>393</v>
      </c>
      <c r="NL1" s="9" t="s">
        <v>394</v>
      </c>
      <c r="NM1" s="9" t="s">
        <v>395</v>
      </c>
      <c r="NN1" s="9" t="s">
        <v>396</v>
      </c>
      <c r="NO1" s="9" t="s">
        <v>397</v>
      </c>
      <c r="NP1" s="9" t="s">
        <v>398</v>
      </c>
      <c r="NQ1" s="9" t="s">
        <v>399</v>
      </c>
      <c r="NR1" s="9" t="s">
        <v>400</v>
      </c>
      <c r="NS1" s="9" t="s">
        <v>401</v>
      </c>
      <c r="NT1" s="9" t="s">
        <v>402</v>
      </c>
      <c r="NU1" s="9" t="s">
        <v>403</v>
      </c>
      <c r="NV1" s="9" t="s">
        <v>404</v>
      </c>
      <c r="NW1" s="9" t="s">
        <v>405</v>
      </c>
      <c r="NX1" s="9" t="s">
        <v>406</v>
      </c>
      <c r="NY1" s="9" t="s">
        <v>407</v>
      </c>
      <c r="NZ1" s="9" t="s">
        <v>408</v>
      </c>
      <c r="OA1" s="9" t="s">
        <v>409</v>
      </c>
      <c r="OB1" s="9" t="s">
        <v>410</v>
      </c>
      <c r="OC1" s="9" t="s">
        <v>411</v>
      </c>
      <c r="OD1" s="9" t="s">
        <v>412</v>
      </c>
      <c r="OE1" s="9" t="s">
        <v>413</v>
      </c>
      <c r="OF1" s="9" t="s">
        <v>414</v>
      </c>
      <c r="OG1" s="9" t="s">
        <v>415</v>
      </c>
      <c r="OH1" s="9" t="s">
        <v>416</v>
      </c>
      <c r="OI1" s="9" t="s">
        <v>417</v>
      </c>
      <c r="OJ1" s="9" t="s">
        <v>418</v>
      </c>
      <c r="OK1" s="9" t="s">
        <v>419</v>
      </c>
      <c r="OL1" s="9" t="s">
        <v>420</v>
      </c>
      <c r="OM1" s="9" t="s">
        <v>421</v>
      </c>
      <c r="ON1" s="9" t="s">
        <v>422</v>
      </c>
      <c r="OO1" s="9" t="s">
        <v>423</v>
      </c>
      <c r="OP1" s="9" t="s">
        <v>424</v>
      </c>
      <c r="OQ1" s="9" t="s">
        <v>425</v>
      </c>
      <c r="OR1" s="9" t="s">
        <v>426</v>
      </c>
      <c r="OS1" s="9" t="s">
        <v>427</v>
      </c>
      <c r="OT1" s="9" t="s">
        <v>428</v>
      </c>
      <c r="OU1" s="9" t="s">
        <v>429</v>
      </c>
      <c r="OV1" s="9" t="s">
        <v>430</v>
      </c>
      <c r="OW1" s="9" t="s">
        <v>431</v>
      </c>
      <c r="OX1" s="9" t="s">
        <v>432</v>
      </c>
      <c r="OY1" s="9" t="s">
        <v>433</v>
      </c>
      <c r="OZ1" s="9" t="s">
        <v>434</v>
      </c>
      <c r="PA1" s="9" t="s">
        <v>435</v>
      </c>
      <c r="PB1" s="9" t="s">
        <v>436</v>
      </c>
      <c r="PC1" s="9" t="s">
        <v>437</v>
      </c>
      <c r="PD1" s="9" t="s">
        <v>438</v>
      </c>
      <c r="PE1" s="9" t="s">
        <v>439</v>
      </c>
      <c r="PF1" s="9" t="s">
        <v>440</v>
      </c>
      <c r="PG1" s="9" t="s">
        <v>441</v>
      </c>
      <c r="PH1" s="9" t="s">
        <v>442</v>
      </c>
      <c r="PI1" s="9" t="s">
        <v>443</v>
      </c>
      <c r="PJ1" s="9" t="s">
        <v>444</v>
      </c>
      <c r="PK1" s="9" t="s">
        <v>445</v>
      </c>
      <c r="PL1" s="9" t="s">
        <v>446</v>
      </c>
      <c r="PM1" s="9" t="s">
        <v>447</v>
      </c>
      <c r="PN1" s="9" t="s">
        <v>448</v>
      </c>
      <c r="PO1" s="9" t="s">
        <v>449</v>
      </c>
      <c r="PP1" s="9" t="s">
        <v>450</v>
      </c>
      <c r="PQ1" s="9" t="s">
        <v>451</v>
      </c>
      <c r="PR1" s="9" t="s">
        <v>452</v>
      </c>
      <c r="PS1" s="9" t="s">
        <v>453</v>
      </c>
      <c r="PT1" s="9" t="s">
        <v>454</v>
      </c>
      <c r="PU1" s="9" t="s">
        <v>455</v>
      </c>
      <c r="PV1" s="9" t="s">
        <v>456</v>
      </c>
      <c r="PW1" s="9" t="s">
        <v>457</v>
      </c>
      <c r="PX1" s="9" t="s">
        <v>458</v>
      </c>
      <c r="PY1" s="9" t="s">
        <v>459</v>
      </c>
      <c r="PZ1" s="9" t="s">
        <v>460</v>
      </c>
      <c r="QA1" s="9" t="s">
        <v>461</v>
      </c>
      <c r="QB1" s="9" t="s">
        <v>462</v>
      </c>
      <c r="QC1" s="9" t="s">
        <v>463</v>
      </c>
      <c r="QD1" s="9" t="s">
        <v>464</v>
      </c>
      <c r="QE1" s="9" t="s">
        <v>465</v>
      </c>
      <c r="QF1" s="9" t="s">
        <v>466</v>
      </c>
      <c r="QG1" s="9" t="s">
        <v>467</v>
      </c>
      <c r="QH1" s="9" t="s">
        <v>468</v>
      </c>
      <c r="QI1" s="9" t="s">
        <v>469</v>
      </c>
      <c r="QJ1" s="9" t="s">
        <v>470</v>
      </c>
      <c r="QK1" s="9" t="s">
        <v>471</v>
      </c>
      <c r="QL1" s="9" t="s">
        <v>472</v>
      </c>
      <c r="QM1" s="9" t="s">
        <v>473</v>
      </c>
      <c r="QN1" s="9" t="s">
        <v>474</v>
      </c>
      <c r="QO1" s="9" t="s">
        <v>475</v>
      </c>
      <c r="QP1" s="9" t="s">
        <v>476</v>
      </c>
      <c r="QQ1" s="9" t="s">
        <v>477</v>
      </c>
      <c r="QR1" s="9" t="s">
        <v>478</v>
      </c>
      <c r="QS1" s="9" t="s">
        <v>479</v>
      </c>
      <c r="QT1" s="9" t="s">
        <v>480</v>
      </c>
      <c r="QU1" s="9" t="s">
        <v>481</v>
      </c>
      <c r="QV1" s="9" t="s">
        <v>482</v>
      </c>
      <c r="QW1" s="9" t="s">
        <v>483</v>
      </c>
      <c r="QX1" s="9" t="s">
        <v>484</v>
      </c>
      <c r="QY1" s="9" t="s">
        <v>485</v>
      </c>
      <c r="QZ1" s="9" t="s">
        <v>486</v>
      </c>
      <c r="RA1" s="9" t="s">
        <v>487</v>
      </c>
      <c r="RB1" s="9" t="s">
        <v>488</v>
      </c>
      <c r="RC1" s="9" t="s">
        <v>489</v>
      </c>
      <c r="RD1" s="9" t="s">
        <v>490</v>
      </c>
      <c r="RE1" s="9" t="s">
        <v>491</v>
      </c>
      <c r="RF1" s="9" t="s">
        <v>492</v>
      </c>
      <c r="RG1" s="9" t="s">
        <v>493</v>
      </c>
      <c r="RH1" s="9" t="s">
        <v>494</v>
      </c>
      <c r="RI1" s="9" t="s">
        <v>495</v>
      </c>
      <c r="RJ1" s="9" t="s">
        <v>496</v>
      </c>
      <c r="RK1" s="9" t="s">
        <v>497</v>
      </c>
      <c r="RL1" s="9" t="s">
        <v>498</v>
      </c>
      <c r="RM1" s="9" t="s">
        <v>499</v>
      </c>
      <c r="RN1" s="9" t="s">
        <v>500</v>
      </c>
      <c r="RO1" s="9" t="s">
        <v>501</v>
      </c>
      <c r="RP1" s="9" t="s">
        <v>502</v>
      </c>
      <c r="RQ1" s="9" t="s">
        <v>503</v>
      </c>
      <c r="RR1" s="9" t="s">
        <v>504</v>
      </c>
      <c r="RS1" s="9" t="s">
        <v>505</v>
      </c>
      <c r="RT1" s="9" t="s">
        <v>506</v>
      </c>
      <c r="RU1" s="9" t="s">
        <v>507</v>
      </c>
      <c r="RV1" s="9" t="s">
        <v>508</v>
      </c>
      <c r="RW1" s="9" t="s">
        <v>509</v>
      </c>
      <c r="RX1" s="9" t="s">
        <v>510</v>
      </c>
      <c r="RY1" s="9" t="s">
        <v>511</v>
      </c>
      <c r="RZ1" s="9" t="s">
        <v>512</v>
      </c>
      <c r="SA1" s="9" t="s">
        <v>513</v>
      </c>
      <c r="SB1" s="9" t="s">
        <v>514</v>
      </c>
      <c r="SC1" s="9" t="s">
        <v>515</v>
      </c>
      <c r="SD1" s="9" t="s">
        <v>516</v>
      </c>
      <c r="SE1" s="9" t="s">
        <v>517</v>
      </c>
      <c r="SF1" s="9" t="s">
        <v>518</v>
      </c>
      <c r="SG1" s="9" t="s">
        <v>519</v>
      </c>
      <c r="SH1" s="9" t="s">
        <v>520</v>
      </c>
      <c r="SI1" s="9" t="s">
        <v>521</v>
      </c>
      <c r="SJ1" s="9" t="s">
        <v>522</v>
      </c>
      <c r="SK1" s="9" t="s">
        <v>523</v>
      </c>
      <c r="SL1" s="9" t="s">
        <v>524</v>
      </c>
      <c r="SM1" s="9" t="s">
        <v>525</v>
      </c>
      <c r="SN1" s="9" t="s">
        <v>526</v>
      </c>
      <c r="SO1" s="9" t="s">
        <v>527</v>
      </c>
      <c r="SP1" s="9" t="s">
        <v>528</v>
      </c>
      <c r="SQ1" s="9" t="s">
        <v>529</v>
      </c>
      <c r="SR1" s="9" t="s">
        <v>530</v>
      </c>
      <c r="SS1" s="9" t="s">
        <v>531</v>
      </c>
      <c r="ST1" s="9" t="s">
        <v>532</v>
      </c>
      <c r="SU1" s="9" t="s">
        <v>533</v>
      </c>
      <c r="SV1" s="9" t="s">
        <v>534</v>
      </c>
      <c r="SW1" s="9" t="s">
        <v>535</v>
      </c>
      <c r="SX1" s="9" t="s">
        <v>536</v>
      </c>
      <c r="SY1" s="9" t="s">
        <v>537</v>
      </c>
      <c r="SZ1" s="9" t="s">
        <v>538</v>
      </c>
      <c r="TA1" s="9" t="s">
        <v>539</v>
      </c>
      <c r="TB1" s="9" t="s">
        <v>540</v>
      </c>
      <c r="TC1" s="9" t="s">
        <v>541</v>
      </c>
      <c r="TD1" s="9" t="s">
        <v>542</v>
      </c>
      <c r="TE1" s="9" t="s">
        <v>543</v>
      </c>
      <c r="TF1" s="9" t="s">
        <v>544</v>
      </c>
      <c r="TG1" s="9" t="s">
        <v>545</v>
      </c>
      <c r="TH1" s="9" t="s">
        <v>546</v>
      </c>
      <c r="TI1" s="9" t="s">
        <v>547</v>
      </c>
      <c r="TJ1" s="9" t="s">
        <v>548</v>
      </c>
      <c r="TK1" s="9" t="s">
        <v>549</v>
      </c>
      <c r="TL1" s="9" t="s">
        <v>550</v>
      </c>
      <c r="TM1" s="9" t="s">
        <v>551</v>
      </c>
      <c r="TN1" s="9" t="s">
        <v>552</v>
      </c>
      <c r="TO1" s="9" t="s">
        <v>553</v>
      </c>
      <c r="TP1" s="9" t="s">
        <v>554</v>
      </c>
      <c r="TQ1" s="9" t="s">
        <v>555</v>
      </c>
      <c r="TR1" s="9" t="s">
        <v>556</v>
      </c>
      <c r="TS1" s="9" t="s">
        <v>557</v>
      </c>
      <c r="TT1" s="9" t="s">
        <v>558</v>
      </c>
      <c r="TU1" s="9" t="s">
        <v>559</v>
      </c>
      <c r="TV1" s="9" t="s">
        <v>560</v>
      </c>
      <c r="TW1" s="9" t="s">
        <v>561</v>
      </c>
      <c r="TX1" s="9" t="s">
        <v>562</v>
      </c>
      <c r="TY1" s="9" t="s">
        <v>563</v>
      </c>
      <c r="TZ1" s="9" t="s">
        <v>564</v>
      </c>
      <c r="UA1" s="9" t="s">
        <v>565</v>
      </c>
      <c r="UB1" s="9" t="s">
        <v>566</v>
      </c>
      <c r="UC1" s="9" t="s">
        <v>567</v>
      </c>
      <c r="UD1" s="9" t="s">
        <v>568</v>
      </c>
      <c r="UE1" s="9" t="s">
        <v>569</v>
      </c>
      <c r="UF1" s="9" t="s">
        <v>570</v>
      </c>
      <c r="UG1" s="9" t="s">
        <v>571</v>
      </c>
      <c r="UH1" s="9" t="s">
        <v>572</v>
      </c>
      <c r="UI1" s="9" t="s">
        <v>573</v>
      </c>
      <c r="UJ1" s="9" t="s">
        <v>574</v>
      </c>
      <c r="UK1" s="9" t="s">
        <v>575</v>
      </c>
      <c r="UL1" s="9" t="s">
        <v>576</v>
      </c>
      <c r="UM1" s="9" t="s">
        <v>577</v>
      </c>
      <c r="UN1" s="9" t="s">
        <v>578</v>
      </c>
      <c r="UO1" s="9" t="s">
        <v>579</v>
      </c>
      <c r="UP1" s="9" t="s">
        <v>580</v>
      </c>
      <c r="UQ1" s="9" t="s">
        <v>581</v>
      </c>
      <c r="UR1" s="9" t="s">
        <v>582</v>
      </c>
      <c r="US1" s="9" t="s">
        <v>583</v>
      </c>
      <c r="UT1" s="9" t="s">
        <v>584</v>
      </c>
      <c r="UU1" s="9" t="s">
        <v>585</v>
      </c>
      <c r="UV1" s="9" t="s">
        <v>586</v>
      </c>
      <c r="UW1" s="9" t="s">
        <v>587</v>
      </c>
      <c r="UX1" s="9" t="s">
        <v>588</v>
      </c>
      <c r="UY1" s="9" t="s">
        <v>589</v>
      </c>
      <c r="UZ1" s="9" t="s">
        <v>590</v>
      </c>
      <c r="VA1" s="9" t="s">
        <v>591</v>
      </c>
      <c r="VB1" s="9" t="s">
        <v>592</v>
      </c>
      <c r="VC1" s="9" t="s">
        <v>593</v>
      </c>
      <c r="VD1" s="9" t="s">
        <v>594</v>
      </c>
      <c r="VE1" s="9" t="s">
        <v>595</v>
      </c>
      <c r="VF1" s="9" t="s">
        <v>596</v>
      </c>
      <c r="VG1" s="9" t="s">
        <v>597</v>
      </c>
      <c r="VH1" s="9" t="s">
        <v>598</v>
      </c>
      <c r="VI1" s="9" t="s">
        <v>599</v>
      </c>
      <c r="VJ1" s="9" t="s">
        <v>600</v>
      </c>
      <c r="VK1" s="9" t="s">
        <v>601</v>
      </c>
      <c r="VL1" s="9" t="s">
        <v>602</v>
      </c>
      <c r="VM1" s="9" t="s">
        <v>603</v>
      </c>
      <c r="VN1" s="9" t="s">
        <v>604</v>
      </c>
      <c r="VO1" s="9" t="s">
        <v>605</v>
      </c>
      <c r="VP1" s="9" t="s">
        <v>606</v>
      </c>
      <c r="VQ1" s="9" t="s">
        <v>607</v>
      </c>
      <c r="VR1" s="9" t="s">
        <v>608</v>
      </c>
      <c r="VS1" s="9" t="s">
        <v>609</v>
      </c>
      <c r="VT1" s="9" t="s">
        <v>610</v>
      </c>
      <c r="VU1" s="9" t="s">
        <v>611</v>
      </c>
      <c r="VV1" s="9" t="s">
        <v>612</v>
      </c>
      <c r="VW1" s="9" t="s">
        <v>613</v>
      </c>
      <c r="VX1" s="9" t="s">
        <v>614</v>
      </c>
      <c r="VY1" s="9" t="s">
        <v>615</v>
      </c>
      <c r="VZ1" s="9" t="s">
        <v>616</v>
      </c>
      <c r="WA1" s="9" t="s">
        <v>617</v>
      </c>
      <c r="WB1" s="9" t="s">
        <v>618</v>
      </c>
      <c r="WC1" s="9" t="s">
        <v>619</v>
      </c>
      <c r="WD1" s="9" t="s">
        <v>620</v>
      </c>
      <c r="WE1" s="9" t="s">
        <v>621</v>
      </c>
      <c r="WF1" s="9" t="s">
        <v>622</v>
      </c>
      <c r="WG1" s="9" t="s">
        <v>623</v>
      </c>
      <c r="WH1" s="9" t="s">
        <v>624</v>
      </c>
      <c r="WI1" s="9" t="s">
        <v>625</v>
      </c>
      <c r="WJ1" s="9" t="s">
        <v>626</v>
      </c>
      <c r="WK1" s="9" t="s">
        <v>627</v>
      </c>
      <c r="WL1" s="9" t="s">
        <v>628</v>
      </c>
      <c r="WM1" s="9" t="s">
        <v>629</v>
      </c>
      <c r="WN1" s="9" t="s">
        <v>630</v>
      </c>
      <c r="WO1" s="9" t="s">
        <v>631</v>
      </c>
      <c r="WP1" s="9" t="s">
        <v>632</v>
      </c>
      <c r="WQ1" s="9" t="s">
        <v>633</v>
      </c>
      <c r="WR1" s="9" t="s">
        <v>634</v>
      </c>
      <c r="WS1" s="9" t="s">
        <v>635</v>
      </c>
      <c r="WT1" s="9" t="s">
        <v>636</v>
      </c>
      <c r="WU1" s="9" t="s">
        <v>637</v>
      </c>
      <c r="WV1" s="9" t="s">
        <v>638</v>
      </c>
      <c r="WW1" s="9" t="s">
        <v>639</v>
      </c>
      <c r="WX1" s="9" t="s">
        <v>640</v>
      </c>
      <c r="WY1" s="9" t="s">
        <v>641</v>
      </c>
      <c r="WZ1" s="9" t="s">
        <v>642</v>
      </c>
      <c r="XA1" s="9" t="s">
        <v>643</v>
      </c>
      <c r="XB1" s="9" t="s">
        <v>644</v>
      </c>
      <c r="XC1" s="9" t="s">
        <v>645</v>
      </c>
      <c r="XD1" s="9" t="s">
        <v>646</v>
      </c>
      <c r="XE1" s="9" t="s">
        <v>647</v>
      </c>
      <c r="XF1" s="9" t="s">
        <v>648</v>
      </c>
      <c r="XG1" s="9" t="s">
        <v>649</v>
      </c>
      <c r="XH1" s="9" t="s">
        <v>650</v>
      </c>
      <c r="XI1" s="9" t="s">
        <v>651</v>
      </c>
      <c r="XJ1" s="9" t="s">
        <v>652</v>
      </c>
      <c r="XK1" s="9" t="s">
        <v>653</v>
      </c>
      <c r="XL1" s="9" t="s">
        <v>654</v>
      </c>
      <c r="XM1" s="9" t="s">
        <v>655</v>
      </c>
      <c r="XN1" s="9" t="s">
        <v>656</v>
      </c>
      <c r="XO1" s="9" t="s">
        <v>657</v>
      </c>
      <c r="XP1" s="9" t="s">
        <v>658</v>
      </c>
      <c r="XQ1" s="9" t="s">
        <v>659</v>
      </c>
      <c r="XR1" s="9" t="s">
        <v>660</v>
      </c>
      <c r="XS1" s="9" t="s">
        <v>661</v>
      </c>
      <c r="XT1" s="9" t="s">
        <v>662</v>
      </c>
      <c r="XU1" s="9" t="s">
        <v>663</v>
      </c>
      <c r="XV1" s="9" t="s">
        <v>664</v>
      </c>
      <c r="XW1" s="9" t="s">
        <v>665</v>
      </c>
      <c r="XX1" s="9" t="s">
        <v>666</v>
      </c>
      <c r="XY1" s="9" t="s">
        <v>667</v>
      </c>
      <c r="XZ1" s="9" t="s">
        <v>668</v>
      </c>
      <c r="YA1" s="9" t="s">
        <v>669</v>
      </c>
      <c r="YB1" s="9" t="s">
        <v>670</v>
      </c>
      <c r="YC1" s="9" t="s">
        <v>671</v>
      </c>
      <c r="YD1" s="9" t="s">
        <v>672</v>
      </c>
      <c r="YE1" s="9" t="s">
        <v>673</v>
      </c>
      <c r="YF1" s="9" t="s">
        <v>674</v>
      </c>
      <c r="YG1" s="9" t="s">
        <v>675</v>
      </c>
      <c r="YH1" s="9" t="s">
        <v>676</v>
      </c>
      <c r="YI1" s="9" t="s">
        <v>677</v>
      </c>
      <c r="YJ1" s="9" t="s">
        <v>678</v>
      </c>
      <c r="YK1" s="9" t="s">
        <v>679</v>
      </c>
      <c r="YL1" s="9" t="s">
        <v>680</v>
      </c>
      <c r="YM1" s="9" t="s">
        <v>681</v>
      </c>
      <c r="YN1" s="9" t="s">
        <v>682</v>
      </c>
      <c r="YO1" s="9" t="s">
        <v>683</v>
      </c>
      <c r="YP1" s="9" t="s">
        <v>684</v>
      </c>
      <c r="YQ1" s="9" t="s">
        <v>685</v>
      </c>
      <c r="YR1" s="9" t="s">
        <v>686</v>
      </c>
      <c r="YS1" s="9" t="s">
        <v>687</v>
      </c>
      <c r="YT1" s="9" t="s">
        <v>688</v>
      </c>
      <c r="YU1" s="9" t="s">
        <v>689</v>
      </c>
      <c r="YV1" s="9" t="s">
        <v>690</v>
      </c>
      <c r="YW1" s="9" t="s">
        <v>691</v>
      </c>
      <c r="YX1" s="9" t="s">
        <v>692</v>
      </c>
      <c r="YY1" s="9" t="s">
        <v>693</v>
      </c>
      <c r="YZ1" s="9" t="s">
        <v>694</v>
      </c>
      <c r="ZA1" s="9" t="s">
        <v>695</v>
      </c>
      <c r="ZB1" s="9" t="s">
        <v>696</v>
      </c>
      <c r="ZC1" s="9" t="s">
        <v>697</v>
      </c>
      <c r="ZD1" s="9" t="s">
        <v>698</v>
      </c>
      <c r="ZE1" s="9" t="s">
        <v>699</v>
      </c>
      <c r="ZF1" s="9" t="s">
        <v>700</v>
      </c>
      <c r="ZG1" s="9" t="s">
        <v>701</v>
      </c>
      <c r="ZH1" s="9" t="s">
        <v>702</v>
      </c>
      <c r="ZI1" s="9" t="s">
        <v>703</v>
      </c>
      <c r="ZJ1" s="9" t="s">
        <v>704</v>
      </c>
      <c r="ZK1" s="9" t="s">
        <v>705</v>
      </c>
      <c r="ZL1" s="9" t="s">
        <v>706</v>
      </c>
      <c r="ZM1" s="9" t="s">
        <v>707</v>
      </c>
      <c r="ZN1" s="9" t="s">
        <v>708</v>
      </c>
      <c r="ZO1" s="9" t="s">
        <v>709</v>
      </c>
      <c r="ZP1" s="9" t="s">
        <v>710</v>
      </c>
      <c r="ZQ1" s="9" t="s">
        <v>711</v>
      </c>
      <c r="ZR1" s="9" t="s">
        <v>712</v>
      </c>
      <c r="ZS1" s="9" t="s">
        <v>713</v>
      </c>
      <c r="ZT1" s="9" t="s">
        <v>714</v>
      </c>
      <c r="ZU1" s="9" t="s">
        <v>715</v>
      </c>
      <c r="ZV1" s="9" t="s">
        <v>716</v>
      </c>
      <c r="ZW1" s="9" t="s">
        <v>717</v>
      </c>
      <c r="ZX1" s="9" t="s">
        <v>718</v>
      </c>
      <c r="ZY1" s="9" t="s">
        <v>719</v>
      </c>
      <c r="ZZ1" s="9" t="s">
        <v>720</v>
      </c>
      <c r="AAA1" s="9" t="s">
        <v>721</v>
      </c>
      <c r="AAB1" s="9" t="s">
        <v>722</v>
      </c>
      <c r="AAC1" s="9" t="s">
        <v>723</v>
      </c>
      <c r="AAD1" s="9" t="s">
        <v>724</v>
      </c>
      <c r="AAE1" s="9" t="s">
        <v>725</v>
      </c>
      <c r="AAF1" s="9" t="s">
        <v>726</v>
      </c>
      <c r="AAG1" s="9" t="s">
        <v>727</v>
      </c>
      <c r="AAH1" s="9" t="s">
        <v>728</v>
      </c>
      <c r="AAI1" s="9" t="s">
        <v>729</v>
      </c>
      <c r="AAJ1" s="9" t="s">
        <v>730</v>
      </c>
      <c r="AAK1" s="9" t="s">
        <v>731</v>
      </c>
      <c r="AAL1" s="9" t="s">
        <v>732</v>
      </c>
      <c r="AAM1" s="9" t="s">
        <v>733</v>
      </c>
      <c r="AAN1" s="9" t="s">
        <v>734</v>
      </c>
      <c r="AAO1" s="9" t="s">
        <v>735</v>
      </c>
      <c r="AAP1" s="9" t="s">
        <v>736</v>
      </c>
      <c r="AAQ1" s="9" t="s">
        <v>737</v>
      </c>
      <c r="AAR1" s="9" t="s">
        <v>738</v>
      </c>
      <c r="AAS1" s="9" t="s">
        <v>739</v>
      </c>
      <c r="AAT1" s="9" t="s">
        <v>740</v>
      </c>
      <c r="AAU1" s="9" t="s">
        <v>741</v>
      </c>
      <c r="AAV1" s="9" t="s">
        <v>742</v>
      </c>
      <c r="AAW1" s="9" t="s">
        <v>743</v>
      </c>
      <c r="AAX1" s="9" t="s">
        <v>744</v>
      </c>
      <c r="AAY1" s="9" t="s">
        <v>745</v>
      </c>
      <c r="AAZ1" s="9" t="s">
        <v>746</v>
      </c>
      <c r="ABA1" s="9" t="s">
        <v>747</v>
      </c>
      <c r="ABB1" s="9" t="s">
        <v>748</v>
      </c>
      <c r="ABC1" s="9" t="s">
        <v>749</v>
      </c>
      <c r="ABD1" s="9" t="s">
        <v>750</v>
      </c>
      <c r="ABE1" s="9" t="s">
        <v>751</v>
      </c>
      <c r="ABF1" s="9" t="s">
        <v>752</v>
      </c>
      <c r="ABG1" s="9" t="s">
        <v>753</v>
      </c>
      <c r="ABH1" s="9" t="s">
        <v>754</v>
      </c>
      <c r="ABI1" s="9" t="s">
        <v>755</v>
      </c>
      <c r="ABJ1" s="9" t="s">
        <v>756</v>
      </c>
      <c r="ABK1" s="9" t="s">
        <v>757</v>
      </c>
      <c r="ABL1" s="9" t="s">
        <v>758</v>
      </c>
      <c r="ABM1" s="9" t="s">
        <v>759</v>
      </c>
      <c r="ABN1" s="9" t="s">
        <v>760</v>
      </c>
      <c r="ABO1" s="9" t="s">
        <v>761</v>
      </c>
      <c r="ABP1" s="9" t="s">
        <v>762</v>
      </c>
      <c r="ABQ1" s="9" t="s">
        <v>763</v>
      </c>
      <c r="ABR1" s="9" t="s">
        <v>764</v>
      </c>
      <c r="ABS1" s="9" t="s">
        <v>765</v>
      </c>
      <c r="ABT1" s="9" t="s">
        <v>766</v>
      </c>
      <c r="ABU1" s="9" t="s">
        <v>767</v>
      </c>
      <c r="ABV1" s="9" t="s">
        <v>768</v>
      </c>
      <c r="ABW1" s="9" t="s">
        <v>769</v>
      </c>
      <c r="ABX1" s="9" t="s">
        <v>770</v>
      </c>
      <c r="ABY1" s="9" t="s">
        <v>771</v>
      </c>
      <c r="ABZ1" s="9" t="s">
        <v>772</v>
      </c>
      <c r="ACA1" s="9" t="s">
        <v>773</v>
      </c>
      <c r="ACB1" s="9" t="s">
        <v>774</v>
      </c>
      <c r="ACC1" s="9" t="s">
        <v>775</v>
      </c>
      <c r="ACD1" s="9" t="s">
        <v>776</v>
      </c>
      <c r="ACE1" s="9" t="s">
        <v>777</v>
      </c>
      <c r="ACF1" s="9" t="s">
        <v>778</v>
      </c>
      <c r="ACG1" s="9" t="s">
        <v>779</v>
      </c>
      <c r="ACH1" s="9" t="s">
        <v>780</v>
      </c>
      <c r="ACI1" s="9" t="s">
        <v>781</v>
      </c>
      <c r="ACJ1" s="9" t="s">
        <v>782</v>
      </c>
      <c r="ACK1" s="9" t="s">
        <v>783</v>
      </c>
      <c r="ACL1" s="9" t="s">
        <v>784</v>
      </c>
      <c r="ACM1" s="9" t="s">
        <v>785</v>
      </c>
      <c r="ACN1" s="9" t="s">
        <v>786</v>
      </c>
      <c r="ACO1" s="9" t="s">
        <v>787</v>
      </c>
      <c r="ACP1" s="9" t="s">
        <v>788</v>
      </c>
      <c r="ACQ1" s="9" t="s">
        <v>789</v>
      </c>
      <c r="ACR1" s="9" t="s">
        <v>790</v>
      </c>
      <c r="ACS1" s="9" t="s">
        <v>791</v>
      </c>
      <c r="ACT1" s="9" t="s">
        <v>792</v>
      </c>
      <c r="ACU1" s="9" t="s">
        <v>793</v>
      </c>
      <c r="ACV1" s="9" t="s">
        <v>794</v>
      </c>
      <c r="ACW1" s="9" t="s">
        <v>795</v>
      </c>
      <c r="ACX1" s="9" t="s">
        <v>796</v>
      </c>
      <c r="ACY1" s="9" t="s">
        <v>797</v>
      </c>
      <c r="ACZ1" s="9" t="s">
        <v>798</v>
      </c>
      <c r="ADA1" s="9" t="s">
        <v>799</v>
      </c>
      <c r="ADB1" s="9" t="s">
        <v>800</v>
      </c>
      <c r="ADC1" s="9" t="s">
        <v>801</v>
      </c>
      <c r="ADD1" s="9" t="s">
        <v>802</v>
      </c>
      <c r="ADE1" s="9" t="s">
        <v>803</v>
      </c>
      <c r="ADF1" s="9" t="s">
        <v>804</v>
      </c>
      <c r="ADG1" s="9" t="s">
        <v>805</v>
      </c>
      <c r="ADH1" s="9" t="s">
        <v>806</v>
      </c>
      <c r="ADI1" s="9" t="s">
        <v>807</v>
      </c>
      <c r="ADJ1" s="9" t="s">
        <v>808</v>
      </c>
      <c r="ADK1" s="9" t="s">
        <v>809</v>
      </c>
      <c r="ADL1" s="9" t="s">
        <v>810</v>
      </c>
      <c r="ADM1" s="9" t="s">
        <v>811</v>
      </c>
      <c r="ADN1" s="9" t="s">
        <v>812</v>
      </c>
      <c r="ADO1" s="9" t="s">
        <v>813</v>
      </c>
      <c r="ADP1" s="9" t="s">
        <v>814</v>
      </c>
      <c r="ADQ1" s="9" t="s">
        <v>815</v>
      </c>
      <c r="ADR1" s="9" t="s">
        <v>816</v>
      </c>
      <c r="ADS1" s="9" t="s">
        <v>817</v>
      </c>
      <c r="ADT1" s="9" t="s">
        <v>818</v>
      </c>
      <c r="ADU1" s="9" t="s">
        <v>819</v>
      </c>
      <c r="ADV1" s="9" t="s">
        <v>820</v>
      </c>
      <c r="ADW1" s="9" t="s">
        <v>821</v>
      </c>
      <c r="ADX1" s="9" t="s">
        <v>822</v>
      </c>
      <c r="ADY1" s="9" t="s">
        <v>823</v>
      </c>
      <c r="ADZ1" s="9" t="s">
        <v>824</v>
      </c>
      <c r="AEA1" s="9" t="s">
        <v>825</v>
      </c>
      <c r="AEB1" s="9" t="s">
        <v>826</v>
      </c>
      <c r="AEC1" s="9" t="s">
        <v>827</v>
      </c>
      <c r="AED1" s="9" t="s">
        <v>828</v>
      </c>
      <c r="AEE1" s="9" t="s">
        <v>829</v>
      </c>
      <c r="AEF1" s="9" t="s">
        <v>830</v>
      </c>
      <c r="AEG1" s="9" t="s">
        <v>831</v>
      </c>
      <c r="AEH1" s="9" t="s">
        <v>832</v>
      </c>
      <c r="AEI1" s="9" t="s">
        <v>833</v>
      </c>
      <c r="AEJ1" s="9" t="s">
        <v>834</v>
      </c>
      <c r="AEK1" s="9" t="s">
        <v>835</v>
      </c>
      <c r="AEL1" s="9" t="s">
        <v>836</v>
      </c>
      <c r="AEM1" s="9" t="s">
        <v>837</v>
      </c>
      <c r="AEN1" s="9" t="s">
        <v>838</v>
      </c>
      <c r="AEO1" s="9" t="s">
        <v>839</v>
      </c>
      <c r="AEP1" s="9" t="s">
        <v>840</v>
      </c>
      <c r="AEQ1" s="9" t="s">
        <v>841</v>
      </c>
      <c r="AER1" s="9" t="s">
        <v>842</v>
      </c>
      <c r="AES1" s="9" t="s">
        <v>843</v>
      </c>
      <c r="AET1" s="9" t="s">
        <v>844</v>
      </c>
      <c r="AEU1" s="9" t="s">
        <v>845</v>
      </c>
      <c r="AEV1" s="9" t="s">
        <v>846</v>
      </c>
      <c r="AEW1" s="9" t="s">
        <v>847</v>
      </c>
      <c r="AEX1" s="9" t="s">
        <v>848</v>
      </c>
      <c r="AEY1" s="9" t="s">
        <v>849</v>
      </c>
      <c r="AEZ1" s="9" t="s">
        <v>850</v>
      </c>
      <c r="AFA1" s="9" t="s">
        <v>851</v>
      </c>
      <c r="AFB1" s="9" t="s">
        <v>852</v>
      </c>
      <c r="AFC1" s="9" t="s">
        <v>853</v>
      </c>
      <c r="AFD1" s="9" t="s">
        <v>854</v>
      </c>
      <c r="AFE1" s="9" t="s">
        <v>855</v>
      </c>
      <c r="AFF1" s="9" t="s">
        <v>856</v>
      </c>
      <c r="AFG1" s="9" t="s">
        <v>857</v>
      </c>
      <c r="AFH1" s="9" t="s">
        <v>858</v>
      </c>
      <c r="AFI1" s="9" t="s">
        <v>859</v>
      </c>
      <c r="AFJ1" s="9" t="s">
        <v>860</v>
      </c>
      <c r="AFK1" s="9" t="s">
        <v>861</v>
      </c>
      <c r="AFL1" s="9" t="s">
        <v>862</v>
      </c>
      <c r="AFM1" s="9" t="s">
        <v>863</v>
      </c>
      <c r="AFN1" s="9" t="s">
        <v>864</v>
      </c>
      <c r="AFO1" s="9" t="s">
        <v>865</v>
      </c>
      <c r="AFP1" s="9" t="s">
        <v>866</v>
      </c>
      <c r="AFQ1" s="9" t="s">
        <v>867</v>
      </c>
      <c r="AFR1" s="9" t="s">
        <v>868</v>
      </c>
      <c r="AFS1" s="9" t="s">
        <v>869</v>
      </c>
      <c r="AFT1" s="9" t="s">
        <v>870</v>
      </c>
      <c r="AFU1" s="9" t="s">
        <v>871</v>
      </c>
      <c r="AFV1" s="9" t="s">
        <v>872</v>
      </c>
      <c r="AFW1" s="9" t="s">
        <v>873</v>
      </c>
      <c r="AFX1" s="9" t="s">
        <v>874</v>
      </c>
      <c r="AFY1" s="9" t="s">
        <v>875</v>
      </c>
      <c r="AFZ1" s="9" t="s">
        <v>876</v>
      </c>
      <c r="AGA1" s="9" t="s">
        <v>877</v>
      </c>
      <c r="AGB1" s="9" t="s">
        <v>878</v>
      </c>
      <c r="AGC1" s="9" t="s">
        <v>879</v>
      </c>
      <c r="AGD1" s="9" t="s">
        <v>880</v>
      </c>
      <c r="AGE1" s="9" t="s">
        <v>881</v>
      </c>
      <c r="AGF1" s="9" t="s">
        <v>882</v>
      </c>
      <c r="AGG1" s="9" t="s">
        <v>883</v>
      </c>
      <c r="AGH1" s="9" t="s">
        <v>884</v>
      </c>
      <c r="AGI1" s="9" t="s">
        <v>885</v>
      </c>
      <c r="AGJ1" s="9" t="s">
        <v>886</v>
      </c>
      <c r="AGK1" s="9" t="s">
        <v>887</v>
      </c>
      <c r="AGL1" s="9" t="s">
        <v>888</v>
      </c>
      <c r="AGM1" s="9" t="s">
        <v>889</v>
      </c>
      <c r="AGN1" s="9" t="s">
        <v>890</v>
      </c>
      <c r="AGO1" s="9" t="s">
        <v>891</v>
      </c>
      <c r="AGP1" s="9" t="s">
        <v>892</v>
      </c>
      <c r="AGQ1" s="9" t="s">
        <v>893</v>
      </c>
      <c r="AGR1" s="9" t="s">
        <v>894</v>
      </c>
      <c r="AGS1" s="9" t="s">
        <v>895</v>
      </c>
      <c r="AGT1" s="9" t="s">
        <v>896</v>
      </c>
      <c r="AGU1" s="9" t="s">
        <v>897</v>
      </c>
      <c r="AGV1" s="9" t="s">
        <v>898</v>
      </c>
      <c r="AGW1" s="9" t="s">
        <v>899</v>
      </c>
      <c r="AGX1" s="9" t="s">
        <v>900</v>
      </c>
      <c r="AGY1" s="9" t="s">
        <v>901</v>
      </c>
      <c r="AGZ1" s="9" t="s">
        <v>902</v>
      </c>
      <c r="AHA1" s="9" t="s">
        <v>903</v>
      </c>
      <c r="AHB1" s="9" t="s">
        <v>904</v>
      </c>
      <c r="AHC1" s="9" t="s">
        <v>905</v>
      </c>
      <c r="AHD1" s="9" t="s">
        <v>906</v>
      </c>
      <c r="AHE1" s="9" t="s">
        <v>907</v>
      </c>
      <c r="AHF1" s="9" t="s">
        <v>908</v>
      </c>
      <c r="AHG1" s="9" t="s">
        <v>909</v>
      </c>
      <c r="AHH1" s="9" t="s">
        <v>910</v>
      </c>
      <c r="AHI1" s="9" t="s">
        <v>911</v>
      </c>
      <c r="AHJ1" s="9" t="s">
        <v>912</v>
      </c>
      <c r="AHK1" s="9" t="s">
        <v>913</v>
      </c>
      <c r="AHL1" s="9" t="s">
        <v>914</v>
      </c>
      <c r="AHM1" s="9" t="s">
        <v>915</v>
      </c>
      <c r="AHN1" s="9" t="s">
        <v>916</v>
      </c>
      <c r="AHO1" s="9" t="s">
        <v>917</v>
      </c>
      <c r="AHP1" s="9" t="s">
        <v>918</v>
      </c>
      <c r="AHQ1" s="9" t="s">
        <v>919</v>
      </c>
      <c r="AHR1" s="9" t="s">
        <v>920</v>
      </c>
      <c r="AHS1" s="9" t="s">
        <v>921</v>
      </c>
      <c r="AHT1" s="9" t="s">
        <v>922</v>
      </c>
      <c r="AHU1" s="9" t="s">
        <v>923</v>
      </c>
      <c r="AHV1" s="9" t="s">
        <v>924</v>
      </c>
      <c r="AHW1" s="9" t="s">
        <v>925</v>
      </c>
      <c r="AHX1" s="9" t="s">
        <v>926</v>
      </c>
      <c r="AHY1" s="9" t="s">
        <v>927</v>
      </c>
      <c r="AHZ1" s="9" t="s">
        <v>928</v>
      </c>
      <c r="AIA1" s="9" t="s">
        <v>929</v>
      </c>
      <c r="AIB1" s="9" t="s">
        <v>930</v>
      </c>
      <c r="AIC1" s="9" t="s">
        <v>931</v>
      </c>
      <c r="AID1" s="9" t="s">
        <v>932</v>
      </c>
      <c r="AIE1" s="9" t="s">
        <v>933</v>
      </c>
      <c r="AIF1" s="9" t="s">
        <v>934</v>
      </c>
      <c r="AIG1" s="9" t="s">
        <v>935</v>
      </c>
      <c r="AIH1" s="9" t="s">
        <v>936</v>
      </c>
      <c r="AII1" s="9" t="s">
        <v>937</v>
      </c>
      <c r="AIJ1" s="9" t="s">
        <v>938</v>
      </c>
      <c r="AIK1" s="9" t="s">
        <v>939</v>
      </c>
      <c r="AIL1" s="9" t="s">
        <v>940</v>
      </c>
      <c r="AIM1" s="9" t="s">
        <v>941</v>
      </c>
      <c r="AIN1" s="9" t="s">
        <v>942</v>
      </c>
      <c r="AIO1" s="9" t="s">
        <v>943</v>
      </c>
      <c r="AIP1" s="9" t="s">
        <v>944</v>
      </c>
      <c r="AIQ1" s="9" t="s">
        <v>945</v>
      </c>
      <c r="AIR1" s="9" t="s">
        <v>946</v>
      </c>
      <c r="AIS1" s="9" t="s">
        <v>947</v>
      </c>
      <c r="AIT1" s="9" t="s">
        <v>948</v>
      </c>
      <c r="AIU1" s="9" t="s">
        <v>949</v>
      </c>
      <c r="AIV1" s="9" t="s">
        <v>950</v>
      </c>
      <c r="AIW1" s="9" t="s">
        <v>951</v>
      </c>
      <c r="AIX1" s="9" t="s">
        <v>952</v>
      </c>
      <c r="AIY1" s="9" t="s">
        <v>953</v>
      </c>
      <c r="AIZ1" s="9" t="s">
        <v>954</v>
      </c>
      <c r="AJA1" s="9" t="s">
        <v>955</v>
      </c>
      <c r="AJB1" s="9" t="s">
        <v>956</v>
      </c>
      <c r="AJC1" s="9" t="s">
        <v>957</v>
      </c>
      <c r="AJD1" s="9" t="s">
        <v>958</v>
      </c>
      <c r="AJE1" s="9" t="s">
        <v>959</v>
      </c>
      <c r="AJF1" s="9" t="s">
        <v>960</v>
      </c>
      <c r="AJG1" s="9" t="s">
        <v>961</v>
      </c>
      <c r="AJH1" s="9" t="s">
        <v>962</v>
      </c>
      <c r="AJI1" s="9" t="s">
        <v>963</v>
      </c>
      <c r="AJJ1" s="9" t="s">
        <v>964</v>
      </c>
      <c r="AJK1" s="9" t="s">
        <v>965</v>
      </c>
      <c r="AJL1" s="9" t="s">
        <v>966</v>
      </c>
      <c r="AJM1" s="9" t="s">
        <v>967</v>
      </c>
      <c r="AJN1" s="9" t="s">
        <v>968</v>
      </c>
      <c r="AJO1" s="9" t="s">
        <v>969</v>
      </c>
      <c r="AJP1" s="9" t="s">
        <v>970</v>
      </c>
      <c r="AJQ1" s="9" t="s">
        <v>971</v>
      </c>
      <c r="AJR1" s="9" t="s">
        <v>972</v>
      </c>
      <c r="AJS1" s="9" t="s">
        <v>973</v>
      </c>
      <c r="AJT1" s="9" t="s">
        <v>974</v>
      </c>
      <c r="AJU1" s="9" t="s">
        <v>975</v>
      </c>
      <c r="AJV1" s="9" t="s">
        <v>976</v>
      </c>
      <c r="AJW1" s="9" t="s">
        <v>977</v>
      </c>
      <c r="AJX1" s="9" t="s">
        <v>978</v>
      </c>
      <c r="AJY1" s="9" t="s">
        <v>979</v>
      </c>
      <c r="AJZ1" s="9" t="s">
        <v>980</v>
      </c>
      <c r="AKA1" s="9" t="s">
        <v>981</v>
      </c>
      <c r="AKB1" s="9" t="s">
        <v>982</v>
      </c>
      <c r="AKC1" s="9" t="s">
        <v>983</v>
      </c>
      <c r="AKD1" s="9" t="s">
        <v>984</v>
      </c>
      <c r="AKE1" s="9" t="s">
        <v>985</v>
      </c>
      <c r="AKF1" s="9" t="s">
        <v>986</v>
      </c>
      <c r="AKG1" s="9" t="s">
        <v>987</v>
      </c>
      <c r="AKH1" s="9" t="s">
        <v>988</v>
      </c>
      <c r="AKI1" s="9" t="s">
        <v>989</v>
      </c>
      <c r="AKJ1" s="9" t="s">
        <v>990</v>
      </c>
      <c r="AKK1" s="9" t="s">
        <v>991</v>
      </c>
      <c r="AKL1" s="9" t="s">
        <v>992</v>
      </c>
      <c r="AKM1" s="9" t="s">
        <v>993</v>
      </c>
      <c r="AKN1" s="9" t="s">
        <v>994</v>
      </c>
      <c r="AKO1" s="9" t="s">
        <v>995</v>
      </c>
      <c r="AKP1" s="9" t="s">
        <v>996</v>
      </c>
      <c r="AKQ1" s="9" t="s">
        <v>997</v>
      </c>
      <c r="AKR1" s="9" t="s">
        <v>998</v>
      </c>
      <c r="AKS1" s="9" t="s">
        <v>999</v>
      </c>
      <c r="AKT1" s="9" t="s">
        <v>1000</v>
      </c>
      <c r="AKU1" s="9" t="s">
        <v>1001</v>
      </c>
      <c r="AKV1" s="9" t="s">
        <v>1002</v>
      </c>
      <c r="AKW1" s="9" t="s">
        <v>1003</v>
      </c>
      <c r="AKX1" s="9" t="s">
        <v>1004</v>
      </c>
      <c r="AKY1" s="9" t="s">
        <v>1005</v>
      </c>
      <c r="AKZ1" s="9" t="s">
        <v>1006</v>
      </c>
      <c r="ALA1" s="9" t="s">
        <v>1007</v>
      </c>
      <c r="ALB1" s="9" t="s">
        <v>1008</v>
      </c>
      <c r="ALC1" s="9" t="s">
        <v>1009</v>
      </c>
      <c r="ALD1" s="9" t="s">
        <v>1010</v>
      </c>
      <c r="ALE1" s="9" t="s">
        <v>1011</v>
      </c>
      <c r="ALF1" s="9" t="s">
        <v>1012</v>
      </c>
      <c r="ALG1" s="9" t="s">
        <v>1013</v>
      </c>
      <c r="ALH1" s="9" t="s">
        <v>1014</v>
      </c>
      <c r="ALI1" s="9" t="s">
        <v>1015</v>
      </c>
      <c r="ALJ1" s="9" t="s">
        <v>1016</v>
      </c>
      <c r="ALK1" s="9" t="s">
        <v>1017</v>
      </c>
      <c r="ALL1" s="9" t="s">
        <v>1018</v>
      </c>
      <c r="ALM1" s="9" t="s">
        <v>1019</v>
      </c>
      <c r="ALN1" s="9" t="s">
        <v>1020</v>
      </c>
      <c r="ALO1" s="9" t="s">
        <v>1021</v>
      </c>
      <c r="ALP1" s="9" t="s">
        <v>1022</v>
      </c>
      <c r="ALQ1" s="9" t="s">
        <v>1023</v>
      </c>
      <c r="ALR1" s="9" t="s">
        <v>1024</v>
      </c>
      <c r="ALS1" s="9" t="s">
        <v>1025</v>
      </c>
      <c r="ALT1" s="9" t="s">
        <v>1026</v>
      </c>
      <c r="ALU1" s="9" t="s">
        <v>1027</v>
      </c>
      <c r="ALV1" s="9" t="s">
        <v>1028</v>
      </c>
      <c r="ALW1" s="9" t="s">
        <v>1029</v>
      </c>
      <c r="ALX1" s="9" t="s">
        <v>1030</v>
      </c>
      <c r="ALY1" s="9" t="s">
        <v>1031</v>
      </c>
      <c r="ALZ1" s="9" t="s">
        <v>1032</v>
      </c>
      <c r="AMA1" s="9" t="s">
        <v>1033</v>
      </c>
      <c r="AMB1" s="9" t="s">
        <v>1034</v>
      </c>
      <c r="AMC1" s="9" t="s">
        <v>1035</v>
      </c>
      <c r="AMD1" s="9" t="s">
        <v>1036</v>
      </c>
      <c r="AME1" s="9" t="s">
        <v>1037</v>
      </c>
      <c r="AMF1" s="9" t="s">
        <v>1038</v>
      </c>
      <c r="AMG1" s="9" t="s">
        <v>1039</v>
      </c>
      <c r="AMH1" s="9" t="s">
        <v>1040</v>
      </c>
      <c r="AMI1" s="9" t="s">
        <v>1041</v>
      </c>
      <c r="AMJ1" s="9" t="s">
        <v>1042</v>
      </c>
      <c r="AMK1" s="9" t="s">
        <v>1043</v>
      </c>
      <c r="AML1" s="9" t="s">
        <v>1044</v>
      </c>
      <c r="AMM1" s="9" t="s">
        <v>1045</v>
      </c>
      <c r="AMN1" s="9" t="s">
        <v>1046</v>
      </c>
      <c r="AMO1" s="9" t="s">
        <v>1047</v>
      </c>
      <c r="AMP1" s="9" t="s">
        <v>1048</v>
      </c>
      <c r="AMQ1" s="9" t="s">
        <v>1049</v>
      </c>
      <c r="AMR1" s="9" t="s">
        <v>1050</v>
      </c>
      <c r="AMS1" s="9" t="s">
        <v>1051</v>
      </c>
      <c r="AMT1" s="9" t="s">
        <v>1052</v>
      </c>
      <c r="AMU1" s="9" t="s">
        <v>1053</v>
      </c>
      <c r="AMV1" s="9" t="s">
        <v>1054</v>
      </c>
      <c r="AMW1" s="9" t="s">
        <v>1055</v>
      </c>
      <c r="AMX1" s="9" t="s">
        <v>1056</v>
      </c>
      <c r="AMY1" s="9" t="s">
        <v>1057</v>
      </c>
      <c r="AMZ1" s="9" t="s">
        <v>1058</v>
      </c>
      <c r="ANA1" s="9" t="s">
        <v>1059</v>
      </c>
      <c r="ANB1" s="9" t="s">
        <v>1060</v>
      </c>
      <c r="ANC1" s="9" t="s">
        <v>1061</v>
      </c>
      <c r="AND1" s="9" t="s">
        <v>1062</v>
      </c>
      <c r="ANE1" s="9" t="s">
        <v>1063</v>
      </c>
      <c r="ANF1" s="9" t="s">
        <v>1064</v>
      </c>
      <c r="ANG1" s="9" t="s">
        <v>1065</v>
      </c>
      <c r="ANH1" s="9" t="s">
        <v>1066</v>
      </c>
      <c r="ANI1" s="9" t="s">
        <v>1067</v>
      </c>
      <c r="ANJ1" s="9" t="s">
        <v>1068</v>
      </c>
      <c r="ANK1" s="9" t="s">
        <v>1069</v>
      </c>
      <c r="ANL1" s="9" t="s">
        <v>1070</v>
      </c>
      <c r="ANM1" s="9" t="s">
        <v>1071</v>
      </c>
      <c r="ANN1" s="9" t="s">
        <v>1072</v>
      </c>
      <c r="ANO1" s="9" t="s">
        <v>1073</v>
      </c>
      <c r="ANP1" s="9" t="s">
        <v>1074</v>
      </c>
      <c r="ANQ1" s="9" t="s">
        <v>1075</v>
      </c>
      <c r="ANR1" s="9" t="s">
        <v>1076</v>
      </c>
      <c r="ANS1" s="9" t="s">
        <v>1077</v>
      </c>
      <c r="ANT1" s="9" t="s">
        <v>1078</v>
      </c>
      <c r="ANU1" s="9" t="s">
        <v>1079</v>
      </c>
      <c r="ANV1" s="9" t="s">
        <v>1080</v>
      </c>
      <c r="ANW1" s="9" t="s">
        <v>1081</v>
      </c>
      <c r="ANX1" s="9" t="s">
        <v>1082</v>
      </c>
      <c r="ANY1" s="9" t="s">
        <v>1083</v>
      </c>
      <c r="ANZ1" s="9" t="s">
        <v>1084</v>
      </c>
      <c r="AOA1" s="9" t="s">
        <v>1085</v>
      </c>
      <c r="AOB1" s="9" t="s">
        <v>1086</v>
      </c>
      <c r="AOC1" s="9" t="s">
        <v>1087</v>
      </c>
      <c r="AOD1" s="9" t="s">
        <v>1088</v>
      </c>
      <c r="AOE1" s="9" t="s">
        <v>1089</v>
      </c>
      <c r="AOF1" s="9" t="s">
        <v>1090</v>
      </c>
      <c r="AOG1" s="9" t="s">
        <v>1091</v>
      </c>
      <c r="AOH1" s="9" t="s">
        <v>1092</v>
      </c>
      <c r="AOI1" s="9" t="s">
        <v>1093</v>
      </c>
      <c r="AOJ1" s="9" t="s">
        <v>1094</v>
      </c>
      <c r="AOK1" s="9" t="s">
        <v>1095</v>
      </c>
      <c r="AOL1" s="9" t="s">
        <v>1096</v>
      </c>
      <c r="AOM1" s="9" t="s">
        <v>1097</v>
      </c>
      <c r="AON1" s="9" t="s">
        <v>1098</v>
      </c>
      <c r="AOO1" s="9" t="s">
        <v>1099</v>
      </c>
      <c r="AOP1" s="9" t="s">
        <v>1100</v>
      </c>
      <c r="AOQ1" s="9" t="s">
        <v>1101</v>
      </c>
      <c r="AOR1" s="9" t="s">
        <v>1102</v>
      </c>
      <c r="AOS1" s="9" t="s">
        <v>1103</v>
      </c>
      <c r="AOT1" s="9" t="s">
        <v>1104</v>
      </c>
      <c r="AOU1" s="9" t="s">
        <v>1105</v>
      </c>
      <c r="AOV1" s="9" t="s">
        <v>1106</v>
      </c>
      <c r="AOW1" s="9" t="s">
        <v>1107</v>
      </c>
      <c r="AOX1" s="9" t="s">
        <v>1108</v>
      </c>
      <c r="AOY1" s="9" t="s">
        <v>1109</v>
      </c>
      <c r="AOZ1" s="9" t="s">
        <v>1110</v>
      </c>
      <c r="APA1" s="9" t="s">
        <v>1111</v>
      </c>
      <c r="APB1" s="9" t="s">
        <v>1112</v>
      </c>
      <c r="APC1" s="9" t="s">
        <v>1113</v>
      </c>
      <c r="APD1" s="9" t="s">
        <v>1114</v>
      </c>
      <c r="APE1" s="9" t="s">
        <v>1115</v>
      </c>
      <c r="APF1" s="9" t="s">
        <v>1116</v>
      </c>
      <c r="APG1" s="9" t="s">
        <v>1117</v>
      </c>
      <c r="APH1" s="9" t="s">
        <v>1118</v>
      </c>
      <c r="API1" s="9" t="s">
        <v>1119</v>
      </c>
      <c r="APJ1" s="9" t="s">
        <v>1120</v>
      </c>
      <c r="APK1" s="9" t="s">
        <v>1121</v>
      </c>
      <c r="APL1" s="9" t="s">
        <v>1122</v>
      </c>
      <c r="APM1" s="9" t="s">
        <v>1123</v>
      </c>
      <c r="APN1" s="9" t="s">
        <v>1124</v>
      </c>
      <c r="APO1" s="9" t="s">
        <v>1125</v>
      </c>
      <c r="APP1" s="9" t="s">
        <v>1126</v>
      </c>
      <c r="APQ1" s="9" t="s">
        <v>1127</v>
      </c>
      <c r="APR1" s="9" t="s">
        <v>1128</v>
      </c>
      <c r="APS1" s="9" t="s">
        <v>1129</v>
      </c>
      <c r="APT1" s="9" t="s">
        <v>1130</v>
      </c>
      <c r="APU1" s="9" t="s">
        <v>1131</v>
      </c>
      <c r="APV1" s="9" t="s">
        <v>1132</v>
      </c>
      <c r="APW1" s="9" t="s">
        <v>1133</v>
      </c>
      <c r="APX1" s="9" t="s">
        <v>1134</v>
      </c>
      <c r="APY1" s="9" t="s">
        <v>1135</v>
      </c>
      <c r="APZ1" s="9" t="s">
        <v>1136</v>
      </c>
      <c r="AQA1" s="9" t="s">
        <v>1137</v>
      </c>
      <c r="AQB1" s="9" t="s">
        <v>1138</v>
      </c>
      <c r="AQC1" s="9" t="s">
        <v>1139</v>
      </c>
      <c r="AQD1" s="9" t="s">
        <v>1140</v>
      </c>
      <c r="AQE1" s="9" t="s">
        <v>1141</v>
      </c>
      <c r="AQF1" s="9" t="s">
        <v>1142</v>
      </c>
      <c r="AQG1" s="9" t="s">
        <v>1143</v>
      </c>
      <c r="AQH1" s="9" t="s">
        <v>1144</v>
      </c>
      <c r="AQI1" s="9" t="s">
        <v>1145</v>
      </c>
      <c r="AQJ1" s="9" t="s">
        <v>1146</v>
      </c>
      <c r="AQK1" s="9" t="s">
        <v>1147</v>
      </c>
      <c r="AQL1" s="9" t="s">
        <v>1148</v>
      </c>
      <c r="AQM1" s="9" t="s">
        <v>1149</v>
      </c>
      <c r="AQN1" s="9" t="s">
        <v>1150</v>
      </c>
      <c r="AQO1" s="9" t="s">
        <v>1151</v>
      </c>
      <c r="AQP1" s="9" t="s">
        <v>1152</v>
      </c>
      <c r="AQQ1" s="9" t="s">
        <v>1153</v>
      </c>
      <c r="AQR1" s="9" t="s">
        <v>1154</v>
      </c>
      <c r="AQS1" s="9" t="s">
        <v>1155</v>
      </c>
      <c r="AQT1" s="9" t="s">
        <v>1156</v>
      </c>
      <c r="AQU1" s="9" t="s">
        <v>1157</v>
      </c>
      <c r="AQV1" s="9" t="s">
        <v>1158</v>
      </c>
      <c r="AQW1" s="9" t="s">
        <v>1159</v>
      </c>
      <c r="AQX1" s="9" t="s">
        <v>1160</v>
      </c>
      <c r="AQY1" s="9" t="s">
        <v>1161</v>
      </c>
      <c r="AQZ1" s="9" t="s">
        <v>1162</v>
      </c>
      <c r="ARA1" s="9" t="s">
        <v>1163</v>
      </c>
      <c r="ARB1" s="9" t="s">
        <v>1164</v>
      </c>
      <c r="ARC1" s="9" t="s">
        <v>1165</v>
      </c>
      <c r="ARD1" s="9" t="s">
        <v>1166</v>
      </c>
      <c r="ARE1" s="9" t="s">
        <v>1167</v>
      </c>
      <c r="ARF1" s="9" t="s">
        <v>1168</v>
      </c>
      <c r="ARG1" s="9" t="s">
        <v>1169</v>
      </c>
      <c r="ARH1" s="9" t="s">
        <v>1170</v>
      </c>
      <c r="ARI1" s="9" t="s">
        <v>1171</v>
      </c>
      <c r="ARJ1" s="9" t="s">
        <v>1172</v>
      </c>
      <c r="ARK1" s="9" t="s">
        <v>1173</v>
      </c>
      <c r="ARL1" s="9" t="s">
        <v>1174</v>
      </c>
      <c r="ARM1" s="9" t="s">
        <v>1175</v>
      </c>
      <c r="ARN1" s="9" t="s">
        <v>1176</v>
      </c>
      <c r="ARO1" s="9" t="s">
        <v>1177</v>
      </c>
      <c r="ARP1" s="9" t="s">
        <v>1178</v>
      </c>
      <c r="ARQ1" s="9" t="s">
        <v>1179</v>
      </c>
      <c r="ARR1" s="9" t="s">
        <v>1180</v>
      </c>
      <c r="ARS1" s="9" t="s">
        <v>1181</v>
      </c>
      <c r="ART1" s="9" t="s">
        <v>1182</v>
      </c>
      <c r="ARU1" s="9" t="s">
        <v>1183</v>
      </c>
      <c r="ARV1" s="9" t="s">
        <v>1184</v>
      </c>
      <c r="ARW1" s="9" t="s">
        <v>1185</v>
      </c>
      <c r="ARX1" s="9" t="s">
        <v>1186</v>
      </c>
      <c r="ARY1" s="9" t="s">
        <v>1187</v>
      </c>
      <c r="ARZ1" s="9" t="s">
        <v>1188</v>
      </c>
      <c r="ASA1" s="9" t="s">
        <v>1189</v>
      </c>
      <c r="ASB1" s="9" t="s">
        <v>1190</v>
      </c>
      <c r="ASC1" s="9" t="s">
        <v>1191</v>
      </c>
      <c r="ASD1" s="9" t="s">
        <v>1192</v>
      </c>
      <c r="ASE1" s="9" t="s">
        <v>1193</v>
      </c>
      <c r="ASF1" s="9" t="s">
        <v>1194</v>
      </c>
      <c r="ASG1" s="9" t="s">
        <v>1195</v>
      </c>
      <c r="ASH1" s="9" t="s">
        <v>1196</v>
      </c>
      <c r="ASI1" s="9" t="s">
        <v>1197</v>
      </c>
      <c r="ASJ1" s="9" t="s">
        <v>1198</v>
      </c>
      <c r="ASK1" s="9" t="s">
        <v>1199</v>
      </c>
      <c r="ASL1" s="9" t="s">
        <v>1200</v>
      </c>
      <c r="ASM1" s="9" t="s">
        <v>1201</v>
      </c>
      <c r="ASN1" s="9" t="s">
        <v>1202</v>
      </c>
      <c r="ASO1" s="9" t="s">
        <v>1203</v>
      </c>
      <c r="ASP1" s="9" t="s">
        <v>1204</v>
      </c>
      <c r="ASQ1" s="9" t="s">
        <v>1205</v>
      </c>
      <c r="ASR1" s="9" t="s">
        <v>1206</v>
      </c>
      <c r="ASS1" s="9" t="s">
        <v>1207</v>
      </c>
      <c r="AST1" s="9" t="s">
        <v>1208</v>
      </c>
      <c r="ASU1" s="9" t="s">
        <v>1209</v>
      </c>
      <c r="ASV1" s="9" t="s">
        <v>1210</v>
      </c>
      <c r="ASW1" s="9" t="s">
        <v>1211</v>
      </c>
      <c r="ASX1" s="9" t="s">
        <v>1212</v>
      </c>
      <c r="ASY1" s="9" t="s">
        <v>1213</v>
      </c>
      <c r="ASZ1" s="9" t="s">
        <v>1214</v>
      </c>
      <c r="ATA1" s="9" t="s">
        <v>1215</v>
      </c>
      <c r="ATB1" s="9" t="s">
        <v>1216</v>
      </c>
      <c r="ATC1" s="9" t="s">
        <v>1217</v>
      </c>
      <c r="ATD1" s="9" t="s">
        <v>1218</v>
      </c>
      <c r="ATE1" s="9" t="s">
        <v>1219</v>
      </c>
      <c r="ATF1" s="9" t="s">
        <v>1220</v>
      </c>
      <c r="ATG1" s="9" t="s">
        <v>1221</v>
      </c>
      <c r="ATH1" s="9" t="s">
        <v>1222</v>
      </c>
      <c r="ATI1" s="9" t="s">
        <v>1223</v>
      </c>
      <c r="ATJ1" s="9" t="s">
        <v>1224</v>
      </c>
      <c r="ATK1" s="9" t="s">
        <v>1225</v>
      </c>
      <c r="ATL1" s="9" t="s">
        <v>1226</v>
      </c>
      <c r="ATM1" s="9" t="s">
        <v>1227</v>
      </c>
      <c r="ATN1" s="9" t="s">
        <v>1228</v>
      </c>
      <c r="ATO1" s="9" t="s">
        <v>1229</v>
      </c>
      <c r="ATP1" s="9" t="s">
        <v>1230</v>
      </c>
      <c r="ATQ1" s="9" t="s">
        <v>1231</v>
      </c>
      <c r="ATR1" s="9" t="s">
        <v>1232</v>
      </c>
      <c r="ATS1" s="9" t="s">
        <v>1233</v>
      </c>
      <c r="ATT1" s="9" t="s">
        <v>1234</v>
      </c>
      <c r="ATU1" s="9" t="s">
        <v>1235</v>
      </c>
      <c r="ATV1" s="9" t="s">
        <v>1236</v>
      </c>
      <c r="ATW1" s="9" t="s">
        <v>1237</v>
      </c>
      <c r="ATX1" s="9" t="s">
        <v>1238</v>
      </c>
      <c r="ATY1" s="9" t="s">
        <v>1239</v>
      </c>
      <c r="ATZ1" s="9" t="s">
        <v>1240</v>
      </c>
      <c r="AUA1" s="9" t="s">
        <v>1241</v>
      </c>
      <c r="AUB1" s="9" t="s">
        <v>1242</v>
      </c>
      <c r="AUC1" s="9" t="s">
        <v>1243</v>
      </c>
      <c r="AUD1" s="9" t="s">
        <v>1244</v>
      </c>
      <c r="AUE1" s="9" t="s">
        <v>1245</v>
      </c>
      <c r="AUF1" s="9" t="s">
        <v>1246</v>
      </c>
      <c r="AUG1" s="9" t="s">
        <v>1247</v>
      </c>
      <c r="AUH1" s="9" t="s">
        <v>1248</v>
      </c>
      <c r="AUI1" s="9" t="s">
        <v>1249</v>
      </c>
      <c r="AUJ1" s="9" t="s">
        <v>1250</v>
      </c>
      <c r="AUK1" s="9" t="s">
        <v>1251</v>
      </c>
      <c r="AUL1" s="9" t="s">
        <v>1252</v>
      </c>
      <c r="AUM1" s="9" t="s">
        <v>1253</v>
      </c>
      <c r="AUN1" s="9" t="s">
        <v>1254</v>
      </c>
      <c r="AUO1" s="9" t="s">
        <v>1255</v>
      </c>
      <c r="AUP1" s="9" t="s">
        <v>1256</v>
      </c>
      <c r="AUQ1" s="9" t="s">
        <v>1257</v>
      </c>
      <c r="AUR1" s="9" t="s">
        <v>1258</v>
      </c>
      <c r="AUS1" s="9" t="s">
        <v>1259</v>
      </c>
      <c r="AUT1" s="9" t="s">
        <v>1260</v>
      </c>
      <c r="AUU1" s="9" t="s">
        <v>1261</v>
      </c>
      <c r="AUV1" s="9" t="s">
        <v>1262</v>
      </c>
      <c r="AUW1" s="9" t="s">
        <v>1263</v>
      </c>
      <c r="AUX1" s="9" t="s">
        <v>1264</v>
      </c>
      <c r="AUY1" s="9" t="s">
        <v>1265</v>
      </c>
      <c r="AUZ1" s="9" t="s">
        <v>1266</v>
      </c>
      <c r="AVA1" s="9" t="s">
        <v>1267</v>
      </c>
      <c r="AVB1" s="9" t="s">
        <v>1268</v>
      </c>
      <c r="AVC1" s="9" t="s">
        <v>1269</v>
      </c>
      <c r="AVD1" s="9" t="s">
        <v>1270</v>
      </c>
      <c r="AVE1" s="9" t="s">
        <v>1271</v>
      </c>
      <c r="AVF1" s="9" t="s">
        <v>1272</v>
      </c>
      <c r="AVG1" s="9" t="s">
        <v>1273</v>
      </c>
      <c r="AVH1" s="9" t="s">
        <v>1274</v>
      </c>
      <c r="AVI1" s="9" t="s">
        <v>1275</v>
      </c>
      <c r="AVJ1" s="9" t="s">
        <v>1276</v>
      </c>
      <c r="AVK1" s="9" t="s">
        <v>1277</v>
      </c>
      <c r="AVL1" s="9" t="s">
        <v>1278</v>
      </c>
      <c r="AVM1" s="9" t="s">
        <v>1279</v>
      </c>
      <c r="AVN1" s="9" t="s">
        <v>1280</v>
      </c>
      <c r="AVO1" s="9" t="s">
        <v>1281</v>
      </c>
      <c r="AVP1" s="9" t="s">
        <v>1282</v>
      </c>
      <c r="AVQ1" s="9" t="s">
        <v>1283</v>
      </c>
      <c r="AVR1" s="9" t="s">
        <v>1284</v>
      </c>
      <c r="AVS1" s="9" t="s">
        <v>1285</v>
      </c>
      <c r="AVT1" s="9" t="s">
        <v>1286</v>
      </c>
      <c r="AVU1" s="9" t="s">
        <v>1287</v>
      </c>
      <c r="AVV1" s="9" t="s">
        <v>1288</v>
      </c>
      <c r="AVW1" s="9" t="s">
        <v>1289</v>
      </c>
      <c r="AVX1" s="9" t="s">
        <v>1290</v>
      </c>
      <c r="AVY1" s="9" t="s">
        <v>1291</v>
      </c>
      <c r="AVZ1" s="9" t="s">
        <v>1292</v>
      </c>
      <c r="AWA1" s="9" t="s">
        <v>1293</v>
      </c>
      <c r="AWB1" s="9" t="s">
        <v>1294</v>
      </c>
      <c r="AWC1" s="9" t="s">
        <v>1295</v>
      </c>
      <c r="AWD1" s="9" t="s">
        <v>1296</v>
      </c>
      <c r="AWE1" s="9" t="s">
        <v>1297</v>
      </c>
      <c r="AWF1" s="9" t="s">
        <v>1298</v>
      </c>
      <c r="AWG1" s="9" t="s">
        <v>1299</v>
      </c>
      <c r="AWH1" s="9" t="s">
        <v>1300</v>
      </c>
      <c r="AWI1" s="9" t="s">
        <v>1301</v>
      </c>
      <c r="AWJ1" s="9" t="s">
        <v>1302</v>
      </c>
      <c r="AWK1" s="9" t="s">
        <v>1303</v>
      </c>
      <c r="AWL1" s="9" t="s">
        <v>1304</v>
      </c>
      <c r="AWM1" s="9" t="s">
        <v>1305</v>
      </c>
      <c r="AWN1" s="9" t="s">
        <v>1306</v>
      </c>
      <c r="AWO1" s="9" t="s">
        <v>1307</v>
      </c>
      <c r="AWP1" s="9" t="s">
        <v>1308</v>
      </c>
      <c r="AWQ1" s="9" t="s">
        <v>1309</v>
      </c>
      <c r="AWR1" s="9" t="s">
        <v>1310</v>
      </c>
      <c r="AWS1" s="9" t="s">
        <v>1311</v>
      </c>
      <c r="AWT1" s="9" t="s">
        <v>1312</v>
      </c>
      <c r="AWU1" s="9" t="s">
        <v>1313</v>
      </c>
      <c r="AWV1" s="9" t="s">
        <v>1314</v>
      </c>
      <c r="AWW1" s="9" t="s">
        <v>1315</v>
      </c>
      <c r="AWX1" s="9" t="s">
        <v>1316</v>
      </c>
      <c r="AWY1" s="9" t="s">
        <v>1317</v>
      </c>
      <c r="AWZ1" s="9" t="s">
        <v>1318</v>
      </c>
      <c r="AXA1" s="9" t="s">
        <v>1319</v>
      </c>
      <c r="AXB1" s="9" t="s">
        <v>1320</v>
      </c>
      <c r="AXC1" s="9" t="s">
        <v>1321</v>
      </c>
      <c r="AXD1" s="9" t="s">
        <v>1322</v>
      </c>
      <c r="AXE1" s="9" t="s">
        <v>1323</v>
      </c>
      <c r="AXF1" s="9" t="s">
        <v>1324</v>
      </c>
      <c r="AXG1" s="9" t="s">
        <v>1325</v>
      </c>
      <c r="AXH1" s="9" t="s">
        <v>1326</v>
      </c>
      <c r="AXI1" s="9" t="s">
        <v>1327</v>
      </c>
      <c r="AXJ1" s="9" t="s">
        <v>1328</v>
      </c>
      <c r="AXK1" s="9" t="s">
        <v>1329</v>
      </c>
      <c r="AXL1" s="9" t="s">
        <v>1330</v>
      </c>
      <c r="AXM1" s="9" t="s">
        <v>1331</v>
      </c>
      <c r="AXN1" s="9" t="s">
        <v>1332</v>
      </c>
      <c r="AXO1" s="9" t="s">
        <v>1333</v>
      </c>
      <c r="AXP1" s="9" t="s">
        <v>1334</v>
      </c>
      <c r="AXQ1" s="9" t="s">
        <v>1335</v>
      </c>
      <c r="AXR1" s="9" t="s">
        <v>1336</v>
      </c>
      <c r="AXS1" s="9" t="s">
        <v>1337</v>
      </c>
      <c r="AXT1" s="9" t="s">
        <v>1338</v>
      </c>
      <c r="AXU1" s="9" t="s">
        <v>1339</v>
      </c>
      <c r="AXV1" s="9" t="s">
        <v>1340</v>
      </c>
      <c r="AXW1" s="9" t="s">
        <v>1341</v>
      </c>
      <c r="AXX1" s="9" t="s">
        <v>1342</v>
      </c>
      <c r="AXY1" s="9" t="s">
        <v>1343</v>
      </c>
      <c r="AXZ1" s="9" t="s">
        <v>1344</v>
      </c>
      <c r="AYA1" s="9" t="s">
        <v>1345</v>
      </c>
      <c r="AYB1" s="9" t="s">
        <v>1346</v>
      </c>
      <c r="AYC1" s="9" t="s">
        <v>1347</v>
      </c>
      <c r="AYD1" s="9" t="s">
        <v>1348</v>
      </c>
      <c r="AYE1" s="9" t="s">
        <v>1349</v>
      </c>
      <c r="AYF1" s="9" t="s">
        <v>1350</v>
      </c>
      <c r="AYG1" s="9" t="s">
        <v>1351</v>
      </c>
      <c r="AYH1" s="9" t="s">
        <v>1352</v>
      </c>
      <c r="AYI1" s="9" t="s">
        <v>1353</v>
      </c>
      <c r="AYJ1" s="9" t="s">
        <v>1354</v>
      </c>
      <c r="AYK1" s="9" t="s">
        <v>1355</v>
      </c>
      <c r="AYL1" s="9" t="s">
        <v>1356</v>
      </c>
      <c r="AYM1" s="9" t="s">
        <v>1357</v>
      </c>
      <c r="AYN1" s="9" t="s">
        <v>1358</v>
      </c>
      <c r="AYO1" s="9" t="s">
        <v>1359</v>
      </c>
      <c r="AYP1" s="9" t="s">
        <v>1360</v>
      </c>
      <c r="AYQ1" s="9" t="s">
        <v>1361</v>
      </c>
      <c r="AYR1" s="9" t="s">
        <v>1362</v>
      </c>
      <c r="AYS1" s="9" t="s">
        <v>1363</v>
      </c>
      <c r="AYT1" s="9" t="s">
        <v>1364</v>
      </c>
      <c r="AYU1" s="9" t="s">
        <v>1365</v>
      </c>
      <c r="AYV1" s="9" t="s">
        <v>1366</v>
      </c>
      <c r="AYW1" s="9" t="s">
        <v>1367</v>
      </c>
      <c r="AYX1" s="9" t="s">
        <v>1368</v>
      </c>
      <c r="AYY1" s="9" t="s">
        <v>1369</v>
      </c>
      <c r="AYZ1" s="9" t="s">
        <v>1370</v>
      </c>
      <c r="AZA1" s="9" t="s">
        <v>1371</v>
      </c>
      <c r="AZB1" s="9" t="s">
        <v>1372</v>
      </c>
      <c r="AZC1" s="9" t="s">
        <v>1373</v>
      </c>
      <c r="AZD1" s="9" t="s">
        <v>1374</v>
      </c>
      <c r="AZE1" s="9" t="s">
        <v>1375</v>
      </c>
      <c r="AZF1" s="9" t="s">
        <v>1376</v>
      </c>
      <c r="AZG1" s="9" t="s">
        <v>1377</v>
      </c>
      <c r="AZH1" s="9" t="s">
        <v>1378</v>
      </c>
      <c r="AZI1" s="9" t="s">
        <v>1379</v>
      </c>
      <c r="AZJ1" s="9" t="s">
        <v>1380</v>
      </c>
      <c r="AZK1" s="9" t="s">
        <v>1381</v>
      </c>
      <c r="AZL1" s="9" t="s">
        <v>1382</v>
      </c>
      <c r="AZM1" s="9" t="s">
        <v>1383</v>
      </c>
      <c r="AZN1" s="9" t="s">
        <v>1384</v>
      </c>
      <c r="AZO1" s="9" t="s">
        <v>1385</v>
      </c>
      <c r="AZP1" s="9" t="s">
        <v>1386</v>
      </c>
      <c r="AZQ1" s="9" t="s">
        <v>1387</v>
      </c>
      <c r="AZR1" s="9" t="s">
        <v>1388</v>
      </c>
      <c r="AZS1" s="9" t="s">
        <v>1389</v>
      </c>
      <c r="AZT1" s="9" t="s">
        <v>1390</v>
      </c>
      <c r="AZU1" s="9" t="s">
        <v>1391</v>
      </c>
      <c r="AZV1" s="9" t="s">
        <v>1392</v>
      </c>
      <c r="AZW1" s="9" t="s">
        <v>1393</v>
      </c>
      <c r="AZX1" s="9" t="s">
        <v>1394</v>
      </c>
      <c r="AZY1" s="9" t="s">
        <v>1395</v>
      </c>
      <c r="AZZ1" s="9" t="s">
        <v>1396</v>
      </c>
      <c r="BAA1" s="9" t="s">
        <v>1397</v>
      </c>
      <c r="BAB1" s="9" t="s">
        <v>1398</v>
      </c>
      <c r="BAC1" s="9" t="s">
        <v>1399</v>
      </c>
      <c r="BAD1" s="9" t="s">
        <v>1400</v>
      </c>
      <c r="BAE1" s="9" t="s">
        <v>1401</v>
      </c>
      <c r="BAF1" s="9" t="s">
        <v>1402</v>
      </c>
      <c r="BAG1" s="9" t="s">
        <v>1403</v>
      </c>
      <c r="BAH1" s="9" t="s">
        <v>1404</v>
      </c>
      <c r="BAI1" s="9" t="s">
        <v>1405</v>
      </c>
      <c r="BAJ1" s="9" t="s">
        <v>1406</v>
      </c>
      <c r="BAK1" s="9" t="s">
        <v>1407</v>
      </c>
      <c r="BAL1" s="9" t="s">
        <v>1408</v>
      </c>
      <c r="BAM1" s="9" t="s">
        <v>1409</v>
      </c>
      <c r="BAN1" s="9" t="s">
        <v>1410</v>
      </c>
      <c r="BAO1" s="9" t="s">
        <v>1411</v>
      </c>
      <c r="BAP1" s="9" t="s">
        <v>1412</v>
      </c>
      <c r="BAQ1" s="9" t="s">
        <v>1413</v>
      </c>
      <c r="BAR1" s="9" t="s">
        <v>1414</v>
      </c>
      <c r="BAS1" s="9" t="s">
        <v>1415</v>
      </c>
      <c r="BAT1" s="9" t="s">
        <v>1416</v>
      </c>
      <c r="BAU1" s="9" t="s">
        <v>1417</v>
      </c>
      <c r="BAV1" s="9" t="s">
        <v>1418</v>
      </c>
      <c r="BAW1" s="9" t="s">
        <v>1419</v>
      </c>
      <c r="BAX1" s="9" t="s">
        <v>1420</v>
      </c>
      <c r="BAY1" s="9" t="s">
        <v>1421</v>
      </c>
      <c r="BAZ1" s="9" t="s">
        <v>1422</v>
      </c>
      <c r="BBA1" s="9" t="s">
        <v>1423</v>
      </c>
      <c r="BBB1" s="9" t="s">
        <v>1424</v>
      </c>
      <c r="BBC1" s="9" t="s">
        <v>1425</v>
      </c>
      <c r="BBD1" s="9" t="s">
        <v>1426</v>
      </c>
      <c r="BBE1" s="9" t="s">
        <v>1427</v>
      </c>
      <c r="BBF1" s="9" t="s">
        <v>1428</v>
      </c>
      <c r="BBG1" s="9" t="s">
        <v>1429</v>
      </c>
      <c r="BBH1" s="9" t="s">
        <v>1430</v>
      </c>
      <c r="BBI1" s="9" t="s">
        <v>1431</v>
      </c>
      <c r="BBJ1" s="9" t="s">
        <v>1432</v>
      </c>
      <c r="BBK1" s="9" t="s">
        <v>1433</v>
      </c>
      <c r="BBL1" s="9" t="s">
        <v>1434</v>
      </c>
      <c r="BBM1" s="9" t="s">
        <v>1435</v>
      </c>
      <c r="BBN1" s="9" t="s">
        <v>1436</v>
      </c>
      <c r="BBO1" s="9" t="s">
        <v>1437</v>
      </c>
      <c r="BBP1" s="9" t="s">
        <v>1438</v>
      </c>
      <c r="BBQ1" s="9" t="s">
        <v>1439</v>
      </c>
      <c r="BBR1" s="9" t="s">
        <v>1440</v>
      </c>
      <c r="BBS1" s="9" t="s">
        <v>1441</v>
      </c>
      <c r="BBT1" s="9" t="s">
        <v>1442</v>
      </c>
      <c r="BBU1" s="9" t="s">
        <v>1443</v>
      </c>
      <c r="BBV1" s="9" t="s">
        <v>1444</v>
      </c>
      <c r="BBW1" s="9" t="s">
        <v>1445</v>
      </c>
      <c r="BBX1" s="9" t="s">
        <v>1446</v>
      </c>
      <c r="BBY1" s="9" t="s">
        <v>1447</v>
      </c>
      <c r="BBZ1" s="9" t="s">
        <v>1448</v>
      </c>
      <c r="BCA1" s="9" t="s">
        <v>1449</v>
      </c>
      <c r="BCB1" s="9" t="s">
        <v>1450</v>
      </c>
      <c r="BCC1" s="9" t="s">
        <v>1451</v>
      </c>
      <c r="BCD1" s="9" t="s">
        <v>1452</v>
      </c>
      <c r="BCE1" s="9" t="s">
        <v>1453</v>
      </c>
      <c r="BCF1" s="9" t="s">
        <v>1454</v>
      </c>
      <c r="BCG1" s="9" t="s">
        <v>1455</v>
      </c>
      <c r="BCH1" s="9" t="s">
        <v>1456</v>
      </c>
      <c r="BCI1" s="9" t="s">
        <v>1457</v>
      </c>
      <c r="BCJ1" s="9" t="s">
        <v>1458</v>
      </c>
      <c r="BCK1" s="9" t="s">
        <v>1459</v>
      </c>
      <c r="BCL1" s="9" t="s">
        <v>1460</v>
      </c>
      <c r="BCM1" s="9" t="s">
        <v>1461</v>
      </c>
      <c r="BCN1" s="9" t="s">
        <v>1462</v>
      </c>
      <c r="BCO1" s="9" t="s">
        <v>1463</v>
      </c>
      <c r="BCP1" s="9" t="s">
        <v>1464</v>
      </c>
      <c r="BCQ1" s="9" t="s">
        <v>1465</v>
      </c>
      <c r="BCR1" s="9" t="s">
        <v>1466</v>
      </c>
      <c r="BCS1" s="9" t="s">
        <v>1467</v>
      </c>
      <c r="BCT1" s="9" t="s">
        <v>1468</v>
      </c>
      <c r="BCU1" s="9" t="s">
        <v>1469</v>
      </c>
      <c r="BCV1" s="9" t="s">
        <v>1470</v>
      </c>
      <c r="BCW1" s="9" t="s">
        <v>1471</v>
      </c>
      <c r="BCX1" s="9" t="s">
        <v>1472</v>
      </c>
      <c r="BCY1" s="9" t="s">
        <v>1473</v>
      </c>
      <c r="BCZ1" s="9" t="s">
        <v>1474</v>
      </c>
      <c r="BDA1" s="9" t="s">
        <v>1475</v>
      </c>
      <c r="BDB1" s="9" t="s">
        <v>1476</v>
      </c>
      <c r="BDC1" s="9" t="s">
        <v>1477</v>
      </c>
      <c r="BDD1" s="9" t="s">
        <v>1478</v>
      </c>
      <c r="BDE1" s="9" t="s">
        <v>1479</v>
      </c>
      <c r="BDF1" s="9" t="s">
        <v>1480</v>
      </c>
      <c r="BDG1" s="9" t="s">
        <v>1481</v>
      </c>
      <c r="BDH1" s="9" t="s">
        <v>1482</v>
      </c>
      <c r="BDI1" s="9" t="s">
        <v>1483</v>
      </c>
      <c r="BDJ1" s="9" t="s">
        <v>1484</v>
      </c>
      <c r="BDK1" s="9" t="s">
        <v>1485</v>
      </c>
      <c r="BDL1" s="9" t="s">
        <v>1486</v>
      </c>
      <c r="BDM1" s="9" t="s">
        <v>1487</v>
      </c>
      <c r="BDN1" s="9" t="s">
        <v>1488</v>
      </c>
      <c r="BDO1" s="9" t="s">
        <v>1489</v>
      </c>
      <c r="BDP1" s="9" t="s">
        <v>1490</v>
      </c>
      <c r="BDQ1" s="9" t="s">
        <v>1491</v>
      </c>
      <c r="BDR1" s="9" t="s">
        <v>1492</v>
      </c>
      <c r="BDS1" s="9" t="s">
        <v>1493</v>
      </c>
      <c r="BDT1" s="9" t="s">
        <v>1494</v>
      </c>
      <c r="BDU1" s="9" t="s">
        <v>1495</v>
      </c>
      <c r="BDV1" s="9" t="s">
        <v>1496</v>
      </c>
      <c r="BDW1" s="9" t="s">
        <v>1497</v>
      </c>
      <c r="BDX1" s="9" t="s">
        <v>1498</v>
      </c>
      <c r="BDY1" s="9" t="s">
        <v>1499</v>
      </c>
      <c r="BDZ1" s="9" t="s">
        <v>1500</v>
      </c>
      <c r="BEA1" s="9" t="s">
        <v>1501</v>
      </c>
      <c r="BEB1" s="9" t="s">
        <v>1502</v>
      </c>
      <c r="BEC1" s="9" t="s">
        <v>1503</v>
      </c>
      <c r="BED1" s="9" t="s">
        <v>1504</v>
      </c>
      <c r="BEE1" s="9" t="s">
        <v>1505</v>
      </c>
      <c r="BEF1" s="9" t="s">
        <v>1506</v>
      </c>
      <c r="BEG1" s="9" t="s">
        <v>1507</v>
      </c>
      <c r="BEH1" s="9" t="s">
        <v>1508</v>
      </c>
      <c r="BEI1" s="9" t="s">
        <v>1509</v>
      </c>
      <c r="BEJ1" s="9" t="s">
        <v>1510</v>
      </c>
      <c r="BEK1" s="9" t="s">
        <v>1511</v>
      </c>
      <c r="BEL1" s="9" t="s">
        <v>1512</v>
      </c>
      <c r="BEM1" s="9" t="s">
        <v>1513</v>
      </c>
      <c r="BEN1" s="9" t="s">
        <v>1514</v>
      </c>
      <c r="BEO1" s="9" t="s">
        <v>1515</v>
      </c>
      <c r="BEP1" s="9" t="s">
        <v>1516</v>
      </c>
      <c r="BEQ1" s="9" t="s">
        <v>1517</v>
      </c>
      <c r="BER1" s="9" t="s">
        <v>1518</v>
      </c>
      <c r="BES1" s="9" t="s">
        <v>1519</v>
      </c>
      <c r="BET1" s="9" t="s">
        <v>1520</v>
      </c>
      <c r="BEU1" s="9" t="s">
        <v>1521</v>
      </c>
      <c r="BEV1" s="9" t="s">
        <v>1522</v>
      </c>
      <c r="BEW1" s="9" t="s">
        <v>1523</v>
      </c>
      <c r="BEX1" s="9" t="s">
        <v>1524</v>
      </c>
      <c r="BEY1" s="9" t="s">
        <v>1525</v>
      </c>
      <c r="BEZ1" s="9" t="s">
        <v>1526</v>
      </c>
      <c r="BFA1" s="9" t="s">
        <v>1527</v>
      </c>
      <c r="BFB1" s="9" t="s">
        <v>1528</v>
      </c>
      <c r="BFC1" s="9" t="s">
        <v>1529</v>
      </c>
      <c r="BFD1" s="9" t="s">
        <v>1530</v>
      </c>
      <c r="BFE1" s="9" t="s">
        <v>1531</v>
      </c>
      <c r="BFF1" s="9" t="s">
        <v>1532</v>
      </c>
      <c r="BFG1" s="9" t="s">
        <v>1533</v>
      </c>
      <c r="BFH1" s="9" t="s">
        <v>1534</v>
      </c>
      <c r="BFI1" s="9" t="s">
        <v>1535</v>
      </c>
      <c r="BFJ1" s="9" t="s">
        <v>1536</v>
      </c>
      <c r="BFK1" s="9" t="s">
        <v>1537</v>
      </c>
      <c r="BFL1" s="9" t="s">
        <v>1538</v>
      </c>
      <c r="BFM1" s="9" t="s">
        <v>1539</v>
      </c>
      <c r="BFN1" s="9" t="s">
        <v>1540</v>
      </c>
      <c r="BFO1" s="9" t="s">
        <v>1541</v>
      </c>
      <c r="BFP1" s="9" t="s">
        <v>1542</v>
      </c>
      <c r="BFQ1" s="9" t="s">
        <v>1543</v>
      </c>
      <c r="BFR1" s="9" t="s">
        <v>1544</v>
      </c>
      <c r="BFS1" s="9" t="s">
        <v>1545</v>
      </c>
      <c r="BFT1" s="9" t="s">
        <v>1546</v>
      </c>
      <c r="BFU1" s="9" t="s">
        <v>1547</v>
      </c>
      <c r="BFV1" s="9" t="s">
        <v>1548</v>
      </c>
      <c r="BFW1" s="9" t="s">
        <v>1549</v>
      </c>
      <c r="BFX1" s="9" t="s">
        <v>1550</v>
      </c>
      <c r="BFY1" s="9" t="s">
        <v>1551</v>
      </c>
      <c r="BFZ1" s="9" t="s">
        <v>1552</v>
      </c>
      <c r="BGA1" s="9" t="s">
        <v>1553</v>
      </c>
      <c r="BGB1" s="9" t="s">
        <v>1554</v>
      </c>
      <c r="BGC1" s="9" t="s">
        <v>1555</v>
      </c>
      <c r="BGD1" s="9" t="s">
        <v>1556</v>
      </c>
      <c r="BGE1" s="9" t="s">
        <v>1557</v>
      </c>
      <c r="BGF1" s="9" t="s">
        <v>1558</v>
      </c>
      <c r="BGG1" s="9" t="s">
        <v>1559</v>
      </c>
      <c r="BGH1" s="9" t="s">
        <v>1560</v>
      </c>
      <c r="BGI1" s="9" t="s">
        <v>1561</v>
      </c>
      <c r="BGJ1" s="9" t="s">
        <v>1562</v>
      </c>
      <c r="BGK1" s="9" t="s">
        <v>1563</v>
      </c>
      <c r="BGL1" s="9" t="s">
        <v>1564</v>
      </c>
      <c r="BGM1" s="9" t="s">
        <v>1565</v>
      </c>
      <c r="BGN1" s="9" t="s">
        <v>1566</v>
      </c>
      <c r="BGO1" s="9" t="s">
        <v>1567</v>
      </c>
      <c r="BGP1" s="9" t="s">
        <v>1568</v>
      </c>
      <c r="BGQ1" s="9" t="s">
        <v>1569</v>
      </c>
      <c r="BGR1" s="9" t="s">
        <v>1570</v>
      </c>
      <c r="BGS1" s="9" t="s">
        <v>1571</v>
      </c>
      <c r="BGT1" s="9" t="s">
        <v>1572</v>
      </c>
      <c r="BGU1" s="9" t="s">
        <v>1573</v>
      </c>
      <c r="BGV1" s="9" t="s">
        <v>1574</v>
      </c>
      <c r="BGW1" s="9" t="s">
        <v>1575</v>
      </c>
      <c r="BGX1" s="9" t="s">
        <v>1576</v>
      </c>
      <c r="BGY1" s="9" t="s">
        <v>1577</v>
      </c>
      <c r="BGZ1" s="9" t="s">
        <v>1578</v>
      </c>
      <c r="BHA1" s="9" t="s">
        <v>1579</v>
      </c>
      <c r="BHB1" s="9" t="s">
        <v>1580</v>
      </c>
      <c r="BHC1" s="9" t="s">
        <v>1581</v>
      </c>
      <c r="BHD1" s="9" t="s">
        <v>1582</v>
      </c>
      <c r="BHE1" s="9" t="s">
        <v>1583</v>
      </c>
      <c r="BHF1" s="9" t="s">
        <v>1584</v>
      </c>
      <c r="BHG1" s="9" t="s">
        <v>1585</v>
      </c>
      <c r="BHH1" s="9" t="s">
        <v>1586</v>
      </c>
      <c r="BHI1" s="9" t="s">
        <v>1587</v>
      </c>
      <c r="BHJ1" s="9" t="s">
        <v>1588</v>
      </c>
      <c r="BHK1" s="9" t="s">
        <v>1589</v>
      </c>
      <c r="BHL1" s="9" t="s">
        <v>1590</v>
      </c>
      <c r="BHM1" s="9" t="s">
        <v>1591</v>
      </c>
      <c r="BHN1" s="9" t="s">
        <v>1592</v>
      </c>
      <c r="BHO1" s="9" t="s">
        <v>1593</v>
      </c>
      <c r="BHP1" s="9" t="s">
        <v>1594</v>
      </c>
      <c r="BHQ1" s="9" t="s">
        <v>1595</v>
      </c>
      <c r="BHR1" s="9" t="s">
        <v>1596</v>
      </c>
      <c r="BHS1" s="9" t="s">
        <v>1597</v>
      </c>
      <c r="BHT1" s="9" t="s">
        <v>1598</v>
      </c>
      <c r="BHU1" s="9" t="s">
        <v>1599</v>
      </c>
      <c r="BHV1" s="9" t="s">
        <v>1600</v>
      </c>
      <c r="BHW1" s="9" t="s">
        <v>1601</v>
      </c>
      <c r="BHX1" s="9" t="s">
        <v>1602</v>
      </c>
      <c r="BHY1" s="9" t="s">
        <v>1603</v>
      </c>
      <c r="BHZ1" s="9" t="s">
        <v>1604</v>
      </c>
      <c r="BIA1" s="9" t="s">
        <v>1605</v>
      </c>
      <c r="BIB1" s="9" t="s">
        <v>1606</v>
      </c>
      <c r="BIC1" s="9" t="s">
        <v>1607</v>
      </c>
      <c r="BID1" s="9" t="s">
        <v>1608</v>
      </c>
      <c r="BIE1" s="9" t="s">
        <v>1609</v>
      </c>
      <c r="BIF1" s="9" t="s">
        <v>1610</v>
      </c>
      <c r="BIG1" s="9" t="s">
        <v>1611</v>
      </c>
      <c r="BIH1" s="9" t="s">
        <v>1612</v>
      </c>
      <c r="BII1" s="9" t="s">
        <v>1613</v>
      </c>
      <c r="BIJ1" s="9" t="s">
        <v>1614</v>
      </c>
      <c r="BIK1" s="9" t="s">
        <v>1615</v>
      </c>
      <c r="BIL1" s="9" t="s">
        <v>1616</v>
      </c>
      <c r="BIM1" s="9" t="s">
        <v>1617</v>
      </c>
      <c r="BIN1" s="9" t="s">
        <v>1618</v>
      </c>
      <c r="BIO1" s="9" t="s">
        <v>1619</v>
      </c>
      <c r="BIP1" s="9" t="s">
        <v>1620</v>
      </c>
      <c r="BIQ1" s="9" t="s">
        <v>1621</v>
      </c>
      <c r="BIR1" s="9" t="s">
        <v>1622</v>
      </c>
      <c r="BIS1" s="9" t="s">
        <v>1623</v>
      </c>
      <c r="BIT1" s="9" t="s">
        <v>1624</v>
      </c>
      <c r="BIU1" s="9" t="s">
        <v>1625</v>
      </c>
      <c r="BIV1" s="9" t="s">
        <v>1626</v>
      </c>
      <c r="BIW1" s="9" t="s">
        <v>1627</v>
      </c>
      <c r="BIX1" s="9" t="s">
        <v>1628</v>
      </c>
      <c r="BIY1" s="9" t="s">
        <v>1629</v>
      </c>
      <c r="BIZ1" s="9" t="s">
        <v>1630</v>
      </c>
      <c r="BJA1" s="9" t="s">
        <v>1631</v>
      </c>
      <c r="BJB1" s="9" t="s">
        <v>1632</v>
      </c>
      <c r="BJC1" s="9" t="s">
        <v>1633</v>
      </c>
      <c r="BJD1" s="9" t="s">
        <v>1634</v>
      </c>
      <c r="BJE1" s="9" t="s">
        <v>1635</v>
      </c>
      <c r="BJF1" s="9" t="s">
        <v>1636</v>
      </c>
      <c r="BJG1" s="9" t="s">
        <v>1637</v>
      </c>
      <c r="BJH1" s="9" t="s">
        <v>1638</v>
      </c>
      <c r="BJI1" s="9" t="s">
        <v>1639</v>
      </c>
      <c r="BJJ1" s="9" t="s">
        <v>1640</v>
      </c>
      <c r="BJK1" s="9" t="s">
        <v>1641</v>
      </c>
      <c r="BJL1" s="9" t="s">
        <v>1642</v>
      </c>
      <c r="BJM1" s="9" t="s">
        <v>1643</v>
      </c>
      <c r="BJN1" s="9" t="s">
        <v>1644</v>
      </c>
      <c r="BJO1" s="9" t="s">
        <v>1645</v>
      </c>
      <c r="BJP1" s="9" t="s">
        <v>1646</v>
      </c>
      <c r="BJQ1" s="9" t="s">
        <v>1647</v>
      </c>
      <c r="BJR1" s="9" t="s">
        <v>1648</v>
      </c>
      <c r="BJS1" s="9" t="s">
        <v>1649</v>
      </c>
      <c r="BJT1" s="9" t="s">
        <v>1650</v>
      </c>
      <c r="BJU1" s="9" t="s">
        <v>1651</v>
      </c>
      <c r="BJV1" s="9" t="s">
        <v>1652</v>
      </c>
      <c r="BJW1" s="9" t="s">
        <v>1653</v>
      </c>
      <c r="BJX1" s="9" t="s">
        <v>1654</v>
      </c>
      <c r="BJY1" s="9" t="s">
        <v>1655</v>
      </c>
      <c r="BJZ1" s="9" t="s">
        <v>1656</v>
      </c>
      <c r="BKA1" s="9" t="s">
        <v>1657</v>
      </c>
      <c r="BKB1" s="9" t="s">
        <v>1658</v>
      </c>
      <c r="BKC1" s="9" t="s">
        <v>1659</v>
      </c>
      <c r="BKD1" s="9" t="s">
        <v>1660</v>
      </c>
      <c r="BKE1" s="9" t="s">
        <v>1661</v>
      </c>
      <c r="BKF1" s="9" t="s">
        <v>1662</v>
      </c>
      <c r="BKG1" s="9" t="s">
        <v>1663</v>
      </c>
      <c r="BKH1" s="9" t="s">
        <v>1664</v>
      </c>
      <c r="BKI1" s="9" t="s">
        <v>1665</v>
      </c>
      <c r="BKJ1" s="9" t="s">
        <v>1666</v>
      </c>
      <c r="BKK1" s="9" t="s">
        <v>1667</v>
      </c>
      <c r="BKL1" s="9" t="s">
        <v>1668</v>
      </c>
      <c r="BKM1" s="9" t="s">
        <v>1669</v>
      </c>
      <c r="BKN1" s="9" t="s">
        <v>1670</v>
      </c>
      <c r="BKO1" s="9" t="s">
        <v>1671</v>
      </c>
      <c r="BKP1" s="9" t="s">
        <v>1672</v>
      </c>
      <c r="BKQ1" s="9" t="s">
        <v>1673</v>
      </c>
      <c r="BKR1" s="9" t="s">
        <v>1674</v>
      </c>
      <c r="BKS1" s="9" t="s">
        <v>1675</v>
      </c>
      <c r="BKT1" s="9" t="s">
        <v>1676</v>
      </c>
      <c r="BKU1" s="9" t="s">
        <v>1677</v>
      </c>
      <c r="BKV1" s="9" t="s">
        <v>1678</v>
      </c>
      <c r="BKW1" s="9" t="s">
        <v>1679</v>
      </c>
      <c r="BKX1" s="9" t="s">
        <v>1680</v>
      </c>
      <c r="BKY1" s="9" t="s">
        <v>1681</v>
      </c>
      <c r="BKZ1" s="9" t="s">
        <v>1682</v>
      </c>
      <c r="BLA1" s="9" t="s">
        <v>1683</v>
      </c>
      <c r="BLB1" s="9" t="s">
        <v>1684</v>
      </c>
      <c r="BLC1" s="9" t="s">
        <v>1685</v>
      </c>
      <c r="BLD1" s="9" t="s">
        <v>1686</v>
      </c>
      <c r="BLE1" s="9" t="s">
        <v>1687</v>
      </c>
      <c r="BLF1" s="9" t="s">
        <v>1688</v>
      </c>
      <c r="BLG1" s="9" t="s">
        <v>1689</v>
      </c>
      <c r="BLH1" s="9" t="s">
        <v>1690</v>
      </c>
      <c r="BLI1" s="9" t="s">
        <v>1691</v>
      </c>
      <c r="BLJ1" s="9" t="s">
        <v>1692</v>
      </c>
      <c r="BLK1" s="9" t="s">
        <v>1693</v>
      </c>
      <c r="BLL1" s="9" t="s">
        <v>1694</v>
      </c>
      <c r="BLM1" s="9" t="s">
        <v>1695</v>
      </c>
      <c r="BLN1" s="9" t="s">
        <v>1696</v>
      </c>
      <c r="BLO1" s="9" t="s">
        <v>1697</v>
      </c>
      <c r="BLP1" s="9" t="s">
        <v>1698</v>
      </c>
      <c r="BLQ1" s="9" t="s">
        <v>1699</v>
      </c>
      <c r="BLR1" s="9" t="s">
        <v>1700</v>
      </c>
      <c r="BLS1" s="9" t="s">
        <v>1701</v>
      </c>
      <c r="BLT1" s="9" t="s">
        <v>1702</v>
      </c>
      <c r="BLU1" s="9" t="s">
        <v>1703</v>
      </c>
      <c r="BLV1" s="9" t="s">
        <v>1704</v>
      </c>
      <c r="BLW1" s="9" t="s">
        <v>1705</v>
      </c>
      <c r="BLX1" s="9" t="s">
        <v>1706</v>
      </c>
      <c r="BLY1" s="9" t="s">
        <v>1707</v>
      </c>
      <c r="BLZ1" s="9" t="s">
        <v>1708</v>
      </c>
      <c r="BMA1" s="9" t="s">
        <v>1709</v>
      </c>
      <c r="BMB1" s="9" t="s">
        <v>1710</v>
      </c>
      <c r="BMC1" s="9" t="s">
        <v>1711</v>
      </c>
      <c r="BMD1" s="9" t="s">
        <v>1712</v>
      </c>
      <c r="BME1" s="9" t="s">
        <v>1713</v>
      </c>
      <c r="BMF1" s="9" t="s">
        <v>1714</v>
      </c>
      <c r="BMG1" s="9" t="s">
        <v>1715</v>
      </c>
      <c r="BMH1" s="9" t="s">
        <v>1716</v>
      </c>
      <c r="BMI1" s="9" t="s">
        <v>1717</v>
      </c>
      <c r="BMJ1" s="9" t="s">
        <v>1718</v>
      </c>
      <c r="BMK1" s="9" t="s">
        <v>1719</v>
      </c>
      <c r="BML1" s="9" t="s">
        <v>1720</v>
      </c>
      <c r="BMM1" s="9" t="s">
        <v>1721</v>
      </c>
      <c r="BMN1" s="9" t="s">
        <v>1722</v>
      </c>
      <c r="BMO1" s="9" t="s">
        <v>1723</v>
      </c>
      <c r="BMP1" s="9" t="s">
        <v>1724</v>
      </c>
      <c r="BMQ1" s="9" t="s">
        <v>1725</v>
      </c>
      <c r="BMR1" s="9" t="s">
        <v>1726</v>
      </c>
      <c r="BMS1" s="9" t="s">
        <v>1727</v>
      </c>
      <c r="BMT1" s="9" t="s">
        <v>1728</v>
      </c>
      <c r="BMU1" s="9" t="s">
        <v>1729</v>
      </c>
      <c r="BMV1" s="9" t="s">
        <v>1730</v>
      </c>
      <c r="BMW1" s="9" t="s">
        <v>1731</v>
      </c>
      <c r="BMX1" s="9" t="s">
        <v>1732</v>
      </c>
      <c r="BMY1" s="9" t="s">
        <v>1733</v>
      </c>
      <c r="BMZ1" s="9" t="s">
        <v>1734</v>
      </c>
      <c r="BNA1" s="9" t="s">
        <v>1735</v>
      </c>
      <c r="BNB1" s="9" t="s">
        <v>1736</v>
      </c>
      <c r="BNC1" s="9" t="s">
        <v>1737</v>
      </c>
      <c r="BND1" s="9" t="s">
        <v>1738</v>
      </c>
      <c r="BNE1" s="9" t="s">
        <v>1739</v>
      </c>
      <c r="BNF1" s="9" t="s">
        <v>1740</v>
      </c>
      <c r="BNG1" s="9" t="s">
        <v>1741</v>
      </c>
      <c r="BNH1" s="9" t="s">
        <v>1742</v>
      </c>
      <c r="BNI1" s="9" t="s">
        <v>1743</v>
      </c>
      <c r="BNJ1" s="9" t="s">
        <v>1744</v>
      </c>
      <c r="BNK1" s="9" t="s">
        <v>1745</v>
      </c>
      <c r="BNL1" s="9" t="s">
        <v>1746</v>
      </c>
      <c r="BNM1" s="9" t="s">
        <v>1747</v>
      </c>
      <c r="BNN1" s="9" t="s">
        <v>1748</v>
      </c>
      <c r="BNO1" s="9" t="s">
        <v>1749</v>
      </c>
      <c r="BNP1" s="9" t="s">
        <v>1750</v>
      </c>
      <c r="BNQ1" s="9" t="s">
        <v>1751</v>
      </c>
      <c r="BNR1" s="9" t="s">
        <v>1752</v>
      </c>
      <c r="BNS1" s="9" t="s">
        <v>1753</v>
      </c>
      <c r="BNT1" s="9" t="s">
        <v>1754</v>
      </c>
      <c r="BNU1" s="9" t="s">
        <v>1755</v>
      </c>
      <c r="BNV1" s="9" t="s">
        <v>1756</v>
      </c>
      <c r="BNW1" s="9" t="s">
        <v>1757</v>
      </c>
      <c r="BNX1" s="9" t="s">
        <v>1758</v>
      </c>
      <c r="BNY1" s="9" t="s">
        <v>1759</v>
      </c>
      <c r="BNZ1" s="9" t="s">
        <v>1760</v>
      </c>
      <c r="BOA1" s="9" t="s">
        <v>1761</v>
      </c>
      <c r="BOB1" s="9" t="s">
        <v>1762</v>
      </c>
      <c r="BOC1" s="9" t="s">
        <v>1763</v>
      </c>
      <c r="BOD1" s="9" t="s">
        <v>1764</v>
      </c>
      <c r="BOE1" s="9" t="s">
        <v>1765</v>
      </c>
      <c r="BOF1" s="9" t="s">
        <v>1766</v>
      </c>
      <c r="BOG1" s="9" t="s">
        <v>1767</v>
      </c>
      <c r="BOH1" s="9" t="s">
        <v>1768</v>
      </c>
      <c r="BOI1" s="9" t="s">
        <v>1769</v>
      </c>
      <c r="BOJ1" s="9" t="s">
        <v>1770</v>
      </c>
      <c r="BOK1" s="9" t="s">
        <v>1771</v>
      </c>
      <c r="BOL1" s="9" t="s">
        <v>1772</v>
      </c>
      <c r="BOM1" s="9" t="s">
        <v>1773</v>
      </c>
      <c r="BON1" s="9" t="s">
        <v>1774</v>
      </c>
      <c r="BOO1" s="9" t="s">
        <v>1775</v>
      </c>
      <c r="BOP1" s="9" t="s">
        <v>1776</v>
      </c>
      <c r="BOQ1" s="9" t="s">
        <v>1777</v>
      </c>
      <c r="BOR1" s="9" t="s">
        <v>1778</v>
      </c>
      <c r="BOS1" s="9" t="s">
        <v>1779</v>
      </c>
      <c r="BOT1" s="9" t="s">
        <v>1780</v>
      </c>
      <c r="BOU1" s="9" t="s">
        <v>1781</v>
      </c>
      <c r="BOV1" s="9" t="s">
        <v>1782</v>
      </c>
      <c r="BOW1" s="9" t="s">
        <v>1783</v>
      </c>
      <c r="BOX1" s="9" t="s">
        <v>1784</v>
      </c>
      <c r="BOY1" s="9" t="s">
        <v>1785</v>
      </c>
      <c r="BOZ1" s="9" t="s">
        <v>1786</v>
      </c>
      <c r="BPA1" s="9" t="s">
        <v>1787</v>
      </c>
      <c r="BPB1" s="9" t="s">
        <v>1788</v>
      </c>
      <c r="BPC1" s="9" t="s">
        <v>1789</v>
      </c>
      <c r="BPD1" s="9" t="s">
        <v>1790</v>
      </c>
      <c r="BPE1" s="9" t="s">
        <v>1791</v>
      </c>
      <c r="BPF1" s="9" t="s">
        <v>1792</v>
      </c>
      <c r="BPG1" s="9" t="s">
        <v>1793</v>
      </c>
      <c r="BPH1" s="9" t="s">
        <v>1794</v>
      </c>
      <c r="BPI1" s="9" t="s">
        <v>1795</v>
      </c>
      <c r="BPJ1" s="9" t="s">
        <v>1796</v>
      </c>
      <c r="BPK1" s="9" t="s">
        <v>1797</v>
      </c>
      <c r="BPL1" s="9" t="s">
        <v>1798</v>
      </c>
      <c r="BPM1" s="9" t="s">
        <v>1799</v>
      </c>
      <c r="BPN1" s="9" t="s">
        <v>1800</v>
      </c>
      <c r="BPO1" s="9" t="s">
        <v>1801</v>
      </c>
      <c r="BPP1" s="9" t="s">
        <v>1802</v>
      </c>
      <c r="BPQ1" s="9" t="s">
        <v>1803</v>
      </c>
      <c r="BPR1" s="9" t="s">
        <v>1804</v>
      </c>
      <c r="BPS1" s="9" t="s">
        <v>1805</v>
      </c>
      <c r="BPT1" s="9" t="s">
        <v>1806</v>
      </c>
      <c r="BPU1" s="9" t="s">
        <v>1807</v>
      </c>
      <c r="BPV1" s="9" t="s">
        <v>1808</v>
      </c>
      <c r="BPW1" s="9" t="s">
        <v>1809</v>
      </c>
      <c r="BPX1" s="9" t="s">
        <v>1810</v>
      </c>
      <c r="BPY1" s="9" t="s">
        <v>1811</v>
      </c>
      <c r="BPZ1" s="9" t="s">
        <v>1812</v>
      </c>
      <c r="BQA1" s="9" t="s">
        <v>1813</v>
      </c>
      <c r="BQB1" s="9" t="s">
        <v>1814</v>
      </c>
      <c r="BQC1" s="9" t="s">
        <v>1815</v>
      </c>
      <c r="BQD1" s="9" t="s">
        <v>1816</v>
      </c>
      <c r="BQE1" s="9" t="s">
        <v>1817</v>
      </c>
      <c r="BQF1" s="9" t="s">
        <v>1818</v>
      </c>
      <c r="BQG1" s="9" t="s">
        <v>1819</v>
      </c>
      <c r="BQH1" s="9" t="s">
        <v>1820</v>
      </c>
      <c r="BQI1" s="9" t="s">
        <v>1821</v>
      </c>
      <c r="BQJ1" s="9" t="s">
        <v>1822</v>
      </c>
      <c r="BQK1" s="9" t="s">
        <v>1823</v>
      </c>
      <c r="BQL1" s="9" t="s">
        <v>1824</v>
      </c>
      <c r="BQM1" s="9" t="s">
        <v>1825</v>
      </c>
      <c r="BQN1" s="9" t="s">
        <v>1826</v>
      </c>
      <c r="BQO1" s="9" t="s">
        <v>1827</v>
      </c>
      <c r="BQP1" s="9" t="s">
        <v>1828</v>
      </c>
      <c r="BQQ1" s="9" t="s">
        <v>1829</v>
      </c>
      <c r="BQR1" s="9" t="s">
        <v>1830</v>
      </c>
      <c r="BQS1" s="9" t="s">
        <v>1831</v>
      </c>
      <c r="BQT1" s="9" t="s">
        <v>1832</v>
      </c>
      <c r="BQU1" s="9" t="s">
        <v>1833</v>
      </c>
      <c r="BQV1" s="9" t="s">
        <v>1834</v>
      </c>
      <c r="BQW1" s="9" t="s">
        <v>1835</v>
      </c>
      <c r="BQX1" s="9" t="s">
        <v>1836</v>
      </c>
      <c r="BQY1" s="9" t="s">
        <v>1837</v>
      </c>
      <c r="BQZ1" s="9" t="s">
        <v>1838</v>
      </c>
      <c r="BRA1" s="9" t="s">
        <v>1839</v>
      </c>
      <c r="BRB1" s="9" t="s">
        <v>1840</v>
      </c>
      <c r="BRC1" s="9" t="s">
        <v>1841</v>
      </c>
      <c r="BRD1" s="9" t="s">
        <v>1842</v>
      </c>
      <c r="BRE1" s="9" t="s">
        <v>1843</v>
      </c>
      <c r="BRF1" s="9" t="s">
        <v>1844</v>
      </c>
      <c r="BRG1" s="9" t="s">
        <v>1845</v>
      </c>
      <c r="BRH1" s="9" t="s">
        <v>1846</v>
      </c>
      <c r="BRI1" s="9" t="s">
        <v>1847</v>
      </c>
      <c r="BRJ1" s="9" t="s">
        <v>1848</v>
      </c>
      <c r="BRK1" s="9" t="s">
        <v>1849</v>
      </c>
      <c r="BRL1" s="9" t="s">
        <v>1850</v>
      </c>
      <c r="BRM1" s="9" t="s">
        <v>1851</v>
      </c>
      <c r="BRN1" s="9" t="s">
        <v>1852</v>
      </c>
      <c r="BRO1" s="9" t="s">
        <v>1853</v>
      </c>
      <c r="BRP1" s="9" t="s">
        <v>1854</v>
      </c>
      <c r="BRQ1" s="9" t="s">
        <v>1855</v>
      </c>
      <c r="BRR1" s="9" t="s">
        <v>1856</v>
      </c>
      <c r="BRS1" s="9" t="s">
        <v>1857</v>
      </c>
      <c r="BRT1" s="9" t="s">
        <v>1858</v>
      </c>
      <c r="BRU1" s="9" t="s">
        <v>1859</v>
      </c>
      <c r="BRV1" s="9" t="s">
        <v>1860</v>
      </c>
      <c r="BRW1" s="9" t="s">
        <v>1861</v>
      </c>
      <c r="BRX1" s="9" t="s">
        <v>1862</v>
      </c>
      <c r="BRY1" s="9" t="s">
        <v>1863</v>
      </c>
      <c r="BRZ1" s="9" t="s">
        <v>1864</v>
      </c>
      <c r="BSA1" s="9" t="s">
        <v>1865</v>
      </c>
      <c r="BSB1" s="9" t="s">
        <v>1866</v>
      </c>
      <c r="BSC1" s="9" t="s">
        <v>1867</v>
      </c>
      <c r="BSD1" s="9" t="s">
        <v>1868</v>
      </c>
      <c r="BSE1" s="9" t="s">
        <v>1869</v>
      </c>
      <c r="BSF1" s="9" t="s">
        <v>1870</v>
      </c>
      <c r="BSG1" s="9" t="s">
        <v>1871</v>
      </c>
      <c r="BSH1" s="9" t="s">
        <v>1872</v>
      </c>
      <c r="BSI1" s="9" t="s">
        <v>1873</v>
      </c>
      <c r="BSJ1" s="9" t="s">
        <v>1874</v>
      </c>
      <c r="BSK1" s="9" t="s">
        <v>1875</v>
      </c>
      <c r="BSL1" s="9" t="s">
        <v>1876</v>
      </c>
      <c r="BSM1" s="9" t="s">
        <v>1877</v>
      </c>
      <c r="BSN1" s="9" t="s">
        <v>1878</v>
      </c>
      <c r="BSO1" s="9" t="s">
        <v>1879</v>
      </c>
      <c r="BSP1" s="9" t="s">
        <v>1880</v>
      </c>
      <c r="BSQ1" s="9" t="s">
        <v>1881</v>
      </c>
      <c r="BSR1" s="9" t="s">
        <v>1882</v>
      </c>
      <c r="BSS1" s="9" t="s">
        <v>1883</v>
      </c>
      <c r="BST1" s="9" t="s">
        <v>1884</v>
      </c>
      <c r="BSU1" s="9" t="s">
        <v>1885</v>
      </c>
      <c r="BSV1" s="9" t="s">
        <v>1886</v>
      </c>
      <c r="BSW1" s="9" t="s">
        <v>1887</v>
      </c>
      <c r="BSX1" s="9" t="s">
        <v>1888</v>
      </c>
      <c r="BSY1" s="9" t="s">
        <v>1889</v>
      </c>
      <c r="BSZ1" s="9" t="s">
        <v>1890</v>
      </c>
      <c r="BTA1" s="9" t="s">
        <v>1891</v>
      </c>
      <c r="BTB1" s="9" t="s">
        <v>1892</v>
      </c>
      <c r="BTC1" s="9" t="s">
        <v>1893</v>
      </c>
      <c r="BTD1" s="9" t="s">
        <v>1894</v>
      </c>
      <c r="BTE1" s="9" t="s">
        <v>1895</v>
      </c>
      <c r="BTF1" s="9" t="s">
        <v>1896</v>
      </c>
      <c r="BTG1" s="9" t="s">
        <v>1897</v>
      </c>
      <c r="BTH1" s="9" t="s">
        <v>1898</v>
      </c>
      <c r="BTI1" s="9" t="s">
        <v>1899</v>
      </c>
      <c r="BTJ1" s="9" t="s">
        <v>1900</v>
      </c>
      <c r="BTK1" s="9" t="s">
        <v>1901</v>
      </c>
      <c r="BTL1" s="9" t="s">
        <v>1902</v>
      </c>
      <c r="BTM1" s="9" t="s">
        <v>1903</v>
      </c>
      <c r="BTN1" s="9" t="s">
        <v>1904</v>
      </c>
      <c r="BTO1" s="9" t="s">
        <v>1905</v>
      </c>
      <c r="BTP1" s="9" t="s">
        <v>1906</v>
      </c>
      <c r="BTQ1" s="9" t="s">
        <v>1907</v>
      </c>
      <c r="BTR1" s="9" t="s">
        <v>1908</v>
      </c>
      <c r="BTS1" s="9" t="s">
        <v>1909</v>
      </c>
      <c r="BTT1" s="9" t="s">
        <v>1910</v>
      </c>
      <c r="BTU1" s="9" t="s">
        <v>1911</v>
      </c>
      <c r="BTV1" s="9" t="s">
        <v>1912</v>
      </c>
      <c r="BTW1" s="9" t="s">
        <v>1913</v>
      </c>
      <c r="BTX1" s="9" t="s">
        <v>1914</v>
      </c>
      <c r="BTY1" s="9" t="s">
        <v>1915</v>
      </c>
      <c r="BTZ1" s="9" t="s">
        <v>1916</v>
      </c>
      <c r="BUA1" s="9" t="s">
        <v>1917</v>
      </c>
      <c r="BUB1" s="9" t="s">
        <v>1918</v>
      </c>
      <c r="BUC1" s="9" t="s">
        <v>1919</v>
      </c>
      <c r="BUD1" s="9" t="s">
        <v>1920</v>
      </c>
      <c r="BUE1" s="9" t="s">
        <v>1921</v>
      </c>
      <c r="BUF1" s="9" t="s">
        <v>1922</v>
      </c>
      <c r="BUG1" s="9" t="s">
        <v>1923</v>
      </c>
      <c r="BUH1" s="9" t="s">
        <v>1924</v>
      </c>
      <c r="BUI1" s="9" t="s">
        <v>1925</v>
      </c>
      <c r="BUJ1" s="9" t="s">
        <v>1926</v>
      </c>
      <c r="BUK1" s="9" t="s">
        <v>1927</v>
      </c>
      <c r="BUL1" s="9" t="s">
        <v>1928</v>
      </c>
      <c r="BUM1" s="9" t="s">
        <v>1929</v>
      </c>
      <c r="BUN1" s="9" t="s">
        <v>1930</v>
      </c>
      <c r="BUO1" s="9" t="s">
        <v>1931</v>
      </c>
      <c r="BUP1" s="9" t="s">
        <v>1932</v>
      </c>
      <c r="BUQ1" s="9" t="s">
        <v>1933</v>
      </c>
      <c r="BUR1" s="9" t="s">
        <v>1934</v>
      </c>
      <c r="BUS1" s="9" t="s">
        <v>1935</v>
      </c>
      <c r="BUT1" s="9" t="s">
        <v>1936</v>
      </c>
      <c r="BUU1" s="9" t="s">
        <v>1937</v>
      </c>
      <c r="BUV1" s="9" t="s">
        <v>1938</v>
      </c>
      <c r="BUW1" s="9" t="s">
        <v>1939</v>
      </c>
      <c r="BUX1" s="9" t="s">
        <v>1940</v>
      </c>
      <c r="BUY1" s="9" t="s">
        <v>1941</v>
      </c>
      <c r="BUZ1" s="9" t="s">
        <v>1942</v>
      </c>
      <c r="BVA1" s="9" t="s">
        <v>1943</v>
      </c>
      <c r="BVB1" s="9" t="s">
        <v>1944</v>
      </c>
      <c r="BVC1" s="9" t="s">
        <v>1945</v>
      </c>
      <c r="BVD1" s="9" t="s">
        <v>1946</v>
      </c>
      <c r="BVE1" s="9" t="s">
        <v>1947</v>
      </c>
      <c r="BVF1" s="9" t="s">
        <v>1948</v>
      </c>
      <c r="BVG1" s="9" t="s">
        <v>1949</v>
      </c>
      <c r="BVH1" s="9" t="s">
        <v>1950</v>
      </c>
      <c r="BVI1" s="9" t="s">
        <v>1951</v>
      </c>
      <c r="BVJ1" s="9" t="s">
        <v>1952</v>
      </c>
      <c r="BVK1" s="9" t="s">
        <v>1953</v>
      </c>
      <c r="BVL1" s="9" t="s">
        <v>1954</v>
      </c>
      <c r="BVM1" s="9" t="s">
        <v>1955</v>
      </c>
      <c r="BVN1" s="9" t="s">
        <v>1956</v>
      </c>
      <c r="BVO1" s="9" t="s">
        <v>1957</v>
      </c>
      <c r="BVP1" s="9" t="s">
        <v>1958</v>
      </c>
      <c r="BVQ1" s="9" t="s">
        <v>1959</v>
      </c>
      <c r="BVR1" s="9" t="s">
        <v>1960</v>
      </c>
      <c r="BVS1" s="9" t="s">
        <v>1961</v>
      </c>
      <c r="BVT1" s="9" t="s">
        <v>1962</v>
      </c>
      <c r="BVU1" s="9" t="s">
        <v>1963</v>
      </c>
      <c r="BVV1" s="9" t="s">
        <v>1964</v>
      </c>
      <c r="BVW1" s="9" t="s">
        <v>1965</v>
      </c>
      <c r="BVX1" s="9" t="s">
        <v>1966</v>
      </c>
      <c r="BVY1" s="9" t="s">
        <v>1967</v>
      </c>
      <c r="BVZ1" s="9" t="s">
        <v>1968</v>
      </c>
      <c r="BWA1" s="9" t="s">
        <v>1969</v>
      </c>
      <c r="BWB1" s="9" t="s">
        <v>1970</v>
      </c>
      <c r="BWC1" s="9" t="s">
        <v>1971</v>
      </c>
      <c r="BWD1" s="9" t="s">
        <v>1972</v>
      </c>
      <c r="BWE1" s="9" t="s">
        <v>1973</v>
      </c>
      <c r="BWF1" s="9" t="s">
        <v>1974</v>
      </c>
      <c r="BWG1" s="9" t="s">
        <v>1975</v>
      </c>
      <c r="BWH1" s="9" t="s">
        <v>1976</v>
      </c>
      <c r="BWI1" s="9" t="s">
        <v>1977</v>
      </c>
      <c r="BWJ1" s="9" t="s">
        <v>1978</v>
      </c>
      <c r="BWK1" s="9" t="s">
        <v>1979</v>
      </c>
      <c r="BWL1" s="9" t="s">
        <v>1980</v>
      </c>
      <c r="BWM1" s="9" t="s">
        <v>1981</v>
      </c>
      <c r="BWN1" s="9" t="s">
        <v>1982</v>
      </c>
      <c r="BWO1" s="9" t="s">
        <v>1983</v>
      </c>
      <c r="BWP1" s="9" t="s">
        <v>1984</v>
      </c>
      <c r="BWQ1" s="9" t="s">
        <v>1985</v>
      </c>
      <c r="BWR1" s="9" t="s">
        <v>1986</v>
      </c>
      <c r="BWS1" s="9" t="s">
        <v>1987</v>
      </c>
      <c r="BWT1" s="9" t="s">
        <v>1988</v>
      </c>
      <c r="BWU1" s="9" t="s">
        <v>1989</v>
      </c>
      <c r="BWV1" s="9" t="s">
        <v>1990</v>
      </c>
      <c r="BWW1" s="9" t="s">
        <v>1991</v>
      </c>
      <c r="BWX1" s="9" t="s">
        <v>1992</v>
      </c>
      <c r="BWY1" s="9" t="s">
        <v>1993</v>
      </c>
      <c r="BWZ1" s="9" t="s">
        <v>1994</v>
      </c>
      <c r="BXA1" s="9" t="s">
        <v>1995</v>
      </c>
      <c r="BXB1" s="9" t="s">
        <v>1996</v>
      </c>
      <c r="BXC1" s="9" t="s">
        <v>1997</v>
      </c>
      <c r="BXD1" s="9" t="s">
        <v>1998</v>
      </c>
      <c r="BXE1" s="9" t="s">
        <v>1999</v>
      </c>
      <c r="BXF1" s="9" t="s">
        <v>2000</v>
      </c>
      <c r="BXG1" s="9" t="s">
        <v>2001</v>
      </c>
      <c r="BXH1" s="9" t="s">
        <v>2002</v>
      </c>
      <c r="BXI1" s="9" t="s">
        <v>2003</v>
      </c>
      <c r="BXJ1" s="9" t="s">
        <v>2004</v>
      </c>
      <c r="BXK1" s="9" t="s">
        <v>2005</v>
      </c>
      <c r="BXL1" s="9" t="s">
        <v>2006</v>
      </c>
      <c r="BXM1" s="9" t="s">
        <v>2007</v>
      </c>
      <c r="BXN1" s="9" t="s">
        <v>2008</v>
      </c>
      <c r="BXO1" s="9" t="s">
        <v>2009</v>
      </c>
      <c r="BXP1" s="9" t="s">
        <v>2010</v>
      </c>
      <c r="BXQ1" s="9" t="s">
        <v>2011</v>
      </c>
      <c r="BXR1" s="9" t="s">
        <v>2012</v>
      </c>
      <c r="BXS1" s="9" t="s">
        <v>2013</v>
      </c>
      <c r="BXT1" s="9" t="s">
        <v>2014</v>
      </c>
      <c r="BXU1" s="9" t="s">
        <v>2015</v>
      </c>
      <c r="BXV1" s="9" t="s">
        <v>2016</v>
      </c>
      <c r="BXW1" s="9" t="s">
        <v>2017</v>
      </c>
      <c r="BXX1" s="9" t="s">
        <v>2018</v>
      </c>
      <c r="BXY1" s="9" t="s">
        <v>2019</v>
      </c>
      <c r="BXZ1" s="9" t="s">
        <v>2020</v>
      </c>
      <c r="BYA1" s="9" t="s">
        <v>2021</v>
      </c>
      <c r="BYB1" s="9" t="s">
        <v>2022</v>
      </c>
      <c r="BYC1" s="9" t="s">
        <v>2023</v>
      </c>
      <c r="BYD1" s="9" t="s">
        <v>2024</v>
      </c>
      <c r="BYE1" s="9" t="s">
        <v>2025</v>
      </c>
      <c r="BYF1" s="9" t="s">
        <v>2026</v>
      </c>
      <c r="BYG1" s="9" t="s">
        <v>2027</v>
      </c>
      <c r="BYH1" s="9" t="s">
        <v>2028</v>
      </c>
      <c r="BYI1" s="9" t="s">
        <v>2029</v>
      </c>
      <c r="BYJ1" s="9" t="s">
        <v>2030</v>
      </c>
      <c r="BYK1" s="9" t="s">
        <v>2031</v>
      </c>
      <c r="BYL1" s="9" t="s">
        <v>2032</v>
      </c>
      <c r="BYM1" s="9" t="s">
        <v>2033</v>
      </c>
      <c r="BYN1" s="9" t="s">
        <v>2034</v>
      </c>
      <c r="BYO1" s="9" t="s">
        <v>2035</v>
      </c>
      <c r="BYP1" s="9" t="s">
        <v>2036</v>
      </c>
      <c r="BYQ1" s="9" t="s">
        <v>2037</v>
      </c>
      <c r="BYR1" s="9" t="s">
        <v>2038</v>
      </c>
      <c r="BYS1" s="9" t="s">
        <v>2039</v>
      </c>
      <c r="BYT1" s="9" t="s">
        <v>2040</v>
      </c>
      <c r="BYU1" s="9" t="s">
        <v>2041</v>
      </c>
      <c r="BYV1" s="9" t="s">
        <v>2042</v>
      </c>
      <c r="BYW1" s="9" t="s">
        <v>2043</v>
      </c>
      <c r="BYX1" s="9" t="s">
        <v>2044</v>
      </c>
      <c r="BYY1" s="9" t="s">
        <v>2045</v>
      </c>
      <c r="BYZ1" s="9" t="s">
        <v>2046</v>
      </c>
      <c r="BZA1" s="9" t="s">
        <v>2047</v>
      </c>
      <c r="BZB1" s="9" t="s">
        <v>2048</v>
      </c>
      <c r="BZC1" s="9" t="s">
        <v>2049</v>
      </c>
      <c r="BZD1" s="9" t="s">
        <v>2050</v>
      </c>
      <c r="BZE1" s="9" t="s">
        <v>2051</v>
      </c>
      <c r="BZF1" s="9" t="s">
        <v>2052</v>
      </c>
      <c r="BZG1" s="9" t="s">
        <v>2053</v>
      </c>
      <c r="BZH1" s="9" t="s">
        <v>2054</v>
      </c>
      <c r="BZI1" s="9" t="s">
        <v>2055</v>
      </c>
      <c r="BZJ1" s="9" t="s">
        <v>2056</v>
      </c>
      <c r="BZK1" s="9" t="s">
        <v>2057</v>
      </c>
      <c r="BZL1" s="9" t="s">
        <v>2058</v>
      </c>
      <c r="BZM1" s="9" t="s">
        <v>2059</v>
      </c>
      <c r="BZN1" s="9" t="s">
        <v>2060</v>
      </c>
      <c r="BZO1" s="9" t="s">
        <v>2061</v>
      </c>
      <c r="BZP1" s="9" t="s">
        <v>2062</v>
      </c>
      <c r="BZQ1" s="9" t="s">
        <v>2063</v>
      </c>
      <c r="BZR1" s="9" t="s">
        <v>2064</v>
      </c>
      <c r="BZS1" s="9" t="s">
        <v>2065</v>
      </c>
      <c r="BZT1" s="9" t="s">
        <v>2066</v>
      </c>
      <c r="BZU1" s="9" t="s">
        <v>2067</v>
      </c>
      <c r="BZV1" s="9" t="s">
        <v>2068</v>
      </c>
      <c r="BZW1" s="9" t="s">
        <v>2069</v>
      </c>
      <c r="BZX1" s="9" t="s">
        <v>2070</v>
      </c>
      <c r="BZY1" s="9" t="s">
        <v>2071</v>
      </c>
      <c r="BZZ1" s="9" t="s">
        <v>2072</v>
      </c>
      <c r="CAA1" s="9" t="s">
        <v>2073</v>
      </c>
      <c r="CAB1" s="9" t="s">
        <v>2074</v>
      </c>
      <c r="CAC1" s="9" t="s">
        <v>2075</v>
      </c>
      <c r="CAD1" s="9" t="s">
        <v>2076</v>
      </c>
      <c r="CAE1" s="9" t="s">
        <v>2077</v>
      </c>
      <c r="CAF1" s="9" t="s">
        <v>2078</v>
      </c>
      <c r="CAG1" s="9" t="s">
        <v>2079</v>
      </c>
      <c r="CAH1" s="9" t="s">
        <v>2080</v>
      </c>
      <c r="CAI1" s="9" t="s">
        <v>2081</v>
      </c>
      <c r="CAJ1" s="9" t="s">
        <v>2082</v>
      </c>
      <c r="CAK1" s="9" t="s">
        <v>2083</v>
      </c>
      <c r="CAL1" s="9" t="s">
        <v>2084</v>
      </c>
      <c r="CAM1" s="9" t="s">
        <v>2085</v>
      </c>
      <c r="CAN1" s="9" t="s">
        <v>2086</v>
      </c>
      <c r="CAO1" s="9" t="s">
        <v>2087</v>
      </c>
      <c r="CAP1" s="9" t="s">
        <v>2088</v>
      </c>
      <c r="CAQ1" s="9" t="s">
        <v>2089</v>
      </c>
      <c r="CAR1" s="9" t="s">
        <v>2090</v>
      </c>
      <c r="CAS1" s="9" t="s">
        <v>2091</v>
      </c>
      <c r="CAT1" s="9" t="s">
        <v>2092</v>
      </c>
      <c r="CAU1" s="9" t="s">
        <v>2093</v>
      </c>
      <c r="CAV1" s="9" t="s">
        <v>2094</v>
      </c>
      <c r="CAW1" s="9" t="s">
        <v>2095</v>
      </c>
      <c r="CAX1" s="9" t="s">
        <v>2096</v>
      </c>
      <c r="CAY1" s="9" t="s">
        <v>2097</v>
      </c>
      <c r="CAZ1" s="9" t="s">
        <v>2098</v>
      </c>
      <c r="CBA1" s="9" t="s">
        <v>2099</v>
      </c>
      <c r="CBB1" s="9" t="s">
        <v>2100</v>
      </c>
      <c r="CBC1" s="9" t="s">
        <v>2101</v>
      </c>
      <c r="CBD1" s="9" t="s">
        <v>2102</v>
      </c>
      <c r="CBE1" s="9" t="s">
        <v>2103</v>
      </c>
      <c r="CBF1" s="9" t="s">
        <v>2104</v>
      </c>
      <c r="CBG1" s="9" t="s">
        <v>2105</v>
      </c>
      <c r="CBH1" s="9" t="s">
        <v>2106</v>
      </c>
      <c r="CBI1" s="9" t="s">
        <v>2107</v>
      </c>
      <c r="CBJ1" s="9" t="s">
        <v>2108</v>
      </c>
      <c r="CBK1" s="9" t="s">
        <v>2109</v>
      </c>
      <c r="CBL1" s="9" t="s">
        <v>2110</v>
      </c>
      <c r="CBM1" s="9" t="s">
        <v>2111</v>
      </c>
      <c r="CBN1" s="9" t="s">
        <v>2112</v>
      </c>
      <c r="CBO1" s="9" t="s">
        <v>2113</v>
      </c>
      <c r="CBP1" s="9" t="s">
        <v>2114</v>
      </c>
      <c r="CBQ1" s="9" t="s">
        <v>2115</v>
      </c>
      <c r="CBR1" s="9" t="s">
        <v>2116</v>
      </c>
      <c r="CBS1" s="9" t="s">
        <v>2117</v>
      </c>
      <c r="CBT1" s="9" t="s">
        <v>2118</v>
      </c>
      <c r="CBU1" s="9" t="s">
        <v>2119</v>
      </c>
      <c r="CBV1" s="9" t="s">
        <v>2120</v>
      </c>
      <c r="CBW1" s="9" t="s">
        <v>2121</v>
      </c>
      <c r="CBX1" s="9" t="s">
        <v>2122</v>
      </c>
      <c r="CBY1" s="9" t="s">
        <v>2123</v>
      </c>
      <c r="CBZ1" s="9" t="s">
        <v>2124</v>
      </c>
      <c r="CCA1" s="9" t="s">
        <v>2125</v>
      </c>
      <c r="CCB1" s="9" t="s">
        <v>2126</v>
      </c>
      <c r="CCC1" s="9" t="s">
        <v>2127</v>
      </c>
      <c r="CCD1" s="9" t="s">
        <v>2128</v>
      </c>
      <c r="CCE1" s="9" t="s">
        <v>2129</v>
      </c>
      <c r="CCF1" s="9" t="s">
        <v>2130</v>
      </c>
      <c r="CCG1" s="9" t="s">
        <v>2131</v>
      </c>
      <c r="CCH1" s="9" t="s">
        <v>2132</v>
      </c>
      <c r="CCI1" s="9" t="s">
        <v>2133</v>
      </c>
      <c r="CCJ1" s="9" t="s">
        <v>2134</v>
      </c>
      <c r="CCK1" s="9" t="s">
        <v>2135</v>
      </c>
      <c r="CCL1" s="9" t="s">
        <v>2136</v>
      </c>
      <c r="CCM1" s="9" t="s">
        <v>2137</v>
      </c>
      <c r="CCN1" s="9" t="s">
        <v>2138</v>
      </c>
      <c r="CCO1" s="9" t="s">
        <v>2139</v>
      </c>
      <c r="CCP1" s="9" t="s">
        <v>2140</v>
      </c>
      <c r="CCQ1" s="9" t="s">
        <v>2141</v>
      </c>
      <c r="CCR1" s="9" t="s">
        <v>2142</v>
      </c>
      <c r="CCS1" s="9" t="s">
        <v>2143</v>
      </c>
      <c r="CCT1" s="9" t="s">
        <v>2144</v>
      </c>
      <c r="CCU1" s="9" t="s">
        <v>2145</v>
      </c>
      <c r="CCV1" s="9" t="s">
        <v>2146</v>
      </c>
      <c r="CCW1" s="9" t="s">
        <v>2147</v>
      </c>
      <c r="CCX1" s="9" t="s">
        <v>2148</v>
      </c>
      <c r="CCY1" s="9" t="s">
        <v>2149</v>
      </c>
      <c r="CCZ1" s="9" t="s">
        <v>2150</v>
      </c>
      <c r="CDA1" s="9" t="s">
        <v>2151</v>
      </c>
      <c r="CDB1" s="9" t="s">
        <v>2152</v>
      </c>
      <c r="CDC1" s="9" t="s">
        <v>2153</v>
      </c>
      <c r="CDD1" s="9" t="s">
        <v>2154</v>
      </c>
      <c r="CDE1" s="9" t="s">
        <v>2155</v>
      </c>
      <c r="CDF1" s="9" t="s">
        <v>2156</v>
      </c>
      <c r="CDG1" s="9" t="s">
        <v>2157</v>
      </c>
      <c r="CDH1" s="9" t="s">
        <v>2158</v>
      </c>
      <c r="CDI1" s="9" t="s">
        <v>2159</v>
      </c>
      <c r="CDJ1" s="9" t="s">
        <v>2160</v>
      </c>
      <c r="CDK1" s="9" t="s">
        <v>2161</v>
      </c>
      <c r="CDL1" s="9" t="s">
        <v>2162</v>
      </c>
      <c r="CDM1" s="9" t="s">
        <v>2163</v>
      </c>
      <c r="CDN1" s="9" t="s">
        <v>2164</v>
      </c>
      <c r="CDO1" s="9" t="s">
        <v>2165</v>
      </c>
      <c r="CDP1" s="9" t="s">
        <v>2166</v>
      </c>
      <c r="CDQ1" s="9" t="s">
        <v>2167</v>
      </c>
      <c r="CDR1" s="9" t="s">
        <v>2168</v>
      </c>
      <c r="CDS1" s="9" t="s">
        <v>2169</v>
      </c>
      <c r="CDT1" s="9" t="s">
        <v>2170</v>
      </c>
      <c r="CDU1" s="9" t="s">
        <v>2171</v>
      </c>
      <c r="CDV1" s="9" t="s">
        <v>2172</v>
      </c>
      <c r="CDW1" s="9" t="s">
        <v>2173</v>
      </c>
      <c r="CDX1" s="9" t="s">
        <v>2174</v>
      </c>
      <c r="CDY1" s="9" t="s">
        <v>2175</v>
      </c>
      <c r="CDZ1" s="9" t="s">
        <v>2176</v>
      </c>
      <c r="CEA1" s="9" t="s">
        <v>2177</v>
      </c>
      <c r="CEB1" s="9" t="s">
        <v>2178</v>
      </c>
      <c r="CEC1" s="9" t="s">
        <v>2179</v>
      </c>
      <c r="CED1" s="9" t="s">
        <v>2180</v>
      </c>
      <c r="CEE1" s="9" t="s">
        <v>2181</v>
      </c>
      <c r="CEF1" s="9" t="s">
        <v>2182</v>
      </c>
      <c r="CEG1" s="9" t="s">
        <v>2183</v>
      </c>
      <c r="CEH1" s="9" t="s">
        <v>2184</v>
      </c>
      <c r="CEI1" s="9" t="s">
        <v>2185</v>
      </c>
      <c r="CEJ1" s="9" t="s">
        <v>2186</v>
      </c>
      <c r="CEK1" s="9" t="s">
        <v>2187</v>
      </c>
      <c r="CEL1" s="9" t="s">
        <v>2188</v>
      </c>
      <c r="CEM1" s="9" t="s">
        <v>2189</v>
      </c>
      <c r="CEN1" s="9" t="s">
        <v>2190</v>
      </c>
      <c r="CEO1" s="9" t="s">
        <v>2191</v>
      </c>
      <c r="CEP1" s="9" t="s">
        <v>2192</v>
      </c>
      <c r="CEQ1" s="9" t="s">
        <v>2193</v>
      </c>
      <c r="CER1" s="9" t="s">
        <v>2194</v>
      </c>
      <c r="CES1" s="9" t="s">
        <v>2195</v>
      </c>
      <c r="CET1" s="9" t="s">
        <v>2196</v>
      </c>
      <c r="CEU1" s="9" t="s">
        <v>2197</v>
      </c>
      <c r="CEV1" s="9" t="s">
        <v>2198</v>
      </c>
      <c r="CEW1" s="9" t="s">
        <v>2199</v>
      </c>
      <c r="CEX1" s="9" t="s">
        <v>2200</v>
      </c>
      <c r="CEY1" s="9" t="s">
        <v>2201</v>
      </c>
      <c r="CEZ1" s="9" t="s">
        <v>2202</v>
      </c>
      <c r="CFA1" s="9" t="s">
        <v>2203</v>
      </c>
      <c r="CFB1" s="9" t="s">
        <v>2204</v>
      </c>
      <c r="CFC1" s="9" t="s">
        <v>2205</v>
      </c>
      <c r="CFD1" s="9" t="s">
        <v>2206</v>
      </c>
      <c r="CFE1" s="9" t="s">
        <v>2207</v>
      </c>
      <c r="CFF1" s="9" t="s">
        <v>2208</v>
      </c>
      <c r="CFG1" s="9" t="s">
        <v>2209</v>
      </c>
      <c r="CFH1" s="9" t="s">
        <v>2210</v>
      </c>
      <c r="CFI1" s="9" t="s">
        <v>2211</v>
      </c>
      <c r="CFJ1" s="9" t="s">
        <v>2212</v>
      </c>
      <c r="CFK1" s="9" t="s">
        <v>2213</v>
      </c>
      <c r="CFL1" s="9" t="s">
        <v>2214</v>
      </c>
      <c r="CFM1" s="9" t="s">
        <v>2215</v>
      </c>
      <c r="CFN1" s="9" t="s">
        <v>2216</v>
      </c>
      <c r="CFO1" s="9" t="s">
        <v>2217</v>
      </c>
      <c r="CFP1" s="9" t="s">
        <v>2218</v>
      </c>
      <c r="CFQ1" s="9" t="s">
        <v>2219</v>
      </c>
      <c r="CFR1" s="9" t="s">
        <v>2220</v>
      </c>
      <c r="CFS1" s="9" t="s">
        <v>2221</v>
      </c>
      <c r="CFT1" s="9" t="s">
        <v>2222</v>
      </c>
      <c r="CFU1" s="9" t="s">
        <v>2223</v>
      </c>
      <c r="CFV1" s="9" t="s">
        <v>2224</v>
      </c>
      <c r="CFW1" s="9" t="s">
        <v>2225</v>
      </c>
      <c r="CFX1" s="9" t="s">
        <v>2226</v>
      </c>
      <c r="CFY1" s="9" t="s">
        <v>2227</v>
      </c>
      <c r="CFZ1" s="9" t="s">
        <v>2228</v>
      </c>
      <c r="CGA1" s="9" t="s">
        <v>2229</v>
      </c>
      <c r="CGB1" s="9" t="s">
        <v>2230</v>
      </c>
      <c r="CGC1" s="9" t="s">
        <v>2231</v>
      </c>
      <c r="CGD1" s="9" t="s">
        <v>2232</v>
      </c>
      <c r="CGE1" s="9" t="s">
        <v>2233</v>
      </c>
      <c r="CGF1" s="9" t="s">
        <v>2234</v>
      </c>
      <c r="CGG1" s="9" t="s">
        <v>2235</v>
      </c>
      <c r="CGH1" s="9" t="s">
        <v>2236</v>
      </c>
      <c r="CGI1" s="9" t="s">
        <v>2237</v>
      </c>
      <c r="CGJ1" s="9" t="s">
        <v>2238</v>
      </c>
      <c r="CGK1" s="9" t="s">
        <v>2239</v>
      </c>
      <c r="CGL1" s="9" t="s">
        <v>2240</v>
      </c>
      <c r="CGM1" s="9" t="s">
        <v>2241</v>
      </c>
      <c r="CGN1" s="9" t="s">
        <v>2242</v>
      </c>
      <c r="CGO1" s="9" t="s">
        <v>2243</v>
      </c>
      <c r="CGP1" s="9" t="s">
        <v>2244</v>
      </c>
      <c r="CGQ1" s="9" t="s">
        <v>2245</v>
      </c>
      <c r="CGR1" s="9" t="s">
        <v>2246</v>
      </c>
      <c r="CGS1" s="9" t="s">
        <v>2247</v>
      </c>
      <c r="CGT1" s="9" t="s">
        <v>2248</v>
      </c>
      <c r="CGU1" s="9" t="s">
        <v>2249</v>
      </c>
      <c r="CGV1" s="9" t="s">
        <v>2250</v>
      </c>
      <c r="CGW1" s="9" t="s">
        <v>2251</v>
      </c>
      <c r="CGX1" s="9" t="s">
        <v>2252</v>
      </c>
      <c r="CGY1" s="9" t="s">
        <v>2253</v>
      </c>
      <c r="CGZ1" s="9" t="s">
        <v>2254</v>
      </c>
      <c r="CHA1" s="9" t="s">
        <v>2255</v>
      </c>
      <c r="CHB1" s="9" t="s">
        <v>2256</v>
      </c>
      <c r="CHC1" s="9" t="s">
        <v>2257</v>
      </c>
      <c r="CHD1" s="9" t="s">
        <v>2258</v>
      </c>
      <c r="CHE1" s="9" t="s">
        <v>2259</v>
      </c>
      <c r="CHF1" s="9" t="s">
        <v>2260</v>
      </c>
      <c r="CHG1" s="9" t="s">
        <v>2261</v>
      </c>
      <c r="CHH1" s="9" t="s">
        <v>2262</v>
      </c>
      <c r="CHI1" s="9" t="s">
        <v>2263</v>
      </c>
      <c r="CHJ1" s="9" t="s">
        <v>2264</v>
      </c>
      <c r="CHK1" s="9" t="s">
        <v>2265</v>
      </c>
      <c r="CHL1" s="9" t="s">
        <v>2266</v>
      </c>
      <c r="CHM1" s="9" t="s">
        <v>2267</v>
      </c>
      <c r="CHN1" s="9" t="s">
        <v>2268</v>
      </c>
      <c r="CHO1" s="9" t="s">
        <v>2269</v>
      </c>
      <c r="CHP1" s="9" t="s">
        <v>2270</v>
      </c>
      <c r="CHQ1" s="9" t="s">
        <v>2271</v>
      </c>
      <c r="CHR1" s="9" t="s">
        <v>2272</v>
      </c>
      <c r="CHS1" s="9" t="s">
        <v>2273</v>
      </c>
      <c r="CHT1" s="9" t="s">
        <v>2274</v>
      </c>
      <c r="CHU1" s="9" t="s">
        <v>2275</v>
      </c>
      <c r="CHV1" s="9" t="s">
        <v>2276</v>
      </c>
      <c r="CHW1" s="9" t="s">
        <v>2277</v>
      </c>
      <c r="CHX1" s="9" t="s">
        <v>2278</v>
      </c>
      <c r="CHY1" s="9" t="s">
        <v>2279</v>
      </c>
      <c r="CHZ1" s="9" t="s">
        <v>2280</v>
      </c>
      <c r="CIA1" s="9" t="s">
        <v>2281</v>
      </c>
      <c r="CIB1" s="9" t="s">
        <v>2282</v>
      </c>
      <c r="CIC1" s="9" t="s">
        <v>2283</v>
      </c>
      <c r="CID1" s="9" t="s">
        <v>2284</v>
      </c>
      <c r="CIE1" s="9" t="s">
        <v>2285</v>
      </c>
      <c r="CIF1" s="9" t="s">
        <v>2286</v>
      </c>
      <c r="CIG1" s="9" t="s">
        <v>2287</v>
      </c>
      <c r="CIH1" s="9" t="s">
        <v>2288</v>
      </c>
      <c r="CII1" s="9" t="s">
        <v>2289</v>
      </c>
      <c r="CIJ1" s="9" t="s">
        <v>2290</v>
      </c>
      <c r="CIK1" s="9" t="s">
        <v>2291</v>
      </c>
      <c r="CIL1" s="9" t="s">
        <v>2292</v>
      </c>
      <c r="CIM1" s="9" t="s">
        <v>2293</v>
      </c>
      <c r="CIN1" s="9" t="s">
        <v>2294</v>
      </c>
      <c r="CIO1" s="9" t="s">
        <v>2295</v>
      </c>
      <c r="CIP1" s="9" t="s">
        <v>2296</v>
      </c>
      <c r="CIQ1" s="9" t="s">
        <v>2297</v>
      </c>
      <c r="CIR1" s="9" t="s">
        <v>2298</v>
      </c>
      <c r="CIS1" s="9" t="s">
        <v>2299</v>
      </c>
      <c r="CIT1" s="9" t="s">
        <v>2300</v>
      </c>
      <c r="CIU1" s="9" t="s">
        <v>2301</v>
      </c>
      <c r="CIV1" s="9" t="s">
        <v>2302</v>
      </c>
      <c r="CIW1" s="9" t="s">
        <v>2303</v>
      </c>
      <c r="CIX1" s="9" t="s">
        <v>2304</v>
      </c>
      <c r="CIY1" s="9" t="s">
        <v>2305</v>
      </c>
      <c r="CIZ1" s="9" t="s">
        <v>2306</v>
      </c>
      <c r="CJA1" s="9" t="s">
        <v>2307</v>
      </c>
      <c r="CJB1" s="9" t="s">
        <v>2308</v>
      </c>
      <c r="CJC1" s="9" t="s">
        <v>2309</v>
      </c>
      <c r="CJD1" s="9" t="s">
        <v>2310</v>
      </c>
      <c r="CJE1" s="9" t="s">
        <v>2311</v>
      </c>
      <c r="CJF1" s="9" t="s">
        <v>2312</v>
      </c>
      <c r="CJG1" s="9" t="s">
        <v>2313</v>
      </c>
      <c r="CJH1" s="9" t="s">
        <v>2314</v>
      </c>
      <c r="CJI1" s="9" t="s">
        <v>2315</v>
      </c>
      <c r="CJJ1" s="9" t="s">
        <v>2316</v>
      </c>
      <c r="CJK1" s="9" t="s">
        <v>2317</v>
      </c>
      <c r="CJL1" s="9" t="s">
        <v>2318</v>
      </c>
      <c r="CJM1" s="9" t="s">
        <v>2319</v>
      </c>
      <c r="CJN1" s="9" t="s">
        <v>2320</v>
      </c>
      <c r="CJO1" s="9" t="s">
        <v>2321</v>
      </c>
      <c r="CJP1" s="9" t="s">
        <v>2322</v>
      </c>
      <c r="CJQ1" s="9" t="s">
        <v>2323</v>
      </c>
      <c r="CJR1" s="9" t="s">
        <v>2324</v>
      </c>
      <c r="CJS1" s="9" t="s">
        <v>2325</v>
      </c>
      <c r="CJT1" s="9" t="s">
        <v>2326</v>
      </c>
      <c r="CJU1" s="9" t="s">
        <v>2327</v>
      </c>
      <c r="CJV1" s="9" t="s">
        <v>2328</v>
      </c>
      <c r="CJW1" s="9" t="s">
        <v>2329</v>
      </c>
      <c r="CJX1" s="9" t="s">
        <v>2330</v>
      </c>
      <c r="CJY1" s="9" t="s">
        <v>2331</v>
      </c>
      <c r="CJZ1" s="9" t="s">
        <v>2332</v>
      </c>
      <c r="CKA1" s="9" t="s">
        <v>2333</v>
      </c>
      <c r="CKB1" s="9" t="s">
        <v>2334</v>
      </c>
      <c r="CKC1" s="9" t="s">
        <v>2335</v>
      </c>
      <c r="CKD1" s="9" t="s">
        <v>2336</v>
      </c>
      <c r="CKE1" s="9" t="s">
        <v>2337</v>
      </c>
      <c r="CKF1" s="9" t="s">
        <v>2338</v>
      </c>
      <c r="CKG1" s="9" t="s">
        <v>2339</v>
      </c>
      <c r="CKH1" s="9" t="s">
        <v>2340</v>
      </c>
      <c r="CKI1" s="9" t="s">
        <v>2341</v>
      </c>
      <c r="CKJ1" s="9" t="s">
        <v>2342</v>
      </c>
      <c r="CKK1" s="9" t="s">
        <v>2343</v>
      </c>
      <c r="CKL1" s="9" t="s">
        <v>2344</v>
      </c>
      <c r="CKM1" s="9" t="s">
        <v>2345</v>
      </c>
      <c r="CKN1" s="9" t="s">
        <v>2346</v>
      </c>
      <c r="CKO1" s="9" t="s">
        <v>2347</v>
      </c>
      <c r="CKP1" s="9" t="s">
        <v>2348</v>
      </c>
      <c r="CKQ1" s="9" t="s">
        <v>2349</v>
      </c>
      <c r="CKR1" s="9" t="s">
        <v>2350</v>
      </c>
      <c r="CKS1" s="9" t="s">
        <v>2351</v>
      </c>
      <c r="CKT1" s="9" t="s">
        <v>2352</v>
      </c>
      <c r="CKU1" s="9" t="s">
        <v>2353</v>
      </c>
      <c r="CKV1" s="9" t="s">
        <v>2354</v>
      </c>
      <c r="CKW1" s="9" t="s">
        <v>2355</v>
      </c>
      <c r="CKX1" s="9" t="s">
        <v>2356</v>
      </c>
      <c r="CKY1" s="9" t="s">
        <v>2357</v>
      </c>
      <c r="CKZ1" s="9" t="s">
        <v>2358</v>
      </c>
      <c r="CLA1" s="9" t="s">
        <v>2359</v>
      </c>
      <c r="CLB1" s="9" t="s">
        <v>2360</v>
      </c>
      <c r="CLC1" s="9" t="s">
        <v>2361</v>
      </c>
      <c r="CLD1" s="9" t="s">
        <v>2362</v>
      </c>
      <c r="CLE1" s="9" t="s">
        <v>2363</v>
      </c>
      <c r="CLF1" s="9" t="s">
        <v>2364</v>
      </c>
      <c r="CLG1" s="9" t="s">
        <v>2365</v>
      </c>
      <c r="CLH1" s="9" t="s">
        <v>2366</v>
      </c>
      <c r="CLI1" s="9" t="s">
        <v>2367</v>
      </c>
      <c r="CLJ1" s="9" t="s">
        <v>2368</v>
      </c>
      <c r="CLK1" s="9" t="s">
        <v>2369</v>
      </c>
      <c r="CLL1" s="9" t="s">
        <v>2370</v>
      </c>
      <c r="CLM1" s="9" t="s">
        <v>2371</v>
      </c>
      <c r="CLN1" s="9" t="s">
        <v>2372</v>
      </c>
      <c r="CLO1" s="9" t="s">
        <v>2373</v>
      </c>
      <c r="CLP1" s="9" t="s">
        <v>2374</v>
      </c>
      <c r="CLQ1" s="9" t="s">
        <v>2375</v>
      </c>
      <c r="CLR1" s="9" t="s">
        <v>2376</v>
      </c>
      <c r="CLS1" s="9" t="s">
        <v>2377</v>
      </c>
      <c r="CLT1" s="9" t="s">
        <v>2378</v>
      </c>
      <c r="CLU1" s="9" t="s">
        <v>2379</v>
      </c>
      <c r="CLV1" s="9" t="s">
        <v>2380</v>
      </c>
      <c r="CLW1" s="9" t="s">
        <v>2381</v>
      </c>
      <c r="CLX1" s="9" t="s">
        <v>2382</v>
      </c>
      <c r="CLY1" s="9" t="s">
        <v>2383</v>
      </c>
      <c r="CLZ1" s="9" t="s">
        <v>2384</v>
      </c>
      <c r="CMA1" s="9" t="s">
        <v>2385</v>
      </c>
      <c r="CMB1" s="9" t="s">
        <v>2386</v>
      </c>
      <c r="CMC1" s="9" t="s">
        <v>2387</v>
      </c>
      <c r="CMD1" s="9" t="s">
        <v>2388</v>
      </c>
      <c r="CME1" s="9" t="s">
        <v>2389</v>
      </c>
      <c r="CMF1" s="9" t="s">
        <v>2390</v>
      </c>
      <c r="CMG1" s="9" t="s">
        <v>2391</v>
      </c>
      <c r="CMH1" s="9" t="s">
        <v>2392</v>
      </c>
      <c r="CMI1" s="9" t="s">
        <v>2393</v>
      </c>
      <c r="CMJ1" s="9" t="s">
        <v>2394</v>
      </c>
      <c r="CMK1" s="9" t="s">
        <v>2395</v>
      </c>
      <c r="CML1" s="9" t="s">
        <v>2396</v>
      </c>
      <c r="CMM1" s="9" t="s">
        <v>2397</v>
      </c>
      <c r="CMN1" s="9" t="s">
        <v>2398</v>
      </c>
      <c r="CMO1" s="9" t="s">
        <v>2399</v>
      </c>
      <c r="CMP1" s="9" t="s">
        <v>2400</v>
      </c>
      <c r="CMQ1" s="9" t="s">
        <v>2401</v>
      </c>
      <c r="CMR1" s="9" t="s">
        <v>2402</v>
      </c>
      <c r="CMS1" s="9" t="s">
        <v>2403</v>
      </c>
      <c r="CMT1" s="9" t="s">
        <v>2404</v>
      </c>
      <c r="CMU1" s="9" t="s">
        <v>2405</v>
      </c>
      <c r="CMV1" s="9" t="s">
        <v>2406</v>
      </c>
      <c r="CMW1" s="9" t="s">
        <v>2407</v>
      </c>
      <c r="CMX1" s="9" t="s">
        <v>2408</v>
      </c>
      <c r="CMY1" s="9" t="s">
        <v>2409</v>
      </c>
      <c r="CMZ1" s="9" t="s">
        <v>2410</v>
      </c>
      <c r="CNA1" s="9" t="s">
        <v>2411</v>
      </c>
      <c r="CNB1" s="9" t="s">
        <v>2412</v>
      </c>
      <c r="CNC1" s="9" t="s">
        <v>2413</v>
      </c>
      <c r="CND1" s="9" t="s">
        <v>2414</v>
      </c>
      <c r="CNE1" s="9" t="s">
        <v>2415</v>
      </c>
      <c r="CNF1" s="9" t="s">
        <v>2416</v>
      </c>
      <c r="CNG1" s="9" t="s">
        <v>2417</v>
      </c>
      <c r="CNH1" s="9" t="s">
        <v>2418</v>
      </c>
      <c r="CNI1" s="9" t="s">
        <v>2419</v>
      </c>
      <c r="CNJ1" s="9" t="s">
        <v>2420</v>
      </c>
      <c r="CNK1" s="9" t="s">
        <v>2421</v>
      </c>
      <c r="CNL1" s="9" t="s">
        <v>2422</v>
      </c>
      <c r="CNM1" s="9" t="s">
        <v>2423</v>
      </c>
      <c r="CNN1" s="9" t="s">
        <v>2424</v>
      </c>
      <c r="CNO1" s="9" t="s">
        <v>2425</v>
      </c>
      <c r="CNP1" s="9" t="s">
        <v>2426</v>
      </c>
      <c r="CNQ1" s="9" t="s">
        <v>2427</v>
      </c>
      <c r="CNR1" s="9" t="s">
        <v>2428</v>
      </c>
      <c r="CNS1" s="9" t="s">
        <v>2429</v>
      </c>
      <c r="CNT1" s="9" t="s">
        <v>2430</v>
      </c>
      <c r="CNU1" s="9" t="s">
        <v>2431</v>
      </c>
      <c r="CNV1" s="9" t="s">
        <v>2432</v>
      </c>
      <c r="CNW1" s="9" t="s">
        <v>2433</v>
      </c>
      <c r="CNX1" s="9" t="s">
        <v>2434</v>
      </c>
      <c r="CNY1" s="9" t="s">
        <v>2435</v>
      </c>
      <c r="CNZ1" s="9" t="s">
        <v>2436</v>
      </c>
      <c r="COA1" s="9" t="s">
        <v>2437</v>
      </c>
      <c r="COB1" s="9" t="s">
        <v>2438</v>
      </c>
      <c r="COC1" s="9" t="s">
        <v>2439</v>
      </c>
      <c r="COD1" s="9" t="s">
        <v>2440</v>
      </c>
      <c r="COE1" s="9" t="s">
        <v>2441</v>
      </c>
      <c r="COF1" s="9" t="s">
        <v>2442</v>
      </c>
      <c r="COG1" s="9" t="s">
        <v>2443</v>
      </c>
      <c r="COH1" s="9" t="s">
        <v>2444</v>
      </c>
      <c r="COI1" s="9" t="s">
        <v>2445</v>
      </c>
      <c r="COJ1" s="9" t="s">
        <v>2446</v>
      </c>
      <c r="COK1" s="9" t="s">
        <v>2447</v>
      </c>
      <c r="COL1" s="9" t="s">
        <v>2448</v>
      </c>
      <c r="COM1" s="9" t="s">
        <v>2449</v>
      </c>
      <c r="CON1" s="9" t="s">
        <v>2450</v>
      </c>
      <c r="COO1" s="9" t="s">
        <v>2451</v>
      </c>
      <c r="COP1" s="9" t="s">
        <v>2452</v>
      </c>
      <c r="COQ1" s="9" t="s">
        <v>2453</v>
      </c>
      <c r="COR1" s="9" t="s">
        <v>2454</v>
      </c>
      <c r="COS1" s="9" t="s">
        <v>2455</v>
      </c>
      <c r="COT1" s="9" t="s">
        <v>2456</v>
      </c>
      <c r="COU1" s="9" t="s">
        <v>2457</v>
      </c>
      <c r="COV1" s="9" t="s">
        <v>2458</v>
      </c>
      <c r="COW1" s="9" t="s">
        <v>2459</v>
      </c>
      <c r="COX1" s="9" t="s">
        <v>2460</v>
      </c>
      <c r="COY1" s="9" t="s">
        <v>2461</v>
      </c>
      <c r="COZ1" s="9" t="s">
        <v>2462</v>
      </c>
      <c r="CPA1" s="9" t="s">
        <v>2463</v>
      </c>
      <c r="CPB1" s="9" t="s">
        <v>2464</v>
      </c>
      <c r="CPC1" s="9" t="s">
        <v>2465</v>
      </c>
      <c r="CPD1" s="9" t="s">
        <v>2466</v>
      </c>
      <c r="CPE1" s="9" t="s">
        <v>2467</v>
      </c>
      <c r="CPF1" s="9" t="s">
        <v>2468</v>
      </c>
      <c r="CPG1" s="9" t="s">
        <v>2469</v>
      </c>
      <c r="CPH1" s="9" t="s">
        <v>2470</v>
      </c>
      <c r="CPI1" s="9" t="s">
        <v>2471</v>
      </c>
      <c r="CPJ1" s="9" t="s">
        <v>2472</v>
      </c>
      <c r="CPK1" s="9" t="s">
        <v>2473</v>
      </c>
      <c r="CPL1" s="9" t="s">
        <v>2474</v>
      </c>
      <c r="CPM1" s="9" t="s">
        <v>2475</v>
      </c>
      <c r="CPN1" s="9" t="s">
        <v>2476</v>
      </c>
      <c r="CPO1" s="9" t="s">
        <v>2477</v>
      </c>
      <c r="CPP1" s="9" t="s">
        <v>2478</v>
      </c>
      <c r="CPQ1" s="9" t="s">
        <v>2479</v>
      </c>
      <c r="CPR1" s="9" t="s">
        <v>2480</v>
      </c>
      <c r="CPS1" s="9" t="s">
        <v>2481</v>
      </c>
      <c r="CPT1" s="9" t="s">
        <v>2482</v>
      </c>
      <c r="CPU1" s="9" t="s">
        <v>2483</v>
      </c>
      <c r="CPV1" s="9" t="s">
        <v>2484</v>
      </c>
      <c r="CPW1" s="9" t="s">
        <v>2485</v>
      </c>
      <c r="CPX1" s="9" t="s">
        <v>2486</v>
      </c>
      <c r="CPY1" s="9" t="s">
        <v>2487</v>
      </c>
      <c r="CPZ1" s="9" t="s">
        <v>2488</v>
      </c>
      <c r="CQA1" s="9" t="s">
        <v>2489</v>
      </c>
      <c r="CQB1" s="9" t="s">
        <v>2490</v>
      </c>
      <c r="CQC1" s="9" t="s">
        <v>2491</v>
      </c>
      <c r="CQD1" s="9" t="s">
        <v>2492</v>
      </c>
      <c r="CQE1" s="9" t="s">
        <v>2493</v>
      </c>
      <c r="CQF1" s="9" t="s">
        <v>2494</v>
      </c>
      <c r="CQG1" s="9" t="s">
        <v>2495</v>
      </c>
      <c r="CQH1" s="9" t="s">
        <v>2496</v>
      </c>
      <c r="CQI1" s="9" t="s">
        <v>2497</v>
      </c>
      <c r="CQJ1" s="9" t="s">
        <v>2498</v>
      </c>
      <c r="CQK1" s="9" t="s">
        <v>2499</v>
      </c>
      <c r="CQL1" s="9" t="s">
        <v>2500</v>
      </c>
      <c r="CQM1" s="9" t="s">
        <v>2501</v>
      </c>
      <c r="CQN1" s="9" t="s">
        <v>2502</v>
      </c>
      <c r="CQO1" s="9" t="s">
        <v>2503</v>
      </c>
      <c r="CQP1" s="9" t="s">
        <v>2504</v>
      </c>
      <c r="CQQ1" s="9" t="s">
        <v>2505</v>
      </c>
      <c r="CQR1" s="9" t="s">
        <v>2506</v>
      </c>
      <c r="CQS1" s="9" t="s">
        <v>2507</v>
      </c>
      <c r="CQT1" s="9" t="s">
        <v>2508</v>
      </c>
      <c r="CQU1" s="9" t="s">
        <v>2509</v>
      </c>
      <c r="CQV1" s="9" t="s">
        <v>2510</v>
      </c>
      <c r="CQW1" s="9" t="s">
        <v>2511</v>
      </c>
      <c r="CQX1" s="9" t="s">
        <v>2512</v>
      </c>
      <c r="CQY1" s="9" t="s">
        <v>2513</v>
      </c>
      <c r="CQZ1" s="9" t="s">
        <v>2514</v>
      </c>
      <c r="CRA1" s="9" t="s">
        <v>2515</v>
      </c>
      <c r="CRB1" s="9" t="s">
        <v>2516</v>
      </c>
      <c r="CRC1" s="9" t="s">
        <v>2517</v>
      </c>
      <c r="CRD1" s="9" t="s">
        <v>2518</v>
      </c>
      <c r="CRE1" s="9" t="s">
        <v>2519</v>
      </c>
      <c r="CRF1" s="9" t="s">
        <v>2520</v>
      </c>
      <c r="CRG1" s="9" t="s">
        <v>2521</v>
      </c>
      <c r="CRH1" s="9" t="s">
        <v>2522</v>
      </c>
      <c r="CRI1" s="9" t="s">
        <v>2523</v>
      </c>
      <c r="CRJ1" s="9" t="s">
        <v>2524</v>
      </c>
      <c r="CRK1" s="9" t="s">
        <v>2525</v>
      </c>
      <c r="CRL1" s="9" t="s">
        <v>2526</v>
      </c>
      <c r="CRM1" s="9" t="s">
        <v>2527</v>
      </c>
      <c r="CRN1" s="9" t="s">
        <v>2528</v>
      </c>
      <c r="CRO1" s="9" t="s">
        <v>2529</v>
      </c>
      <c r="CRP1" s="9" t="s">
        <v>2530</v>
      </c>
      <c r="CRQ1" s="9" t="s">
        <v>2531</v>
      </c>
      <c r="CRR1" s="9" t="s">
        <v>2532</v>
      </c>
      <c r="CRS1" s="9" t="s">
        <v>2533</v>
      </c>
      <c r="CRT1" s="9" t="s">
        <v>2534</v>
      </c>
      <c r="CRU1" s="9" t="s">
        <v>2535</v>
      </c>
      <c r="CRV1" s="9" t="s">
        <v>2536</v>
      </c>
      <c r="CRW1" s="9" t="s">
        <v>2537</v>
      </c>
      <c r="CRX1" s="9" t="s">
        <v>2538</v>
      </c>
      <c r="CRY1" s="9" t="s">
        <v>2539</v>
      </c>
      <c r="CRZ1" s="9" t="s">
        <v>2540</v>
      </c>
      <c r="CSA1" s="9" t="s">
        <v>2541</v>
      </c>
      <c r="CSB1" s="9" t="s">
        <v>2542</v>
      </c>
      <c r="CSC1" s="9" t="s">
        <v>2543</v>
      </c>
      <c r="CSD1" s="9" t="s">
        <v>2544</v>
      </c>
      <c r="CSE1" s="9" t="s">
        <v>2545</v>
      </c>
      <c r="CSF1" s="9" t="s">
        <v>2546</v>
      </c>
      <c r="CSG1" s="9" t="s">
        <v>2547</v>
      </c>
      <c r="CSH1" s="9" t="s">
        <v>2548</v>
      </c>
      <c r="CSI1" s="9" t="s">
        <v>2549</v>
      </c>
      <c r="CSJ1" s="9" t="s">
        <v>2550</v>
      </c>
      <c r="CSK1" s="9" t="s">
        <v>2551</v>
      </c>
      <c r="CSL1" s="9" t="s">
        <v>2552</v>
      </c>
      <c r="CSM1" s="9" t="s">
        <v>2553</v>
      </c>
      <c r="CSN1" s="9" t="s">
        <v>2554</v>
      </c>
      <c r="CSO1" s="9" t="s">
        <v>2555</v>
      </c>
      <c r="CSP1" s="9" t="s">
        <v>2556</v>
      </c>
      <c r="CSQ1" s="9" t="s">
        <v>2557</v>
      </c>
      <c r="CSR1" s="9" t="s">
        <v>2558</v>
      </c>
      <c r="CSS1" s="9" t="s">
        <v>2559</v>
      </c>
      <c r="CST1" s="9" t="s">
        <v>2560</v>
      </c>
      <c r="CSU1" s="9" t="s">
        <v>2561</v>
      </c>
      <c r="CSV1" s="9" t="s">
        <v>2562</v>
      </c>
      <c r="CSW1" s="9" t="s">
        <v>2563</v>
      </c>
      <c r="CSX1" s="9" t="s">
        <v>2564</v>
      </c>
      <c r="CSY1" s="9" t="s">
        <v>2565</v>
      </c>
      <c r="CSZ1" s="9" t="s">
        <v>2566</v>
      </c>
      <c r="CTA1" s="9" t="s">
        <v>2567</v>
      </c>
      <c r="CTB1" s="9" t="s">
        <v>2568</v>
      </c>
      <c r="CTC1" s="9" t="s">
        <v>2569</v>
      </c>
      <c r="CTD1" s="9" t="s">
        <v>2570</v>
      </c>
      <c r="CTE1" s="9" t="s">
        <v>2571</v>
      </c>
      <c r="CTF1" s="9" t="s">
        <v>2572</v>
      </c>
      <c r="CTG1" s="9" t="s">
        <v>2573</v>
      </c>
      <c r="CTH1" s="9" t="s">
        <v>2574</v>
      </c>
      <c r="CTI1" s="9" t="s">
        <v>2575</v>
      </c>
      <c r="CTJ1" s="9" t="s">
        <v>2576</v>
      </c>
      <c r="CTK1" s="9" t="s">
        <v>2577</v>
      </c>
      <c r="CTL1" s="9" t="s">
        <v>2578</v>
      </c>
      <c r="CTM1" s="9" t="s">
        <v>2579</v>
      </c>
      <c r="CTN1" s="9" t="s">
        <v>2580</v>
      </c>
      <c r="CTO1" s="9" t="s">
        <v>2581</v>
      </c>
      <c r="CTP1" s="9" t="s">
        <v>2582</v>
      </c>
      <c r="CTQ1" s="9" t="s">
        <v>2583</v>
      </c>
      <c r="CTR1" s="9" t="s">
        <v>2584</v>
      </c>
      <c r="CTS1" s="9" t="s">
        <v>2585</v>
      </c>
      <c r="CTT1" s="9" t="s">
        <v>2586</v>
      </c>
      <c r="CTU1" s="9" t="s">
        <v>2587</v>
      </c>
      <c r="CTV1" s="9" t="s">
        <v>2588</v>
      </c>
      <c r="CTW1" s="9" t="s">
        <v>2589</v>
      </c>
      <c r="CTX1" s="9" t="s">
        <v>2590</v>
      </c>
      <c r="CTY1" s="9" t="s">
        <v>2591</v>
      </c>
      <c r="CTZ1" s="9" t="s">
        <v>2592</v>
      </c>
      <c r="CUA1" s="9" t="s">
        <v>2593</v>
      </c>
      <c r="CUB1" s="9" t="s">
        <v>2594</v>
      </c>
      <c r="CUC1" s="9" t="s">
        <v>2595</v>
      </c>
      <c r="CUD1" s="9" t="s">
        <v>2596</v>
      </c>
      <c r="CUE1" s="9" t="s">
        <v>2597</v>
      </c>
      <c r="CUF1" s="9" t="s">
        <v>2598</v>
      </c>
      <c r="CUG1" s="9" t="s">
        <v>2599</v>
      </c>
      <c r="CUH1" s="9" t="s">
        <v>2600</v>
      </c>
      <c r="CUI1" s="9" t="s">
        <v>2601</v>
      </c>
      <c r="CUJ1" s="9" t="s">
        <v>2602</v>
      </c>
      <c r="CUK1" s="9" t="s">
        <v>2603</v>
      </c>
      <c r="CUL1" s="9" t="s">
        <v>2604</v>
      </c>
      <c r="CUM1" s="9" t="s">
        <v>2605</v>
      </c>
      <c r="CUN1" s="9" t="s">
        <v>2606</v>
      </c>
      <c r="CUO1" s="9" t="s">
        <v>2607</v>
      </c>
      <c r="CUP1" s="9" t="s">
        <v>2608</v>
      </c>
      <c r="CUQ1" s="9" t="s">
        <v>2609</v>
      </c>
      <c r="CUR1" s="9" t="s">
        <v>2610</v>
      </c>
      <c r="CUS1" s="9" t="s">
        <v>2611</v>
      </c>
      <c r="CUT1" s="9" t="s">
        <v>2612</v>
      </c>
      <c r="CUU1" s="9" t="s">
        <v>2613</v>
      </c>
      <c r="CUV1" s="9" t="s">
        <v>2614</v>
      </c>
      <c r="CUW1" s="9" t="s">
        <v>2615</v>
      </c>
      <c r="CUX1" s="9" t="s">
        <v>2616</v>
      </c>
      <c r="CUY1" s="9" t="s">
        <v>2617</v>
      </c>
      <c r="CUZ1" s="9" t="s">
        <v>2618</v>
      </c>
      <c r="CVA1" s="9" t="s">
        <v>2619</v>
      </c>
      <c r="CVB1" s="9" t="s">
        <v>2620</v>
      </c>
      <c r="CVC1" s="9" t="s">
        <v>2621</v>
      </c>
      <c r="CVD1" s="9" t="s">
        <v>2622</v>
      </c>
      <c r="CVE1" s="9" t="s">
        <v>2623</v>
      </c>
      <c r="CVF1" s="9" t="s">
        <v>2624</v>
      </c>
      <c r="CVG1" s="9" t="s">
        <v>2625</v>
      </c>
      <c r="CVH1" s="9" t="s">
        <v>2626</v>
      </c>
      <c r="CVI1" s="9" t="s">
        <v>2627</v>
      </c>
      <c r="CVJ1" s="9" t="s">
        <v>2628</v>
      </c>
      <c r="CVK1" s="9" t="s">
        <v>2629</v>
      </c>
      <c r="CVL1" s="9" t="s">
        <v>2630</v>
      </c>
      <c r="CVM1" s="9" t="s">
        <v>2631</v>
      </c>
      <c r="CVN1" s="9" t="s">
        <v>2632</v>
      </c>
      <c r="CVO1" s="9" t="s">
        <v>2633</v>
      </c>
      <c r="CVP1" s="9" t="s">
        <v>2634</v>
      </c>
      <c r="CVQ1" s="9" t="s">
        <v>2635</v>
      </c>
      <c r="CVR1" s="9" t="s">
        <v>2636</v>
      </c>
      <c r="CVS1" s="9" t="s">
        <v>2637</v>
      </c>
      <c r="CVT1" s="9" t="s">
        <v>2638</v>
      </c>
      <c r="CVU1" s="9" t="s">
        <v>2639</v>
      </c>
      <c r="CVV1" s="9" t="s">
        <v>2640</v>
      </c>
      <c r="CVW1" s="9" t="s">
        <v>2641</v>
      </c>
      <c r="CVX1" s="9" t="s">
        <v>2642</v>
      </c>
      <c r="CVY1" s="9" t="s">
        <v>2643</v>
      </c>
      <c r="CVZ1" s="9" t="s">
        <v>2644</v>
      </c>
      <c r="CWA1" s="9" t="s">
        <v>2645</v>
      </c>
      <c r="CWB1" s="9" t="s">
        <v>2646</v>
      </c>
      <c r="CWC1" s="9" t="s">
        <v>2647</v>
      </c>
      <c r="CWD1" s="9" t="s">
        <v>2648</v>
      </c>
      <c r="CWE1" s="9" t="s">
        <v>2649</v>
      </c>
      <c r="CWF1" s="9" t="s">
        <v>2650</v>
      </c>
      <c r="CWG1" s="9" t="s">
        <v>2651</v>
      </c>
      <c r="CWH1" s="9" t="s">
        <v>2652</v>
      </c>
      <c r="CWI1" s="9" t="s">
        <v>2653</v>
      </c>
      <c r="CWJ1" s="9" t="s">
        <v>2654</v>
      </c>
      <c r="CWK1" s="9" t="s">
        <v>2655</v>
      </c>
      <c r="CWL1" s="9" t="s">
        <v>2656</v>
      </c>
      <c r="CWM1" s="9" t="s">
        <v>2657</v>
      </c>
      <c r="CWN1" s="9" t="s">
        <v>2658</v>
      </c>
      <c r="CWO1" s="9" t="s">
        <v>2659</v>
      </c>
      <c r="CWP1" s="9" t="s">
        <v>2660</v>
      </c>
      <c r="CWQ1" s="9" t="s">
        <v>2661</v>
      </c>
      <c r="CWR1" s="9" t="s">
        <v>2662</v>
      </c>
      <c r="CWS1" s="9" t="s">
        <v>2663</v>
      </c>
      <c r="CWT1" s="9" t="s">
        <v>2664</v>
      </c>
      <c r="CWU1" s="9" t="s">
        <v>2665</v>
      </c>
      <c r="CWV1" s="9" t="s">
        <v>2666</v>
      </c>
      <c r="CWW1" s="9" t="s">
        <v>2667</v>
      </c>
      <c r="CWX1" s="9" t="s">
        <v>2668</v>
      </c>
      <c r="CWY1" s="9" t="s">
        <v>2669</v>
      </c>
      <c r="CWZ1" s="9" t="s">
        <v>2670</v>
      </c>
      <c r="CXA1" s="9" t="s">
        <v>2671</v>
      </c>
      <c r="CXB1" s="9" t="s">
        <v>2672</v>
      </c>
      <c r="CXC1" s="9" t="s">
        <v>2673</v>
      </c>
      <c r="CXD1" s="9" t="s">
        <v>2674</v>
      </c>
      <c r="CXE1" s="9" t="s">
        <v>2675</v>
      </c>
      <c r="CXF1" s="9" t="s">
        <v>2676</v>
      </c>
      <c r="CXG1" s="9" t="s">
        <v>2677</v>
      </c>
      <c r="CXH1" s="9" t="s">
        <v>2678</v>
      </c>
      <c r="CXI1" s="9" t="s">
        <v>2679</v>
      </c>
      <c r="CXJ1" s="9" t="s">
        <v>2680</v>
      </c>
      <c r="CXK1" s="9" t="s">
        <v>2681</v>
      </c>
      <c r="CXL1" s="9" t="s">
        <v>2682</v>
      </c>
      <c r="CXM1" s="9" t="s">
        <v>2683</v>
      </c>
      <c r="CXN1" s="9" t="s">
        <v>2684</v>
      </c>
      <c r="CXO1" s="9" t="s">
        <v>2685</v>
      </c>
      <c r="CXP1" s="9" t="s">
        <v>2686</v>
      </c>
      <c r="CXQ1" s="9" t="s">
        <v>2687</v>
      </c>
      <c r="CXR1" s="9" t="s">
        <v>2688</v>
      </c>
      <c r="CXS1" s="9" t="s">
        <v>2689</v>
      </c>
      <c r="CXT1" s="9" t="s">
        <v>2690</v>
      </c>
      <c r="CXU1" s="9" t="s">
        <v>2691</v>
      </c>
      <c r="CXV1" s="9" t="s">
        <v>2692</v>
      </c>
      <c r="CXW1" s="9" t="s">
        <v>2693</v>
      </c>
      <c r="CXX1" s="9" t="s">
        <v>2694</v>
      </c>
      <c r="CXY1" s="9" t="s">
        <v>2695</v>
      </c>
      <c r="CXZ1" s="9" t="s">
        <v>2696</v>
      </c>
      <c r="CYA1" s="9" t="s">
        <v>2697</v>
      </c>
      <c r="CYB1" s="9" t="s">
        <v>2698</v>
      </c>
      <c r="CYC1" s="9" t="s">
        <v>2699</v>
      </c>
      <c r="CYD1" s="9" t="s">
        <v>2700</v>
      </c>
      <c r="CYE1" s="9" t="s">
        <v>2701</v>
      </c>
      <c r="CYF1" s="9" t="s">
        <v>2702</v>
      </c>
      <c r="CYG1" s="9" t="s">
        <v>2703</v>
      </c>
      <c r="CYH1" s="9" t="s">
        <v>2704</v>
      </c>
      <c r="CYI1" s="9" t="s">
        <v>2705</v>
      </c>
      <c r="CYJ1" s="9" t="s">
        <v>2706</v>
      </c>
      <c r="CYK1" s="9" t="s">
        <v>2707</v>
      </c>
      <c r="CYL1" s="9" t="s">
        <v>2708</v>
      </c>
      <c r="CYM1" s="9" t="s">
        <v>2709</v>
      </c>
      <c r="CYN1" s="9" t="s">
        <v>2710</v>
      </c>
      <c r="CYO1" s="9" t="s">
        <v>2711</v>
      </c>
      <c r="CYP1" s="9" t="s">
        <v>2712</v>
      </c>
      <c r="CYQ1" s="9" t="s">
        <v>2713</v>
      </c>
      <c r="CYR1" s="9" t="s">
        <v>2714</v>
      </c>
      <c r="CYS1" s="9" t="s">
        <v>2715</v>
      </c>
      <c r="CYT1" s="9" t="s">
        <v>2716</v>
      </c>
      <c r="CYU1" s="9" t="s">
        <v>2717</v>
      </c>
      <c r="CYV1" s="9" t="s">
        <v>2718</v>
      </c>
      <c r="CYW1" s="9" t="s">
        <v>2719</v>
      </c>
      <c r="CYX1" s="9" t="s">
        <v>2720</v>
      </c>
      <c r="CYY1" s="9" t="s">
        <v>2721</v>
      </c>
      <c r="CYZ1" s="9" t="s">
        <v>2722</v>
      </c>
      <c r="CZA1" s="9" t="s">
        <v>2723</v>
      </c>
      <c r="CZB1" s="9" t="s">
        <v>2724</v>
      </c>
      <c r="CZC1" s="9" t="s">
        <v>2725</v>
      </c>
      <c r="CZD1" s="9" t="s">
        <v>2726</v>
      </c>
      <c r="CZE1" s="9" t="s">
        <v>2727</v>
      </c>
      <c r="CZF1" s="9" t="s">
        <v>2728</v>
      </c>
      <c r="CZG1" s="9" t="s">
        <v>2729</v>
      </c>
      <c r="CZH1" s="9" t="s">
        <v>2730</v>
      </c>
      <c r="CZI1" s="9" t="s">
        <v>2731</v>
      </c>
      <c r="CZJ1" s="9" t="s">
        <v>2732</v>
      </c>
      <c r="CZK1" s="9" t="s">
        <v>2733</v>
      </c>
      <c r="CZL1" s="9" t="s">
        <v>2734</v>
      </c>
      <c r="CZM1" s="9" t="s">
        <v>2735</v>
      </c>
      <c r="CZN1" s="9" t="s">
        <v>2736</v>
      </c>
      <c r="CZO1" s="9" t="s">
        <v>2737</v>
      </c>
      <c r="CZP1" s="9" t="s">
        <v>2738</v>
      </c>
      <c r="CZQ1" s="9" t="s">
        <v>2739</v>
      </c>
      <c r="CZR1" s="9" t="s">
        <v>2740</v>
      </c>
      <c r="CZS1" s="9" t="s">
        <v>2741</v>
      </c>
      <c r="CZT1" s="9" t="s">
        <v>2742</v>
      </c>
      <c r="CZU1" s="9" t="s">
        <v>2743</v>
      </c>
      <c r="CZV1" s="9" t="s">
        <v>2744</v>
      </c>
      <c r="CZW1" s="9" t="s">
        <v>2745</v>
      </c>
      <c r="CZX1" s="9" t="s">
        <v>2746</v>
      </c>
      <c r="CZY1" s="9" t="s">
        <v>2747</v>
      </c>
      <c r="CZZ1" s="9" t="s">
        <v>2748</v>
      </c>
      <c r="DAA1" s="9" t="s">
        <v>2749</v>
      </c>
      <c r="DAB1" s="9" t="s">
        <v>2750</v>
      </c>
      <c r="DAC1" s="9" t="s">
        <v>2751</v>
      </c>
      <c r="DAD1" s="9" t="s">
        <v>2752</v>
      </c>
      <c r="DAE1" s="9" t="s">
        <v>2753</v>
      </c>
      <c r="DAF1" s="9" t="s">
        <v>2754</v>
      </c>
      <c r="DAG1" s="9" t="s">
        <v>2755</v>
      </c>
      <c r="DAH1" s="9" t="s">
        <v>2756</v>
      </c>
      <c r="DAI1" s="9" t="s">
        <v>2757</v>
      </c>
      <c r="DAJ1" s="9" t="s">
        <v>2758</v>
      </c>
      <c r="DAK1" s="9" t="s">
        <v>2759</v>
      </c>
      <c r="DAL1" s="9" t="s">
        <v>2760</v>
      </c>
      <c r="DAM1" s="9" t="s">
        <v>2761</v>
      </c>
      <c r="DAN1" s="9" t="s">
        <v>2762</v>
      </c>
      <c r="DAO1" s="9" t="s">
        <v>2763</v>
      </c>
      <c r="DAP1" s="9" t="s">
        <v>2764</v>
      </c>
      <c r="DAQ1" s="9" t="s">
        <v>2765</v>
      </c>
      <c r="DAR1" s="9" t="s">
        <v>2766</v>
      </c>
      <c r="DAS1" s="9" t="s">
        <v>2767</v>
      </c>
      <c r="DAT1" s="9" t="s">
        <v>2768</v>
      </c>
      <c r="DAU1" s="9" t="s">
        <v>2769</v>
      </c>
      <c r="DAV1" s="9" t="s">
        <v>2770</v>
      </c>
      <c r="DAW1" s="9" t="s">
        <v>2771</v>
      </c>
      <c r="DAX1" s="9" t="s">
        <v>2772</v>
      </c>
      <c r="DAY1" s="9" t="s">
        <v>2773</v>
      </c>
      <c r="DAZ1" s="9" t="s">
        <v>2774</v>
      </c>
      <c r="DBA1" s="9" t="s">
        <v>2775</v>
      </c>
      <c r="DBB1" s="9" t="s">
        <v>2776</v>
      </c>
      <c r="DBC1" s="9" t="s">
        <v>2777</v>
      </c>
      <c r="DBD1" s="9" t="s">
        <v>2778</v>
      </c>
      <c r="DBE1" s="9" t="s">
        <v>2779</v>
      </c>
      <c r="DBF1" s="9" t="s">
        <v>2780</v>
      </c>
      <c r="DBG1" s="9" t="s">
        <v>2781</v>
      </c>
      <c r="DBH1" s="9" t="s">
        <v>2782</v>
      </c>
      <c r="DBI1" s="9" t="s">
        <v>2783</v>
      </c>
      <c r="DBJ1" s="9" t="s">
        <v>2784</v>
      </c>
      <c r="DBK1" s="9" t="s">
        <v>2785</v>
      </c>
      <c r="DBL1" s="9" t="s">
        <v>2786</v>
      </c>
      <c r="DBM1" s="9" t="s">
        <v>2787</v>
      </c>
      <c r="DBN1" s="9" t="s">
        <v>2788</v>
      </c>
      <c r="DBO1" s="9" t="s">
        <v>2789</v>
      </c>
      <c r="DBP1" s="9" t="s">
        <v>2790</v>
      </c>
      <c r="DBQ1" s="9" t="s">
        <v>2791</v>
      </c>
      <c r="DBR1" s="9" t="s">
        <v>2792</v>
      </c>
      <c r="DBS1" s="9" t="s">
        <v>2793</v>
      </c>
      <c r="DBT1" s="9" t="s">
        <v>2794</v>
      </c>
      <c r="DBU1" s="9" t="s">
        <v>2795</v>
      </c>
      <c r="DBV1" s="9" t="s">
        <v>2796</v>
      </c>
      <c r="DBW1" s="9" t="s">
        <v>2797</v>
      </c>
      <c r="DBX1" s="9" t="s">
        <v>2798</v>
      </c>
      <c r="DBY1" s="9" t="s">
        <v>2799</v>
      </c>
      <c r="DBZ1" s="9" t="s">
        <v>2800</v>
      </c>
      <c r="DCA1" s="9" t="s">
        <v>2801</v>
      </c>
      <c r="DCB1" s="9" t="s">
        <v>2802</v>
      </c>
      <c r="DCC1" s="9" t="s">
        <v>2803</v>
      </c>
      <c r="DCD1" s="9" t="s">
        <v>2804</v>
      </c>
      <c r="DCE1" s="9" t="s">
        <v>2805</v>
      </c>
      <c r="DCF1" s="9" t="s">
        <v>2806</v>
      </c>
      <c r="DCG1" s="9" t="s">
        <v>2807</v>
      </c>
      <c r="DCH1" s="9" t="s">
        <v>2808</v>
      </c>
      <c r="DCI1" s="9" t="s">
        <v>2809</v>
      </c>
      <c r="DCJ1" s="9" t="s">
        <v>2810</v>
      </c>
      <c r="DCK1" s="9" t="s">
        <v>2811</v>
      </c>
      <c r="DCL1" s="9" t="s">
        <v>2812</v>
      </c>
      <c r="DCM1" s="9" t="s">
        <v>2813</v>
      </c>
      <c r="DCN1" s="9" t="s">
        <v>2814</v>
      </c>
      <c r="DCO1" s="9" t="s">
        <v>2815</v>
      </c>
      <c r="DCP1" s="9" t="s">
        <v>2816</v>
      </c>
      <c r="DCQ1" s="9" t="s">
        <v>2817</v>
      </c>
      <c r="DCR1" s="9" t="s">
        <v>2818</v>
      </c>
      <c r="DCS1" s="9" t="s">
        <v>2819</v>
      </c>
      <c r="DCT1" s="9" t="s">
        <v>2820</v>
      </c>
      <c r="DCU1" s="9" t="s">
        <v>2821</v>
      </c>
      <c r="DCV1" s="9" t="s">
        <v>2822</v>
      </c>
      <c r="DCW1" s="9" t="s">
        <v>2823</v>
      </c>
      <c r="DCX1" s="9" t="s">
        <v>2824</v>
      </c>
      <c r="DCY1" s="9" t="s">
        <v>2825</v>
      </c>
      <c r="DCZ1" s="9" t="s">
        <v>2826</v>
      </c>
      <c r="DDA1" s="9" t="s">
        <v>2827</v>
      </c>
      <c r="DDB1" s="9" t="s">
        <v>2828</v>
      </c>
      <c r="DDC1" s="9" t="s">
        <v>2829</v>
      </c>
      <c r="DDD1" s="9" t="s">
        <v>2830</v>
      </c>
      <c r="DDE1" s="9" t="s">
        <v>2831</v>
      </c>
      <c r="DDF1" s="9" t="s">
        <v>2832</v>
      </c>
      <c r="DDG1" s="9" t="s">
        <v>2833</v>
      </c>
      <c r="DDH1" s="9" t="s">
        <v>2834</v>
      </c>
      <c r="DDI1" s="9" t="s">
        <v>2835</v>
      </c>
      <c r="DDJ1" s="9" t="s">
        <v>2836</v>
      </c>
      <c r="DDK1" s="9" t="s">
        <v>2837</v>
      </c>
      <c r="DDL1" s="9" t="s">
        <v>2838</v>
      </c>
      <c r="DDM1" s="9" t="s">
        <v>2839</v>
      </c>
      <c r="DDN1" s="9" t="s">
        <v>2840</v>
      </c>
      <c r="DDO1" s="9" t="s">
        <v>2841</v>
      </c>
      <c r="DDP1" s="9" t="s">
        <v>2842</v>
      </c>
      <c r="DDQ1" s="9" t="s">
        <v>2843</v>
      </c>
      <c r="DDR1" s="9" t="s">
        <v>2844</v>
      </c>
      <c r="DDS1" s="9" t="s">
        <v>2845</v>
      </c>
      <c r="DDT1" s="9" t="s">
        <v>2846</v>
      </c>
      <c r="DDU1" s="9" t="s">
        <v>2847</v>
      </c>
      <c r="DDV1" s="9" t="s">
        <v>2848</v>
      </c>
      <c r="DDW1" s="9" t="s">
        <v>2849</v>
      </c>
      <c r="DDX1" s="9" t="s">
        <v>2850</v>
      </c>
      <c r="DDY1" s="9" t="s">
        <v>2851</v>
      </c>
      <c r="DDZ1" s="9" t="s">
        <v>2852</v>
      </c>
      <c r="DEA1" s="9" t="s">
        <v>2853</v>
      </c>
      <c r="DEB1" s="9" t="s">
        <v>2854</v>
      </c>
      <c r="DEC1" s="9" t="s">
        <v>2855</v>
      </c>
      <c r="DED1" s="9" t="s">
        <v>2856</v>
      </c>
      <c r="DEE1" s="9" t="s">
        <v>2857</v>
      </c>
      <c r="DEF1" s="9" t="s">
        <v>2858</v>
      </c>
      <c r="DEG1" s="9" t="s">
        <v>2859</v>
      </c>
      <c r="DEH1" s="9" t="s">
        <v>2860</v>
      </c>
      <c r="DEI1" s="9" t="s">
        <v>2861</v>
      </c>
      <c r="DEJ1" s="9" t="s">
        <v>2862</v>
      </c>
      <c r="DEK1" s="9" t="s">
        <v>2863</v>
      </c>
      <c r="DEL1" s="9" t="s">
        <v>2864</v>
      </c>
      <c r="DEM1" s="9" t="s">
        <v>2865</v>
      </c>
      <c r="DEN1" s="9" t="s">
        <v>2866</v>
      </c>
      <c r="DEO1" s="9" t="s">
        <v>2867</v>
      </c>
      <c r="DEP1" s="9" t="s">
        <v>2868</v>
      </c>
      <c r="DEQ1" s="9" t="s">
        <v>2869</v>
      </c>
      <c r="DER1" s="9" t="s">
        <v>2870</v>
      </c>
      <c r="DES1" s="9" t="s">
        <v>2871</v>
      </c>
      <c r="DET1" s="9" t="s">
        <v>2872</v>
      </c>
      <c r="DEU1" s="9" t="s">
        <v>2873</v>
      </c>
      <c r="DEV1" s="9" t="s">
        <v>2874</v>
      </c>
      <c r="DEW1" s="9" t="s">
        <v>2875</v>
      </c>
      <c r="DEX1" s="9" t="s">
        <v>2876</v>
      </c>
      <c r="DEY1" s="9" t="s">
        <v>2877</v>
      </c>
      <c r="DEZ1" s="9" t="s">
        <v>2878</v>
      </c>
      <c r="DFA1" s="9" t="s">
        <v>2879</v>
      </c>
      <c r="DFB1" s="9" t="s">
        <v>2880</v>
      </c>
      <c r="DFC1" s="9" t="s">
        <v>2881</v>
      </c>
      <c r="DFD1" s="9" t="s">
        <v>2882</v>
      </c>
      <c r="DFE1" s="9" t="s">
        <v>2883</v>
      </c>
      <c r="DFF1" s="9" t="s">
        <v>2884</v>
      </c>
      <c r="DFG1" s="9" t="s">
        <v>2885</v>
      </c>
      <c r="DFH1" s="9" t="s">
        <v>2886</v>
      </c>
      <c r="DFI1" s="9" t="s">
        <v>2887</v>
      </c>
      <c r="DFJ1" s="9" t="s">
        <v>2888</v>
      </c>
      <c r="DFK1" s="9" t="s">
        <v>2889</v>
      </c>
      <c r="DFL1" s="9" t="s">
        <v>2890</v>
      </c>
      <c r="DFM1" s="9" t="s">
        <v>2891</v>
      </c>
      <c r="DFN1" s="9" t="s">
        <v>2892</v>
      </c>
      <c r="DFO1" s="9" t="s">
        <v>2893</v>
      </c>
      <c r="DFP1" s="9" t="s">
        <v>2894</v>
      </c>
      <c r="DFQ1" s="9" t="s">
        <v>2895</v>
      </c>
      <c r="DFR1" s="9" t="s">
        <v>2896</v>
      </c>
      <c r="DFS1" s="9" t="s">
        <v>2897</v>
      </c>
      <c r="DFT1" s="9" t="s">
        <v>2898</v>
      </c>
      <c r="DFU1" s="9" t="s">
        <v>2899</v>
      </c>
      <c r="DFV1" s="9" t="s">
        <v>2900</v>
      </c>
      <c r="DFW1" s="9" t="s">
        <v>2901</v>
      </c>
      <c r="DFX1" s="9" t="s">
        <v>2902</v>
      </c>
      <c r="DFY1" s="9" t="s">
        <v>2903</v>
      </c>
      <c r="DFZ1" s="9" t="s">
        <v>2904</v>
      </c>
      <c r="DGA1" s="9" t="s">
        <v>2905</v>
      </c>
      <c r="DGB1" s="9" t="s">
        <v>2906</v>
      </c>
      <c r="DGC1" s="9" t="s">
        <v>2907</v>
      </c>
      <c r="DGD1" s="9" t="s">
        <v>2908</v>
      </c>
      <c r="DGE1" s="9" t="s">
        <v>2909</v>
      </c>
      <c r="DGF1" s="9" t="s">
        <v>2910</v>
      </c>
      <c r="DGG1" s="9" t="s">
        <v>2911</v>
      </c>
      <c r="DGH1" s="9" t="s">
        <v>2912</v>
      </c>
      <c r="DGI1" s="9" t="s">
        <v>2913</v>
      </c>
      <c r="DGJ1" s="9" t="s">
        <v>2914</v>
      </c>
      <c r="DGK1" s="9" t="s">
        <v>2915</v>
      </c>
      <c r="DGL1" s="9" t="s">
        <v>2916</v>
      </c>
      <c r="DGM1" s="9" t="s">
        <v>2917</v>
      </c>
      <c r="DGN1" s="9" t="s">
        <v>2918</v>
      </c>
      <c r="DGO1" s="9" t="s">
        <v>2919</v>
      </c>
      <c r="DGP1" s="9" t="s">
        <v>2920</v>
      </c>
      <c r="DGQ1" s="9" t="s">
        <v>2921</v>
      </c>
      <c r="DGR1" s="9" t="s">
        <v>2922</v>
      </c>
      <c r="DGS1" s="9" t="s">
        <v>2923</v>
      </c>
      <c r="DGT1" s="9" t="s">
        <v>2924</v>
      </c>
      <c r="DGU1" s="9" t="s">
        <v>2925</v>
      </c>
      <c r="DGV1" s="9" t="s">
        <v>2926</v>
      </c>
      <c r="DGW1" s="9" t="s">
        <v>2927</v>
      </c>
      <c r="DGX1" s="9" t="s">
        <v>2928</v>
      </c>
      <c r="DGY1" s="9" t="s">
        <v>2929</v>
      </c>
      <c r="DGZ1" s="9" t="s">
        <v>2930</v>
      </c>
      <c r="DHA1" s="9" t="s">
        <v>2931</v>
      </c>
      <c r="DHB1" s="9" t="s">
        <v>2932</v>
      </c>
      <c r="DHC1" s="9" t="s">
        <v>2933</v>
      </c>
      <c r="DHD1" s="9" t="s">
        <v>2934</v>
      </c>
      <c r="DHE1" s="9" t="s">
        <v>2935</v>
      </c>
      <c r="DHF1" s="9" t="s">
        <v>2936</v>
      </c>
      <c r="DHG1" s="9" t="s">
        <v>2937</v>
      </c>
      <c r="DHH1" s="9" t="s">
        <v>2938</v>
      </c>
      <c r="DHI1" s="9" t="s">
        <v>2939</v>
      </c>
      <c r="DHJ1" s="9" t="s">
        <v>2940</v>
      </c>
      <c r="DHK1" s="9" t="s">
        <v>2941</v>
      </c>
      <c r="DHL1" s="9" t="s">
        <v>2942</v>
      </c>
      <c r="DHM1" s="9" t="s">
        <v>2943</v>
      </c>
      <c r="DHN1" s="9" t="s">
        <v>2944</v>
      </c>
      <c r="DHO1" s="9" t="s">
        <v>2945</v>
      </c>
      <c r="DHP1" s="9" t="s">
        <v>2946</v>
      </c>
      <c r="DHQ1" s="9" t="s">
        <v>2947</v>
      </c>
      <c r="DHR1" s="9" t="s">
        <v>2948</v>
      </c>
      <c r="DHS1" s="9" t="s">
        <v>2949</v>
      </c>
      <c r="DHT1" s="9" t="s">
        <v>2950</v>
      </c>
      <c r="DHU1" s="9" t="s">
        <v>2951</v>
      </c>
      <c r="DHV1" s="9" t="s">
        <v>2952</v>
      </c>
      <c r="DHW1" s="9" t="s">
        <v>2953</v>
      </c>
      <c r="DHX1" s="9" t="s">
        <v>2954</v>
      </c>
      <c r="DHY1" s="9" t="s">
        <v>2955</v>
      </c>
      <c r="DHZ1" s="9" t="s">
        <v>2956</v>
      </c>
      <c r="DIA1" s="9" t="s">
        <v>2957</v>
      </c>
      <c r="DIB1" s="9" t="s">
        <v>2958</v>
      </c>
      <c r="DIC1" s="9" t="s">
        <v>2959</v>
      </c>
      <c r="DID1" s="9" t="s">
        <v>2960</v>
      </c>
      <c r="DIE1" s="9" t="s">
        <v>2961</v>
      </c>
      <c r="DIF1" s="9" t="s">
        <v>2962</v>
      </c>
      <c r="DIG1" s="9" t="s">
        <v>2963</v>
      </c>
      <c r="DIH1" s="9" t="s">
        <v>2964</v>
      </c>
      <c r="DII1" s="9" t="s">
        <v>2965</v>
      </c>
      <c r="DIJ1" s="9" t="s">
        <v>2966</v>
      </c>
      <c r="DIK1" s="9" t="s">
        <v>2967</v>
      </c>
      <c r="DIL1" s="9" t="s">
        <v>2968</v>
      </c>
      <c r="DIM1" s="9" t="s">
        <v>2969</v>
      </c>
      <c r="DIN1" s="9" t="s">
        <v>2970</v>
      </c>
      <c r="DIO1" s="9" t="s">
        <v>2971</v>
      </c>
      <c r="DIP1" s="9" t="s">
        <v>2972</v>
      </c>
      <c r="DIQ1" s="9" t="s">
        <v>2973</v>
      </c>
      <c r="DIR1" s="9" t="s">
        <v>2974</v>
      </c>
      <c r="DIS1" s="9" t="s">
        <v>2975</v>
      </c>
      <c r="DIT1" s="9" t="s">
        <v>2976</v>
      </c>
      <c r="DIU1" s="9" t="s">
        <v>2977</v>
      </c>
      <c r="DIV1" s="9" t="s">
        <v>2978</v>
      </c>
      <c r="DIW1" s="9" t="s">
        <v>2979</v>
      </c>
      <c r="DIX1" s="9" t="s">
        <v>2980</v>
      </c>
      <c r="DIY1" s="9" t="s">
        <v>2981</v>
      </c>
      <c r="DIZ1" s="9" t="s">
        <v>2982</v>
      </c>
      <c r="DJA1" s="9" t="s">
        <v>2983</v>
      </c>
      <c r="DJB1" s="9" t="s">
        <v>2984</v>
      </c>
      <c r="DJC1" s="9" t="s">
        <v>2985</v>
      </c>
      <c r="DJD1" s="9" t="s">
        <v>2986</v>
      </c>
      <c r="DJE1" s="9" t="s">
        <v>2987</v>
      </c>
      <c r="DJF1" s="9" t="s">
        <v>2988</v>
      </c>
      <c r="DJG1" s="9" t="s">
        <v>2989</v>
      </c>
      <c r="DJH1" s="9" t="s">
        <v>2990</v>
      </c>
      <c r="DJI1" s="9" t="s">
        <v>2991</v>
      </c>
      <c r="DJJ1" s="9" t="s">
        <v>2992</v>
      </c>
      <c r="DJK1" s="9" t="s">
        <v>2993</v>
      </c>
      <c r="DJL1" s="9" t="s">
        <v>2994</v>
      </c>
      <c r="DJM1" s="9" t="s">
        <v>2995</v>
      </c>
      <c r="DJN1" s="9" t="s">
        <v>2996</v>
      </c>
      <c r="DJO1" s="9" t="s">
        <v>2997</v>
      </c>
      <c r="DJP1" s="9" t="s">
        <v>2998</v>
      </c>
      <c r="DJQ1" s="9" t="s">
        <v>2999</v>
      </c>
      <c r="DJR1" s="9" t="s">
        <v>3000</v>
      </c>
      <c r="DJS1" s="9" t="s">
        <v>3001</v>
      </c>
      <c r="DJT1" s="9" t="s">
        <v>3002</v>
      </c>
      <c r="DJU1" s="9" t="s">
        <v>3003</v>
      </c>
      <c r="DJV1" s="9" t="s">
        <v>3004</v>
      </c>
      <c r="DJW1" s="9" t="s">
        <v>3005</v>
      </c>
      <c r="DJX1" s="9" t="s">
        <v>3006</v>
      </c>
      <c r="DJY1" s="9" t="s">
        <v>3007</v>
      </c>
      <c r="DJZ1" s="9" t="s">
        <v>3008</v>
      </c>
      <c r="DKA1" s="9" t="s">
        <v>3009</v>
      </c>
      <c r="DKB1" s="9" t="s">
        <v>3010</v>
      </c>
      <c r="DKC1" s="9" t="s">
        <v>3011</v>
      </c>
      <c r="DKD1" s="9" t="s">
        <v>3012</v>
      </c>
      <c r="DKE1" s="9" t="s">
        <v>3013</v>
      </c>
      <c r="DKF1" s="9" t="s">
        <v>3014</v>
      </c>
      <c r="DKG1" s="9" t="s">
        <v>3015</v>
      </c>
      <c r="DKH1" s="9" t="s">
        <v>3016</v>
      </c>
      <c r="DKI1" s="9" t="s">
        <v>3017</v>
      </c>
      <c r="DKJ1" s="9" t="s">
        <v>3018</v>
      </c>
      <c r="DKK1" s="9" t="s">
        <v>3019</v>
      </c>
      <c r="DKL1" s="9" t="s">
        <v>3020</v>
      </c>
      <c r="DKM1" s="9" t="s">
        <v>3021</v>
      </c>
      <c r="DKN1" s="9" t="s">
        <v>3022</v>
      </c>
      <c r="DKO1" s="9" t="s">
        <v>3023</v>
      </c>
      <c r="DKP1" s="9" t="s">
        <v>3024</v>
      </c>
      <c r="DKQ1" s="9" t="s">
        <v>3025</v>
      </c>
      <c r="DKR1" s="9" t="s">
        <v>3026</v>
      </c>
      <c r="DKS1" s="9" t="s">
        <v>3027</v>
      </c>
      <c r="DKT1" s="9" t="s">
        <v>3028</v>
      </c>
      <c r="DKU1" s="9" t="s">
        <v>3029</v>
      </c>
      <c r="DKV1" s="9" t="s">
        <v>3030</v>
      </c>
      <c r="DKW1" s="9" t="s">
        <v>3031</v>
      </c>
      <c r="DKX1" s="9" t="s">
        <v>3032</v>
      </c>
      <c r="DKY1" s="9" t="s">
        <v>3033</v>
      </c>
      <c r="DKZ1" s="9" t="s">
        <v>3034</v>
      </c>
      <c r="DLA1" s="9" t="s">
        <v>3035</v>
      </c>
      <c r="DLB1" s="9" t="s">
        <v>3036</v>
      </c>
      <c r="DLC1" s="9" t="s">
        <v>3037</v>
      </c>
      <c r="DLD1" s="9" t="s">
        <v>3038</v>
      </c>
      <c r="DLE1" s="9" t="s">
        <v>3039</v>
      </c>
      <c r="DLF1" s="9" t="s">
        <v>3040</v>
      </c>
      <c r="DLG1" s="9" t="s">
        <v>3041</v>
      </c>
      <c r="DLH1" s="9" t="s">
        <v>3042</v>
      </c>
      <c r="DLI1" s="9" t="s">
        <v>3043</v>
      </c>
      <c r="DLJ1" s="9" t="s">
        <v>3044</v>
      </c>
      <c r="DLK1" s="9" t="s">
        <v>3045</v>
      </c>
      <c r="DLL1" s="9" t="s">
        <v>3046</v>
      </c>
      <c r="DLM1" s="9" t="s">
        <v>3047</v>
      </c>
      <c r="DLN1" s="9" t="s">
        <v>3048</v>
      </c>
      <c r="DLO1" s="9" t="s">
        <v>3049</v>
      </c>
      <c r="DLP1" s="9" t="s">
        <v>3050</v>
      </c>
      <c r="DLQ1" s="9" t="s">
        <v>3051</v>
      </c>
      <c r="DLR1" s="9" t="s">
        <v>3052</v>
      </c>
      <c r="DLS1" s="9" t="s">
        <v>3053</v>
      </c>
      <c r="DLT1" s="9" t="s">
        <v>3054</v>
      </c>
      <c r="DLU1" s="9" t="s">
        <v>3055</v>
      </c>
      <c r="DLV1" s="9" t="s">
        <v>3056</v>
      </c>
      <c r="DLW1" s="9" t="s">
        <v>3057</v>
      </c>
      <c r="DLX1" s="9" t="s">
        <v>3058</v>
      </c>
      <c r="DLY1" s="9" t="s">
        <v>3059</v>
      </c>
      <c r="DLZ1" s="9" t="s">
        <v>3060</v>
      </c>
      <c r="DMA1" s="9" t="s">
        <v>3061</v>
      </c>
      <c r="DMB1" s="9" t="s">
        <v>3062</v>
      </c>
      <c r="DMC1" s="9" t="s">
        <v>3063</v>
      </c>
      <c r="DMD1" s="9" t="s">
        <v>3064</v>
      </c>
      <c r="DME1" s="9" t="s">
        <v>3065</v>
      </c>
      <c r="DMF1" s="9" t="s">
        <v>3066</v>
      </c>
      <c r="DMG1" s="9" t="s">
        <v>3067</v>
      </c>
      <c r="DMH1" s="9" t="s">
        <v>3068</v>
      </c>
      <c r="DMI1" s="9" t="s">
        <v>3069</v>
      </c>
      <c r="DMJ1" s="9" t="s">
        <v>3070</v>
      </c>
      <c r="DMK1" s="9" t="s">
        <v>3071</v>
      </c>
      <c r="DML1" s="9" t="s">
        <v>3072</v>
      </c>
      <c r="DMM1" s="9" t="s">
        <v>3073</v>
      </c>
      <c r="DMN1" s="9" t="s">
        <v>3074</v>
      </c>
      <c r="DMO1" s="9" t="s">
        <v>3075</v>
      </c>
      <c r="DMP1" s="9" t="s">
        <v>3076</v>
      </c>
      <c r="DMQ1" s="9" t="s">
        <v>3077</v>
      </c>
      <c r="DMR1" s="9" t="s">
        <v>3078</v>
      </c>
      <c r="DMS1" s="9" t="s">
        <v>3079</v>
      </c>
      <c r="DMT1" s="9" t="s">
        <v>3080</v>
      </c>
      <c r="DMU1" s="9" t="s">
        <v>3081</v>
      </c>
      <c r="DMV1" s="9" t="s">
        <v>3082</v>
      </c>
      <c r="DMW1" s="9" t="s">
        <v>3083</v>
      </c>
      <c r="DMX1" s="9" t="s">
        <v>3084</v>
      </c>
      <c r="DMY1" s="9" t="s">
        <v>3085</v>
      </c>
      <c r="DMZ1" s="9" t="s">
        <v>3086</v>
      </c>
      <c r="DNA1" s="9" t="s">
        <v>3087</v>
      </c>
      <c r="DNB1" s="9" t="s">
        <v>3088</v>
      </c>
      <c r="DNC1" s="9" t="s">
        <v>3089</v>
      </c>
      <c r="DND1" s="9" t="s">
        <v>3090</v>
      </c>
      <c r="DNE1" s="9" t="s">
        <v>3091</v>
      </c>
      <c r="DNF1" s="9" t="s">
        <v>3092</v>
      </c>
      <c r="DNG1" s="9" t="s">
        <v>3093</v>
      </c>
      <c r="DNH1" s="9" t="s">
        <v>3094</v>
      </c>
      <c r="DNI1" s="9" t="s">
        <v>3095</v>
      </c>
      <c r="DNJ1" s="9" t="s">
        <v>3096</v>
      </c>
      <c r="DNK1" s="9" t="s">
        <v>3097</v>
      </c>
      <c r="DNL1" s="9" t="s">
        <v>3098</v>
      </c>
      <c r="DNM1" s="9" t="s">
        <v>3099</v>
      </c>
      <c r="DNN1" s="9" t="s">
        <v>3100</v>
      </c>
      <c r="DNO1" s="9" t="s">
        <v>3101</v>
      </c>
      <c r="DNP1" s="9" t="s">
        <v>3102</v>
      </c>
      <c r="DNQ1" s="9" t="s">
        <v>3103</v>
      </c>
      <c r="DNR1" s="9" t="s">
        <v>3104</v>
      </c>
      <c r="DNS1" s="9" t="s">
        <v>3105</v>
      </c>
      <c r="DNT1" s="9" t="s">
        <v>3106</v>
      </c>
      <c r="DNU1" s="9" t="s">
        <v>3107</v>
      </c>
      <c r="DNV1" s="9" t="s">
        <v>3108</v>
      </c>
      <c r="DNW1" s="9" t="s">
        <v>3109</v>
      </c>
      <c r="DNX1" s="9" t="s">
        <v>3110</v>
      </c>
      <c r="DNY1" s="9" t="s">
        <v>3111</v>
      </c>
      <c r="DNZ1" s="9" t="s">
        <v>3112</v>
      </c>
      <c r="DOA1" s="9" t="s">
        <v>3113</v>
      </c>
      <c r="DOB1" s="9" t="s">
        <v>3114</v>
      </c>
      <c r="DOC1" s="9" t="s">
        <v>3115</v>
      </c>
      <c r="DOD1" s="9" t="s">
        <v>3116</v>
      </c>
      <c r="DOE1" s="9" t="s">
        <v>3117</v>
      </c>
      <c r="DOF1" s="9" t="s">
        <v>3118</v>
      </c>
      <c r="DOG1" s="9" t="s">
        <v>3119</v>
      </c>
      <c r="DOH1" s="9" t="s">
        <v>3120</v>
      </c>
      <c r="DOI1" s="9" t="s">
        <v>3121</v>
      </c>
      <c r="DOJ1" s="9" t="s">
        <v>3122</v>
      </c>
      <c r="DOK1" s="9" t="s">
        <v>3123</v>
      </c>
      <c r="DOL1" s="9" t="s">
        <v>3124</v>
      </c>
      <c r="DOM1" s="9" t="s">
        <v>3125</v>
      </c>
      <c r="DON1" s="9" t="s">
        <v>3126</v>
      </c>
      <c r="DOO1" s="9" t="s">
        <v>3127</v>
      </c>
      <c r="DOP1" s="9" t="s">
        <v>3128</v>
      </c>
      <c r="DOQ1" s="9" t="s">
        <v>3129</v>
      </c>
      <c r="DOR1" s="9" t="s">
        <v>3130</v>
      </c>
      <c r="DOS1" s="9" t="s">
        <v>3131</v>
      </c>
      <c r="DOT1" s="9" t="s">
        <v>3132</v>
      </c>
      <c r="DOU1" s="9" t="s">
        <v>3133</v>
      </c>
      <c r="DOV1" s="9" t="s">
        <v>3134</v>
      </c>
      <c r="DOW1" s="9" t="s">
        <v>3135</v>
      </c>
      <c r="DOX1" s="9" t="s">
        <v>3136</v>
      </c>
      <c r="DOY1" s="9" t="s">
        <v>3137</v>
      </c>
      <c r="DOZ1" s="9" t="s">
        <v>3138</v>
      </c>
      <c r="DPA1" s="9" t="s">
        <v>3139</v>
      </c>
      <c r="DPB1" s="9" t="s">
        <v>3140</v>
      </c>
      <c r="DPC1" s="9" t="s">
        <v>3141</v>
      </c>
      <c r="DPD1" s="9" t="s">
        <v>3142</v>
      </c>
      <c r="DPE1" s="9" t="s">
        <v>3143</v>
      </c>
      <c r="DPF1" s="9" t="s">
        <v>3144</v>
      </c>
      <c r="DPG1" s="9" t="s">
        <v>3145</v>
      </c>
      <c r="DPH1" s="9" t="s">
        <v>3146</v>
      </c>
      <c r="DPI1" s="9" t="s">
        <v>3147</v>
      </c>
      <c r="DPJ1" s="9" t="s">
        <v>3148</v>
      </c>
      <c r="DPK1" s="9" t="s">
        <v>3149</v>
      </c>
      <c r="DPL1" s="9" t="s">
        <v>3150</v>
      </c>
      <c r="DPM1" s="9" t="s">
        <v>3151</v>
      </c>
      <c r="DPN1" s="9" t="s">
        <v>3152</v>
      </c>
      <c r="DPO1" s="9" t="s">
        <v>3153</v>
      </c>
      <c r="DPP1" s="9" t="s">
        <v>3154</v>
      </c>
      <c r="DPQ1" s="9" t="s">
        <v>3155</v>
      </c>
      <c r="DPR1" s="9" t="s">
        <v>3156</v>
      </c>
      <c r="DPS1" s="9" t="s">
        <v>3157</v>
      </c>
      <c r="DPT1" s="9" t="s">
        <v>3158</v>
      </c>
      <c r="DPU1" s="9" t="s">
        <v>3159</v>
      </c>
      <c r="DPV1" s="9" t="s">
        <v>3160</v>
      </c>
      <c r="DPW1" s="9" t="s">
        <v>3161</v>
      </c>
      <c r="DPX1" s="9" t="s">
        <v>3162</v>
      </c>
      <c r="DPY1" s="9" t="s">
        <v>3163</v>
      </c>
      <c r="DPZ1" s="9" t="s">
        <v>3164</v>
      </c>
      <c r="DQA1" s="9" t="s">
        <v>3165</v>
      </c>
      <c r="DQB1" s="9" t="s">
        <v>3166</v>
      </c>
      <c r="DQC1" s="9" t="s">
        <v>3167</v>
      </c>
      <c r="DQD1" s="9" t="s">
        <v>3168</v>
      </c>
      <c r="DQE1" s="9" t="s">
        <v>3169</v>
      </c>
      <c r="DQF1" s="9" t="s">
        <v>3170</v>
      </c>
      <c r="DQG1" s="9" t="s">
        <v>3171</v>
      </c>
      <c r="DQH1" s="9" t="s">
        <v>3172</v>
      </c>
      <c r="DQI1" s="9" t="s">
        <v>3173</v>
      </c>
      <c r="DQJ1" s="9" t="s">
        <v>3174</v>
      </c>
      <c r="DQK1" s="9" t="s">
        <v>3175</v>
      </c>
      <c r="DQL1" s="9" t="s">
        <v>3176</v>
      </c>
      <c r="DQM1" s="9" t="s">
        <v>3177</v>
      </c>
      <c r="DQN1" s="9" t="s">
        <v>3178</v>
      </c>
      <c r="DQO1" s="9" t="s">
        <v>3179</v>
      </c>
      <c r="DQP1" s="9" t="s">
        <v>3180</v>
      </c>
      <c r="DQQ1" s="9" t="s">
        <v>3181</v>
      </c>
      <c r="DQR1" s="9" t="s">
        <v>3182</v>
      </c>
      <c r="DQS1" s="9" t="s">
        <v>3183</v>
      </c>
      <c r="DQT1" s="9" t="s">
        <v>3184</v>
      </c>
      <c r="DQU1" s="9" t="s">
        <v>3185</v>
      </c>
      <c r="DQV1" s="9" t="s">
        <v>3186</v>
      </c>
      <c r="DQW1" s="9" t="s">
        <v>3187</v>
      </c>
      <c r="DQX1" s="9" t="s">
        <v>3188</v>
      </c>
      <c r="DQY1" s="9" t="s">
        <v>3189</v>
      </c>
      <c r="DQZ1" s="9" t="s">
        <v>3190</v>
      </c>
      <c r="DRA1" s="9" t="s">
        <v>3191</v>
      </c>
      <c r="DRB1" s="9" t="s">
        <v>3192</v>
      </c>
      <c r="DRC1" s="9" t="s">
        <v>3193</v>
      </c>
      <c r="DRD1" s="9" t="s">
        <v>3194</v>
      </c>
      <c r="DRE1" s="9" t="s">
        <v>3195</v>
      </c>
      <c r="DRF1" s="9" t="s">
        <v>3196</v>
      </c>
      <c r="DRG1" s="9" t="s">
        <v>3197</v>
      </c>
      <c r="DRH1" s="9" t="s">
        <v>3198</v>
      </c>
      <c r="DRI1" s="9" t="s">
        <v>3199</v>
      </c>
      <c r="DRJ1" s="9" t="s">
        <v>3200</v>
      </c>
      <c r="DRK1" s="9" t="s">
        <v>3201</v>
      </c>
      <c r="DRL1" s="9" t="s">
        <v>3202</v>
      </c>
      <c r="DRM1" s="9" t="s">
        <v>3203</v>
      </c>
      <c r="DRN1" s="9" t="s">
        <v>3204</v>
      </c>
      <c r="DRO1" s="9" t="s">
        <v>3205</v>
      </c>
      <c r="DRP1" s="9" t="s">
        <v>3206</v>
      </c>
      <c r="DRQ1" s="9" t="s">
        <v>3207</v>
      </c>
      <c r="DRR1" s="9" t="s">
        <v>3208</v>
      </c>
      <c r="DRS1" s="9" t="s">
        <v>3209</v>
      </c>
      <c r="DRT1" s="9" t="s">
        <v>3210</v>
      </c>
      <c r="DRU1" s="9" t="s">
        <v>3211</v>
      </c>
      <c r="DRV1" s="9" t="s">
        <v>3212</v>
      </c>
      <c r="DRW1" s="9" t="s">
        <v>3213</v>
      </c>
      <c r="DRX1" s="9" t="s">
        <v>3214</v>
      </c>
      <c r="DRY1" s="9" t="s">
        <v>3215</v>
      </c>
      <c r="DRZ1" s="9" t="s">
        <v>3216</v>
      </c>
      <c r="DSA1" s="9" t="s">
        <v>3217</v>
      </c>
      <c r="DSB1" s="9" t="s">
        <v>3218</v>
      </c>
      <c r="DSC1" s="9" t="s">
        <v>3219</v>
      </c>
      <c r="DSD1" s="9" t="s">
        <v>3220</v>
      </c>
      <c r="DSE1" s="9" t="s">
        <v>3221</v>
      </c>
      <c r="DSF1" s="9" t="s">
        <v>3222</v>
      </c>
      <c r="DSG1" s="9" t="s">
        <v>3223</v>
      </c>
      <c r="DSH1" s="9" t="s">
        <v>3224</v>
      </c>
      <c r="DSI1" s="9" t="s">
        <v>3225</v>
      </c>
      <c r="DSJ1" s="9" t="s">
        <v>3226</v>
      </c>
      <c r="DSK1" s="9" t="s">
        <v>3227</v>
      </c>
      <c r="DSL1" s="9" t="s">
        <v>3228</v>
      </c>
      <c r="DSM1" s="9" t="s">
        <v>3229</v>
      </c>
      <c r="DSN1" s="9" t="s">
        <v>3230</v>
      </c>
      <c r="DSO1" s="9" t="s">
        <v>3231</v>
      </c>
      <c r="DSP1" s="9" t="s">
        <v>3232</v>
      </c>
      <c r="DSQ1" s="9" t="s">
        <v>3233</v>
      </c>
      <c r="DSR1" s="9" t="s">
        <v>3234</v>
      </c>
      <c r="DSS1" s="9" t="s">
        <v>3235</v>
      </c>
      <c r="DST1" s="9" t="s">
        <v>3236</v>
      </c>
      <c r="DSU1" s="9" t="s">
        <v>3237</v>
      </c>
      <c r="DSV1" s="9" t="s">
        <v>3238</v>
      </c>
      <c r="DSW1" s="9" t="s">
        <v>3239</v>
      </c>
      <c r="DSX1" s="9" t="s">
        <v>3240</v>
      </c>
      <c r="DSY1" s="9" t="s">
        <v>3241</v>
      </c>
      <c r="DSZ1" s="9" t="s">
        <v>3242</v>
      </c>
      <c r="DTA1" s="9" t="s">
        <v>3243</v>
      </c>
      <c r="DTB1" s="9" t="s">
        <v>3244</v>
      </c>
      <c r="DTC1" s="9" t="s">
        <v>3245</v>
      </c>
      <c r="DTD1" s="9" t="s">
        <v>3246</v>
      </c>
      <c r="DTE1" s="9" t="s">
        <v>3247</v>
      </c>
      <c r="DTF1" s="9" t="s">
        <v>3248</v>
      </c>
      <c r="DTG1" s="9" t="s">
        <v>3249</v>
      </c>
      <c r="DTH1" s="9" t="s">
        <v>3250</v>
      </c>
      <c r="DTI1" s="9" t="s">
        <v>3251</v>
      </c>
      <c r="DTJ1" s="9" t="s">
        <v>3252</v>
      </c>
      <c r="DTK1" s="9" t="s">
        <v>3253</v>
      </c>
      <c r="DTL1" s="9" t="s">
        <v>3254</v>
      </c>
      <c r="DTM1" s="9" t="s">
        <v>3255</v>
      </c>
      <c r="DTN1" s="9" t="s">
        <v>3256</v>
      </c>
      <c r="DTO1" s="9" t="s">
        <v>3257</v>
      </c>
      <c r="DTP1" s="9" t="s">
        <v>3258</v>
      </c>
      <c r="DTQ1" s="9" t="s">
        <v>3259</v>
      </c>
      <c r="DTR1" s="9" t="s">
        <v>3260</v>
      </c>
      <c r="DTS1" s="9" t="s">
        <v>3261</v>
      </c>
      <c r="DTT1" s="9" t="s">
        <v>3262</v>
      </c>
      <c r="DTU1" s="9" t="s">
        <v>3263</v>
      </c>
      <c r="DTV1" s="9" t="s">
        <v>3264</v>
      </c>
      <c r="DTW1" s="9" t="s">
        <v>3265</v>
      </c>
      <c r="DTX1" s="9" t="s">
        <v>3266</v>
      </c>
      <c r="DTY1" s="9" t="s">
        <v>3267</v>
      </c>
      <c r="DTZ1" s="9" t="s">
        <v>3268</v>
      </c>
      <c r="DUA1" s="9" t="s">
        <v>3269</v>
      </c>
      <c r="DUB1" s="9" t="s">
        <v>3270</v>
      </c>
      <c r="DUC1" s="9" t="s">
        <v>3271</v>
      </c>
      <c r="DUD1" s="9" t="s">
        <v>3272</v>
      </c>
      <c r="DUE1" s="9" t="s">
        <v>3273</v>
      </c>
      <c r="DUF1" s="9" t="s">
        <v>3274</v>
      </c>
      <c r="DUG1" s="9" t="s">
        <v>3275</v>
      </c>
      <c r="DUH1" s="9" t="s">
        <v>3276</v>
      </c>
      <c r="DUI1" s="9" t="s">
        <v>3277</v>
      </c>
      <c r="DUJ1" s="9" t="s">
        <v>3278</v>
      </c>
      <c r="DUK1" s="9" t="s">
        <v>3279</v>
      </c>
      <c r="DUL1" s="9" t="s">
        <v>3280</v>
      </c>
      <c r="DUM1" s="9" t="s">
        <v>3281</v>
      </c>
      <c r="DUN1" s="9" t="s">
        <v>3282</v>
      </c>
      <c r="DUO1" s="9" t="s">
        <v>3283</v>
      </c>
      <c r="DUP1" s="9" t="s">
        <v>3284</v>
      </c>
      <c r="DUQ1" s="9" t="s">
        <v>3285</v>
      </c>
      <c r="DUR1" s="9" t="s">
        <v>3286</v>
      </c>
      <c r="DUS1" s="9" t="s">
        <v>3287</v>
      </c>
      <c r="DUT1" s="9" t="s">
        <v>3288</v>
      </c>
      <c r="DUU1" s="9" t="s">
        <v>3289</v>
      </c>
      <c r="DUV1" s="9" t="s">
        <v>3290</v>
      </c>
      <c r="DUW1" s="9" t="s">
        <v>3291</v>
      </c>
      <c r="DUX1" s="9" t="s">
        <v>3292</v>
      </c>
      <c r="DUY1" s="9" t="s">
        <v>3293</v>
      </c>
      <c r="DUZ1" s="9" t="s">
        <v>3294</v>
      </c>
      <c r="DVA1" s="9" t="s">
        <v>3295</v>
      </c>
      <c r="DVB1" s="9" t="s">
        <v>3296</v>
      </c>
      <c r="DVC1" s="9" t="s">
        <v>3297</v>
      </c>
      <c r="DVD1" s="9" t="s">
        <v>3298</v>
      </c>
      <c r="DVE1" s="9" t="s">
        <v>3299</v>
      </c>
      <c r="DVF1" s="9" t="s">
        <v>3300</v>
      </c>
      <c r="DVG1" s="9" t="s">
        <v>3301</v>
      </c>
      <c r="DVH1" s="9" t="s">
        <v>3302</v>
      </c>
      <c r="DVI1" s="9" t="s">
        <v>3303</v>
      </c>
      <c r="DVJ1" s="9" t="s">
        <v>3304</v>
      </c>
      <c r="DVK1" s="9" t="s">
        <v>3305</v>
      </c>
      <c r="DVL1" s="9" t="s">
        <v>3306</v>
      </c>
      <c r="DVM1" s="9" t="s">
        <v>3307</v>
      </c>
      <c r="DVN1" s="9" t="s">
        <v>3308</v>
      </c>
      <c r="DVO1" s="9" t="s">
        <v>3309</v>
      </c>
      <c r="DVP1" s="9" t="s">
        <v>3310</v>
      </c>
      <c r="DVQ1" s="9" t="s">
        <v>3311</v>
      </c>
      <c r="DVR1" s="9" t="s">
        <v>3312</v>
      </c>
      <c r="DVS1" s="9" t="s">
        <v>3313</v>
      </c>
      <c r="DVT1" s="9" t="s">
        <v>3314</v>
      </c>
      <c r="DVU1" s="9" t="s">
        <v>3315</v>
      </c>
      <c r="DVV1" s="9" t="s">
        <v>3316</v>
      </c>
      <c r="DVW1" s="9" t="s">
        <v>3317</v>
      </c>
      <c r="DVX1" s="9" t="s">
        <v>3318</v>
      </c>
      <c r="DVY1" s="9" t="s">
        <v>3319</v>
      </c>
      <c r="DVZ1" s="9" t="s">
        <v>3320</v>
      </c>
      <c r="DWA1" s="9" t="s">
        <v>3321</v>
      </c>
      <c r="DWB1" s="9" t="s">
        <v>3322</v>
      </c>
      <c r="DWC1" s="9" t="s">
        <v>3323</v>
      </c>
      <c r="DWD1" s="9" t="s">
        <v>3324</v>
      </c>
      <c r="DWE1" s="9" t="s">
        <v>3325</v>
      </c>
      <c r="DWF1" s="9" t="s">
        <v>3326</v>
      </c>
      <c r="DWG1" s="9" t="s">
        <v>3327</v>
      </c>
      <c r="DWH1" s="9" t="s">
        <v>3328</v>
      </c>
      <c r="DWI1" s="9" t="s">
        <v>3329</v>
      </c>
      <c r="DWJ1" s="9" t="s">
        <v>3330</v>
      </c>
      <c r="DWK1" s="9" t="s">
        <v>3331</v>
      </c>
      <c r="DWL1" s="9" t="s">
        <v>3332</v>
      </c>
      <c r="DWM1" s="9" t="s">
        <v>3333</v>
      </c>
      <c r="DWN1" s="9" t="s">
        <v>3334</v>
      </c>
      <c r="DWO1" s="9" t="s">
        <v>3335</v>
      </c>
      <c r="DWP1" s="9" t="s">
        <v>3336</v>
      </c>
      <c r="DWQ1" s="9" t="s">
        <v>3337</v>
      </c>
      <c r="DWR1" s="9" t="s">
        <v>3338</v>
      </c>
      <c r="DWS1" s="9" t="s">
        <v>3339</v>
      </c>
      <c r="DWT1" s="9" t="s">
        <v>3340</v>
      </c>
      <c r="DWU1" s="9" t="s">
        <v>3341</v>
      </c>
      <c r="DWV1" s="9" t="s">
        <v>3342</v>
      </c>
      <c r="DWW1" s="9" t="s">
        <v>3343</v>
      </c>
      <c r="DWX1" s="9" t="s">
        <v>3344</v>
      </c>
      <c r="DWY1" s="9" t="s">
        <v>3345</v>
      </c>
      <c r="DWZ1" s="9" t="s">
        <v>3346</v>
      </c>
      <c r="DXA1" s="9" t="s">
        <v>3347</v>
      </c>
      <c r="DXB1" s="9" t="s">
        <v>3348</v>
      </c>
      <c r="DXC1" s="9" t="s">
        <v>3349</v>
      </c>
      <c r="DXD1" s="9" t="s">
        <v>3350</v>
      </c>
      <c r="DXE1" s="9" t="s">
        <v>3351</v>
      </c>
      <c r="DXF1" s="9" t="s">
        <v>3352</v>
      </c>
      <c r="DXG1" s="9" t="s">
        <v>3353</v>
      </c>
      <c r="DXH1" s="9" t="s">
        <v>3354</v>
      </c>
      <c r="DXI1" s="9" t="s">
        <v>3355</v>
      </c>
      <c r="DXJ1" s="9" t="s">
        <v>3356</v>
      </c>
      <c r="DXK1" s="9" t="s">
        <v>3357</v>
      </c>
      <c r="DXL1" s="9" t="s">
        <v>3358</v>
      </c>
      <c r="DXM1" s="9" t="s">
        <v>3359</v>
      </c>
      <c r="DXN1" s="9" t="s">
        <v>3360</v>
      </c>
      <c r="DXO1" s="9" t="s">
        <v>3361</v>
      </c>
      <c r="DXP1" s="9" t="s">
        <v>3362</v>
      </c>
      <c r="DXQ1" s="9" t="s">
        <v>3363</v>
      </c>
      <c r="DXR1" s="9" t="s">
        <v>3364</v>
      </c>
      <c r="DXS1" s="9" t="s">
        <v>3365</v>
      </c>
      <c r="DXT1" s="9" t="s">
        <v>3366</v>
      </c>
      <c r="DXU1" s="9" t="s">
        <v>3367</v>
      </c>
      <c r="DXV1" s="9" t="s">
        <v>3368</v>
      </c>
      <c r="DXW1" s="9" t="s">
        <v>3369</v>
      </c>
      <c r="DXX1" s="9" t="s">
        <v>3370</v>
      </c>
      <c r="DXY1" s="9" t="s">
        <v>3371</v>
      </c>
      <c r="DXZ1" s="9" t="s">
        <v>3372</v>
      </c>
      <c r="DYA1" s="9" t="s">
        <v>3373</v>
      </c>
      <c r="DYB1" s="9" t="s">
        <v>3374</v>
      </c>
      <c r="DYC1" s="9" t="s">
        <v>3375</v>
      </c>
      <c r="DYD1" s="9" t="s">
        <v>3376</v>
      </c>
      <c r="DYE1" s="9" t="s">
        <v>3377</v>
      </c>
      <c r="DYF1" s="9" t="s">
        <v>3378</v>
      </c>
      <c r="DYG1" s="9" t="s">
        <v>3379</v>
      </c>
      <c r="DYH1" s="9" t="s">
        <v>3380</v>
      </c>
      <c r="DYI1" s="9" t="s">
        <v>3381</v>
      </c>
      <c r="DYJ1" s="9" t="s">
        <v>3382</v>
      </c>
      <c r="DYK1" s="9" t="s">
        <v>3383</v>
      </c>
      <c r="DYL1" s="9" t="s">
        <v>3384</v>
      </c>
      <c r="DYM1" s="9" t="s">
        <v>3385</v>
      </c>
      <c r="DYN1" s="9" t="s">
        <v>3386</v>
      </c>
      <c r="DYO1" s="9" t="s">
        <v>3387</v>
      </c>
      <c r="DYP1" s="9" t="s">
        <v>3388</v>
      </c>
      <c r="DYQ1" s="9" t="s">
        <v>3389</v>
      </c>
      <c r="DYR1" s="9" t="s">
        <v>3390</v>
      </c>
      <c r="DYS1" s="9" t="s">
        <v>3391</v>
      </c>
      <c r="DYT1" s="9" t="s">
        <v>3392</v>
      </c>
      <c r="DYU1" s="9" t="s">
        <v>3393</v>
      </c>
      <c r="DYV1" s="9" t="s">
        <v>3394</v>
      </c>
      <c r="DYW1" s="9" t="s">
        <v>3395</v>
      </c>
      <c r="DYX1" s="9" t="s">
        <v>3396</v>
      </c>
      <c r="DYY1" s="9" t="s">
        <v>3397</v>
      </c>
      <c r="DYZ1" s="9" t="s">
        <v>3398</v>
      </c>
      <c r="DZA1" s="9" t="s">
        <v>3399</v>
      </c>
      <c r="DZB1" s="9" t="s">
        <v>3400</v>
      </c>
      <c r="DZC1" s="9" t="s">
        <v>3401</v>
      </c>
      <c r="DZD1" s="9" t="s">
        <v>3402</v>
      </c>
      <c r="DZE1" s="9" t="s">
        <v>3403</v>
      </c>
      <c r="DZF1" s="9" t="s">
        <v>3404</v>
      </c>
      <c r="DZG1" s="9" t="s">
        <v>3405</v>
      </c>
      <c r="DZH1" s="9" t="s">
        <v>3406</v>
      </c>
      <c r="DZI1" s="9" t="s">
        <v>3407</v>
      </c>
      <c r="DZJ1" s="9" t="s">
        <v>3408</v>
      </c>
      <c r="DZK1" s="9" t="s">
        <v>3409</v>
      </c>
      <c r="DZL1" s="9" t="s">
        <v>3410</v>
      </c>
      <c r="DZM1" s="9" t="s">
        <v>3411</v>
      </c>
      <c r="DZN1" s="9" t="s">
        <v>3412</v>
      </c>
      <c r="DZO1" s="9" t="s">
        <v>3413</v>
      </c>
      <c r="DZP1" s="9" t="s">
        <v>3414</v>
      </c>
      <c r="DZQ1" s="9" t="s">
        <v>3415</v>
      </c>
      <c r="DZR1" s="9" t="s">
        <v>3416</v>
      </c>
      <c r="DZS1" s="9" t="s">
        <v>3417</v>
      </c>
      <c r="DZT1" s="9" t="s">
        <v>3418</v>
      </c>
      <c r="DZU1" s="9" t="s">
        <v>3419</v>
      </c>
      <c r="DZV1" s="9" t="s">
        <v>3420</v>
      </c>
      <c r="DZW1" s="9" t="s">
        <v>3421</v>
      </c>
      <c r="DZX1" s="9" t="s">
        <v>3422</v>
      </c>
      <c r="DZY1" s="9" t="s">
        <v>3423</v>
      </c>
      <c r="DZZ1" s="9" t="s">
        <v>3424</v>
      </c>
      <c r="EAA1" s="9" t="s">
        <v>3425</v>
      </c>
      <c r="EAB1" s="9" t="s">
        <v>3426</v>
      </c>
      <c r="EAC1" s="9" t="s">
        <v>3427</v>
      </c>
      <c r="EAD1" s="9" t="s">
        <v>3428</v>
      </c>
      <c r="EAE1" s="9" t="s">
        <v>3429</v>
      </c>
      <c r="EAF1" s="9" t="s">
        <v>3430</v>
      </c>
      <c r="EAG1" s="9" t="s">
        <v>3431</v>
      </c>
      <c r="EAH1" s="9" t="s">
        <v>3432</v>
      </c>
      <c r="EAI1" s="9" t="s">
        <v>3433</v>
      </c>
      <c r="EAJ1" s="9" t="s">
        <v>3434</v>
      </c>
      <c r="EAK1" s="9" t="s">
        <v>3435</v>
      </c>
      <c r="EAL1" s="9" t="s">
        <v>3436</v>
      </c>
      <c r="EAM1" s="9" t="s">
        <v>3437</v>
      </c>
      <c r="EAN1" s="9" t="s">
        <v>3438</v>
      </c>
      <c r="EAO1" s="9" t="s">
        <v>3439</v>
      </c>
      <c r="EAP1" s="9" t="s">
        <v>3440</v>
      </c>
      <c r="EAQ1" s="9" t="s">
        <v>3441</v>
      </c>
      <c r="EAR1" s="9" t="s">
        <v>3442</v>
      </c>
      <c r="EAS1" s="9" t="s">
        <v>3443</v>
      </c>
      <c r="EAT1" s="9" t="s">
        <v>3444</v>
      </c>
      <c r="EAU1" s="9" t="s">
        <v>3445</v>
      </c>
      <c r="EAV1" s="9" t="s">
        <v>3446</v>
      </c>
      <c r="EAW1" s="9" t="s">
        <v>3447</v>
      </c>
      <c r="EAX1" s="9" t="s">
        <v>3448</v>
      </c>
      <c r="EAY1" s="9" t="s">
        <v>3449</v>
      </c>
      <c r="EAZ1" s="9" t="s">
        <v>3450</v>
      </c>
      <c r="EBA1" s="9" t="s">
        <v>3451</v>
      </c>
      <c r="EBB1" s="9" t="s">
        <v>3452</v>
      </c>
      <c r="EBC1" s="9" t="s">
        <v>3453</v>
      </c>
      <c r="EBD1" s="9" t="s">
        <v>3454</v>
      </c>
      <c r="EBE1" s="9" t="s">
        <v>3455</v>
      </c>
      <c r="EBF1" s="9" t="s">
        <v>3456</v>
      </c>
      <c r="EBG1" s="9" t="s">
        <v>3457</v>
      </c>
      <c r="EBH1" s="9" t="s">
        <v>3458</v>
      </c>
      <c r="EBI1" s="9" t="s">
        <v>3459</v>
      </c>
      <c r="EBJ1" s="9" t="s">
        <v>3460</v>
      </c>
      <c r="EBK1" s="9" t="s">
        <v>3461</v>
      </c>
      <c r="EBL1" s="9" t="s">
        <v>3462</v>
      </c>
      <c r="EBM1" s="9" t="s">
        <v>3463</v>
      </c>
      <c r="EBN1" s="9" t="s">
        <v>3464</v>
      </c>
      <c r="EBO1" s="9" t="s">
        <v>3465</v>
      </c>
      <c r="EBP1" s="9" t="s">
        <v>3466</v>
      </c>
      <c r="EBQ1" s="9" t="s">
        <v>3467</v>
      </c>
      <c r="EBR1" s="9" t="s">
        <v>3468</v>
      </c>
      <c r="EBS1" s="9" t="s">
        <v>3469</v>
      </c>
      <c r="EBT1" s="9" t="s">
        <v>3470</v>
      </c>
      <c r="EBU1" s="9" t="s">
        <v>3471</v>
      </c>
      <c r="EBV1" s="9" t="s">
        <v>3472</v>
      </c>
      <c r="EBW1" s="9" t="s">
        <v>3473</v>
      </c>
      <c r="EBX1" s="9" t="s">
        <v>3474</v>
      </c>
      <c r="EBY1" s="9" t="s">
        <v>3475</v>
      </c>
      <c r="EBZ1" s="9" t="s">
        <v>3476</v>
      </c>
      <c r="ECA1" s="9" t="s">
        <v>3477</v>
      </c>
      <c r="ECB1" s="9" t="s">
        <v>3478</v>
      </c>
      <c r="ECC1" s="9" t="s">
        <v>3479</v>
      </c>
      <c r="ECD1" s="9" t="s">
        <v>3480</v>
      </c>
      <c r="ECE1" s="9" t="s">
        <v>3481</v>
      </c>
      <c r="ECF1" s="9" t="s">
        <v>3482</v>
      </c>
      <c r="ECG1" s="9" t="s">
        <v>3483</v>
      </c>
      <c r="ECH1" s="9" t="s">
        <v>3484</v>
      </c>
      <c r="ECI1" s="9" t="s">
        <v>3485</v>
      </c>
      <c r="ECJ1" s="9" t="s">
        <v>3486</v>
      </c>
      <c r="ECK1" s="9" t="s">
        <v>3487</v>
      </c>
      <c r="ECL1" s="9" t="s">
        <v>3488</v>
      </c>
      <c r="ECM1" s="9" t="s">
        <v>3489</v>
      </c>
      <c r="ECN1" s="9" t="s">
        <v>3490</v>
      </c>
      <c r="ECO1" s="9" t="s">
        <v>3491</v>
      </c>
      <c r="ECP1" s="9" t="s">
        <v>3492</v>
      </c>
      <c r="ECQ1" s="9" t="s">
        <v>3493</v>
      </c>
      <c r="ECR1" s="9" t="s">
        <v>3494</v>
      </c>
      <c r="ECS1" s="9" t="s">
        <v>3495</v>
      </c>
      <c r="ECT1" s="9" t="s">
        <v>3496</v>
      </c>
      <c r="ECU1" s="9" t="s">
        <v>3497</v>
      </c>
      <c r="ECV1" s="9" t="s">
        <v>3498</v>
      </c>
      <c r="ECW1" s="9" t="s">
        <v>3499</v>
      </c>
      <c r="ECX1" s="9" t="s">
        <v>3500</v>
      </c>
      <c r="ECY1" s="9" t="s">
        <v>3501</v>
      </c>
      <c r="ECZ1" s="9" t="s">
        <v>3502</v>
      </c>
      <c r="EDA1" s="9" t="s">
        <v>3503</v>
      </c>
      <c r="EDB1" s="9" t="s">
        <v>3504</v>
      </c>
      <c r="EDC1" s="9" t="s">
        <v>3505</v>
      </c>
      <c r="EDD1" s="9" t="s">
        <v>3506</v>
      </c>
      <c r="EDE1" s="9" t="s">
        <v>3507</v>
      </c>
      <c r="EDF1" s="9" t="s">
        <v>3508</v>
      </c>
      <c r="EDG1" s="9" t="s">
        <v>3509</v>
      </c>
      <c r="EDH1" s="9" t="s">
        <v>3510</v>
      </c>
      <c r="EDI1" s="9" t="s">
        <v>3511</v>
      </c>
      <c r="EDJ1" s="9" t="s">
        <v>3512</v>
      </c>
      <c r="EDK1" s="9" t="s">
        <v>3513</v>
      </c>
      <c r="EDL1" s="9" t="s">
        <v>3514</v>
      </c>
      <c r="EDM1" s="9" t="s">
        <v>3515</v>
      </c>
      <c r="EDN1" s="9" t="s">
        <v>3516</v>
      </c>
      <c r="EDO1" s="9" t="s">
        <v>3517</v>
      </c>
      <c r="EDP1" s="9" t="s">
        <v>3518</v>
      </c>
      <c r="EDQ1" s="9" t="s">
        <v>3519</v>
      </c>
      <c r="EDR1" s="9" t="s">
        <v>3520</v>
      </c>
      <c r="EDS1" s="9" t="s">
        <v>3521</v>
      </c>
      <c r="EDT1" s="9" t="s">
        <v>3522</v>
      </c>
      <c r="EDU1" s="9" t="s">
        <v>3523</v>
      </c>
      <c r="EDV1" s="9" t="s">
        <v>3524</v>
      </c>
      <c r="EDW1" s="9" t="s">
        <v>3525</v>
      </c>
      <c r="EDX1" s="9" t="s">
        <v>3526</v>
      </c>
      <c r="EDY1" s="9" t="s">
        <v>3527</v>
      </c>
      <c r="EDZ1" s="9" t="s">
        <v>3528</v>
      </c>
      <c r="EEA1" s="9" t="s">
        <v>3529</v>
      </c>
      <c r="EEB1" s="9" t="s">
        <v>3530</v>
      </c>
      <c r="EEC1" s="9" t="s">
        <v>3531</v>
      </c>
      <c r="EED1" s="9" t="s">
        <v>3532</v>
      </c>
      <c r="EEE1" s="9" t="s">
        <v>3533</v>
      </c>
      <c r="EEF1" s="9" t="s">
        <v>3534</v>
      </c>
      <c r="EEG1" s="9" t="s">
        <v>3535</v>
      </c>
      <c r="EEH1" s="9" t="s">
        <v>3536</v>
      </c>
      <c r="EEI1" s="9" t="s">
        <v>3537</v>
      </c>
      <c r="EEJ1" s="9" t="s">
        <v>3538</v>
      </c>
      <c r="EEK1" s="9" t="s">
        <v>3539</v>
      </c>
      <c r="EEL1" s="9" t="s">
        <v>3540</v>
      </c>
      <c r="EEM1" s="9" t="s">
        <v>3541</v>
      </c>
      <c r="EEN1" s="9" t="s">
        <v>3542</v>
      </c>
      <c r="EEO1" s="9" t="s">
        <v>3543</v>
      </c>
      <c r="EEP1" s="9" t="s">
        <v>3544</v>
      </c>
      <c r="EEQ1" s="9" t="s">
        <v>3545</v>
      </c>
      <c r="EER1" s="9" t="s">
        <v>3546</v>
      </c>
      <c r="EES1" s="9" t="s">
        <v>3547</v>
      </c>
      <c r="EET1" s="9" t="s">
        <v>3548</v>
      </c>
      <c r="EEU1" s="9" t="s">
        <v>3549</v>
      </c>
      <c r="EEV1" s="9" t="s">
        <v>3550</v>
      </c>
      <c r="EEW1" s="9" t="s">
        <v>3551</v>
      </c>
      <c r="EEX1" s="9" t="s">
        <v>3552</v>
      </c>
      <c r="EEY1" s="9" t="s">
        <v>3553</v>
      </c>
      <c r="EEZ1" s="9" t="s">
        <v>3554</v>
      </c>
      <c r="EFA1" s="9" t="s">
        <v>3555</v>
      </c>
      <c r="EFB1" s="9" t="s">
        <v>3556</v>
      </c>
      <c r="EFC1" s="9" t="s">
        <v>3557</v>
      </c>
      <c r="EFD1" s="9" t="s">
        <v>3558</v>
      </c>
      <c r="EFE1" s="9" t="s">
        <v>3559</v>
      </c>
      <c r="EFF1" s="9" t="s">
        <v>3560</v>
      </c>
      <c r="EFG1" s="9" t="s">
        <v>3561</v>
      </c>
      <c r="EFH1" s="9" t="s">
        <v>3562</v>
      </c>
      <c r="EFI1" s="9" t="s">
        <v>3563</v>
      </c>
      <c r="EFJ1" s="9" t="s">
        <v>3564</v>
      </c>
      <c r="EFK1" s="9" t="s">
        <v>3565</v>
      </c>
      <c r="EFL1" s="9" t="s">
        <v>3566</v>
      </c>
      <c r="EFM1" s="9" t="s">
        <v>3567</v>
      </c>
      <c r="EFN1" s="9" t="s">
        <v>3568</v>
      </c>
      <c r="EFO1" s="9" t="s">
        <v>3569</v>
      </c>
      <c r="EFP1" s="9" t="s">
        <v>3570</v>
      </c>
      <c r="EFQ1" s="9" t="s">
        <v>3571</v>
      </c>
      <c r="EFR1" s="9" t="s">
        <v>3572</v>
      </c>
      <c r="EFS1" s="9" t="s">
        <v>3573</v>
      </c>
      <c r="EFT1" s="9" t="s">
        <v>3574</v>
      </c>
      <c r="EFU1" s="9" t="s">
        <v>3575</v>
      </c>
      <c r="EFV1" s="9" t="s">
        <v>3576</v>
      </c>
      <c r="EFW1" s="9" t="s">
        <v>3577</v>
      </c>
      <c r="EFX1" s="9" t="s">
        <v>3578</v>
      </c>
      <c r="EFY1" s="9" t="s">
        <v>3579</v>
      </c>
      <c r="EFZ1" s="9" t="s">
        <v>3580</v>
      </c>
      <c r="EGA1" s="9" t="s">
        <v>3581</v>
      </c>
      <c r="EGB1" s="9" t="s">
        <v>3582</v>
      </c>
      <c r="EGC1" s="9" t="s">
        <v>3583</v>
      </c>
      <c r="EGD1" s="9" t="s">
        <v>3584</v>
      </c>
      <c r="EGE1" s="9" t="s">
        <v>3585</v>
      </c>
      <c r="EGF1" s="9" t="s">
        <v>3586</v>
      </c>
      <c r="EGG1" s="9" t="s">
        <v>3587</v>
      </c>
      <c r="EGH1" s="9" t="s">
        <v>3588</v>
      </c>
      <c r="EGI1" s="9" t="s">
        <v>3589</v>
      </c>
      <c r="EGJ1" s="9" t="s">
        <v>3590</v>
      </c>
      <c r="EGK1" s="9" t="s">
        <v>3591</v>
      </c>
      <c r="EGL1" s="9" t="s">
        <v>3592</v>
      </c>
      <c r="EGM1" s="9" t="s">
        <v>3593</v>
      </c>
      <c r="EGN1" s="9" t="s">
        <v>3594</v>
      </c>
      <c r="EGO1" s="9" t="s">
        <v>3595</v>
      </c>
      <c r="EGP1" s="9" t="s">
        <v>3596</v>
      </c>
      <c r="EGQ1" s="9" t="s">
        <v>3597</v>
      </c>
      <c r="EGR1" s="9" t="s">
        <v>3598</v>
      </c>
      <c r="EGS1" s="9" t="s">
        <v>3599</v>
      </c>
      <c r="EGT1" s="9" t="s">
        <v>3600</v>
      </c>
      <c r="EGU1" s="9" t="s">
        <v>3601</v>
      </c>
      <c r="EGV1" s="9" t="s">
        <v>3602</v>
      </c>
      <c r="EGW1" s="9" t="s">
        <v>3603</v>
      </c>
      <c r="EGX1" s="9" t="s">
        <v>3604</v>
      </c>
      <c r="EGY1" s="9" t="s">
        <v>3605</v>
      </c>
      <c r="EGZ1" s="9" t="s">
        <v>3606</v>
      </c>
      <c r="EHA1" s="9" t="s">
        <v>3607</v>
      </c>
      <c r="EHB1" s="9" t="s">
        <v>3608</v>
      </c>
      <c r="EHC1" s="9" t="s">
        <v>3609</v>
      </c>
      <c r="EHD1" s="9" t="s">
        <v>3610</v>
      </c>
      <c r="EHE1" s="9" t="s">
        <v>3611</v>
      </c>
      <c r="EHF1" s="9" t="s">
        <v>3612</v>
      </c>
      <c r="EHG1" s="9" t="s">
        <v>3613</v>
      </c>
      <c r="EHH1" s="9" t="s">
        <v>3614</v>
      </c>
      <c r="EHI1" s="9" t="s">
        <v>3615</v>
      </c>
      <c r="EHJ1" s="9" t="s">
        <v>3616</v>
      </c>
      <c r="EHK1" s="9" t="s">
        <v>3617</v>
      </c>
      <c r="EHL1" s="9" t="s">
        <v>3618</v>
      </c>
      <c r="EHM1" s="9" t="s">
        <v>3619</v>
      </c>
      <c r="EHN1" s="9" t="s">
        <v>3620</v>
      </c>
      <c r="EHO1" s="9" t="s">
        <v>3621</v>
      </c>
      <c r="EHP1" s="9" t="s">
        <v>3622</v>
      </c>
      <c r="EHQ1" s="9" t="s">
        <v>3623</v>
      </c>
      <c r="EHR1" s="9" t="s">
        <v>3624</v>
      </c>
      <c r="EHS1" s="9" t="s">
        <v>3625</v>
      </c>
      <c r="EHT1" s="9" t="s">
        <v>3626</v>
      </c>
      <c r="EHU1" s="9" t="s">
        <v>3627</v>
      </c>
      <c r="EHV1" s="9" t="s">
        <v>3628</v>
      </c>
      <c r="EHW1" s="9" t="s">
        <v>3629</v>
      </c>
      <c r="EHX1" s="9" t="s">
        <v>3630</v>
      </c>
      <c r="EHY1" s="9" t="s">
        <v>3631</v>
      </c>
      <c r="EHZ1" s="9" t="s">
        <v>3632</v>
      </c>
      <c r="EIA1" s="9" t="s">
        <v>3633</v>
      </c>
      <c r="EIB1" s="9" t="s">
        <v>3634</v>
      </c>
      <c r="EIC1" s="9" t="s">
        <v>3635</v>
      </c>
      <c r="EID1" s="9" t="s">
        <v>3636</v>
      </c>
      <c r="EIE1" s="9" t="s">
        <v>3637</v>
      </c>
      <c r="EIF1" s="9" t="s">
        <v>3638</v>
      </c>
      <c r="EIG1" s="9" t="s">
        <v>3639</v>
      </c>
      <c r="EIH1" s="9" t="s">
        <v>3640</v>
      </c>
      <c r="EII1" s="9" t="s">
        <v>3641</v>
      </c>
      <c r="EIJ1" s="9" t="s">
        <v>3642</v>
      </c>
      <c r="EIK1" s="9" t="s">
        <v>3643</v>
      </c>
      <c r="EIL1" s="9" t="s">
        <v>3644</v>
      </c>
      <c r="EIM1" s="9" t="s">
        <v>3645</v>
      </c>
      <c r="EIN1" s="9" t="s">
        <v>3646</v>
      </c>
      <c r="EIO1" s="9" t="s">
        <v>3647</v>
      </c>
      <c r="EIP1" s="9" t="s">
        <v>3648</v>
      </c>
      <c r="EIQ1" s="9" t="s">
        <v>3649</v>
      </c>
      <c r="EIR1" s="9" t="s">
        <v>3650</v>
      </c>
      <c r="EIS1" s="9" t="s">
        <v>3651</v>
      </c>
      <c r="EIT1" s="9" t="s">
        <v>3652</v>
      </c>
      <c r="EIU1" s="9" t="s">
        <v>3653</v>
      </c>
      <c r="EIV1" s="9" t="s">
        <v>3654</v>
      </c>
      <c r="EIW1" s="9" t="s">
        <v>3655</v>
      </c>
      <c r="EIX1" s="9" t="s">
        <v>3656</v>
      </c>
      <c r="EIY1" s="9" t="s">
        <v>3657</v>
      </c>
      <c r="EIZ1" s="9" t="s">
        <v>3658</v>
      </c>
      <c r="EJA1" s="9" t="s">
        <v>3659</v>
      </c>
      <c r="EJB1" s="9" t="s">
        <v>3660</v>
      </c>
      <c r="EJC1" s="9" t="s">
        <v>3661</v>
      </c>
      <c r="EJD1" s="9" t="s">
        <v>3662</v>
      </c>
      <c r="EJE1" s="9" t="s">
        <v>3663</v>
      </c>
      <c r="EJF1" s="9" t="s">
        <v>3664</v>
      </c>
      <c r="EJG1" s="9" t="s">
        <v>3665</v>
      </c>
      <c r="EJH1" s="9" t="s">
        <v>3666</v>
      </c>
      <c r="EJI1" s="9" t="s">
        <v>3667</v>
      </c>
      <c r="EJJ1" s="9" t="s">
        <v>3668</v>
      </c>
      <c r="EJK1" s="9" t="s">
        <v>3669</v>
      </c>
      <c r="EJL1" s="9" t="s">
        <v>3670</v>
      </c>
      <c r="EJM1" s="9" t="s">
        <v>3671</v>
      </c>
      <c r="EJN1" s="9" t="s">
        <v>3672</v>
      </c>
      <c r="EJO1" s="9" t="s">
        <v>3673</v>
      </c>
      <c r="EJP1" s="9" t="s">
        <v>3674</v>
      </c>
      <c r="EJQ1" s="9" t="s">
        <v>3675</v>
      </c>
      <c r="EJR1" s="9" t="s">
        <v>3676</v>
      </c>
      <c r="EJS1" s="9" t="s">
        <v>3677</v>
      </c>
      <c r="EJT1" s="9" t="s">
        <v>3678</v>
      </c>
      <c r="EJU1" s="9" t="s">
        <v>3679</v>
      </c>
      <c r="EJV1" s="9" t="s">
        <v>3680</v>
      </c>
      <c r="EJW1" s="9" t="s">
        <v>3681</v>
      </c>
      <c r="EJX1" s="9" t="s">
        <v>3682</v>
      </c>
      <c r="EJY1" s="9" t="s">
        <v>3683</v>
      </c>
      <c r="EJZ1" s="9" t="s">
        <v>3684</v>
      </c>
      <c r="EKA1" s="9" t="s">
        <v>3685</v>
      </c>
      <c r="EKB1" s="9" t="s">
        <v>3686</v>
      </c>
      <c r="EKC1" s="9" t="s">
        <v>3687</v>
      </c>
      <c r="EKD1" s="9" t="s">
        <v>3688</v>
      </c>
      <c r="EKE1" s="9" t="s">
        <v>3689</v>
      </c>
      <c r="EKF1" s="9" t="s">
        <v>3690</v>
      </c>
      <c r="EKG1" s="9" t="s">
        <v>3691</v>
      </c>
      <c r="EKH1" s="9" t="s">
        <v>3692</v>
      </c>
      <c r="EKI1" s="9" t="s">
        <v>3693</v>
      </c>
      <c r="EKJ1" s="9" t="s">
        <v>3694</v>
      </c>
      <c r="EKK1" s="9" t="s">
        <v>3695</v>
      </c>
      <c r="EKL1" s="9" t="s">
        <v>3696</v>
      </c>
      <c r="EKM1" s="9" t="s">
        <v>3697</v>
      </c>
      <c r="EKN1" s="9" t="s">
        <v>3698</v>
      </c>
      <c r="EKO1" s="9" t="s">
        <v>3699</v>
      </c>
      <c r="EKP1" s="9" t="s">
        <v>3700</v>
      </c>
      <c r="EKQ1" s="9" t="s">
        <v>3701</v>
      </c>
      <c r="EKR1" s="9" t="s">
        <v>3702</v>
      </c>
      <c r="EKS1" s="9" t="s">
        <v>3703</v>
      </c>
      <c r="EKT1" s="9" t="s">
        <v>3704</v>
      </c>
      <c r="EKU1" s="9" t="s">
        <v>3705</v>
      </c>
      <c r="EKV1" s="9" t="s">
        <v>3706</v>
      </c>
      <c r="EKW1" s="9" t="s">
        <v>3707</v>
      </c>
      <c r="EKX1" s="9" t="s">
        <v>3708</v>
      </c>
      <c r="EKY1" s="9" t="s">
        <v>3709</v>
      </c>
      <c r="EKZ1" s="9" t="s">
        <v>3710</v>
      </c>
      <c r="ELA1" s="9" t="s">
        <v>3711</v>
      </c>
      <c r="ELB1" s="9" t="s">
        <v>3712</v>
      </c>
      <c r="ELC1" s="9" t="s">
        <v>3713</v>
      </c>
      <c r="ELD1" s="9" t="s">
        <v>3714</v>
      </c>
      <c r="ELE1" s="9" t="s">
        <v>3715</v>
      </c>
      <c r="ELF1" s="9" t="s">
        <v>3716</v>
      </c>
      <c r="ELG1" s="9" t="s">
        <v>3717</v>
      </c>
      <c r="ELH1" s="9" t="s">
        <v>3718</v>
      </c>
      <c r="ELI1" s="9" t="s">
        <v>3719</v>
      </c>
      <c r="ELJ1" s="9" t="s">
        <v>3720</v>
      </c>
      <c r="ELK1" s="9" t="s">
        <v>3721</v>
      </c>
      <c r="ELL1" s="9" t="s">
        <v>3722</v>
      </c>
      <c r="ELM1" s="9" t="s">
        <v>3723</v>
      </c>
      <c r="ELN1" s="9" t="s">
        <v>3724</v>
      </c>
      <c r="ELO1" s="9" t="s">
        <v>3725</v>
      </c>
      <c r="ELP1" s="9" t="s">
        <v>3726</v>
      </c>
      <c r="ELQ1" s="9" t="s">
        <v>3727</v>
      </c>
      <c r="ELR1" s="9" t="s">
        <v>3728</v>
      </c>
      <c r="ELS1" s="9" t="s">
        <v>3729</v>
      </c>
      <c r="ELT1" s="9" t="s">
        <v>3730</v>
      </c>
      <c r="ELU1" s="9" t="s">
        <v>3731</v>
      </c>
      <c r="ELV1" s="9" t="s">
        <v>3732</v>
      </c>
      <c r="ELW1" s="9" t="s">
        <v>3733</v>
      </c>
      <c r="ELX1" s="9" t="s">
        <v>3734</v>
      </c>
      <c r="ELY1" s="9" t="s">
        <v>3735</v>
      </c>
      <c r="ELZ1" s="9" t="s">
        <v>3736</v>
      </c>
      <c r="EMA1" s="9" t="s">
        <v>3737</v>
      </c>
      <c r="EMB1" s="9" t="s">
        <v>3738</v>
      </c>
      <c r="EMC1" s="9" t="s">
        <v>3739</v>
      </c>
      <c r="EMD1" s="9" t="s">
        <v>3740</v>
      </c>
      <c r="EME1" s="9" t="s">
        <v>3741</v>
      </c>
      <c r="EMF1" s="9" t="s">
        <v>3742</v>
      </c>
      <c r="EMG1" s="9" t="s">
        <v>3743</v>
      </c>
      <c r="EMH1" s="9" t="s">
        <v>3744</v>
      </c>
      <c r="EMI1" s="9" t="s">
        <v>3745</v>
      </c>
      <c r="EMJ1" s="9" t="s">
        <v>3746</v>
      </c>
      <c r="EMK1" s="9" t="s">
        <v>3747</v>
      </c>
      <c r="EML1" s="9" t="s">
        <v>3748</v>
      </c>
      <c r="EMM1" s="9" t="s">
        <v>3749</v>
      </c>
      <c r="EMN1" s="9" t="s">
        <v>3750</v>
      </c>
      <c r="EMO1" s="9" t="s">
        <v>3751</v>
      </c>
      <c r="EMP1" s="9" t="s">
        <v>3752</v>
      </c>
      <c r="EMQ1" s="9" t="s">
        <v>3753</v>
      </c>
      <c r="EMR1" s="9" t="s">
        <v>3754</v>
      </c>
      <c r="EMS1" s="9" t="s">
        <v>3755</v>
      </c>
      <c r="EMT1" s="9" t="s">
        <v>3756</v>
      </c>
      <c r="EMU1" s="9" t="s">
        <v>3757</v>
      </c>
      <c r="EMV1" s="9" t="s">
        <v>3758</v>
      </c>
      <c r="EMW1" s="9" t="s">
        <v>3759</v>
      </c>
      <c r="EMX1" s="9" t="s">
        <v>3760</v>
      </c>
      <c r="EMY1" s="9" t="s">
        <v>3761</v>
      </c>
      <c r="EMZ1" s="9" t="s">
        <v>3762</v>
      </c>
      <c r="ENA1" s="9" t="s">
        <v>3763</v>
      </c>
      <c r="ENB1" s="9" t="s">
        <v>3764</v>
      </c>
      <c r="ENC1" s="9" t="s">
        <v>3765</v>
      </c>
      <c r="END1" s="9" t="s">
        <v>3766</v>
      </c>
      <c r="ENE1" s="9" t="s">
        <v>3767</v>
      </c>
      <c r="ENF1" s="9" t="s">
        <v>3768</v>
      </c>
      <c r="ENG1" s="9" t="s">
        <v>3769</v>
      </c>
      <c r="ENH1" s="9" t="s">
        <v>3770</v>
      </c>
      <c r="ENI1" s="9" t="s">
        <v>3771</v>
      </c>
      <c r="ENJ1" s="9" t="s">
        <v>3772</v>
      </c>
      <c r="ENK1" s="9" t="s">
        <v>3773</v>
      </c>
      <c r="ENL1" s="9" t="s">
        <v>3774</v>
      </c>
      <c r="ENM1" s="9" t="s">
        <v>3775</v>
      </c>
      <c r="ENN1" s="9" t="s">
        <v>3776</v>
      </c>
      <c r="ENO1" s="9" t="s">
        <v>3777</v>
      </c>
      <c r="ENP1" s="9" t="s">
        <v>3778</v>
      </c>
      <c r="ENQ1" s="9" t="s">
        <v>3779</v>
      </c>
      <c r="ENR1" s="9" t="s">
        <v>3780</v>
      </c>
      <c r="ENS1" s="9" t="s">
        <v>3781</v>
      </c>
      <c r="ENT1" s="9" t="s">
        <v>3782</v>
      </c>
      <c r="ENU1" s="9" t="s">
        <v>3783</v>
      </c>
      <c r="ENV1" s="9" t="s">
        <v>3784</v>
      </c>
      <c r="ENW1" s="9" t="s">
        <v>3785</v>
      </c>
      <c r="ENX1" s="9" t="s">
        <v>3786</v>
      </c>
      <c r="ENY1" s="9" t="s">
        <v>3787</v>
      </c>
      <c r="ENZ1" s="9" t="s">
        <v>3788</v>
      </c>
      <c r="EOA1" s="9" t="s">
        <v>3789</v>
      </c>
      <c r="EOB1" s="9" t="s">
        <v>3790</v>
      </c>
      <c r="EOC1" s="9" t="s">
        <v>3791</v>
      </c>
      <c r="EOD1" s="9" t="s">
        <v>3792</v>
      </c>
      <c r="EOE1" s="9" t="s">
        <v>3793</v>
      </c>
      <c r="EOF1" s="9" t="s">
        <v>3794</v>
      </c>
      <c r="EOG1" s="9" t="s">
        <v>3795</v>
      </c>
      <c r="EOH1" s="9" t="s">
        <v>3796</v>
      </c>
      <c r="EOI1" s="9" t="s">
        <v>3797</v>
      </c>
      <c r="EOJ1" s="9" t="s">
        <v>3798</v>
      </c>
      <c r="EOK1" s="9" t="s">
        <v>3799</v>
      </c>
      <c r="EOL1" s="9" t="s">
        <v>3800</v>
      </c>
      <c r="EOM1" s="9" t="s">
        <v>3801</v>
      </c>
      <c r="EON1" s="9" t="s">
        <v>3802</v>
      </c>
      <c r="EOO1" s="9" t="s">
        <v>3803</v>
      </c>
      <c r="EOP1" s="9" t="s">
        <v>3804</v>
      </c>
      <c r="EOQ1" s="9" t="s">
        <v>3805</v>
      </c>
      <c r="EOR1" s="9" t="s">
        <v>3806</v>
      </c>
      <c r="EOS1" s="9" t="s">
        <v>3807</v>
      </c>
      <c r="EOT1" s="9" t="s">
        <v>3808</v>
      </c>
      <c r="EOU1" s="9" t="s">
        <v>3809</v>
      </c>
      <c r="EOV1" s="9" t="s">
        <v>3810</v>
      </c>
      <c r="EOW1" s="9" t="s">
        <v>3811</v>
      </c>
      <c r="EOX1" s="9" t="s">
        <v>3812</v>
      </c>
      <c r="EOY1" s="9" t="s">
        <v>3813</v>
      </c>
      <c r="EOZ1" s="9" t="s">
        <v>3814</v>
      </c>
      <c r="EPA1" s="9" t="s">
        <v>3815</v>
      </c>
      <c r="EPB1" s="9" t="s">
        <v>3816</v>
      </c>
      <c r="EPC1" s="9" t="s">
        <v>3817</v>
      </c>
      <c r="EPD1" s="9" t="s">
        <v>3818</v>
      </c>
      <c r="EPE1" s="9" t="s">
        <v>3819</v>
      </c>
      <c r="EPF1" s="9" t="s">
        <v>3820</v>
      </c>
      <c r="EPG1" s="9" t="s">
        <v>3821</v>
      </c>
      <c r="EPH1" s="9" t="s">
        <v>3822</v>
      </c>
      <c r="EPI1" s="9" t="s">
        <v>3823</v>
      </c>
      <c r="EPJ1" s="9" t="s">
        <v>3824</v>
      </c>
      <c r="EPK1" s="9" t="s">
        <v>3825</v>
      </c>
      <c r="EPL1" s="9" t="s">
        <v>3826</v>
      </c>
      <c r="EPM1" s="9" t="s">
        <v>3827</v>
      </c>
      <c r="EPN1" s="9" t="s">
        <v>3828</v>
      </c>
      <c r="EPO1" s="9" t="s">
        <v>3829</v>
      </c>
      <c r="EPP1" s="9" t="s">
        <v>3830</v>
      </c>
      <c r="EPQ1" s="9" t="s">
        <v>3831</v>
      </c>
      <c r="EPR1" s="9" t="s">
        <v>3832</v>
      </c>
      <c r="EPS1" s="9" t="s">
        <v>3833</v>
      </c>
      <c r="EPT1" s="9" t="s">
        <v>3834</v>
      </c>
      <c r="EPU1" s="9" t="s">
        <v>3835</v>
      </c>
      <c r="EPV1" s="9" t="s">
        <v>3836</v>
      </c>
      <c r="EPW1" s="9" t="s">
        <v>3837</v>
      </c>
      <c r="EPX1" s="9" t="s">
        <v>3838</v>
      </c>
      <c r="EPY1" s="9" t="s">
        <v>3839</v>
      </c>
      <c r="EPZ1" s="9" t="s">
        <v>3840</v>
      </c>
      <c r="EQA1" s="9" t="s">
        <v>3841</v>
      </c>
      <c r="EQB1" s="9" t="s">
        <v>3842</v>
      </c>
      <c r="EQC1" s="9" t="s">
        <v>3843</v>
      </c>
      <c r="EQD1" s="9" t="s">
        <v>3844</v>
      </c>
      <c r="EQE1" s="9" t="s">
        <v>3845</v>
      </c>
      <c r="EQF1" s="9" t="s">
        <v>3846</v>
      </c>
      <c r="EQG1" s="9" t="s">
        <v>3847</v>
      </c>
      <c r="EQH1" s="9" t="s">
        <v>3848</v>
      </c>
      <c r="EQI1" s="9" t="s">
        <v>3849</v>
      </c>
      <c r="EQJ1" s="9" t="s">
        <v>3850</v>
      </c>
      <c r="EQK1" s="9" t="s">
        <v>3851</v>
      </c>
      <c r="EQL1" s="9" t="s">
        <v>3852</v>
      </c>
      <c r="EQM1" s="9" t="s">
        <v>3853</v>
      </c>
      <c r="EQN1" s="9" t="s">
        <v>3854</v>
      </c>
      <c r="EQO1" s="9" t="s">
        <v>3855</v>
      </c>
      <c r="EQP1" s="9" t="s">
        <v>3856</v>
      </c>
      <c r="EQQ1" s="9" t="s">
        <v>3857</v>
      </c>
      <c r="EQR1" s="9" t="s">
        <v>3858</v>
      </c>
      <c r="EQS1" s="9" t="s">
        <v>3859</v>
      </c>
      <c r="EQT1" s="9" t="s">
        <v>3860</v>
      </c>
      <c r="EQU1" s="9" t="s">
        <v>3861</v>
      </c>
      <c r="EQV1" s="9" t="s">
        <v>3862</v>
      </c>
      <c r="EQW1" s="9" t="s">
        <v>3863</v>
      </c>
      <c r="EQX1" s="9" t="s">
        <v>3864</v>
      </c>
      <c r="EQY1" s="9" t="s">
        <v>3865</v>
      </c>
      <c r="EQZ1" s="9" t="s">
        <v>3866</v>
      </c>
      <c r="ERA1" s="9" t="s">
        <v>3867</v>
      </c>
      <c r="ERB1" s="9" t="s">
        <v>3868</v>
      </c>
      <c r="ERC1" s="9" t="s">
        <v>3869</v>
      </c>
      <c r="ERD1" s="9" t="s">
        <v>3870</v>
      </c>
      <c r="ERE1" s="9" t="s">
        <v>3871</v>
      </c>
      <c r="ERF1" s="9" t="s">
        <v>3872</v>
      </c>
      <c r="ERG1" s="9" t="s">
        <v>3873</v>
      </c>
      <c r="ERH1" s="9" t="s">
        <v>3874</v>
      </c>
      <c r="ERI1" s="9" t="s">
        <v>3875</v>
      </c>
      <c r="ERJ1" s="9" t="s">
        <v>3876</v>
      </c>
      <c r="ERK1" s="9" t="s">
        <v>3877</v>
      </c>
      <c r="ERL1" s="9" t="s">
        <v>3878</v>
      </c>
      <c r="ERM1" s="9" t="s">
        <v>3879</v>
      </c>
      <c r="ERN1" s="9" t="s">
        <v>3880</v>
      </c>
      <c r="ERO1" s="9" t="s">
        <v>3881</v>
      </c>
      <c r="ERP1" s="9" t="s">
        <v>3882</v>
      </c>
      <c r="ERQ1" s="9" t="s">
        <v>3883</v>
      </c>
      <c r="ERR1" s="9" t="s">
        <v>3884</v>
      </c>
      <c r="ERS1" s="9" t="s">
        <v>3885</v>
      </c>
      <c r="ERT1" s="9" t="s">
        <v>3886</v>
      </c>
      <c r="ERU1" s="9" t="s">
        <v>3887</v>
      </c>
      <c r="ERV1" s="9" t="s">
        <v>3888</v>
      </c>
      <c r="ERW1" s="9" t="s">
        <v>3889</v>
      </c>
      <c r="ERX1" s="9" t="s">
        <v>3890</v>
      </c>
      <c r="ERY1" s="9" t="s">
        <v>3891</v>
      </c>
      <c r="ERZ1" s="9" t="s">
        <v>3892</v>
      </c>
      <c r="ESA1" s="9" t="s">
        <v>3893</v>
      </c>
      <c r="ESB1" s="9" t="s">
        <v>3894</v>
      </c>
      <c r="ESC1" s="9" t="s">
        <v>3895</v>
      </c>
      <c r="ESD1" s="9" t="s">
        <v>3896</v>
      </c>
      <c r="ESE1" s="9" t="s">
        <v>3897</v>
      </c>
      <c r="ESF1" s="9" t="s">
        <v>3898</v>
      </c>
      <c r="ESG1" s="9" t="s">
        <v>3899</v>
      </c>
      <c r="ESH1" s="9" t="s">
        <v>3900</v>
      </c>
      <c r="ESI1" s="9" t="s">
        <v>3901</v>
      </c>
      <c r="ESJ1" s="9" t="s">
        <v>3902</v>
      </c>
      <c r="ESK1" s="9" t="s">
        <v>3903</v>
      </c>
      <c r="ESL1" s="9" t="s">
        <v>3904</v>
      </c>
      <c r="ESM1" s="9" t="s">
        <v>3905</v>
      </c>
      <c r="ESN1" s="9" t="s">
        <v>3906</v>
      </c>
      <c r="ESO1" s="9" t="s">
        <v>3907</v>
      </c>
      <c r="ESP1" s="9" t="s">
        <v>3908</v>
      </c>
      <c r="ESQ1" s="9" t="s">
        <v>3909</v>
      </c>
      <c r="ESR1" s="9" t="s">
        <v>3910</v>
      </c>
      <c r="ESS1" s="9" t="s">
        <v>3911</v>
      </c>
      <c r="EST1" s="9" t="s">
        <v>3912</v>
      </c>
      <c r="ESU1" s="9" t="s">
        <v>3913</v>
      </c>
      <c r="ESV1" s="9" t="s">
        <v>3914</v>
      </c>
      <c r="ESW1" s="9" t="s">
        <v>3915</v>
      </c>
      <c r="ESX1" s="9" t="s">
        <v>3916</v>
      </c>
      <c r="ESY1" s="9" t="s">
        <v>3917</v>
      </c>
      <c r="ESZ1" s="9" t="s">
        <v>3918</v>
      </c>
      <c r="ETA1" s="9" t="s">
        <v>3919</v>
      </c>
      <c r="ETB1" s="9" t="s">
        <v>3920</v>
      </c>
      <c r="ETC1" s="9" t="s">
        <v>3921</v>
      </c>
      <c r="ETD1" s="9" t="s">
        <v>3922</v>
      </c>
      <c r="ETE1" s="9" t="s">
        <v>3923</v>
      </c>
      <c r="ETF1" s="9" t="s">
        <v>3924</v>
      </c>
      <c r="ETG1" s="9" t="s">
        <v>3925</v>
      </c>
      <c r="ETH1" s="9" t="s">
        <v>3926</v>
      </c>
      <c r="ETI1" s="9" t="s">
        <v>3927</v>
      </c>
      <c r="ETJ1" s="9" t="s">
        <v>3928</v>
      </c>
      <c r="ETK1" s="9" t="s">
        <v>3929</v>
      </c>
      <c r="ETL1" s="9" t="s">
        <v>3930</v>
      </c>
      <c r="ETM1" s="9" t="s">
        <v>3931</v>
      </c>
      <c r="ETN1" s="9" t="s">
        <v>3932</v>
      </c>
      <c r="ETO1" s="9" t="s">
        <v>3933</v>
      </c>
      <c r="ETP1" s="9" t="s">
        <v>3934</v>
      </c>
      <c r="ETQ1" s="9" t="s">
        <v>3935</v>
      </c>
      <c r="ETR1" s="9" t="s">
        <v>3936</v>
      </c>
      <c r="ETS1" s="9" t="s">
        <v>3937</v>
      </c>
      <c r="ETT1" s="9" t="s">
        <v>3938</v>
      </c>
      <c r="ETU1" s="9" t="s">
        <v>3939</v>
      </c>
      <c r="ETV1" s="9" t="s">
        <v>3940</v>
      </c>
      <c r="ETW1" s="9" t="s">
        <v>3941</v>
      </c>
      <c r="ETX1" s="9" t="s">
        <v>3942</v>
      </c>
      <c r="ETY1" s="9" t="s">
        <v>3943</v>
      </c>
      <c r="ETZ1" s="9" t="s">
        <v>3944</v>
      </c>
      <c r="EUA1" s="9" t="s">
        <v>3945</v>
      </c>
      <c r="EUB1" s="9" t="s">
        <v>3946</v>
      </c>
      <c r="EUC1" s="9" t="s">
        <v>3947</v>
      </c>
      <c r="EUD1" s="9" t="s">
        <v>3948</v>
      </c>
      <c r="EUE1" s="9" t="s">
        <v>3949</v>
      </c>
      <c r="EUF1" s="9" t="s">
        <v>3950</v>
      </c>
      <c r="EUG1" s="9" t="s">
        <v>3951</v>
      </c>
      <c r="EUH1" s="9" t="s">
        <v>3952</v>
      </c>
      <c r="EUI1" s="9" t="s">
        <v>3953</v>
      </c>
      <c r="EUJ1" s="9" t="s">
        <v>3954</v>
      </c>
      <c r="EUK1" s="9" t="s">
        <v>3955</v>
      </c>
      <c r="EUL1" s="9" t="s">
        <v>3956</v>
      </c>
      <c r="EUM1" s="9" t="s">
        <v>3957</v>
      </c>
      <c r="EUN1" s="9" t="s">
        <v>3958</v>
      </c>
      <c r="EUO1" s="9" t="s">
        <v>3959</v>
      </c>
      <c r="EUP1" s="9" t="s">
        <v>3960</v>
      </c>
      <c r="EUQ1" s="9" t="s">
        <v>3961</v>
      </c>
      <c r="EUR1" s="9" t="s">
        <v>3962</v>
      </c>
      <c r="EUS1" s="9" t="s">
        <v>3963</v>
      </c>
      <c r="EUT1" s="9" t="s">
        <v>3964</v>
      </c>
      <c r="EUU1" s="9" t="s">
        <v>3965</v>
      </c>
      <c r="EUV1" s="9" t="s">
        <v>3966</v>
      </c>
      <c r="EUW1" s="9" t="s">
        <v>3967</v>
      </c>
      <c r="EUX1" s="9" t="s">
        <v>3968</v>
      </c>
      <c r="EUY1" s="9" t="s">
        <v>3969</v>
      </c>
      <c r="EUZ1" s="9" t="s">
        <v>3970</v>
      </c>
      <c r="EVA1" s="9" t="s">
        <v>3971</v>
      </c>
      <c r="EVB1" s="9" t="s">
        <v>3972</v>
      </c>
      <c r="EVC1" s="9" t="s">
        <v>3973</v>
      </c>
      <c r="EVD1" s="9" t="s">
        <v>3974</v>
      </c>
      <c r="EVE1" s="9" t="s">
        <v>3975</v>
      </c>
      <c r="EVF1" s="9" t="s">
        <v>3976</v>
      </c>
      <c r="EVG1" s="9" t="s">
        <v>3977</v>
      </c>
      <c r="EVH1" s="9" t="s">
        <v>3978</v>
      </c>
      <c r="EVI1" s="9" t="s">
        <v>3979</v>
      </c>
      <c r="EVJ1" s="9" t="s">
        <v>3980</v>
      </c>
      <c r="EVK1" s="9" t="s">
        <v>3981</v>
      </c>
      <c r="EVL1" s="9" t="s">
        <v>3982</v>
      </c>
      <c r="EVM1" s="9" t="s">
        <v>3983</v>
      </c>
      <c r="EVN1" s="9" t="s">
        <v>3984</v>
      </c>
      <c r="EVO1" s="9" t="s">
        <v>3985</v>
      </c>
      <c r="EVP1" s="9" t="s">
        <v>3986</v>
      </c>
      <c r="EVQ1" s="9" t="s">
        <v>3987</v>
      </c>
      <c r="EVR1" s="9" t="s">
        <v>3988</v>
      </c>
      <c r="EVS1" s="9" t="s">
        <v>3989</v>
      </c>
      <c r="EVT1" s="9" t="s">
        <v>3990</v>
      </c>
      <c r="EVU1" s="9" t="s">
        <v>3991</v>
      </c>
      <c r="EVV1" s="9" t="s">
        <v>3992</v>
      </c>
      <c r="EVW1" s="9" t="s">
        <v>3993</v>
      </c>
      <c r="EVX1" s="9" t="s">
        <v>3994</v>
      </c>
      <c r="EVY1" s="9" t="s">
        <v>3995</v>
      </c>
      <c r="EVZ1" s="9" t="s">
        <v>3996</v>
      </c>
      <c r="EWA1" s="9" t="s">
        <v>3997</v>
      </c>
      <c r="EWB1" s="9" t="s">
        <v>3998</v>
      </c>
      <c r="EWC1" s="9" t="s">
        <v>3999</v>
      </c>
      <c r="EWD1" s="9" t="s">
        <v>4000</v>
      </c>
      <c r="EWE1" s="9" t="s">
        <v>4001</v>
      </c>
      <c r="EWF1" s="9" t="s">
        <v>4002</v>
      </c>
      <c r="EWG1" s="9" t="s">
        <v>4003</v>
      </c>
      <c r="EWH1" s="9" t="s">
        <v>4004</v>
      </c>
      <c r="EWI1" s="9" t="s">
        <v>4005</v>
      </c>
      <c r="EWJ1" s="9" t="s">
        <v>4006</v>
      </c>
      <c r="EWK1" s="9" t="s">
        <v>4007</v>
      </c>
      <c r="EWL1" s="9" t="s">
        <v>4008</v>
      </c>
      <c r="EWM1" s="9" t="s">
        <v>4009</v>
      </c>
      <c r="EWN1" s="9" t="s">
        <v>4010</v>
      </c>
      <c r="EWO1" s="9" t="s">
        <v>4011</v>
      </c>
      <c r="EWP1" s="9" t="s">
        <v>4012</v>
      </c>
      <c r="EWQ1" s="9" t="s">
        <v>4013</v>
      </c>
      <c r="EWR1" s="9" t="s">
        <v>4014</v>
      </c>
      <c r="EWS1" s="9" t="s">
        <v>4015</v>
      </c>
      <c r="EWT1" s="9" t="s">
        <v>4016</v>
      </c>
      <c r="EWU1" s="9" t="s">
        <v>4017</v>
      </c>
      <c r="EWV1" s="9" t="s">
        <v>4018</v>
      </c>
      <c r="EWW1" s="9" t="s">
        <v>4019</v>
      </c>
      <c r="EWX1" s="9" t="s">
        <v>4020</v>
      </c>
      <c r="EWY1" s="9" t="s">
        <v>4021</v>
      </c>
      <c r="EWZ1" s="9" t="s">
        <v>4022</v>
      </c>
      <c r="EXA1" s="9" t="s">
        <v>4023</v>
      </c>
      <c r="EXB1" s="9" t="s">
        <v>4024</v>
      </c>
      <c r="EXC1" s="9" t="s">
        <v>4025</v>
      </c>
      <c r="EXD1" s="9" t="s">
        <v>4026</v>
      </c>
      <c r="EXE1" s="9" t="s">
        <v>4027</v>
      </c>
      <c r="EXF1" s="9" t="s">
        <v>4028</v>
      </c>
      <c r="EXG1" s="9" t="s">
        <v>4029</v>
      </c>
      <c r="EXH1" s="9" t="s">
        <v>4030</v>
      </c>
      <c r="EXI1" s="9" t="s">
        <v>4031</v>
      </c>
      <c r="EXJ1" s="9" t="s">
        <v>4032</v>
      </c>
      <c r="EXK1" s="9" t="s">
        <v>4033</v>
      </c>
      <c r="EXL1" s="9" t="s">
        <v>4034</v>
      </c>
      <c r="EXM1" s="9" t="s">
        <v>4035</v>
      </c>
      <c r="EXN1" s="9" t="s">
        <v>4036</v>
      </c>
      <c r="EXO1" s="9" t="s">
        <v>4037</v>
      </c>
      <c r="EXP1" s="9" t="s">
        <v>4038</v>
      </c>
      <c r="EXQ1" s="9" t="s">
        <v>4039</v>
      </c>
      <c r="EXR1" s="9" t="s">
        <v>4040</v>
      </c>
      <c r="EXS1" s="9" t="s">
        <v>4041</v>
      </c>
      <c r="EXT1" s="9" t="s">
        <v>4042</v>
      </c>
      <c r="EXU1" s="9" t="s">
        <v>4043</v>
      </c>
      <c r="EXV1" s="9" t="s">
        <v>4044</v>
      </c>
      <c r="EXW1" s="9" t="s">
        <v>4045</v>
      </c>
      <c r="EXX1" s="9" t="s">
        <v>4046</v>
      </c>
      <c r="EXY1" s="9" t="s">
        <v>4047</v>
      </c>
      <c r="EXZ1" s="9" t="s">
        <v>4048</v>
      </c>
      <c r="EYA1" s="9" t="s">
        <v>4049</v>
      </c>
      <c r="EYB1" s="9" t="s">
        <v>4050</v>
      </c>
      <c r="EYC1" s="9" t="s">
        <v>4051</v>
      </c>
      <c r="EYD1" s="9" t="s">
        <v>4052</v>
      </c>
      <c r="EYE1" s="9" t="s">
        <v>4053</v>
      </c>
      <c r="EYF1" s="9" t="s">
        <v>4054</v>
      </c>
      <c r="EYG1" s="9" t="s">
        <v>4055</v>
      </c>
      <c r="EYH1" s="9" t="s">
        <v>4056</v>
      </c>
      <c r="EYI1" s="9" t="s">
        <v>4057</v>
      </c>
      <c r="EYJ1" s="9" t="s">
        <v>4058</v>
      </c>
      <c r="EYK1" s="9" t="s">
        <v>4059</v>
      </c>
      <c r="EYL1" s="9" t="s">
        <v>4060</v>
      </c>
      <c r="EYM1" s="9" t="s">
        <v>4061</v>
      </c>
      <c r="EYN1" s="9" t="s">
        <v>4062</v>
      </c>
      <c r="EYO1" s="9" t="s">
        <v>4063</v>
      </c>
      <c r="EYP1" s="9" t="s">
        <v>4064</v>
      </c>
      <c r="EYQ1" s="9" t="s">
        <v>4065</v>
      </c>
      <c r="EYR1" s="9" t="s">
        <v>4066</v>
      </c>
      <c r="EYS1" s="9" t="s">
        <v>4067</v>
      </c>
      <c r="EYT1" s="9" t="s">
        <v>4068</v>
      </c>
      <c r="EYU1" s="9" t="s">
        <v>4069</v>
      </c>
      <c r="EYV1" s="9" t="s">
        <v>4070</v>
      </c>
      <c r="EYW1" s="9" t="s">
        <v>4071</v>
      </c>
      <c r="EYX1" s="9" t="s">
        <v>4072</v>
      </c>
      <c r="EYY1" s="9" t="s">
        <v>4073</v>
      </c>
      <c r="EYZ1" s="9" t="s">
        <v>4074</v>
      </c>
      <c r="EZA1" s="9" t="s">
        <v>4075</v>
      </c>
      <c r="EZB1" s="9" t="s">
        <v>4076</v>
      </c>
      <c r="EZC1" s="9" t="s">
        <v>4077</v>
      </c>
      <c r="EZD1" s="9" t="s">
        <v>4078</v>
      </c>
      <c r="EZE1" s="9" t="s">
        <v>4079</v>
      </c>
      <c r="EZF1" s="9" t="s">
        <v>4080</v>
      </c>
      <c r="EZG1" s="9" t="s">
        <v>4081</v>
      </c>
      <c r="EZH1" s="9" t="s">
        <v>4082</v>
      </c>
      <c r="EZI1" s="9" t="s">
        <v>4083</v>
      </c>
      <c r="EZJ1" s="9" t="s">
        <v>4084</v>
      </c>
      <c r="EZK1" s="9" t="s">
        <v>4085</v>
      </c>
      <c r="EZL1" s="9" t="s">
        <v>4086</v>
      </c>
      <c r="EZM1" s="9" t="s">
        <v>4087</v>
      </c>
      <c r="EZN1" s="9" t="s">
        <v>4088</v>
      </c>
      <c r="EZO1" s="9" t="s">
        <v>4089</v>
      </c>
      <c r="EZP1" s="9" t="s">
        <v>4090</v>
      </c>
      <c r="EZQ1" s="9" t="s">
        <v>4091</v>
      </c>
      <c r="EZR1" s="9" t="s">
        <v>4092</v>
      </c>
      <c r="EZS1" s="9" t="s">
        <v>4093</v>
      </c>
      <c r="EZT1" s="9" t="s">
        <v>4094</v>
      </c>
      <c r="EZU1" s="9" t="s">
        <v>4095</v>
      </c>
      <c r="EZV1" s="9" t="s">
        <v>4096</v>
      </c>
      <c r="EZW1" s="9" t="s">
        <v>4097</v>
      </c>
      <c r="EZX1" s="9" t="s">
        <v>4098</v>
      </c>
      <c r="EZY1" s="9" t="s">
        <v>4099</v>
      </c>
      <c r="EZZ1" s="9" t="s">
        <v>4100</v>
      </c>
      <c r="FAA1" s="9" t="s">
        <v>4101</v>
      </c>
      <c r="FAB1" s="9" t="s">
        <v>4102</v>
      </c>
      <c r="FAC1" s="9" t="s">
        <v>4103</v>
      </c>
      <c r="FAD1" s="9" t="s">
        <v>4104</v>
      </c>
      <c r="FAE1" s="9" t="s">
        <v>4105</v>
      </c>
      <c r="FAF1" s="9" t="s">
        <v>4106</v>
      </c>
      <c r="FAG1" s="9" t="s">
        <v>4107</v>
      </c>
      <c r="FAH1" s="9" t="s">
        <v>4108</v>
      </c>
      <c r="FAI1" s="9" t="s">
        <v>4109</v>
      </c>
      <c r="FAJ1" s="9" t="s">
        <v>4110</v>
      </c>
      <c r="FAK1" s="9" t="s">
        <v>4111</v>
      </c>
      <c r="FAL1" s="9" t="s">
        <v>4112</v>
      </c>
      <c r="FAM1" s="9" t="s">
        <v>4113</v>
      </c>
      <c r="FAN1" s="9" t="s">
        <v>4114</v>
      </c>
      <c r="FAO1" s="9" t="s">
        <v>4115</v>
      </c>
      <c r="FAP1" s="9" t="s">
        <v>4116</v>
      </c>
      <c r="FAQ1" s="9" t="s">
        <v>4117</v>
      </c>
      <c r="FAR1" s="9" t="s">
        <v>4118</v>
      </c>
      <c r="FAS1" s="9" t="s">
        <v>4119</v>
      </c>
      <c r="FAT1" s="9" t="s">
        <v>4120</v>
      </c>
      <c r="FAU1" s="9" t="s">
        <v>4121</v>
      </c>
      <c r="FAV1" s="9" t="s">
        <v>4122</v>
      </c>
      <c r="FAW1" s="9" t="s">
        <v>4123</v>
      </c>
      <c r="FAX1" s="9" t="s">
        <v>4124</v>
      </c>
      <c r="FAY1" s="9" t="s">
        <v>4125</v>
      </c>
      <c r="FAZ1" s="9" t="s">
        <v>4126</v>
      </c>
      <c r="FBA1" s="9" t="s">
        <v>4127</v>
      </c>
      <c r="FBB1" s="9" t="s">
        <v>4128</v>
      </c>
      <c r="FBC1" s="9" t="s">
        <v>4129</v>
      </c>
      <c r="FBD1" s="9" t="s">
        <v>4130</v>
      </c>
      <c r="FBE1" s="9" t="s">
        <v>4131</v>
      </c>
      <c r="FBF1" s="9" t="s">
        <v>4132</v>
      </c>
      <c r="FBG1" s="9" t="s">
        <v>4133</v>
      </c>
      <c r="FBH1" s="9" t="s">
        <v>4134</v>
      </c>
      <c r="FBI1" s="9" t="s">
        <v>4135</v>
      </c>
      <c r="FBJ1" s="9" t="s">
        <v>4136</v>
      </c>
      <c r="FBK1" s="9" t="s">
        <v>4137</v>
      </c>
      <c r="FBL1" s="9" t="s">
        <v>4138</v>
      </c>
      <c r="FBM1" s="9" t="s">
        <v>4139</v>
      </c>
      <c r="FBN1" s="9" t="s">
        <v>4140</v>
      </c>
      <c r="FBO1" s="9" t="s">
        <v>4141</v>
      </c>
      <c r="FBP1" s="9" t="s">
        <v>4142</v>
      </c>
      <c r="FBQ1" s="9" t="s">
        <v>4143</v>
      </c>
      <c r="FBR1" s="9" t="s">
        <v>4144</v>
      </c>
      <c r="FBS1" s="9" t="s">
        <v>4145</v>
      </c>
      <c r="FBT1" s="9" t="s">
        <v>4146</v>
      </c>
      <c r="FBU1" s="9" t="s">
        <v>4147</v>
      </c>
      <c r="FBV1" s="9" t="s">
        <v>4148</v>
      </c>
      <c r="FBW1" s="9" t="s">
        <v>4149</v>
      </c>
      <c r="FBX1" s="9" t="s">
        <v>4150</v>
      </c>
      <c r="FBY1" s="9" t="s">
        <v>4151</v>
      </c>
      <c r="FBZ1" s="9" t="s">
        <v>4152</v>
      </c>
      <c r="FCA1" s="9" t="s">
        <v>4153</v>
      </c>
      <c r="FCB1" s="9" t="s">
        <v>4154</v>
      </c>
      <c r="FCC1" s="9" t="s">
        <v>4155</v>
      </c>
      <c r="FCD1" s="9" t="s">
        <v>4156</v>
      </c>
      <c r="FCE1" s="9" t="s">
        <v>4157</v>
      </c>
      <c r="FCF1" s="9" t="s">
        <v>4158</v>
      </c>
      <c r="FCG1" s="9" t="s">
        <v>4159</v>
      </c>
      <c r="FCH1" s="9" t="s">
        <v>4160</v>
      </c>
      <c r="FCI1" s="9" t="s">
        <v>4161</v>
      </c>
      <c r="FCJ1" s="9" t="s">
        <v>4162</v>
      </c>
      <c r="FCK1" s="9" t="s">
        <v>4163</v>
      </c>
      <c r="FCL1" s="9" t="s">
        <v>4164</v>
      </c>
      <c r="FCM1" s="9" t="s">
        <v>4165</v>
      </c>
      <c r="FCN1" s="9" t="s">
        <v>4166</v>
      </c>
      <c r="FCO1" s="9" t="s">
        <v>4167</v>
      </c>
      <c r="FCP1" s="9" t="s">
        <v>4168</v>
      </c>
      <c r="FCQ1" s="9" t="s">
        <v>4169</v>
      </c>
      <c r="FCR1" s="9" t="s">
        <v>4170</v>
      </c>
      <c r="FCS1" s="9" t="s">
        <v>4171</v>
      </c>
      <c r="FCT1" s="9" t="s">
        <v>4172</v>
      </c>
      <c r="FCU1" s="9" t="s">
        <v>4173</v>
      </c>
      <c r="FCV1" s="9" t="s">
        <v>4174</v>
      </c>
      <c r="FCW1" s="9" t="s">
        <v>4175</v>
      </c>
      <c r="FCX1" s="9" t="s">
        <v>4176</v>
      </c>
      <c r="FCY1" s="9" t="s">
        <v>4177</v>
      </c>
      <c r="FCZ1" s="9" t="s">
        <v>4178</v>
      </c>
      <c r="FDA1" s="9" t="s">
        <v>4179</v>
      </c>
      <c r="FDB1" s="9" t="s">
        <v>4180</v>
      </c>
      <c r="FDC1" s="9" t="s">
        <v>4181</v>
      </c>
      <c r="FDD1" s="9" t="s">
        <v>4182</v>
      </c>
      <c r="FDE1" s="9" t="s">
        <v>4183</v>
      </c>
      <c r="FDF1" s="9" t="s">
        <v>4184</v>
      </c>
      <c r="FDG1" s="9" t="s">
        <v>4185</v>
      </c>
      <c r="FDH1" s="9" t="s">
        <v>4186</v>
      </c>
      <c r="FDI1" s="9" t="s">
        <v>4187</v>
      </c>
      <c r="FDJ1" s="9" t="s">
        <v>4188</v>
      </c>
      <c r="FDK1" s="9" t="s">
        <v>4189</v>
      </c>
      <c r="FDL1" s="9" t="s">
        <v>4190</v>
      </c>
      <c r="FDM1" s="9" t="s">
        <v>4191</v>
      </c>
      <c r="FDN1" s="9" t="s">
        <v>4192</v>
      </c>
      <c r="FDO1" s="9" t="s">
        <v>4193</v>
      </c>
      <c r="FDP1" s="9" t="s">
        <v>4194</v>
      </c>
      <c r="FDQ1" s="9" t="s">
        <v>4195</v>
      </c>
      <c r="FDR1" s="9" t="s">
        <v>4196</v>
      </c>
      <c r="FDS1" s="9" t="s">
        <v>4197</v>
      </c>
      <c r="FDT1" s="9" t="s">
        <v>4198</v>
      </c>
      <c r="FDU1" s="9" t="s">
        <v>4199</v>
      </c>
      <c r="FDV1" s="9" t="s">
        <v>4200</v>
      </c>
      <c r="FDW1" s="9" t="s">
        <v>4201</v>
      </c>
      <c r="FDX1" s="9" t="s">
        <v>4202</v>
      </c>
      <c r="FDY1" s="9" t="s">
        <v>4203</v>
      </c>
      <c r="FDZ1" s="9" t="s">
        <v>4204</v>
      </c>
      <c r="FEA1" s="9" t="s">
        <v>4205</v>
      </c>
      <c r="FEB1" s="9" t="s">
        <v>4206</v>
      </c>
      <c r="FEC1" s="9" t="s">
        <v>4207</v>
      </c>
      <c r="FED1" s="9" t="s">
        <v>4208</v>
      </c>
      <c r="FEE1" s="9" t="s">
        <v>4209</v>
      </c>
      <c r="FEF1" s="9" t="s">
        <v>4210</v>
      </c>
      <c r="FEG1" s="9" t="s">
        <v>4211</v>
      </c>
      <c r="FEH1" s="9" t="s">
        <v>4212</v>
      </c>
      <c r="FEI1" s="9" t="s">
        <v>4213</v>
      </c>
      <c r="FEJ1" s="9" t="s">
        <v>4214</v>
      </c>
      <c r="FEK1" s="9" t="s">
        <v>4215</v>
      </c>
      <c r="FEL1" s="9" t="s">
        <v>4216</v>
      </c>
      <c r="FEM1" s="9" t="s">
        <v>4217</v>
      </c>
      <c r="FEN1" s="9" t="s">
        <v>4218</v>
      </c>
      <c r="FEO1" s="9" t="s">
        <v>4219</v>
      </c>
      <c r="FEP1" s="9" t="s">
        <v>4220</v>
      </c>
      <c r="FEQ1" s="9" t="s">
        <v>4221</v>
      </c>
      <c r="FER1" s="9" t="s">
        <v>4222</v>
      </c>
      <c r="FES1" s="9" t="s">
        <v>4223</v>
      </c>
      <c r="FET1" s="9" t="s">
        <v>4224</v>
      </c>
      <c r="FEU1" s="9" t="s">
        <v>4225</v>
      </c>
      <c r="FEV1" s="9" t="s">
        <v>4226</v>
      </c>
      <c r="FEW1" s="9" t="s">
        <v>4227</v>
      </c>
      <c r="FEX1" s="9" t="s">
        <v>4228</v>
      </c>
      <c r="FEY1" s="9" t="s">
        <v>4229</v>
      </c>
      <c r="FEZ1" s="9" t="s">
        <v>4230</v>
      </c>
      <c r="FFA1" s="9" t="s">
        <v>4231</v>
      </c>
      <c r="FFB1" s="9" t="s">
        <v>4232</v>
      </c>
      <c r="FFC1" s="9" t="s">
        <v>4233</v>
      </c>
      <c r="FFD1" s="9" t="s">
        <v>4234</v>
      </c>
      <c r="FFE1" s="9" t="s">
        <v>4235</v>
      </c>
      <c r="FFF1" s="9" t="s">
        <v>4236</v>
      </c>
      <c r="FFG1" s="9" t="s">
        <v>4237</v>
      </c>
      <c r="FFH1" s="9" t="s">
        <v>4238</v>
      </c>
      <c r="FFI1" s="9" t="s">
        <v>4239</v>
      </c>
      <c r="FFJ1" s="9" t="s">
        <v>4240</v>
      </c>
      <c r="FFK1" s="9" t="s">
        <v>4241</v>
      </c>
      <c r="FFL1" s="9" t="s">
        <v>4242</v>
      </c>
      <c r="FFM1" s="9" t="s">
        <v>4243</v>
      </c>
      <c r="FFN1" s="9" t="s">
        <v>4244</v>
      </c>
      <c r="FFO1" s="9" t="s">
        <v>4245</v>
      </c>
      <c r="FFP1" s="9" t="s">
        <v>4246</v>
      </c>
      <c r="FFQ1" s="9" t="s">
        <v>4247</v>
      </c>
      <c r="FFR1" s="9" t="s">
        <v>4248</v>
      </c>
      <c r="FFS1" s="9" t="s">
        <v>4249</v>
      </c>
      <c r="FFT1" s="9" t="s">
        <v>4250</v>
      </c>
      <c r="FFU1" s="9" t="s">
        <v>4251</v>
      </c>
      <c r="FFV1" s="9" t="s">
        <v>4252</v>
      </c>
      <c r="FFW1" s="9" t="s">
        <v>4253</v>
      </c>
      <c r="FFX1" s="9" t="s">
        <v>4254</v>
      </c>
      <c r="FFY1" s="9" t="s">
        <v>4255</v>
      </c>
      <c r="FFZ1" s="9" t="s">
        <v>4256</v>
      </c>
      <c r="FGA1" s="9" t="s">
        <v>4257</v>
      </c>
      <c r="FGB1" s="9" t="s">
        <v>4258</v>
      </c>
      <c r="FGC1" s="9" t="s">
        <v>4259</v>
      </c>
      <c r="FGD1" s="9" t="s">
        <v>4260</v>
      </c>
      <c r="FGE1" s="9" t="s">
        <v>4261</v>
      </c>
      <c r="FGF1" s="9" t="s">
        <v>4262</v>
      </c>
      <c r="FGG1" s="9" t="s">
        <v>4263</v>
      </c>
      <c r="FGH1" s="9" t="s">
        <v>4264</v>
      </c>
      <c r="FGI1" s="9" t="s">
        <v>4265</v>
      </c>
      <c r="FGJ1" s="9" t="s">
        <v>4266</v>
      </c>
      <c r="FGK1" s="9" t="s">
        <v>4267</v>
      </c>
      <c r="FGL1" s="9" t="s">
        <v>4268</v>
      </c>
      <c r="FGM1" s="9" t="s">
        <v>4269</v>
      </c>
      <c r="FGN1" s="9" t="s">
        <v>4270</v>
      </c>
      <c r="FGO1" s="9" t="s">
        <v>4271</v>
      </c>
      <c r="FGP1" s="9" t="s">
        <v>4272</v>
      </c>
      <c r="FGQ1" s="9" t="s">
        <v>4273</v>
      </c>
      <c r="FGR1" s="9" t="s">
        <v>4274</v>
      </c>
      <c r="FGS1" s="9" t="s">
        <v>4275</v>
      </c>
      <c r="FGT1" s="9" t="s">
        <v>4276</v>
      </c>
      <c r="FGU1" s="9" t="s">
        <v>4277</v>
      </c>
      <c r="FGV1" s="9" t="s">
        <v>4278</v>
      </c>
      <c r="FGW1" s="9" t="s">
        <v>4279</v>
      </c>
      <c r="FGX1" s="9" t="s">
        <v>4280</v>
      </c>
      <c r="FGY1" s="9" t="s">
        <v>4281</v>
      </c>
      <c r="FGZ1" s="9" t="s">
        <v>4282</v>
      </c>
      <c r="FHA1" s="9" t="s">
        <v>4283</v>
      </c>
      <c r="FHB1" s="9" t="s">
        <v>4284</v>
      </c>
      <c r="FHC1" s="9" t="s">
        <v>4285</v>
      </c>
      <c r="FHD1" s="9" t="s">
        <v>4286</v>
      </c>
      <c r="FHE1" s="9" t="s">
        <v>4287</v>
      </c>
      <c r="FHF1" s="9" t="s">
        <v>4288</v>
      </c>
      <c r="FHG1" s="9" t="s">
        <v>4289</v>
      </c>
      <c r="FHH1" s="9" t="s">
        <v>4290</v>
      </c>
      <c r="FHI1" s="9" t="s">
        <v>4291</v>
      </c>
      <c r="FHJ1" s="9" t="s">
        <v>4292</v>
      </c>
      <c r="FHK1" s="9" t="s">
        <v>4293</v>
      </c>
      <c r="FHL1" s="9" t="s">
        <v>4294</v>
      </c>
      <c r="FHM1" s="9" t="s">
        <v>4295</v>
      </c>
      <c r="FHN1" s="9" t="s">
        <v>4296</v>
      </c>
      <c r="FHO1" s="9" t="s">
        <v>4297</v>
      </c>
      <c r="FHP1" s="9" t="s">
        <v>4298</v>
      </c>
      <c r="FHQ1" s="9" t="s">
        <v>4299</v>
      </c>
      <c r="FHR1" s="9" t="s">
        <v>4300</v>
      </c>
      <c r="FHS1" s="9" t="s">
        <v>4301</v>
      </c>
      <c r="FHT1" s="9" t="s">
        <v>4302</v>
      </c>
      <c r="FHU1" s="9" t="s">
        <v>4303</v>
      </c>
      <c r="FHV1" s="9" t="s">
        <v>4304</v>
      </c>
      <c r="FHW1" s="9" t="s">
        <v>4305</v>
      </c>
      <c r="FHX1" s="9" t="s">
        <v>4306</v>
      </c>
      <c r="FHY1" s="9" t="s">
        <v>4307</v>
      </c>
      <c r="FHZ1" s="9" t="s">
        <v>4308</v>
      </c>
      <c r="FIA1" s="9" t="s">
        <v>4309</v>
      </c>
      <c r="FIB1" s="9" t="s">
        <v>4310</v>
      </c>
      <c r="FIC1" s="9" t="s">
        <v>4311</v>
      </c>
      <c r="FID1" s="9" t="s">
        <v>4312</v>
      </c>
      <c r="FIE1" s="9" t="s">
        <v>4313</v>
      </c>
      <c r="FIF1" s="9" t="s">
        <v>4314</v>
      </c>
      <c r="FIG1" s="9" t="s">
        <v>4315</v>
      </c>
      <c r="FIH1" s="9" t="s">
        <v>4316</v>
      </c>
      <c r="FII1" s="9" t="s">
        <v>4317</v>
      </c>
      <c r="FIJ1" s="9" t="s">
        <v>4318</v>
      </c>
      <c r="FIK1" s="9" t="s">
        <v>4319</v>
      </c>
      <c r="FIL1" s="9" t="s">
        <v>4320</v>
      </c>
      <c r="FIM1" s="9" t="s">
        <v>4321</v>
      </c>
      <c r="FIN1" s="9" t="s">
        <v>4322</v>
      </c>
      <c r="FIO1" s="9" t="s">
        <v>4323</v>
      </c>
      <c r="FIP1" s="9" t="s">
        <v>4324</v>
      </c>
      <c r="FIQ1" s="9" t="s">
        <v>4325</v>
      </c>
      <c r="FIR1" s="9" t="s">
        <v>4326</v>
      </c>
      <c r="FIS1" s="9" t="s">
        <v>4327</v>
      </c>
      <c r="FIT1" s="9" t="s">
        <v>4328</v>
      </c>
      <c r="FIU1" s="9" t="s">
        <v>4329</v>
      </c>
      <c r="FIV1" s="9" t="s">
        <v>4330</v>
      </c>
      <c r="FIW1" s="9" t="s">
        <v>4331</v>
      </c>
      <c r="FIX1" s="9" t="s">
        <v>4332</v>
      </c>
      <c r="FIY1" s="9" t="s">
        <v>4333</v>
      </c>
      <c r="FIZ1" s="9" t="s">
        <v>4334</v>
      </c>
      <c r="FJA1" s="9" t="s">
        <v>4335</v>
      </c>
      <c r="FJB1" s="9" t="s">
        <v>4336</v>
      </c>
      <c r="FJC1" s="9" t="s">
        <v>4337</v>
      </c>
      <c r="FJD1" s="9" t="s">
        <v>4338</v>
      </c>
      <c r="FJE1" s="9" t="s">
        <v>4339</v>
      </c>
      <c r="FJF1" s="9" t="s">
        <v>4340</v>
      </c>
      <c r="FJG1" s="9" t="s">
        <v>4341</v>
      </c>
      <c r="FJH1" s="9" t="s">
        <v>4342</v>
      </c>
      <c r="FJI1" s="9" t="s">
        <v>4343</v>
      </c>
      <c r="FJJ1" s="9" t="s">
        <v>4344</v>
      </c>
      <c r="FJK1" s="9" t="s">
        <v>4345</v>
      </c>
      <c r="FJL1" s="9" t="s">
        <v>4346</v>
      </c>
      <c r="FJM1" s="9" t="s">
        <v>4347</v>
      </c>
      <c r="FJN1" s="9" t="s">
        <v>4348</v>
      </c>
      <c r="FJO1" s="9" t="s">
        <v>4349</v>
      </c>
      <c r="FJP1" s="9" t="s">
        <v>4350</v>
      </c>
      <c r="FJQ1" s="9" t="s">
        <v>4351</v>
      </c>
      <c r="FJR1" s="9" t="s">
        <v>4352</v>
      </c>
      <c r="FJS1" s="9" t="s">
        <v>4353</v>
      </c>
      <c r="FJT1" s="9" t="s">
        <v>4354</v>
      </c>
      <c r="FJU1" s="9" t="s">
        <v>4355</v>
      </c>
      <c r="FJV1" s="9" t="s">
        <v>4356</v>
      </c>
      <c r="FJW1" s="9" t="s">
        <v>4357</v>
      </c>
      <c r="FJX1" s="9" t="s">
        <v>4358</v>
      </c>
      <c r="FJY1" s="9" t="s">
        <v>4359</v>
      </c>
      <c r="FJZ1" s="9" t="s">
        <v>4360</v>
      </c>
      <c r="FKA1" s="9" t="s">
        <v>4361</v>
      </c>
      <c r="FKB1" s="9" t="s">
        <v>4362</v>
      </c>
      <c r="FKC1" s="9" t="s">
        <v>4363</v>
      </c>
      <c r="FKD1" s="9" t="s">
        <v>4364</v>
      </c>
      <c r="FKE1" s="9" t="s">
        <v>4365</v>
      </c>
      <c r="FKF1" s="9" t="s">
        <v>4366</v>
      </c>
      <c r="FKG1" s="9" t="s">
        <v>4367</v>
      </c>
      <c r="FKH1" s="9" t="s">
        <v>4368</v>
      </c>
      <c r="FKI1" s="9" t="s">
        <v>4369</v>
      </c>
      <c r="FKJ1" s="9" t="s">
        <v>4370</v>
      </c>
      <c r="FKK1" s="9" t="s">
        <v>4371</v>
      </c>
      <c r="FKL1" s="9" t="s">
        <v>4372</v>
      </c>
      <c r="FKM1" s="9" t="s">
        <v>4373</v>
      </c>
      <c r="FKN1" s="9" t="s">
        <v>4374</v>
      </c>
      <c r="FKO1" s="9" t="s">
        <v>4375</v>
      </c>
      <c r="FKP1" s="9" t="s">
        <v>4376</v>
      </c>
      <c r="FKQ1" s="9" t="s">
        <v>4377</v>
      </c>
      <c r="FKR1" s="9" t="s">
        <v>4378</v>
      </c>
      <c r="FKS1" s="9" t="s">
        <v>4379</v>
      </c>
      <c r="FKT1" s="9" t="s">
        <v>4380</v>
      </c>
      <c r="FKU1" s="9" t="s">
        <v>4381</v>
      </c>
      <c r="FKV1" s="9" t="s">
        <v>4382</v>
      </c>
      <c r="FKW1" s="9" t="s">
        <v>4383</v>
      </c>
      <c r="FKX1" s="9" t="s">
        <v>4384</v>
      </c>
      <c r="FKY1" s="9" t="s">
        <v>4385</v>
      </c>
      <c r="FKZ1" s="9" t="s">
        <v>4386</v>
      </c>
      <c r="FLA1" s="9" t="s">
        <v>4387</v>
      </c>
      <c r="FLB1" s="9" t="s">
        <v>4388</v>
      </c>
      <c r="FLC1" s="9" t="s">
        <v>4389</v>
      </c>
      <c r="FLD1" s="9" t="s">
        <v>4390</v>
      </c>
      <c r="FLE1" s="9" t="s">
        <v>4391</v>
      </c>
      <c r="FLF1" s="9" t="s">
        <v>4392</v>
      </c>
      <c r="FLG1" s="9" t="s">
        <v>4393</v>
      </c>
      <c r="FLH1" s="9" t="s">
        <v>4394</v>
      </c>
      <c r="FLI1" s="9" t="s">
        <v>4395</v>
      </c>
      <c r="FLJ1" s="9" t="s">
        <v>4396</v>
      </c>
      <c r="FLK1" s="9" t="s">
        <v>4397</v>
      </c>
      <c r="FLL1" s="9" t="s">
        <v>4398</v>
      </c>
      <c r="FLM1" s="9" t="s">
        <v>4399</v>
      </c>
      <c r="FLN1" s="9" t="s">
        <v>4400</v>
      </c>
      <c r="FLO1" s="9" t="s">
        <v>4401</v>
      </c>
      <c r="FLP1" s="9" t="s">
        <v>4402</v>
      </c>
      <c r="FLQ1" s="9" t="s">
        <v>4403</v>
      </c>
      <c r="FLR1" s="9" t="s">
        <v>4404</v>
      </c>
      <c r="FLS1" s="9" t="s">
        <v>4405</v>
      </c>
      <c r="FLT1" s="9" t="s">
        <v>4406</v>
      </c>
      <c r="FLU1" s="9" t="s">
        <v>4407</v>
      </c>
      <c r="FLV1" s="9" t="s">
        <v>4408</v>
      </c>
      <c r="FLW1" s="9" t="s">
        <v>4409</v>
      </c>
      <c r="FLX1" s="9" t="s">
        <v>4410</v>
      </c>
      <c r="FLY1" s="9" t="s">
        <v>4411</v>
      </c>
      <c r="FLZ1" s="9" t="s">
        <v>4412</v>
      </c>
      <c r="FMA1" s="9" t="s">
        <v>4413</v>
      </c>
      <c r="FMB1" s="9" t="s">
        <v>4414</v>
      </c>
      <c r="FMC1" s="9" t="s">
        <v>4415</v>
      </c>
      <c r="FMD1" s="9" t="s">
        <v>4416</v>
      </c>
      <c r="FME1" s="9" t="s">
        <v>4417</v>
      </c>
      <c r="FMF1" s="9" t="s">
        <v>4418</v>
      </c>
      <c r="FMG1" s="9" t="s">
        <v>4419</v>
      </c>
      <c r="FMH1" s="9" t="s">
        <v>4420</v>
      </c>
      <c r="FMI1" s="9" t="s">
        <v>4421</v>
      </c>
      <c r="FMJ1" s="9" t="s">
        <v>4422</v>
      </c>
      <c r="FMK1" s="9" t="s">
        <v>4423</v>
      </c>
      <c r="FML1" s="9" t="s">
        <v>4424</v>
      </c>
      <c r="FMM1" s="9" t="s">
        <v>4425</v>
      </c>
      <c r="FMN1" s="9" t="s">
        <v>4426</v>
      </c>
      <c r="FMO1" s="9" t="s">
        <v>4427</v>
      </c>
      <c r="FMP1" s="9" t="s">
        <v>4428</v>
      </c>
      <c r="FMQ1" s="9" t="s">
        <v>4429</v>
      </c>
      <c r="FMR1" s="9" t="s">
        <v>4430</v>
      </c>
      <c r="FMS1" s="9" t="s">
        <v>4431</v>
      </c>
      <c r="FMT1" s="9" t="s">
        <v>4432</v>
      </c>
      <c r="FMU1" s="9" t="s">
        <v>4433</v>
      </c>
      <c r="FMV1" s="9" t="s">
        <v>4434</v>
      </c>
      <c r="FMW1" s="9" t="s">
        <v>4435</v>
      </c>
      <c r="FMX1" s="9" t="s">
        <v>4436</v>
      </c>
      <c r="FMY1" s="9" t="s">
        <v>4437</v>
      </c>
      <c r="FMZ1" s="9" t="s">
        <v>4438</v>
      </c>
      <c r="FNA1" s="9" t="s">
        <v>4439</v>
      </c>
      <c r="FNB1" s="9" t="s">
        <v>4440</v>
      </c>
      <c r="FNC1" s="9" t="s">
        <v>4441</v>
      </c>
      <c r="FND1" s="9" t="s">
        <v>4442</v>
      </c>
      <c r="FNE1" s="9" t="s">
        <v>4443</v>
      </c>
      <c r="FNF1" s="9" t="s">
        <v>4444</v>
      </c>
      <c r="FNG1" s="9" t="s">
        <v>4445</v>
      </c>
      <c r="FNH1" s="9" t="s">
        <v>4446</v>
      </c>
      <c r="FNI1" s="9" t="s">
        <v>4447</v>
      </c>
      <c r="FNJ1" s="9" t="s">
        <v>4448</v>
      </c>
      <c r="FNK1" s="9" t="s">
        <v>4449</v>
      </c>
      <c r="FNL1" s="9" t="s">
        <v>4450</v>
      </c>
      <c r="FNM1" s="9" t="s">
        <v>4451</v>
      </c>
      <c r="FNN1" s="9" t="s">
        <v>4452</v>
      </c>
      <c r="FNO1" s="9" t="s">
        <v>4453</v>
      </c>
      <c r="FNP1" s="9" t="s">
        <v>4454</v>
      </c>
      <c r="FNQ1" s="9" t="s">
        <v>4455</v>
      </c>
      <c r="FNR1" s="9" t="s">
        <v>4456</v>
      </c>
      <c r="FNS1" s="9" t="s">
        <v>4457</v>
      </c>
      <c r="FNT1" s="9" t="s">
        <v>4458</v>
      </c>
      <c r="FNU1" s="9" t="s">
        <v>4459</v>
      </c>
      <c r="FNV1" s="9" t="s">
        <v>4460</v>
      </c>
      <c r="FNW1" s="9" t="s">
        <v>4461</v>
      </c>
      <c r="FNX1" s="9" t="s">
        <v>4462</v>
      </c>
      <c r="FNY1" s="9" t="s">
        <v>4463</v>
      </c>
      <c r="FNZ1" s="9" t="s">
        <v>4464</v>
      </c>
      <c r="FOA1" s="9" t="s">
        <v>4465</v>
      </c>
      <c r="FOB1" s="9" t="s">
        <v>4466</v>
      </c>
      <c r="FOC1" s="9" t="s">
        <v>4467</v>
      </c>
      <c r="FOD1" s="9" t="s">
        <v>4468</v>
      </c>
      <c r="FOE1" s="9" t="s">
        <v>4469</v>
      </c>
      <c r="FOF1" s="9" t="s">
        <v>4470</v>
      </c>
      <c r="FOG1" s="9" t="s">
        <v>4471</v>
      </c>
      <c r="FOH1" s="9" t="s">
        <v>4472</v>
      </c>
      <c r="FOI1" s="9" t="s">
        <v>4473</v>
      </c>
      <c r="FOJ1" s="9" t="s">
        <v>4474</v>
      </c>
      <c r="FOK1" s="9" t="s">
        <v>4475</v>
      </c>
      <c r="FOL1" s="9" t="s">
        <v>4476</v>
      </c>
      <c r="FOM1" s="9" t="s">
        <v>4477</v>
      </c>
      <c r="FON1" s="9" t="s">
        <v>4478</v>
      </c>
      <c r="FOO1" s="9" t="s">
        <v>4479</v>
      </c>
      <c r="FOP1" s="9" t="s">
        <v>4480</v>
      </c>
      <c r="FOQ1" s="9" t="s">
        <v>4481</v>
      </c>
      <c r="FOR1" s="9" t="s">
        <v>4482</v>
      </c>
      <c r="FOS1" s="9" t="s">
        <v>4483</v>
      </c>
      <c r="FOT1" s="9" t="s">
        <v>4484</v>
      </c>
      <c r="FOU1" s="9" t="s">
        <v>4485</v>
      </c>
      <c r="FOV1" s="9" t="s">
        <v>4486</v>
      </c>
      <c r="FOW1" s="9" t="s">
        <v>4487</v>
      </c>
      <c r="FOX1" s="9" t="s">
        <v>4488</v>
      </c>
      <c r="FOY1" s="9" t="s">
        <v>4489</v>
      </c>
      <c r="FOZ1" s="9" t="s">
        <v>4490</v>
      </c>
      <c r="FPA1" s="9" t="s">
        <v>4491</v>
      </c>
      <c r="FPB1" s="9" t="s">
        <v>4492</v>
      </c>
      <c r="FPC1" s="9" t="s">
        <v>4493</v>
      </c>
      <c r="FPD1" s="9" t="s">
        <v>4494</v>
      </c>
      <c r="FPE1" s="9" t="s">
        <v>4495</v>
      </c>
      <c r="FPF1" s="9" t="s">
        <v>4496</v>
      </c>
      <c r="FPG1" s="9" t="s">
        <v>4497</v>
      </c>
      <c r="FPH1" s="9" t="s">
        <v>4498</v>
      </c>
      <c r="FPI1" s="9" t="s">
        <v>4499</v>
      </c>
      <c r="FPJ1" s="9" t="s">
        <v>4500</v>
      </c>
      <c r="FPK1" s="9" t="s">
        <v>4501</v>
      </c>
      <c r="FPL1" s="9" t="s">
        <v>4502</v>
      </c>
      <c r="FPM1" s="9" t="s">
        <v>4503</v>
      </c>
      <c r="FPN1" s="9" t="s">
        <v>4504</v>
      </c>
      <c r="FPO1" s="9" t="s">
        <v>4505</v>
      </c>
      <c r="FPP1" s="9" t="s">
        <v>4506</v>
      </c>
      <c r="FPQ1" s="9" t="s">
        <v>4507</v>
      </c>
      <c r="FPR1" s="9" t="s">
        <v>4508</v>
      </c>
      <c r="FPS1" s="9" t="s">
        <v>4509</v>
      </c>
      <c r="FPT1" s="9" t="s">
        <v>4510</v>
      </c>
      <c r="FPU1" s="9" t="s">
        <v>4511</v>
      </c>
      <c r="FPV1" s="9" t="s">
        <v>4512</v>
      </c>
      <c r="FPW1" s="9" t="s">
        <v>4513</v>
      </c>
      <c r="FPX1" s="9" t="s">
        <v>4514</v>
      </c>
      <c r="FPY1" s="9" t="s">
        <v>4515</v>
      </c>
      <c r="FPZ1" s="9" t="s">
        <v>4516</v>
      </c>
      <c r="FQA1" s="9" t="s">
        <v>4517</v>
      </c>
      <c r="FQB1" s="9" t="s">
        <v>4518</v>
      </c>
      <c r="FQC1" s="9" t="s">
        <v>4519</v>
      </c>
      <c r="FQD1" s="9" t="s">
        <v>4520</v>
      </c>
      <c r="FQE1" s="9" t="s">
        <v>4521</v>
      </c>
      <c r="FQF1" s="9" t="s">
        <v>4522</v>
      </c>
      <c r="FQG1" s="9" t="s">
        <v>4523</v>
      </c>
      <c r="FQH1" s="9" t="s">
        <v>4524</v>
      </c>
      <c r="FQI1" s="9" t="s">
        <v>4525</v>
      </c>
      <c r="FQJ1" s="9" t="s">
        <v>4526</v>
      </c>
      <c r="FQK1" s="9" t="s">
        <v>4527</v>
      </c>
      <c r="FQL1" s="9" t="s">
        <v>4528</v>
      </c>
      <c r="FQM1" s="9" t="s">
        <v>4529</v>
      </c>
      <c r="FQN1" s="9" t="s">
        <v>4530</v>
      </c>
      <c r="FQO1" s="9" t="s">
        <v>4531</v>
      </c>
      <c r="FQP1" s="9" t="s">
        <v>4532</v>
      </c>
      <c r="FQQ1" s="9" t="s">
        <v>4533</v>
      </c>
      <c r="FQR1" s="9" t="s">
        <v>4534</v>
      </c>
      <c r="FQS1" s="9" t="s">
        <v>4535</v>
      </c>
      <c r="FQT1" s="9" t="s">
        <v>4536</v>
      </c>
      <c r="FQU1" s="9" t="s">
        <v>4537</v>
      </c>
      <c r="FQV1" s="9" t="s">
        <v>4538</v>
      </c>
      <c r="FQW1" s="9" t="s">
        <v>4539</v>
      </c>
      <c r="FQX1" s="9" t="s">
        <v>4540</v>
      </c>
      <c r="FQY1" s="9" t="s">
        <v>4541</v>
      </c>
      <c r="FQZ1" s="9" t="s">
        <v>4542</v>
      </c>
      <c r="FRA1" s="9" t="s">
        <v>4543</v>
      </c>
      <c r="FRB1" s="9" t="s">
        <v>4544</v>
      </c>
      <c r="FRC1" s="9" t="s">
        <v>4545</v>
      </c>
      <c r="FRD1" s="9" t="s">
        <v>4546</v>
      </c>
      <c r="FRE1" s="9" t="s">
        <v>4547</v>
      </c>
      <c r="FRF1" s="9" t="s">
        <v>4548</v>
      </c>
      <c r="FRG1" s="9" t="s">
        <v>4549</v>
      </c>
      <c r="FRH1" s="9" t="s">
        <v>4550</v>
      </c>
      <c r="FRI1" s="9" t="s">
        <v>4551</v>
      </c>
      <c r="FRJ1" s="9" t="s">
        <v>4552</v>
      </c>
      <c r="FRK1" s="9" t="s">
        <v>4553</v>
      </c>
      <c r="FRL1" s="9" t="s">
        <v>4554</v>
      </c>
      <c r="FRM1" s="9" t="s">
        <v>4555</v>
      </c>
      <c r="FRN1" s="9" t="s">
        <v>4556</v>
      </c>
      <c r="FRO1" s="9" t="s">
        <v>4557</v>
      </c>
      <c r="FRP1" s="9" t="s">
        <v>4558</v>
      </c>
      <c r="FRQ1" s="9" t="s">
        <v>4559</v>
      </c>
      <c r="FRR1" s="9" t="s">
        <v>4560</v>
      </c>
      <c r="FRS1" s="9" t="s">
        <v>4561</v>
      </c>
      <c r="FRT1" s="9" t="s">
        <v>4562</v>
      </c>
      <c r="FRU1" s="9" t="s">
        <v>4563</v>
      </c>
      <c r="FRV1" s="9" t="s">
        <v>4564</v>
      </c>
      <c r="FRW1" s="9" t="s">
        <v>4565</v>
      </c>
      <c r="FRX1" s="9" t="s">
        <v>4566</v>
      </c>
      <c r="FRY1" s="9" t="s">
        <v>4567</v>
      </c>
      <c r="FRZ1" s="9" t="s">
        <v>4568</v>
      </c>
      <c r="FSA1" s="9" t="s">
        <v>4569</v>
      </c>
      <c r="FSB1" s="9" t="s">
        <v>4570</v>
      </c>
      <c r="FSC1" s="9" t="s">
        <v>4571</v>
      </c>
      <c r="FSD1" s="9" t="s">
        <v>4572</v>
      </c>
      <c r="FSE1" s="9" t="s">
        <v>4573</v>
      </c>
      <c r="FSF1" s="9" t="s">
        <v>4574</v>
      </c>
      <c r="FSG1" s="9" t="s">
        <v>4575</v>
      </c>
      <c r="FSH1" s="9" t="s">
        <v>4576</v>
      </c>
      <c r="FSI1" s="9" t="s">
        <v>4577</v>
      </c>
      <c r="FSJ1" s="9" t="s">
        <v>4578</v>
      </c>
      <c r="FSK1" s="9" t="s">
        <v>4579</v>
      </c>
      <c r="FSL1" s="9" t="s">
        <v>4580</v>
      </c>
      <c r="FSM1" s="9" t="s">
        <v>4581</v>
      </c>
      <c r="FSN1" s="9" t="s">
        <v>4582</v>
      </c>
      <c r="FSO1" s="9" t="s">
        <v>4583</v>
      </c>
      <c r="FSP1" s="9" t="s">
        <v>4584</v>
      </c>
      <c r="FSQ1" s="9" t="s">
        <v>4585</v>
      </c>
      <c r="FSR1" s="9" t="s">
        <v>4586</v>
      </c>
      <c r="FSS1" s="9" t="s">
        <v>4587</v>
      </c>
      <c r="FST1" s="9" t="s">
        <v>4588</v>
      </c>
      <c r="FSU1" s="9" t="s">
        <v>4589</v>
      </c>
      <c r="FSV1" s="9" t="s">
        <v>4590</v>
      </c>
      <c r="FSW1" s="9" t="s">
        <v>4591</v>
      </c>
      <c r="FSX1" s="9" t="s">
        <v>4592</v>
      </c>
      <c r="FSY1" s="9" t="s">
        <v>4593</v>
      </c>
      <c r="FSZ1" s="9" t="s">
        <v>4594</v>
      </c>
      <c r="FTA1" s="9" t="s">
        <v>4595</v>
      </c>
      <c r="FTB1" s="9" t="s">
        <v>4596</v>
      </c>
      <c r="FTC1" s="9" t="s">
        <v>4597</v>
      </c>
      <c r="FTD1" s="9" t="s">
        <v>4598</v>
      </c>
      <c r="FTE1" s="9" t="s">
        <v>4599</v>
      </c>
      <c r="FTF1" s="9" t="s">
        <v>4600</v>
      </c>
      <c r="FTG1" s="9" t="s">
        <v>4601</v>
      </c>
      <c r="FTH1" s="9" t="s">
        <v>4602</v>
      </c>
      <c r="FTI1" s="9" t="s">
        <v>4603</v>
      </c>
      <c r="FTJ1" s="9" t="s">
        <v>4604</v>
      </c>
      <c r="FTK1" s="9" t="s">
        <v>4605</v>
      </c>
      <c r="FTL1" s="9" t="s">
        <v>4606</v>
      </c>
      <c r="FTM1" s="9" t="s">
        <v>4607</v>
      </c>
      <c r="FTN1" s="9" t="s">
        <v>4608</v>
      </c>
      <c r="FTO1" s="9" t="s">
        <v>4609</v>
      </c>
      <c r="FTP1" s="9" t="s">
        <v>4610</v>
      </c>
      <c r="FTQ1" s="9" t="s">
        <v>4611</v>
      </c>
      <c r="FTR1" s="9" t="s">
        <v>4612</v>
      </c>
      <c r="FTS1" s="9" t="s">
        <v>4613</v>
      </c>
      <c r="FTT1" s="9" t="s">
        <v>4614</v>
      </c>
      <c r="FTU1" s="9" t="s">
        <v>4615</v>
      </c>
      <c r="FTV1" s="9" t="s">
        <v>4616</v>
      </c>
      <c r="FTW1" s="9" t="s">
        <v>4617</v>
      </c>
      <c r="FTX1" s="9" t="s">
        <v>4618</v>
      </c>
      <c r="FTY1" s="9" t="s">
        <v>4619</v>
      </c>
      <c r="FTZ1" s="9" t="s">
        <v>4620</v>
      </c>
      <c r="FUA1" s="9" t="s">
        <v>4621</v>
      </c>
      <c r="FUB1" s="9" t="s">
        <v>4622</v>
      </c>
      <c r="FUC1" s="9" t="s">
        <v>4623</v>
      </c>
      <c r="FUD1" s="9" t="s">
        <v>4624</v>
      </c>
      <c r="FUE1" s="9" t="s">
        <v>4625</v>
      </c>
      <c r="FUF1" s="9" t="s">
        <v>4626</v>
      </c>
      <c r="FUG1" s="9" t="s">
        <v>4627</v>
      </c>
      <c r="FUH1" s="9" t="s">
        <v>4628</v>
      </c>
      <c r="FUI1" s="9" t="s">
        <v>4629</v>
      </c>
      <c r="FUJ1" s="9" t="s">
        <v>4630</v>
      </c>
      <c r="FUK1" s="9" t="s">
        <v>4631</v>
      </c>
      <c r="FUL1" s="9" t="s">
        <v>4632</v>
      </c>
      <c r="FUM1" s="9" t="s">
        <v>4633</v>
      </c>
      <c r="FUN1" s="9" t="s">
        <v>4634</v>
      </c>
      <c r="FUO1" s="9" t="s">
        <v>4635</v>
      </c>
      <c r="FUP1" s="9" t="s">
        <v>4636</v>
      </c>
      <c r="FUQ1" s="9" t="s">
        <v>4637</v>
      </c>
      <c r="FUR1" s="9" t="s">
        <v>4638</v>
      </c>
      <c r="FUS1" s="9" t="s">
        <v>4639</v>
      </c>
      <c r="FUT1" s="9" t="s">
        <v>4640</v>
      </c>
      <c r="FUU1" s="9" t="s">
        <v>4641</v>
      </c>
      <c r="FUV1" s="9" t="s">
        <v>4642</v>
      </c>
      <c r="FUW1" s="9" t="s">
        <v>4643</v>
      </c>
      <c r="FUX1" s="9" t="s">
        <v>4644</v>
      </c>
      <c r="FUY1" s="9" t="s">
        <v>4645</v>
      </c>
      <c r="FUZ1" s="9" t="s">
        <v>4646</v>
      </c>
      <c r="FVA1" s="9" t="s">
        <v>4647</v>
      </c>
      <c r="FVB1" s="9" t="s">
        <v>4648</v>
      </c>
      <c r="FVC1" s="9" t="s">
        <v>4649</v>
      </c>
      <c r="FVD1" s="9" t="s">
        <v>4650</v>
      </c>
      <c r="FVE1" s="9" t="s">
        <v>4651</v>
      </c>
      <c r="FVF1" s="9" t="s">
        <v>4652</v>
      </c>
      <c r="FVG1" s="9" t="s">
        <v>4653</v>
      </c>
      <c r="FVH1" s="9" t="s">
        <v>4654</v>
      </c>
      <c r="FVI1" s="9" t="s">
        <v>4655</v>
      </c>
      <c r="FVJ1" s="9" t="s">
        <v>4656</v>
      </c>
      <c r="FVK1" s="9" t="s">
        <v>4657</v>
      </c>
      <c r="FVL1" s="9" t="s">
        <v>4658</v>
      </c>
      <c r="FVM1" s="9" t="s">
        <v>4659</v>
      </c>
      <c r="FVN1" s="9" t="s">
        <v>4660</v>
      </c>
      <c r="FVO1" s="9" t="s">
        <v>4661</v>
      </c>
      <c r="FVP1" s="9" t="s">
        <v>4662</v>
      </c>
      <c r="FVQ1" s="9" t="s">
        <v>4663</v>
      </c>
      <c r="FVR1" s="9" t="s">
        <v>4664</v>
      </c>
      <c r="FVS1" s="9" t="s">
        <v>4665</v>
      </c>
      <c r="FVT1" s="9" t="s">
        <v>4666</v>
      </c>
      <c r="FVU1" s="9" t="s">
        <v>4667</v>
      </c>
      <c r="FVV1" s="9" t="s">
        <v>4668</v>
      </c>
      <c r="FVW1" s="9" t="s">
        <v>4669</v>
      </c>
      <c r="FVX1" s="9" t="s">
        <v>4670</v>
      </c>
      <c r="FVY1" s="9" t="s">
        <v>4671</v>
      </c>
      <c r="FVZ1" s="9" t="s">
        <v>4672</v>
      </c>
      <c r="FWA1" s="9" t="s">
        <v>4673</v>
      </c>
      <c r="FWB1" s="9" t="s">
        <v>4674</v>
      </c>
      <c r="FWC1" s="9" t="s">
        <v>4675</v>
      </c>
      <c r="FWD1" s="9" t="s">
        <v>4676</v>
      </c>
      <c r="FWE1" s="9" t="s">
        <v>4677</v>
      </c>
      <c r="FWF1" s="9" t="s">
        <v>4678</v>
      </c>
      <c r="FWG1" s="9" t="s">
        <v>4679</v>
      </c>
      <c r="FWH1" s="9" t="s">
        <v>4680</v>
      </c>
      <c r="FWI1" s="9" t="s">
        <v>4681</v>
      </c>
      <c r="FWJ1" s="9" t="s">
        <v>4682</v>
      </c>
      <c r="FWK1" s="9" t="s">
        <v>4683</v>
      </c>
      <c r="FWL1" s="9" t="s">
        <v>4684</v>
      </c>
      <c r="FWM1" s="9" t="s">
        <v>4685</v>
      </c>
      <c r="FWN1" s="9" t="s">
        <v>4686</v>
      </c>
      <c r="FWO1" s="9" t="s">
        <v>4687</v>
      </c>
      <c r="FWP1" s="9" t="s">
        <v>4688</v>
      </c>
      <c r="FWQ1" s="9" t="s">
        <v>4689</v>
      </c>
      <c r="FWR1" s="9" t="s">
        <v>4690</v>
      </c>
      <c r="FWS1" s="9" t="s">
        <v>4691</v>
      </c>
      <c r="FWT1" s="9" t="s">
        <v>4692</v>
      </c>
      <c r="FWU1" s="9" t="s">
        <v>4693</v>
      </c>
      <c r="FWV1" s="9" t="s">
        <v>4694</v>
      </c>
      <c r="FWW1" s="9" t="s">
        <v>4695</v>
      </c>
      <c r="FWX1" s="9" t="s">
        <v>4696</v>
      </c>
      <c r="FWY1" s="9" t="s">
        <v>4697</v>
      </c>
      <c r="FWZ1" s="9" t="s">
        <v>4698</v>
      </c>
      <c r="FXA1" s="9" t="s">
        <v>4699</v>
      </c>
      <c r="FXB1" s="9" t="s">
        <v>4700</v>
      </c>
      <c r="FXC1" s="9" t="s">
        <v>4701</v>
      </c>
      <c r="FXD1" s="9" t="s">
        <v>4702</v>
      </c>
      <c r="FXE1" s="9" t="s">
        <v>4703</v>
      </c>
      <c r="FXF1" s="9" t="s">
        <v>4704</v>
      </c>
      <c r="FXG1" s="9" t="s">
        <v>4705</v>
      </c>
      <c r="FXH1" s="9" t="s">
        <v>4706</v>
      </c>
      <c r="FXI1" s="9" t="s">
        <v>4707</v>
      </c>
      <c r="FXJ1" s="9" t="s">
        <v>4708</v>
      </c>
      <c r="FXK1" s="9" t="s">
        <v>4709</v>
      </c>
      <c r="FXL1" s="9" t="s">
        <v>4710</v>
      </c>
      <c r="FXM1" s="9" t="s">
        <v>4711</v>
      </c>
      <c r="FXN1" s="9" t="s">
        <v>4712</v>
      </c>
      <c r="FXO1" s="9" t="s">
        <v>4713</v>
      </c>
      <c r="FXP1" s="9" t="s">
        <v>4714</v>
      </c>
      <c r="FXQ1" s="9" t="s">
        <v>4715</v>
      </c>
      <c r="FXR1" s="9" t="s">
        <v>4716</v>
      </c>
      <c r="FXS1" s="9" t="s">
        <v>4717</v>
      </c>
      <c r="FXT1" s="9" t="s">
        <v>4718</v>
      </c>
      <c r="FXU1" s="9" t="s">
        <v>4719</v>
      </c>
      <c r="FXV1" s="9" t="s">
        <v>4720</v>
      </c>
      <c r="FXW1" s="9" t="s">
        <v>4721</v>
      </c>
      <c r="FXX1" s="9" t="s">
        <v>4722</v>
      </c>
      <c r="FXY1" s="9" t="s">
        <v>4723</v>
      </c>
      <c r="FXZ1" s="9" t="s">
        <v>4724</v>
      </c>
      <c r="FYA1" s="9" t="s">
        <v>4725</v>
      </c>
      <c r="FYB1" s="9" t="s">
        <v>4726</v>
      </c>
      <c r="FYC1" s="9" t="s">
        <v>4727</v>
      </c>
      <c r="FYD1" s="9" t="s">
        <v>4728</v>
      </c>
      <c r="FYE1" s="9" t="s">
        <v>4729</v>
      </c>
      <c r="FYF1" s="9" t="s">
        <v>4730</v>
      </c>
      <c r="FYG1" s="9" t="s">
        <v>4731</v>
      </c>
      <c r="FYH1" s="9" t="s">
        <v>4732</v>
      </c>
      <c r="FYI1" s="9" t="s">
        <v>4733</v>
      </c>
      <c r="FYJ1" s="9" t="s">
        <v>4734</v>
      </c>
      <c r="FYK1" s="9" t="s">
        <v>4735</v>
      </c>
      <c r="FYL1" s="9" t="s">
        <v>4736</v>
      </c>
      <c r="FYM1" s="9" t="s">
        <v>4737</v>
      </c>
      <c r="FYN1" s="9" t="s">
        <v>4738</v>
      </c>
      <c r="FYO1" s="9" t="s">
        <v>4739</v>
      </c>
      <c r="FYP1" s="9" t="s">
        <v>4740</v>
      </c>
      <c r="FYQ1" s="9" t="s">
        <v>4741</v>
      </c>
      <c r="FYR1" s="9" t="s">
        <v>4742</v>
      </c>
      <c r="FYS1" s="9" t="s">
        <v>4743</v>
      </c>
      <c r="FYT1" s="9" t="s">
        <v>4744</v>
      </c>
      <c r="FYU1" s="9" t="s">
        <v>4745</v>
      </c>
      <c r="FYV1" s="9" t="s">
        <v>4746</v>
      </c>
      <c r="FYW1" s="9" t="s">
        <v>4747</v>
      </c>
      <c r="FYX1" s="9" t="s">
        <v>4748</v>
      </c>
      <c r="FYY1" s="9" t="s">
        <v>4749</v>
      </c>
      <c r="FYZ1" s="9" t="s">
        <v>4750</v>
      </c>
      <c r="FZA1" s="9" t="s">
        <v>4751</v>
      </c>
      <c r="FZB1" s="9" t="s">
        <v>4752</v>
      </c>
      <c r="FZC1" s="9" t="s">
        <v>4753</v>
      </c>
      <c r="FZD1" s="9" t="s">
        <v>4754</v>
      </c>
      <c r="FZE1" s="9" t="s">
        <v>4755</v>
      </c>
      <c r="FZF1" s="9" t="s">
        <v>4756</v>
      </c>
      <c r="FZG1" s="9" t="s">
        <v>4757</v>
      </c>
      <c r="FZH1" s="9" t="s">
        <v>4758</v>
      </c>
      <c r="FZI1" s="9" t="s">
        <v>4759</v>
      </c>
      <c r="FZJ1" s="9" t="s">
        <v>4760</v>
      </c>
      <c r="FZK1" s="9" t="s">
        <v>4761</v>
      </c>
      <c r="FZL1" s="9" t="s">
        <v>4762</v>
      </c>
      <c r="FZM1" s="9" t="s">
        <v>4763</v>
      </c>
      <c r="FZN1" s="9" t="s">
        <v>4764</v>
      </c>
      <c r="FZO1" s="9" t="s">
        <v>4765</v>
      </c>
      <c r="FZP1" s="9" t="s">
        <v>4766</v>
      </c>
      <c r="FZQ1" s="9" t="s">
        <v>4767</v>
      </c>
      <c r="FZR1" s="9" t="s">
        <v>4768</v>
      </c>
      <c r="FZS1" s="9" t="s">
        <v>4769</v>
      </c>
      <c r="FZT1" s="9" t="s">
        <v>4770</v>
      </c>
      <c r="FZU1" s="9" t="s">
        <v>4771</v>
      </c>
      <c r="FZV1" s="9" t="s">
        <v>4772</v>
      </c>
      <c r="FZW1" s="9" t="s">
        <v>4773</v>
      </c>
      <c r="FZX1" s="9" t="s">
        <v>4774</v>
      </c>
      <c r="FZY1" s="9" t="s">
        <v>4775</v>
      </c>
      <c r="FZZ1" s="9" t="s">
        <v>4776</v>
      </c>
      <c r="GAA1" s="9" t="s">
        <v>4777</v>
      </c>
      <c r="GAB1" s="9" t="s">
        <v>4778</v>
      </c>
      <c r="GAC1" s="9" t="s">
        <v>4779</v>
      </c>
      <c r="GAD1" s="9" t="s">
        <v>4780</v>
      </c>
      <c r="GAE1" s="9" t="s">
        <v>4781</v>
      </c>
      <c r="GAF1" s="9" t="s">
        <v>4782</v>
      </c>
      <c r="GAG1" s="9" t="s">
        <v>4783</v>
      </c>
      <c r="GAH1" s="9" t="s">
        <v>4784</v>
      </c>
      <c r="GAI1" s="9" t="s">
        <v>4785</v>
      </c>
      <c r="GAJ1" s="9" t="s">
        <v>4786</v>
      </c>
      <c r="GAK1" s="9" t="s">
        <v>4787</v>
      </c>
      <c r="GAL1" s="9" t="s">
        <v>4788</v>
      </c>
      <c r="GAM1" s="9" t="s">
        <v>4789</v>
      </c>
      <c r="GAN1" s="9" t="s">
        <v>4790</v>
      </c>
      <c r="GAO1" s="9" t="s">
        <v>4791</v>
      </c>
      <c r="GAP1" s="9" t="s">
        <v>4792</v>
      </c>
      <c r="GAQ1" s="9" t="s">
        <v>4793</v>
      </c>
      <c r="GAR1" s="9" t="s">
        <v>4794</v>
      </c>
      <c r="GAS1" s="9" t="s">
        <v>4795</v>
      </c>
      <c r="GAT1" s="9" t="s">
        <v>4796</v>
      </c>
      <c r="GAU1" s="9" t="s">
        <v>4797</v>
      </c>
      <c r="GAV1" s="9" t="s">
        <v>4798</v>
      </c>
      <c r="GAW1" s="9" t="s">
        <v>4799</v>
      </c>
      <c r="GAX1" s="9" t="s">
        <v>4800</v>
      </c>
      <c r="GAY1" s="9" t="s">
        <v>4801</v>
      </c>
      <c r="GAZ1" s="9" t="s">
        <v>4802</v>
      </c>
      <c r="GBA1" s="9" t="s">
        <v>4803</v>
      </c>
      <c r="GBB1" s="9" t="s">
        <v>4804</v>
      </c>
      <c r="GBC1" s="9" t="s">
        <v>4805</v>
      </c>
      <c r="GBD1" s="9" t="s">
        <v>4806</v>
      </c>
      <c r="GBE1" s="9" t="s">
        <v>4807</v>
      </c>
      <c r="GBF1" s="9" t="s">
        <v>4808</v>
      </c>
      <c r="GBG1" s="9" t="s">
        <v>4809</v>
      </c>
      <c r="GBH1" s="9" t="s">
        <v>4810</v>
      </c>
      <c r="GBI1" s="9" t="s">
        <v>4811</v>
      </c>
      <c r="GBJ1" s="9" t="s">
        <v>4812</v>
      </c>
      <c r="GBK1" s="9" t="s">
        <v>4813</v>
      </c>
      <c r="GBL1" s="9" t="s">
        <v>4814</v>
      </c>
      <c r="GBM1" s="9" t="s">
        <v>4815</v>
      </c>
      <c r="GBN1" s="9" t="s">
        <v>4816</v>
      </c>
      <c r="GBO1" s="9" t="s">
        <v>4817</v>
      </c>
      <c r="GBP1" s="9" t="s">
        <v>4818</v>
      </c>
      <c r="GBQ1" s="9" t="s">
        <v>4819</v>
      </c>
      <c r="GBR1" s="9" t="s">
        <v>4820</v>
      </c>
      <c r="GBS1" s="9" t="s">
        <v>4821</v>
      </c>
      <c r="GBT1" s="9" t="s">
        <v>4822</v>
      </c>
      <c r="GBU1" s="9" t="s">
        <v>4823</v>
      </c>
      <c r="GBV1" s="9" t="s">
        <v>4824</v>
      </c>
      <c r="GBW1" s="9" t="s">
        <v>4825</v>
      </c>
      <c r="GBX1" s="9" t="s">
        <v>4826</v>
      </c>
      <c r="GBY1" s="9" t="s">
        <v>4827</v>
      </c>
      <c r="GBZ1" s="9" t="s">
        <v>4828</v>
      </c>
      <c r="GCA1" s="9" t="s">
        <v>4829</v>
      </c>
      <c r="GCB1" s="9" t="s">
        <v>4830</v>
      </c>
      <c r="GCC1" s="9" t="s">
        <v>4831</v>
      </c>
      <c r="GCD1" s="9" t="s">
        <v>4832</v>
      </c>
      <c r="GCE1" s="9" t="s">
        <v>4833</v>
      </c>
      <c r="GCF1" s="9" t="s">
        <v>4834</v>
      </c>
      <c r="GCG1" s="9" t="s">
        <v>4835</v>
      </c>
      <c r="GCH1" s="9" t="s">
        <v>4836</v>
      </c>
      <c r="GCI1" s="9" t="s">
        <v>4837</v>
      </c>
      <c r="GCJ1" s="9" t="s">
        <v>4838</v>
      </c>
      <c r="GCK1" s="9" t="s">
        <v>4839</v>
      </c>
      <c r="GCL1" s="9" t="s">
        <v>4840</v>
      </c>
      <c r="GCM1" s="9" t="s">
        <v>4841</v>
      </c>
      <c r="GCN1" s="9" t="s">
        <v>4842</v>
      </c>
      <c r="GCO1" s="9" t="s">
        <v>4843</v>
      </c>
      <c r="GCP1" s="9" t="s">
        <v>4844</v>
      </c>
      <c r="GCQ1" s="9" t="s">
        <v>4845</v>
      </c>
      <c r="GCR1" s="9" t="s">
        <v>4846</v>
      </c>
      <c r="GCS1" s="9" t="s">
        <v>4847</v>
      </c>
      <c r="GCT1" s="9" t="s">
        <v>4848</v>
      </c>
      <c r="GCU1" s="9" t="s">
        <v>4849</v>
      </c>
      <c r="GCV1" s="9" t="s">
        <v>4850</v>
      </c>
      <c r="GCW1" s="9" t="s">
        <v>4851</v>
      </c>
      <c r="GCX1" s="9" t="s">
        <v>4852</v>
      </c>
      <c r="GCY1" s="9" t="s">
        <v>4853</v>
      </c>
      <c r="GCZ1" s="9" t="s">
        <v>4854</v>
      </c>
      <c r="GDA1" s="9" t="s">
        <v>4855</v>
      </c>
      <c r="GDB1" s="9" t="s">
        <v>4856</v>
      </c>
      <c r="GDC1" s="9" t="s">
        <v>4857</v>
      </c>
      <c r="GDD1" s="9" t="s">
        <v>4858</v>
      </c>
      <c r="GDE1" s="9" t="s">
        <v>4859</v>
      </c>
      <c r="GDF1" s="9" t="s">
        <v>4860</v>
      </c>
      <c r="GDG1" s="9" t="s">
        <v>4861</v>
      </c>
      <c r="GDH1" s="9" t="s">
        <v>4862</v>
      </c>
      <c r="GDI1" s="9" t="s">
        <v>4863</v>
      </c>
      <c r="GDJ1" s="9" t="s">
        <v>4864</v>
      </c>
      <c r="GDK1" s="9" t="s">
        <v>4865</v>
      </c>
      <c r="GDL1" s="9" t="s">
        <v>4866</v>
      </c>
      <c r="GDM1" s="9" t="s">
        <v>4867</v>
      </c>
      <c r="GDN1" s="9" t="s">
        <v>4868</v>
      </c>
      <c r="GDO1" s="9" t="s">
        <v>4869</v>
      </c>
      <c r="GDP1" s="9" t="s">
        <v>4870</v>
      </c>
      <c r="GDQ1" s="9" t="s">
        <v>4871</v>
      </c>
      <c r="GDR1" s="9" t="s">
        <v>4872</v>
      </c>
      <c r="GDS1" s="9" t="s">
        <v>4873</v>
      </c>
      <c r="GDT1" s="9" t="s">
        <v>4874</v>
      </c>
      <c r="GDU1" s="9" t="s">
        <v>4875</v>
      </c>
      <c r="GDV1" s="9" t="s">
        <v>4876</v>
      </c>
      <c r="GDW1" s="9" t="s">
        <v>4877</v>
      </c>
      <c r="GDX1" s="9" t="s">
        <v>4878</v>
      </c>
      <c r="GDY1" s="9" t="s">
        <v>4879</v>
      </c>
      <c r="GDZ1" s="9" t="s">
        <v>4880</v>
      </c>
      <c r="GEA1" s="9" t="s">
        <v>4881</v>
      </c>
      <c r="GEB1" s="9" t="s">
        <v>4882</v>
      </c>
      <c r="GEC1" s="9" t="s">
        <v>4883</v>
      </c>
      <c r="GED1" s="9" t="s">
        <v>4884</v>
      </c>
      <c r="GEE1" s="9" t="s">
        <v>4885</v>
      </c>
      <c r="GEF1" s="9" t="s">
        <v>4886</v>
      </c>
      <c r="GEG1" s="9" t="s">
        <v>4887</v>
      </c>
      <c r="GEH1" s="9" t="s">
        <v>4888</v>
      </c>
      <c r="GEI1" s="9" t="s">
        <v>4889</v>
      </c>
      <c r="GEJ1" s="9" t="s">
        <v>4890</v>
      </c>
      <c r="GEK1" s="9" t="s">
        <v>4891</v>
      </c>
      <c r="GEL1" s="9" t="s">
        <v>4892</v>
      </c>
      <c r="GEM1" s="9" t="s">
        <v>4893</v>
      </c>
      <c r="GEN1" s="9" t="s">
        <v>4894</v>
      </c>
      <c r="GEO1" s="9" t="s">
        <v>4895</v>
      </c>
      <c r="GEP1" s="9" t="s">
        <v>4896</v>
      </c>
      <c r="GEQ1" s="9" t="s">
        <v>4897</v>
      </c>
      <c r="GER1" s="9" t="s">
        <v>4898</v>
      </c>
      <c r="GES1" s="9" t="s">
        <v>4899</v>
      </c>
      <c r="GET1" s="9" t="s">
        <v>4900</v>
      </c>
      <c r="GEU1" s="9" t="s">
        <v>4901</v>
      </c>
      <c r="GEV1" s="9" t="s">
        <v>4902</v>
      </c>
      <c r="GEW1" s="9" t="s">
        <v>4903</v>
      </c>
      <c r="GEX1" s="9" t="s">
        <v>4904</v>
      </c>
      <c r="GEY1" s="9" t="s">
        <v>4905</v>
      </c>
      <c r="GEZ1" s="9" t="s">
        <v>4906</v>
      </c>
      <c r="GFA1" s="9" t="s">
        <v>4907</v>
      </c>
      <c r="GFB1" s="9" t="s">
        <v>4908</v>
      </c>
      <c r="GFC1" s="9" t="s">
        <v>4909</v>
      </c>
      <c r="GFD1" s="9" t="s">
        <v>4910</v>
      </c>
      <c r="GFE1" s="9" t="s">
        <v>4911</v>
      </c>
      <c r="GFF1" s="9" t="s">
        <v>4912</v>
      </c>
      <c r="GFG1" s="9" t="s">
        <v>4913</v>
      </c>
      <c r="GFH1" s="9" t="s">
        <v>4914</v>
      </c>
      <c r="GFI1" s="9" t="s">
        <v>4915</v>
      </c>
      <c r="GFJ1" s="9" t="s">
        <v>4916</v>
      </c>
      <c r="GFK1" s="9" t="s">
        <v>4917</v>
      </c>
      <c r="GFL1" s="9" t="s">
        <v>4918</v>
      </c>
      <c r="GFM1" s="9" t="s">
        <v>4919</v>
      </c>
      <c r="GFN1" s="9" t="s">
        <v>4920</v>
      </c>
      <c r="GFO1" s="9" t="s">
        <v>4921</v>
      </c>
      <c r="GFP1" s="9" t="s">
        <v>4922</v>
      </c>
      <c r="GFQ1" s="9" t="s">
        <v>4923</v>
      </c>
      <c r="GFR1" s="9" t="s">
        <v>4924</v>
      </c>
      <c r="GFS1" s="9" t="s">
        <v>4925</v>
      </c>
      <c r="GFT1" s="9" t="s">
        <v>4926</v>
      </c>
      <c r="GFU1" s="9" t="s">
        <v>4927</v>
      </c>
      <c r="GFV1" s="9" t="s">
        <v>4928</v>
      </c>
      <c r="GFW1" s="9" t="s">
        <v>4929</v>
      </c>
      <c r="GFX1" s="9" t="s">
        <v>4930</v>
      </c>
      <c r="GFY1" s="9" t="s">
        <v>4931</v>
      </c>
      <c r="GFZ1" s="9" t="s">
        <v>4932</v>
      </c>
      <c r="GGA1" s="9" t="s">
        <v>4933</v>
      </c>
      <c r="GGB1" s="9" t="s">
        <v>4934</v>
      </c>
      <c r="GGC1" s="9" t="s">
        <v>4935</v>
      </c>
      <c r="GGD1" s="9" t="s">
        <v>4936</v>
      </c>
      <c r="GGE1" s="9" t="s">
        <v>4937</v>
      </c>
      <c r="GGF1" s="9" t="s">
        <v>4938</v>
      </c>
      <c r="GGG1" s="9" t="s">
        <v>4939</v>
      </c>
      <c r="GGH1" s="9" t="s">
        <v>4940</v>
      </c>
      <c r="GGI1" s="9" t="s">
        <v>4941</v>
      </c>
      <c r="GGJ1" s="9" t="s">
        <v>4942</v>
      </c>
      <c r="GGK1" s="9" t="s">
        <v>4943</v>
      </c>
      <c r="GGL1" s="9" t="s">
        <v>4944</v>
      </c>
      <c r="GGM1" s="9" t="s">
        <v>4945</v>
      </c>
      <c r="GGN1" s="9" t="s">
        <v>4946</v>
      </c>
      <c r="GGO1" s="9" t="s">
        <v>4947</v>
      </c>
      <c r="GGP1" s="9" t="s">
        <v>4948</v>
      </c>
      <c r="GGQ1" s="9" t="s">
        <v>4949</v>
      </c>
      <c r="GGR1" s="9" t="s">
        <v>4950</v>
      </c>
      <c r="GGS1" s="9" t="s">
        <v>4951</v>
      </c>
      <c r="GGT1" s="9" t="s">
        <v>4952</v>
      </c>
      <c r="GGU1" s="9" t="s">
        <v>4953</v>
      </c>
      <c r="GGV1" s="9" t="s">
        <v>4954</v>
      </c>
      <c r="GGW1" s="9" t="s">
        <v>4955</v>
      </c>
      <c r="GGX1" s="9" t="s">
        <v>4956</v>
      </c>
      <c r="GGY1" s="9" t="s">
        <v>4957</v>
      </c>
      <c r="GGZ1" s="9" t="s">
        <v>4958</v>
      </c>
      <c r="GHA1" s="9" t="s">
        <v>4959</v>
      </c>
      <c r="GHB1" s="9" t="s">
        <v>4960</v>
      </c>
      <c r="GHC1" s="9" t="s">
        <v>4961</v>
      </c>
      <c r="GHD1" s="9" t="s">
        <v>4962</v>
      </c>
      <c r="GHE1" s="9" t="s">
        <v>4963</v>
      </c>
      <c r="GHF1" s="9" t="s">
        <v>4964</v>
      </c>
      <c r="GHG1" s="9" t="s">
        <v>4965</v>
      </c>
      <c r="GHH1" s="9" t="s">
        <v>4966</v>
      </c>
      <c r="GHI1" s="9" t="s">
        <v>4967</v>
      </c>
      <c r="GHJ1" s="9" t="s">
        <v>4968</v>
      </c>
      <c r="GHK1" s="9" t="s">
        <v>4969</v>
      </c>
      <c r="GHL1" s="9" t="s">
        <v>4970</v>
      </c>
      <c r="GHM1" s="9" t="s">
        <v>4971</v>
      </c>
      <c r="GHN1" s="9" t="s">
        <v>4972</v>
      </c>
      <c r="GHO1" s="9" t="s">
        <v>4973</v>
      </c>
      <c r="GHP1" s="9" t="s">
        <v>4974</v>
      </c>
      <c r="GHQ1" s="9" t="s">
        <v>4975</v>
      </c>
      <c r="GHR1" s="9" t="s">
        <v>4976</v>
      </c>
      <c r="GHS1" s="9" t="s">
        <v>4977</v>
      </c>
      <c r="GHT1" s="9" t="s">
        <v>4978</v>
      </c>
      <c r="GHU1" s="9" t="s">
        <v>4979</v>
      </c>
      <c r="GHV1" s="9" t="s">
        <v>4980</v>
      </c>
      <c r="GHW1" s="9" t="s">
        <v>4981</v>
      </c>
      <c r="GHX1" s="9" t="s">
        <v>4982</v>
      </c>
      <c r="GHY1" s="9" t="s">
        <v>4983</v>
      </c>
      <c r="GHZ1" s="9" t="s">
        <v>4984</v>
      </c>
      <c r="GIA1" s="9" t="s">
        <v>4985</v>
      </c>
      <c r="GIB1" s="9" t="s">
        <v>4986</v>
      </c>
      <c r="GIC1" s="9" t="s">
        <v>4987</v>
      </c>
      <c r="GID1" s="9" t="s">
        <v>4988</v>
      </c>
      <c r="GIE1" s="9" t="s">
        <v>4989</v>
      </c>
      <c r="GIF1" s="9" t="s">
        <v>4990</v>
      </c>
      <c r="GIG1" s="9" t="s">
        <v>4991</v>
      </c>
      <c r="GIH1" s="9" t="s">
        <v>4992</v>
      </c>
      <c r="GII1" s="9" t="s">
        <v>4993</v>
      </c>
      <c r="GIJ1" s="9" t="s">
        <v>4994</v>
      </c>
      <c r="GIK1" s="9" t="s">
        <v>4995</v>
      </c>
      <c r="GIL1" s="9" t="s">
        <v>4996</v>
      </c>
      <c r="GIM1" s="9" t="s">
        <v>4997</v>
      </c>
      <c r="GIN1" s="9" t="s">
        <v>4998</v>
      </c>
      <c r="GIO1" s="9" t="s">
        <v>4999</v>
      </c>
      <c r="GIP1" s="9" t="s">
        <v>5000</v>
      </c>
      <c r="GIQ1" s="9" t="s">
        <v>5001</v>
      </c>
      <c r="GIR1" s="9" t="s">
        <v>5002</v>
      </c>
      <c r="GIS1" s="9" t="s">
        <v>5003</v>
      </c>
      <c r="GIT1" s="9" t="s">
        <v>5004</v>
      </c>
      <c r="GIU1" s="9" t="s">
        <v>5005</v>
      </c>
      <c r="GIV1" s="9" t="s">
        <v>5006</v>
      </c>
      <c r="GIW1" s="9" t="s">
        <v>5007</v>
      </c>
      <c r="GIX1" s="9" t="s">
        <v>5008</v>
      </c>
      <c r="GIY1" s="9" t="s">
        <v>5009</v>
      </c>
      <c r="GIZ1" s="9" t="s">
        <v>5010</v>
      </c>
      <c r="GJA1" s="9" t="s">
        <v>5011</v>
      </c>
      <c r="GJB1" s="9" t="s">
        <v>5012</v>
      </c>
      <c r="GJC1" s="9" t="s">
        <v>5013</v>
      </c>
      <c r="GJD1" s="9" t="s">
        <v>5014</v>
      </c>
      <c r="GJE1" s="9" t="s">
        <v>5015</v>
      </c>
      <c r="GJF1" s="9" t="s">
        <v>5016</v>
      </c>
      <c r="GJG1" s="9" t="s">
        <v>5017</v>
      </c>
      <c r="GJH1" s="9" t="s">
        <v>5018</v>
      </c>
      <c r="GJI1" s="9" t="s">
        <v>5019</v>
      </c>
      <c r="GJJ1" s="9" t="s">
        <v>5020</v>
      </c>
      <c r="GJK1" s="9" t="s">
        <v>5021</v>
      </c>
      <c r="GJL1" s="9" t="s">
        <v>5022</v>
      </c>
      <c r="GJM1" s="9" t="s">
        <v>5023</v>
      </c>
      <c r="GJN1" s="9" t="s">
        <v>5024</v>
      </c>
      <c r="GJO1" s="9" t="s">
        <v>5025</v>
      </c>
      <c r="GJP1" s="9" t="s">
        <v>5026</v>
      </c>
      <c r="GJQ1" s="9" t="s">
        <v>5027</v>
      </c>
      <c r="GJR1" s="9" t="s">
        <v>5028</v>
      </c>
      <c r="GJS1" s="9" t="s">
        <v>5029</v>
      </c>
      <c r="GJT1" s="9" t="s">
        <v>5030</v>
      </c>
      <c r="GJU1" s="9" t="s">
        <v>5031</v>
      </c>
      <c r="GJV1" s="9" t="s">
        <v>5032</v>
      </c>
      <c r="GJW1" s="9" t="s">
        <v>5033</v>
      </c>
      <c r="GJX1" s="9" t="s">
        <v>5034</v>
      </c>
      <c r="GJY1" s="9" t="s">
        <v>5035</v>
      </c>
      <c r="GJZ1" s="9" t="s">
        <v>5036</v>
      </c>
      <c r="GKA1" s="9" t="s">
        <v>5037</v>
      </c>
      <c r="GKB1" s="9" t="s">
        <v>5038</v>
      </c>
      <c r="GKC1" s="9" t="s">
        <v>5039</v>
      </c>
      <c r="GKD1" s="9" t="s">
        <v>5040</v>
      </c>
      <c r="GKE1" s="9" t="s">
        <v>5041</v>
      </c>
      <c r="GKF1" s="9" t="s">
        <v>5042</v>
      </c>
      <c r="GKG1" s="9" t="s">
        <v>5043</v>
      </c>
      <c r="GKH1" s="9" t="s">
        <v>5044</v>
      </c>
      <c r="GKI1" s="9" t="s">
        <v>5045</v>
      </c>
      <c r="GKJ1" s="9" t="s">
        <v>5046</v>
      </c>
      <c r="GKK1" s="9" t="s">
        <v>5047</v>
      </c>
      <c r="GKL1" s="9" t="s">
        <v>5048</v>
      </c>
      <c r="GKM1" s="9" t="s">
        <v>5049</v>
      </c>
      <c r="GKN1" s="9" t="s">
        <v>5050</v>
      </c>
      <c r="GKO1" s="9" t="s">
        <v>5051</v>
      </c>
      <c r="GKP1" s="9" t="s">
        <v>5052</v>
      </c>
      <c r="GKQ1" s="9" t="s">
        <v>5053</v>
      </c>
      <c r="GKR1" s="9" t="s">
        <v>5054</v>
      </c>
      <c r="GKS1" s="9" t="s">
        <v>5055</v>
      </c>
      <c r="GKT1" s="9" t="s">
        <v>5056</v>
      </c>
      <c r="GKU1" s="9" t="s">
        <v>5057</v>
      </c>
      <c r="GKV1" s="9" t="s">
        <v>5058</v>
      </c>
      <c r="GKW1" s="9" t="s">
        <v>5059</v>
      </c>
      <c r="GKX1" s="9" t="s">
        <v>5060</v>
      </c>
      <c r="GKY1" s="9" t="s">
        <v>5061</v>
      </c>
      <c r="GKZ1" s="9" t="s">
        <v>5062</v>
      </c>
      <c r="GLA1" s="9" t="s">
        <v>5063</v>
      </c>
      <c r="GLB1" s="9" t="s">
        <v>5064</v>
      </c>
      <c r="GLC1" s="9" t="s">
        <v>5065</v>
      </c>
      <c r="GLD1" s="9" t="s">
        <v>5066</v>
      </c>
      <c r="GLE1" s="9" t="s">
        <v>5067</v>
      </c>
      <c r="GLF1" s="9" t="s">
        <v>5068</v>
      </c>
      <c r="GLG1" s="9" t="s">
        <v>5069</v>
      </c>
      <c r="GLH1" s="9" t="s">
        <v>5070</v>
      </c>
      <c r="GLI1" s="9" t="s">
        <v>5071</v>
      </c>
      <c r="GLJ1" s="9" t="s">
        <v>5072</v>
      </c>
      <c r="GLK1" s="9" t="s">
        <v>5073</v>
      </c>
      <c r="GLL1" s="9" t="s">
        <v>5074</v>
      </c>
      <c r="GLM1" s="9" t="s">
        <v>5075</v>
      </c>
      <c r="GLN1" s="9" t="s">
        <v>5076</v>
      </c>
      <c r="GLO1" s="9" t="s">
        <v>5077</v>
      </c>
      <c r="GLP1" s="9" t="s">
        <v>5078</v>
      </c>
      <c r="GLQ1" s="9" t="s">
        <v>5079</v>
      </c>
      <c r="GLR1" s="9" t="s">
        <v>5080</v>
      </c>
      <c r="GLS1" s="9" t="s">
        <v>5081</v>
      </c>
      <c r="GLT1" s="9" t="s">
        <v>5082</v>
      </c>
      <c r="GLU1" s="9" t="s">
        <v>5083</v>
      </c>
      <c r="GLV1" s="9" t="s">
        <v>5084</v>
      </c>
      <c r="GLW1" s="9" t="s">
        <v>5085</v>
      </c>
      <c r="GLX1" s="9" t="s">
        <v>5086</v>
      </c>
      <c r="GLY1" s="9" t="s">
        <v>5087</v>
      </c>
      <c r="GLZ1" s="9" t="s">
        <v>5088</v>
      </c>
      <c r="GMA1" s="9" t="s">
        <v>5089</v>
      </c>
      <c r="GMB1" s="9" t="s">
        <v>5090</v>
      </c>
      <c r="GMC1" s="9" t="s">
        <v>5091</v>
      </c>
      <c r="GMD1" s="9" t="s">
        <v>5092</v>
      </c>
      <c r="GME1" s="9" t="s">
        <v>5093</v>
      </c>
      <c r="GMF1" s="9" t="s">
        <v>5094</v>
      </c>
      <c r="GMG1" s="9" t="s">
        <v>5095</v>
      </c>
      <c r="GMH1" s="9" t="s">
        <v>5096</v>
      </c>
      <c r="GMI1" s="9" t="s">
        <v>5097</v>
      </c>
      <c r="GMJ1" s="9" t="s">
        <v>5098</v>
      </c>
      <c r="GMK1" s="9" t="s">
        <v>5099</v>
      </c>
      <c r="GML1" s="9" t="s">
        <v>5100</v>
      </c>
      <c r="GMM1" s="9" t="s">
        <v>5101</v>
      </c>
      <c r="GMN1" s="9" t="s">
        <v>5102</v>
      </c>
      <c r="GMO1" s="9" t="s">
        <v>5103</v>
      </c>
      <c r="GMP1" s="9" t="s">
        <v>5104</v>
      </c>
      <c r="GMQ1" s="9" t="s">
        <v>5105</v>
      </c>
      <c r="GMR1" s="9" t="s">
        <v>5106</v>
      </c>
      <c r="GMS1" s="9" t="s">
        <v>5107</v>
      </c>
      <c r="GMT1" s="9" t="s">
        <v>5108</v>
      </c>
      <c r="GMU1" s="9" t="s">
        <v>5109</v>
      </c>
      <c r="GMV1" s="9" t="s">
        <v>5110</v>
      </c>
      <c r="GMW1" s="9" t="s">
        <v>5111</v>
      </c>
      <c r="GMX1" s="9" t="s">
        <v>5112</v>
      </c>
      <c r="GMY1" s="9" t="s">
        <v>5113</v>
      </c>
      <c r="GMZ1" s="9" t="s">
        <v>5114</v>
      </c>
      <c r="GNA1" s="9" t="s">
        <v>5115</v>
      </c>
      <c r="GNB1" s="9" t="s">
        <v>5116</v>
      </c>
      <c r="GNC1" s="9" t="s">
        <v>5117</v>
      </c>
      <c r="GND1" s="9" t="s">
        <v>5118</v>
      </c>
      <c r="GNE1" s="9" t="s">
        <v>5119</v>
      </c>
      <c r="GNF1" s="9" t="s">
        <v>5120</v>
      </c>
      <c r="GNG1" s="9" t="s">
        <v>5121</v>
      </c>
      <c r="GNH1" s="9" t="s">
        <v>5122</v>
      </c>
      <c r="GNI1" s="9" t="s">
        <v>5123</v>
      </c>
      <c r="GNJ1" s="9" t="s">
        <v>5124</v>
      </c>
      <c r="GNK1" s="9" t="s">
        <v>5125</v>
      </c>
      <c r="GNL1" s="9" t="s">
        <v>5126</v>
      </c>
      <c r="GNM1" s="9" t="s">
        <v>5127</v>
      </c>
      <c r="GNN1" s="9" t="s">
        <v>5128</v>
      </c>
      <c r="GNO1" s="9" t="s">
        <v>5129</v>
      </c>
      <c r="GNP1" s="9" t="s">
        <v>5130</v>
      </c>
      <c r="GNQ1" s="9" t="s">
        <v>5131</v>
      </c>
      <c r="GNR1" s="9" t="s">
        <v>5132</v>
      </c>
      <c r="GNS1" s="9" t="s">
        <v>5133</v>
      </c>
      <c r="GNT1" s="9" t="s">
        <v>5134</v>
      </c>
      <c r="GNU1" s="9" t="s">
        <v>5135</v>
      </c>
      <c r="GNV1" s="9" t="s">
        <v>5136</v>
      </c>
      <c r="GNW1" s="9" t="s">
        <v>5137</v>
      </c>
      <c r="GNX1" s="9" t="s">
        <v>5138</v>
      </c>
      <c r="GNY1" s="9" t="s">
        <v>5139</v>
      </c>
      <c r="GNZ1" s="9" t="s">
        <v>5140</v>
      </c>
      <c r="GOA1" s="9" t="s">
        <v>5141</v>
      </c>
      <c r="GOB1" s="9" t="s">
        <v>5142</v>
      </c>
      <c r="GOC1" s="9" t="s">
        <v>5143</v>
      </c>
      <c r="GOD1" s="9" t="s">
        <v>5144</v>
      </c>
      <c r="GOE1" s="9" t="s">
        <v>5145</v>
      </c>
      <c r="GOF1" s="9" t="s">
        <v>5146</v>
      </c>
      <c r="GOG1" s="9" t="s">
        <v>5147</v>
      </c>
      <c r="GOH1" s="9" t="s">
        <v>5148</v>
      </c>
      <c r="GOI1" s="9" t="s">
        <v>5149</v>
      </c>
      <c r="GOJ1" s="9" t="s">
        <v>5150</v>
      </c>
      <c r="GOK1" s="9" t="s">
        <v>5151</v>
      </c>
      <c r="GOL1" s="9" t="s">
        <v>5152</v>
      </c>
      <c r="GOM1" s="9" t="s">
        <v>5153</v>
      </c>
      <c r="GON1" s="9" t="s">
        <v>5154</v>
      </c>
      <c r="GOO1" s="9" t="s">
        <v>5155</v>
      </c>
      <c r="GOP1" s="9" t="s">
        <v>5156</v>
      </c>
      <c r="GOQ1" s="9" t="s">
        <v>5157</v>
      </c>
      <c r="GOR1" s="9" t="s">
        <v>5158</v>
      </c>
      <c r="GOS1" s="9" t="s">
        <v>5159</v>
      </c>
      <c r="GOT1" s="9" t="s">
        <v>5160</v>
      </c>
      <c r="GOU1" s="9" t="s">
        <v>5161</v>
      </c>
      <c r="GOV1" s="9" t="s">
        <v>5162</v>
      </c>
      <c r="GOW1" s="9" t="s">
        <v>5163</v>
      </c>
      <c r="GOX1" s="9" t="s">
        <v>5164</v>
      </c>
      <c r="GOY1" s="9" t="s">
        <v>5165</v>
      </c>
      <c r="GOZ1" s="9" t="s">
        <v>5166</v>
      </c>
      <c r="GPA1" s="9" t="s">
        <v>5167</v>
      </c>
      <c r="GPB1" s="9" t="s">
        <v>5168</v>
      </c>
      <c r="GPC1" s="9" t="s">
        <v>5169</v>
      </c>
      <c r="GPD1" s="9" t="s">
        <v>5170</v>
      </c>
      <c r="GPE1" s="9" t="s">
        <v>5171</v>
      </c>
      <c r="GPF1" s="9" t="s">
        <v>5172</v>
      </c>
      <c r="GPG1" s="9" t="s">
        <v>5173</v>
      </c>
      <c r="GPH1" s="9" t="s">
        <v>5174</v>
      </c>
      <c r="GPI1" s="9" t="s">
        <v>5175</v>
      </c>
      <c r="GPJ1" s="9" t="s">
        <v>5176</v>
      </c>
      <c r="GPK1" s="9" t="s">
        <v>5177</v>
      </c>
      <c r="GPL1" s="9" t="s">
        <v>5178</v>
      </c>
      <c r="GPM1" s="9" t="s">
        <v>5179</v>
      </c>
      <c r="GPN1" s="9" t="s">
        <v>5180</v>
      </c>
      <c r="GPO1" s="9" t="s">
        <v>5181</v>
      </c>
      <c r="GPP1" s="9" t="s">
        <v>5182</v>
      </c>
      <c r="GPQ1" s="9" t="s">
        <v>5183</v>
      </c>
      <c r="GPR1" s="9" t="s">
        <v>5184</v>
      </c>
      <c r="GPS1" s="9" t="s">
        <v>5185</v>
      </c>
      <c r="GPT1" s="9" t="s">
        <v>5186</v>
      </c>
      <c r="GPU1" s="9" t="s">
        <v>5187</v>
      </c>
      <c r="GPV1" s="9" t="s">
        <v>5188</v>
      </c>
      <c r="GPW1" s="9" t="s">
        <v>5189</v>
      </c>
      <c r="GPX1" s="9" t="s">
        <v>5190</v>
      </c>
      <c r="GPY1" s="9" t="s">
        <v>5191</v>
      </c>
      <c r="GPZ1" s="9" t="s">
        <v>5192</v>
      </c>
      <c r="GQA1" s="9" t="s">
        <v>5193</v>
      </c>
      <c r="GQB1" s="9" t="s">
        <v>5194</v>
      </c>
      <c r="GQC1" s="9" t="s">
        <v>5195</v>
      </c>
      <c r="GQD1" s="9" t="s">
        <v>5196</v>
      </c>
      <c r="GQE1" s="9" t="s">
        <v>5197</v>
      </c>
      <c r="GQF1" s="9" t="s">
        <v>5198</v>
      </c>
      <c r="GQG1" s="9" t="s">
        <v>5199</v>
      </c>
      <c r="GQH1" s="9" t="s">
        <v>5200</v>
      </c>
      <c r="GQI1" s="9" t="s">
        <v>5201</v>
      </c>
      <c r="GQJ1" s="9" t="s">
        <v>5202</v>
      </c>
      <c r="GQK1" s="9" t="s">
        <v>5203</v>
      </c>
      <c r="GQL1" s="9" t="s">
        <v>5204</v>
      </c>
      <c r="GQM1" s="9" t="s">
        <v>5205</v>
      </c>
      <c r="GQN1" s="9" t="s">
        <v>5206</v>
      </c>
      <c r="GQO1" s="9" t="s">
        <v>5207</v>
      </c>
      <c r="GQP1" s="9" t="s">
        <v>5208</v>
      </c>
      <c r="GQQ1" s="9" t="s">
        <v>5209</v>
      </c>
      <c r="GQR1" s="9" t="s">
        <v>5210</v>
      </c>
      <c r="GQS1" s="9" t="s">
        <v>5211</v>
      </c>
      <c r="GQT1" s="9" t="s">
        <v>5212</v>
      </c>
      <c r="GQU1" s="9" t="s">
        <v>5213</v>
      </c>
      <c r="GQV1" s="9" t="s">
        <v>5214</v>
      </c>
      <c r="GQW1" s="9" t="s">
        <v>5215</v>
      </c>
      <c r="GQX1" s="9" t="s">
        <v>5216</v>
      </c>
      <c r="GQY1" s="9" t="s">
        <v>5217</v>
      </c>
      <c r="GQZ1" s="9" t="s">
        <v>5218</v>
      </c>
      <c r="GRA1" s="9" t="s">
        <v>5219</v>
      </c>
      <c r="GRB1" s="9" t="s">
        <v>5220</v>
      </c>
      <c r="GRC1" s="9" t="s">
        <v>5221</v>
      </c>
      <c r="GRD1" s="9" t="s">
        <v>5222</v>
      </c>
      <c r="GRE1" s="9" t="s">
        <v>5223</v>
      </c>
      <c r="GRF1" s="9" t="s">
        <v>5224</v>
      </c>
      <c r="GRG1" s="9" t="s">
        <v>5225</v>
      </c>
      <c r="GRH1" s="9" t="s">
        <v>5226</v>
      </c>
      <c r="GRI1" s="9" t="s">
        <v>5227</v>
      </c>
      <c r="GRJ1" s="9" t="s">
        <v>5228</v>
      </c>
      <c r="GRK1" s="9" t="s">
        <v>5229</v>
      </c>
      <c r="GRL1" s="9" t="s">
        <v>5230</v>
      </c>
      <c r="GRM1" s="9" t="s">
        <v>5231</v>
      </c>
      <c r="GRN1" s="9" t="s">
        <v>5232</v>
      </c>
      <c r="GRO1" s="9" t="s">
        <v>5233</v>
      </c>
      <c r="GRP1" s="9" t="s">
        <v>5234</v>
      </c>
      <c r="GRQ1" s="9" t="s">
        <v>5235</v>
      </c>
      <c r="GRR1" s="9" t="s">
        <v>5236</v>
      </c>
      <c r="GRS1" s="9" t="s">
        <v>5237</v>
      </c>
      <c r="GRT1" s="9" t="s">
        <v>5238</v>
      </c>
      <c r="GRU1" s="9" t="s">
        <v>5239</v>
      </c>
      <c r="GRV1" s="9" t="s">
        <v>5240</v>
      </c>
      <c r="GRW1" s="9" t="s">
        <v>5241</v>
      </c>
      <c r="GRX1" s="9" t="s">
        <v>5242</v>
      </c>
      <c r="GRY1" s="9" t="s">
        <v>5243</v>
      </c>
      <c r="GRZ1" s="9" t="s">
        <v>5244</v>
      </c>
      <c r="GSA1" s="9" t="s">
        <v>5245</v>
      </c>
      <c r="GSB1" s="9" t="s">
        <v>5246</v>
      </c>
      <c r="GSC1" s="9" t="s">
        <v>5247</v>
      </c>
      <c r="GSD1" s="9" t="s">
        <v>5248</v>
      </c>
      <c r="GSE1" s="9" t="s">
        <v>5249</v>
      </c>
      <c r="GSF1" s="9" t="s">
        <v>5250</v>
      </c>
      <c r="GSG1" s="9" t="s">
        <v>5251</v>
      </c>
      <c r="GSH1" s="9" t="s">
        <v>5252</v>
      </c>
      <c r="GSI1" s="9" t="s">
        <v>5253</v>
      </c>
      <c r="GSJ1" s="9" t="s">
        <v>5254</v>
      </c>
      <c r="GSK1" s="9" t="s">
        <v>5255</v>
      </c>
      <c r="GSL1" s="9" t="s">
        <v>5256</v>
      </c>
      <c r="GSM1" s="9" t="s">
        <v>5257</v>
      </c>
      <c r="GSN1" s="9" t="s">
        <v>5258</v>
      </c>
      <c r="GSO1" s="9" t="s">
        <v>5259</v>
      </c>
      <c r="GSP1" s="9" t="s">
        <v>5260</v>
      </c>
      <c r="GSQ1" s="9" t="s">
        <v>5261</v>
      </c>
      <c r="GSR1" s="9" t="s">
        <v>5262</v>
      </c>
      <c r="GSS1" s="9" t="s">
        <v>5263</v>
      </c>
      <c r="GST1" s="9" t="s">
        <v>5264</v>
      </c>
      <c r="GSU1" s="9" t="s">
        <v>5265</v>
      </c>
      <c r="GSV1" s="9" t="s">
        <v>5266</v>
      </c>
      <c r="GSW1" s="9" t="s">
        <v>5267</v>
      </c>
      <c r="GSX1" s="9" t="s">
        <v>5268</v>
      </c>
      <c r="GSY1" s="9" t="s">
        <v>5269</v>
      </c>
      <c r="GSZ1" s="9" t="s">
        <v>5270</v>
      </c>
      <c r="GTA1" s="9" t="s">
        <v>5271</v>
      </c>
      <c r="GTB1" s="9" t="s">
        <v>5272</v>
      </c>
      <c r="GTC1" s="9" t="s">
        <v>5273</v>
      </c>
      <c r="GTD1" s="9" t="s">
        <v>5274</v>
      </c>
      <c r="GTE1" s="9" t="s">
        <v>5275</v>
      </c>
      <c r="GTF1" s="9" t="s">
        <v>5276</v>
      </c>
      <c r="GTG1" s="9" t="s">
        <v>5277</v>
      </c>
      <c r="GTH1" s="9" t="s">
        <v>5278</v>
      </c>
      <c r="GTI1" s="9" t="s">
        <v>5279</v>
      </c>
      <c r="GTJ1" s="9" t="s">
        <v>5280</v>
      </c>
      <c r="GTK1" s="9" t="s">
        <v>5281</v>
      </c>
      <c r="GTL1" s="9" t="s">
        <v>5282</v>
      </c>
      <c r="GTM1" s="9" t="s">
        <v>5283</v>
      </c>
      <c r="GTN1" s="9" t="s">
        <v>5284</v>
      </c>
      <c r="GTO1" s="9" t="s">
        <v>5285</v>
      </c>
      <c r="GTP1" s="9" t="s">
        <v>5286</v>
      </c>
      <c r="GTQ1" s="9" t="s">
        <v>5287</v>
      </c>
      <c r="GTR1" s="9" t="s">
        <v>5288</v>
      </c>
      <c r="GTS1" s="9" t="s">
        <v>5289</v>
      </c>
      <c r="GTT1" s="9" t="s">
        <v>5290</v>
      </c>
      <c r="GTU1" s="9" t="s">
        <v>5291</v>
      </c>
      <c r="GTV1" s="9" t="s">
        <v>5292</v>
      </c>
      <c r="GTW1" s="9" t="s">
        <v>5293</v>
      </c>
      <c r="GTX1" s="9" t="s">
        <v>5294</v>
      </c>
      <c r="GTY1" s="9" t="s">
        <v>5295</v>
      </c>
      <c r="GTZ1" s="9" t="s">
        <v>5296</v>
      </c>
      <c r="GUA1" s="9" t="s">
        <v>5297</v>
      </c>
      <c r="GUB1" s="9" t="s">
        <v>5298</v>
      </c>
      <c r="GUC1" s="9" t="s">
        <v>5299</v>
      </c>
      <c r="GUD1" s="9" t="s">
        <v>5300</v>
      </c>
      <c r="GUE1" s="9" t="s">
        <v>5301</v>
      </c>
      <c r="GUF1" s="9" t="s">
        <v>5302</v>
      </c>
      <c r="GUG1" s="9" t="s">
        <v>5303</v>
      </c>
      <c r="GUH1" s="9" t="s">
        <v>5304</v>
      </c>
      <c r="GUI1" s="9" t="s">
        <v>5305</v>
      </c>
      <c r="GUJ1" s="9" t="s">
        <v>5306</v>
      </c>
      <c r="GUK1" s="9" t="s">
        <v>5307</v>
      </c>
      <c r="GUL1" s="9" t="s">
        <v>5308</v>
      </c>
      <c r="GUM1" s="9" t="s">
        <v>5309</v>
      </c>
      <c r="GUN1" s="9" t="s">
        <v>5310</v>
      </c>
      <c r="GUO1" s="9" t="s">
        <v>5311</v>
      </c>
      <c r="GUP1" s="9" t="s">
        <v>5312</v>
      </c>
      <c r="GUQ1" s="9" t="s">
        <v>5313</v>
      </c>
      <c r="GUR1" s="9" t="s">
        <v>5314</v>
      </c>
      <c r="GUS1" s="9" t="s">
        <v>5315</v>
      </c>
      <c r="GUT1" s="9" t="s">
        <v>5316</v>
      </c>
      <c r="GUU1" s="9" t="s">
        <v>5317</v>
      </c>
      <c r="GUV1" s="9" t="s">
        <v>5318</v>
      </c>
      <c r="GUW1" s="9" t="s">
        <v>5319</v>
      </c>
      <c r="GUX1" s="9" t="s">
        <v>5320</v>
      </c>
      <c r="GUY1" s="9" t="s">
        <v>5321</v>
      </c>
      <c r="GUZ1" s="9" t="s">
        <v>5322</v>
      </c>
      <c r="GVA1" s="9" t="s">
        <v>5323</v>
      </c>
      <c r="GVB1" s="9" t="s">
        <v>5324</v>
      </c>
      <c r="GVC1" s="9" t="s">
        <v>5325</v>
      </c>
      <c r="GVD1" s="9" t="s">
        <v>5326</v>
      </c>
      <c r="GVE1" s="9" t="s">
        <v>5327</v>
      </c>
      <c r="GVF1" s="9" t="s">
        <v>5328</v>
      </c>
      <c r="GVG1" s="9" t="s">
        <v>5329</v>
      </c>
      <c r="GVH1" s="9" t="s">
        <v>5330</v>
      </c>
      <c r="GVI1" s="9" t="s">
        <v>5331</v>
      </c>
      <c r="GVJ1" s="9" t="s">
        <v>5332</v>
      </c>
      <c r="GVK1" s="9" t="s">
        <v>5333</v>
      </c>
      <c r="GVL1" s="9" t="s">
        <v>5334</v>
      </c>
      <c r="GVM1" s="9" t="s">
        <v>5335</v>
      </c>
      <c r="GVN1" s="9" t="s">
        <v>5336</v>
      </c>
      <c r="GVO1" s="9" t="s">
        <v>5337</v>
      </c>
      <c r="GVP1" s="9" t="s">
        <v>5338</v>
      </c>
      <c r="GVQ1" s="9" t="s">
        <v>5339</v>
      </c>
      <c r="GVR1" s="9" t="s">
        <v>5340</v>
      </c>
      <c r="GVS1" s="9" t="s">
        <v>5341</v>
      </c>
      <c r="GVT1" s="9" t="s">
        <v>5342</v>
      </c>
      <c r="GVU1" s="9" t="s">
        <v>5343</v>
      </c>
      <c r="GVV1" s="9" t="s">
        <v>5344</v>
      </c>
      <c r="GVW1" s="9" t="s">
        <v>5345</v>
      </c>
      <c r="GVX1" s="9" t="s">
        <v>5346</v>
      </c>
      <c r="GVY1" s="9" t="s">
        <v>5347</v>
      </c>
      <c r="GVZ1" s="9" t="s">
        <v>5348</v>
      </c>
      <c r="GWA1" s="9" t="s">
        <v>5349</v>
      </c>
      <c r="GWB1" s="9" t="s">
        <v>5350</v>
      </c>
      <c r="GWC1" s="9" t="s">
        <v>5351</v>
      </c>
      <c r="GWD1" s="9" t="s">
        <v>5352</v>
      </c>
      <c r="GWE1" s="9" t="s">
        <v>5353</v>
      </c>
      <c r="GWF1" s="9" t="s">
        <v>5354</v>
      </c>
      <c r="GWG1" s="9" t="s">
        <v>5355</v>
      </c>
      <c r="GWH1" s="9" t="s">
        <v>5356</v>
      </c>
      <c r="GWI1" s="9" t="s">
        <v>5357</v>
      </c>
      <c r="GWJ1" s="9" t="s">
        <v>5358</v>
      </c>
      <c r="GWK1" s="9" t="s">
        <v>5359</v>
      </c>
      <c r="GWL1" s="9" t="s">
        <v>5360</v>
      </c>
      <c r="GWM1" s="9" t="s">
        <v>5361</v>
      </c>
      <c r="GWN1" s="9" t="s">
        <v>5362</v>
      </c>
      <c r="GWO1" s="9" t="s">
        <v>5363</v>
      </c>
      <c r="GWP1" s="9" t="s">
        <v>5364</v>
      </c>
      <c r="GWQ1" s="9" t="s">
        <v>5365</v>
      </c>
      <c r="GWR1" s="9" t="s">
        <v>5366</v>
      </c>
      <c r="GWS1" s="9" t="s">
        <v>5367</v>
      </c>
      <c r="GWT1" s="9" t="s">
        <v>5368</v>
      </c>
      <c r="GWU1" s="9" t="s">
        <v>5369</v>
      </c>
      <c r="GWV1" s="9" t="s">
        <v>5370</v>
      </c>
      <c r="GWW1" s="9" t="s">
        <v>5371</v>
      </c>
      <c r="GWX1" s="9" t="s">
        <v>5372</v>
      </c>
      <c r="GWY1" s="9" t="s">
        <v>5373</v>
      </c>
      <c r="GWZ1" s="9" t="s">
        <v>5374</v>
      </c>
      <c r="GXA1" s="9" t="s">
        <v>5375</v>
      </c>
      <c r="GXB1" s="9" t="s">
        <v>5376</v>
      </c>
      <c r="GXC1" s="9" t="s">
        <v>5377</v>
      </c>
      <c r="GXD1" s="9" t="s">
        <v>5378</v>
      </c>
      <c r="GXE1" s="9" t="s">
        <v>5379</v>
      </c>
      <c r="GXF1" s="9" t="s">
        <v>5380</v>
      </c>
      <c r="GXG1" s="9" t="s">
        <v>5381</v>
      </c>
      <c r="GXH1" s="9" t="s">
        <v>5382</v>
      </c>
      <c r="GXI1" s="9" t="s">
        <v>5383</v>
      </c>
      <c r="GXJ1" s="9" t="s">
        <v>5384</v>
      </c>
      <c r="GXK1" s="9" t="s">
        <v>5385</v>
      </c>
      <c r="GXL1" s="9" t="s">
        <v>5386</v>
      </c>
      <c r="GXM1" s="9" t="s">
        <v>5387</v>
      </c>
      <c r="GXN1" s="9" t="s">
        <v>5388</v>
      </c>
      <c r="GXO1" s="9" t="s">
        <v>5389</v>
      </c>
      <c r="GXP1" s="9" t="s">
        <v>5390</v>
      </c>
      <c r="GXQ1" s="9" t="s">
        <v>5391</v>
      </c>
      <c r="GXR1" s="9" t="s">
        <v>5392</v>
      </c>
      <c r="GXS1" s="9" t="s">
        <v>5393</v>
      </c>
      <c r="GXT1" s="9" t="s">
        <v>5394</v>
      </c>
      <c r="GXU1" s="9" t="s">
        <v>5395</v>
      </c>
      <c r="GXV1" s="9" t="s">
        <v>5396</v>
      </c>
      <c r="GXW1" s="9" t="s">
        <v>5397</v>
      </c>
      <c r="GXX1" s="9" t="s">
        <v>5398</v>
      </c>
      <c r="GXY1" s="9" t="s">
        <v>5399</v>
      </c>
      <c r="GXZ1" s="9" t="s">
        <v>5400</v>
      </c>
      <c r="GYA1" s="9" t="s">
        <v>5401</v>
      </c>
      <c r="GYB1" s="9" t="s">
        <v>5402</v>
      </c>
      <c r="GYC1" s="9" t="s">
        <v>5403</v>
      </c>
      <c r="GYD1" s="9" t="s">
        <v>5404</v>
      </c>
      <c r="GYE1" s="9" t="s">
        <v>5405</v>
      </c>
      <c r="GYF1" s="9" t="s">
        <v>5406</v>
      </c>
      <c r="GYG1" s="9" t="s">
        <v>5407</v>
      </c>
      <c r="GYH1" s="9" t="s">
        <v>5408</v>
      </c>
      <c r="GYI1" s="9" t="s">
        <v>5409</v>
      </c>
      <c r="GYJ1" s="9" t="s">
        <v>5410</v>
      </c>
      <c r="GYK1" s="9" t="s">
        <v>5411</v>
      </c>
      <c r="GYL1" s="9" t="s">
        <v>5412</v>
      </c>
      <c r="GYM1" s="9" t="s">
        <v>5413</v>
      </c>
      <c r="GYN1" s="9" t="s">
        <v>5414</v>
      </c>
      <c r="GYO1" s="9" t="s">
        <v>5415</v>
      </c>
      <c r="GYP1" s="9" t="s">
        <v>5416</v>
      </c>
      <c r="GYQ1" s="9" t="s">
        <v>5417</v>
      </c>
      <c r="GYR1" s="9" t="s">
        <v>5418</v>
      </c>
      <c r="GYS1" s="9" t="s">
        <v>5419</v>
      </c>
      <c r="GYT1" s="9" t="s">
        <v>5420</v>
      </c>
      <c r="GYU1" s="9" t="s">
        <v>5421</v>
      </c>
      <c r="GYV1" s="9" t="s">
        <v>5422</v>
      </c>
      <c r="GYW1" s="9" t="s">
        <v>5423</v>
      </c>
      <c r="GYX1" s="9" t="s">
        <v>5424</v>
      </c>
      <c r="GYY1" s="9" t="s">
        <v>5425</v>
      </c>
      <c r="GYZ1" s="9" t="s">
        <v>5426</v>
      </c>
      <c r="GZA1" s="9" t="s">
        <v>5427</v>
      </c>
      <c r="GZB1" s="9" t="s">
        <v>5428</v>
      </c>
      <c r="GZC1" s="9" t="s">
        <v>5429</v>
      </c>
      <c r="GZD1" s="9" t="s">
        <v>5430</v>
      </c>
      <c r="GZE1" s="9" t="s">
        <v>5431</v>
      </c>
      <c r="GZF1" s="9" t="s">
        <v>5432</v>
      </c>
      <c r="GZG1" s="9" t="s">
        <v>5433</v>
      </c>
      <c r="GZH1" s="9" t="s">
        <v>5434</v>
      </c>
      <c r="GZI1" s="9" t="s">
        <v>5435</v>
      </c>
      <c r="GZJ1" s="9" t="s">
        <v>5436</v>
      </c>
      <c r="GZK1" s="9" t="s">
        <v>5437</v>
      </c>
      <c r="GZL1" s="9" t="s">
        <v>5438</v>
      </c>
      <c r="GZM1" s="9" t="s">
        <v>5439</v>
      </c>
      <c r="GZN1" s="9" t="s">
        <v>5440</v>
      </c>
      <c r="GZO1" s="9" t="s">
        <v>5441</v>
      </c>
      <c r="GZP1" s="9" t="s">
        <v>5442</v>
      </c>
      <c r="GZQ1" s="9" t="s">
        <v>5443</v>
      </c>
      <c r="GZR1" s="9" t="s">
        <v>5444</v>
      </c>
      <c r="GZS1" s="9" t="s">
        <v>5445</v>
      </c>
      <c r="GZT1" s="9" t="s">
        <v>5446</v>
      </c>
      <c r="GZU1" s="9" t="s">
        <v>5447</v>
      </c>
      <c r="GZV1" s="9" t="s">
        <v>5448</v>
      </c>
      <c r="GZW1" s="9" t="s">
        <v>5449</v>
      </c>
      <c r="GZX1" s="9" t="s">
        <v>5450</v>
      </c>
      <c r="GZY1" s="9" t="s">
        <v>5451</v>
      </c>
      <c r="GZZ1" s="9" t="s">
        <v>5452</v>
      </c>
      <c r="HAA1" s="9" t="s">
        <v>5453</v>
      </c>
      <c r="HAB1" s="9" t="s">
        <v>5454</v>
      </c>
      <c r="HAC1" s="9" t="s">
        <v>5455</v>
      </c>
      <c r="HAD1" s="9" t="s">
        <v>5456</v>
      </c>
      <c r="HAE1" s="9" t="s">
        <v>5457</v>
      </c>
      <c r="HAF1" s="9" t="s">
        <v>5458</v>
      </c>
      <c r="HAG1" s="9" t="s">
        <v>5459</v>
      </c>
      <c r="HAH1" s="9" t="s">
        <v>5460</v>
      </c>
      <c r="HAI1" s="9" t="s">
        <v>5461</v>
      </c>
      <c r="HAJ1" s="9" t="s">
        <v>5462</v>
      </c>
      <c r="HAK1" s="9" t="s">
        <v>5463</v>
      </c>
      <c r="HAL1" s="9" t="s">
        <v>5464</v>
      </c>
      <c r="HAM1" s="9" t="s">
        <v>5465</v>
      </c>
      <c r="HAN1" s="9" t="s">
        <v>5466</v>
      </c>
      <c r="HAO1" s="9" t="s">
        <v>5467</v>
      </c>
      <c r="HAP1" s="9" t="s">
        <v>5468</v>
      </c>
      <c r="HAQ1" s="9" t="s">
        <v>5469</v>
      </c>
      <c r="HAR1" s="9" t="s">
        <v>5470</v>
      </c>
      <c r="HAS1" s="9" t="s">
        <v>5471</v>
      </c>
      <c r="HAT1" s="9" t="s">
        <v>5472</v>
      </c>
      <c r="HAU1" s="9" t="s">
        <v>5473</v>
      </c>
      <c r="HAV1" s="9" t="s">
        <v>5474</v>
      </c>
      <c r="HAW1" s="9" t="s">
        <v>5475</v>
      </c>
      <c r="HAX1" s="9" t="s">
        <v>5476</v>
      </c>
      <c r="HAY1" s="9" t="s">
        <v>5477</v>
      </c>
      <c r="HAZ1" s="9" t="s">
        <v>5478</v>
      </c>
      <c r="HBA1" s="9" t="s">
        <v>5479</v>
      </c>
      <c r="HBB1" s="9" t="s">
        <v>5480</v>
      </c>
      <c r="HBC1" s="9" t="s">
        <v>5481</v>
      </c>
      <c r="HBD1" s="9" t="s">
        <v>5482</v>
      </c>
      <c r="HBE1" s="9" t="s">
        <v>5483</v>
      </c>
      <c r="HBF1" s="9" t="s">
        <v>5484</v>
      </c>
      <c r="HBG1" s="9" t="s">
        <v>5485</v>
      </c>
      <c r="HBH1" s="9" t="s">
        <v>5486</v>
      </c>
      <c r="HBI1" s="9" t="s">
        <v>5487</v>
      </c>
      <c r="HBJ1" s="9" t="s">
        <v>5488</v>
      </c>
      <c r="HBK1" s="9" t="s">
        <v>5489</v>
      </c>
      <c r="HBL1" s="9" t="s">
        <v>5490</v>
      </c>
      <c r="HBM1" s="9" t="s">
        <v>5491</v>
      </c>
      <c r="HBN1" s="9" t="s">
        <v>5492</v>
      </c>
      <c r="HBO1" s="9" t="s">
        <v>5493</v>
      </c>
      <c r="HBP1" s="9" t="s">
        <v>5494</v>
      </c>
      <c r="HBQ1" s="9" t="s">
        <v>5495</v>
      </c>
      <c r="HBR1" s="9" t="s">
        <v>5496</v>
      </c>
      <c r="HBS1" s="9" t="s">
        <v>5497</v>
      </c>
      <c r="HBT1" s="9" t="s">
        <v>5498</v>
      </c>
      <c r="HBU1" s="9" t="s">
        <v>5499</v>
      </c>
      <c r="HBV1" s="9" t="s">
        <v>5500</v>
      </c>
      <c r="HBW1" s="9" t="s">
        <v>5501</v>
      </c>
      <c r="HBX1" s="9" t="s">
        <v>5502</v>
      </c>
      <c r="HBY1" s="9" t="s">
        <v>5503</v>
      </c>
      <c r="HBZ1" s="9" t="s">
        <v>5504</v>
      </c>
      <c r="HCA1" s="9" t="s">
        <v>5505</v>
      </c>
      <c r="HCB1" s="9" t="s">
        <v>5506</v>
      </c>
      <c r="HCC1" s="9" t="s">
        <v>5507</v>
      </c>
      <c r="HCD1" s="9" t="s">
        <v>5508</v>
      </c>
      <c r="HCE1" s="9" t="s">
        <v>5509</v>
      </c>
      <c r="HCF1" s="9" t="s">
        <v>5510</v>
      </c>
      <c r="HCG1" s="9" t="s">
        <v>5511</v>
      </c>
      <c r="HCH1" s="9" t="s">
        <v>5512</v>
      </c>
      <c r="HCI1" s="9" t="s">
        <v>5513</v>
      </c>
      <c r="HCJ1" s="9" t="s">
        <v>5514</v>
      </c>
      <c r="HCK1" s="9" t="s">
        <v>5515</v>
      </c>
      <c r="HCL1" s="9" t="s">
        <v>5516</v>
      </c>
      <c r="HCM1" s="9" t="s">
        <v>5517</v>
      </c>
      <c r="HCN1" s="9" t="s">
        <v>5518</v>
      </c>
      <c r="HCO1" s="9" t="s">
        <v>5519</v>
      </c>
      <c r="HCP1" s="9" t="s">
        <v>5520</v>
      </c>
      <c r="HCQ1" s="9" t="s">
        <v>5521</v>
      </c>
      <c r="HCR1" s="9" t="s">
        <v>5522</v>
      </c>
      <c r="HCS1" s="9" t="s">
        <v>5523</v>
      </c>
      <c r="HCT1" s="9" t="s">
        <v>5524</v>
      </c>
      <c r="HCU1" s="9" t="s">
        <v>5525</v>
      </c>
      <c r="HCV1" s="9" t="s">
        <v>5526</v>
      </c>
      <c r="HCW1" s="9" t="s">
        <v>5527</v>
      </c>
      <c r="HCX1" s="9" t="s">
        <v>5528</v>
      </c>
      <c r="HCY1" s="9" t="s">
        <v>5529</v>
      </c>
      <c r="HCZ1" s="9" t="s">
        <v>5530</v>
      </c>
      <c r="HDA1" s="9" t="s">
        <v>5531</v>
      </c>
      <c r="HDB1" s="9" t="s">
        <v>5532</v>
      </c>
      <c r="HDC1" s="9" t="s">
        <v>5533</v>
      </c>
      <c r="HDD1" s="9" t="s">
        <v>5534</v>
      </c>
      <c r="HDE1" s="9" t="s">
        <v>5535</v>
      </c>
      <c r="HDF1" s="9" t="s">
        <v>5536</v>
      </c>
      <c r="HDG1" s="9" t="s">
        <v>5537</v>
      </c>
      <c r="HDH1" s="9" t="s">
        <v>5538</v>
      </c>
      <c r="HDI1" s="9" t="s">
        <v>5539</v>
      </c>
      <c r="HDJ1" s="9" t="s">
        <v>5540</v>
      </c>
      <c r="HDK1" s="9" t="s">
        <v>5541</v>
      </c>
      <c r="HDL1" s="9" t="s">
        <v>5542</v>
      </c>
      <c r="HDM1" s="9" t="s">
        <v>5543</v>
      </c>
      <c r="HDN1" s="9" t="s">
        <v>5544</v>
      </c>
      <c r="HDO1" s="9" t="s">
        <v>5545</v>
      </c>
      <c r="HDP1" s="9" t="s">
        <v>5546</v>
      </c>
      <c r="HDQ1" s="9" t="s">
        <v>5547</v>
      </c>
      <c r="HDR1" s="9" t="s">
        <v>5548</v>
      </c>
      <c r="HDS1" s="9" t="s">
        <v>5549</v>
      </c>
      <c r="HDT1" s="9" t="s">
        <v>5550</v>
      </c>
      <c r="HDU1" s="9" t="s">
        <v>5551</v>
      </c>
      <c r="HDV1" s="9" t="s">
        <v>5552</v>
      </c>
      <c r="HDW1" s="9" t="s">
        <v>5553</v>
      </c>
      <c r="HDX1" s="9" t="s">
        <v>5554</v>
      </c>
      <c r="HDY1" s="9" t="s">
        <v>5555</v>
      </c>
      <c r="HDZ1" s="9" t="s">
        <v>5556</v>
      </c>
      <c r="HEA1" s="9" t="s">
        <v>5557</v>
      </c>
      <c r="HEB1" s="9" t="s">
        <v>5558</v>
      </c>
      <c r="HEC1" s="9" t="s">
        <v>5559</v>
      </c>
      <c r="HED1" s="9" t="s">
        <v>5560</v>
      </c>
      <c r="HEE1" s="9" t="s">
        <v>5561</v>
      </c>
      <c r="HEF1" s="9" t="s">
        <v>5562</v>
      </c>
      <c r="HEG1" s="9" t="s">
        <v>5563</v>
      </c>
      <c r="HEH1" s="9" t="s">
        <v>5564</v>
      </c>
      <c r="HEI1" s="9" t="s">
        <v>5565</v>
      </c>
      <c r="HEJ1" s="9" t="s">
        <v>5566</v>
      </c>
      <c r="HEK1" s="9" t="s">
        <v>5567</v>
      </c>
      <c r="HEL1" s="9" t="s">
        <v>5568</v>
      </c>
      <c r="HEM1" s="9" t="s">
        <v>5569</v>
      </c>
      <c r="HEN1" s="9" t="s">
        <v>5570</v>
      </c>
      <c r="HEO1" s="9" t="s">
        <v>5571</v>
      </c>
      <c r="HEP1" s="9" t="s">
        <v>5572</v>
      </c>
      <c r="HEQ1" s="9" t="s">
        <v>5573</v>
      </c>
      <c r="HER1" s="9" t="s">
        <v>5574</v>
      </c>
      <c r="HES1" s="9" t="s">
        <v>5575</v>
      </c>
      <c r="HET1" s="9" t="s">
        <v>5576</v>
      </c>
      <c r="HEU1" s="9" t="s">
        <v>5577</v>
      </c>
      <c r="HEV1" s="9" t="s">
        <v>5578</v>
      </c>
      <c r="HEW1" s="9" t="s">
        <v>5579</v>
      </c>
      <c r="HEX1" s="9" t="s">
        <v>5580</v>
      </c>
      <c r="HEY1" s="9" t="s">
        <v>5581</v>
      </c>
      <c r="HEZ1" s="9" t="s">
        <v>5582</v>
      </c>
      <c r="HFA1" s="9" t="s">
        <v>5583</v>
      </c>
      <c r="HFB1" s="9" t="s">
        <v>5584</v>
      </c>
      <c r="HFC1" s="9" t="s">
        <v>5585</v>
      </c>
      <c r="HFD1" s="9" t="s">
        <v>5586</v>
      </c>
      <c r="HFE1" s="9" t="s">
        <v>5587</v>
      </c>
      <c r="HFF1" s="9" t="s">
        <v>5588</v>
      </c>
      <c r="HFG1" s="9" t="s">
        <v>5589</v>
      </c>
      <c r="HFH1" s="9" t="s">
        <v>5590</v>
      </c>
      <c r="HFI1" s="9" t="s">
        <v>5591</v>
      </c>
      <c r="HFJ1" s="9" t="s">
        <v>5592</v>
      </c>
      <c r="HFK1" s="9" t="s">
        <v>5593</v>
      </c>
      <c r="HFL1" s="9" t="s">
        <v>5594</v>
      </c>
      <c r="HFM1" s="9" t="s">
        <v>5595</v>
      </c>
      <c r="HFN1" s="9" t="s">
        <v>5596</v>
      </c>
      <c r="HFO1" s="9" t="s">
        <v>5597</v>
      </c>
      <c r="HFP1" s="9" t="s">
        <v>5598</v>
      </c>
      <c r="HFQ1" s="9" t="s">
        <v>5599</v>
      </c>
      <c r="HFR1" s="9" t="s">
        <v>5600</v>
      </c>
      <c r="HFS1" s="9" t="s">
        <v>5601</v>
      </c>
      <c r="HFT1" s="9" t="s">
        <v>5602</v>
      </c>
      <c r="HFU1" s="9" t="s">
        <v>5603</v>
      </c>
      <c r="HFV1" s="9" t="s">
        <v>5604</v>
      </c>
      <c r="HFW1" s="9" t="s">
        <v>5605</v>
      </c>
      <c r="HFX1" s="9" t="s">
        <v>5606</v>
      </c>
      <c r="HFY1" s="9" t="s">
        <v>5607</v>
      </c>
      <c r="HFZ1" s="9" t="s">
        <v>5608</v>
      </c>
      <c r="HGA1" s="9" t="s">
        <v>5609</v>
      </c>
      <c r="HGB1" s="9" t="s">
        <v>5610</v>
      </c>
      <c r="HGC1" s="9" t="s">
        <v>5611</v>
      </c>
      <c r="HGD1" s="9" t="s">
        <v>5612</v>
      </c>
      <c r="HGE1" s="9" t="s">
        <v>5613</v>
      </c>
      <c r="HGF1" s="9" t="s">
        <v>5614</v>
      </c>
      <c r="HGG1" s="9" t="s">
        <v>5615</v>
      </c>
      <c r="HGH1" s="9" t="s">
        <v>5616</v>
      </c>
      <c r="HGI1" s="9" t="s">
        <v>5617</v>
      </c>
      <c r="HGJ1" s="9" t="s">
        <v>5618</v>
      </c>
      <c r="HGK1" s="9" t="s">
        <v>5619</v>
      </c>
      <c r="HGL1" s="9" t="s">
        <v>5620</v>
      </c>
      <c r="HGM1" s="9" t="s">
        <v>5621</v>
      </c>
      <c r="HGN1" s="9" t="s">
        <v>5622</v>
      </c>
      <c r="HGO1" s="9" t="s">
        <v>5623</v>
      </c>
      <c r="HGP1" s="9" t="s">
        <v>5624</v>
      </c>
      <c r="HGQ1" s="9" t="s">
        <v>5625</v>
      </c>
      <c r="HGR1" s="9" t="s">
        <v>5626</v>
      </c>
      <c r="HGS1" s="9" t="s">
        <v>5627</v>
      </c>
      <c r="HGT1" s="9" t="s">
        <v>5628</v>
      </c>
      <c r="HGU1" s="9" t="s">
        <v>5629</v>
      </c>
      <c r="HGV1" s="9" t="s">
        <v>5630</v>
      </c>
      <c r="HGW1" s="9" t="s">
        <v>5631</v>
      </c>
      <c r="HGX1" s="9" t="s">
        <v>5632</v>
      </c>
      <c r="HGY1" s="9" t="s">
        <v>5633</v>
      </c>
      <c r="HGZ1" s="9" t="s">
        <v>5634</v>
      </c>
      <c r="HHA1" s="9" t="s">
        <v>5635</v>
      </c>
      <c r="HHB1" s="9" t="s">
        <v>5636</v>
      </c>
      <c r="HHC1" s="9" t="s">
        <v>5637</v>
      </c>
      <c r="HHD1" s="9" t="s">
        <v>5638</v>
      </c>
      <c r="HHE1" s="9" t="s">
        <v>5639</v>
      </c>
      <c r="HHF1" s="9" t="s">
        <v>5640</v>
      </c>
      <c r="HHG1" s="9" t="s">
        <v>5641</v>
      </c>
      <c r="HHH1" s="9" t="s">
        <v>5642</v>
      </c>
      <c r="HHI1" s="9" t="s">
        <v>5643</v>
      </c>
      <c r="HHJ1" s="9" t="s">
        <v>5644</v>
      </c>
      <c r="HHK1" s="9" t="s">
        <v>5645</v>
      </c>
      <c r="HHL1" s="9" t="s">
        <v>5646</v>
      </c>
      <c r="HHM1" s="9" t="s">
        <v>5647</v>
      </c>
      <c r="HHN1" s="9" t="s">
        <v>5648</v>
      </c>
      <c r="HHO1" s="9" t="s">
        <v>5649</v>
      </c>
      <c r="HHP1" s="9" t="s">
        <v>5650</v>
      </c>
      <c r="HHQ1" s="9" t="s">
        <v>5651</v>
      </c>
      <c r="HHR1" s="9" t="s">
        <v>5652</v>
      </c>
      <c r="HHS1" s="9" t="s">
        <v>5653</v>
      </c>
      <c r="HHT1" s="9" t="s">
        <v>5654</v>
      </c>
      <c r="HHU1" s="9" t="s">
        <v>5655</v>
      </c>
      <c r="HHV1" s="9" t="s">
        <v>5656</v>
      </c>
      <c r="HHW1" s="9" t="s">
        <v>5657</v>
      </c>
      <c r="HHX1" s="9" t="s">
        <v>5658</v>
      </c>
      <c r="HHY1" s="9" t="s">
        <v>5659</v>
      </c>
      <c r="HHZ1" s="9" t="s">
        <v>5660</v>
      </c>
      <c r="HIA1" s="9" t="s">
        <v>5661</v>
      </c>
      <c r="HIB1" s="9" t="s">
        <v>5662</v>
      </c>
      <c r="HIC1" s="9" t="s">
        <v>5663</v>
      </c>
      <c r="HID1" s="9" t="s">
        <v>5664</v>
      </c>
      <c r="HIE1" s="9" t="s">
        <v>5665</v>
      </c>
      <c r="HIF1" s="9" t="s">
        <v>5666</v>
      </c>
      <c r="HIG1" s="9" t="s">
        <v>5667</v>
      </c>
      <c r="HIH1" s="9" t="s">
        <v>5668</v>
      </c>
      <c r="HII1" s="9" t="s">
        <v>5669</v>
      </c>
      <c r="HIJ1" s="9" t="s">
        <v>5670</v>
      </c>
      <c r="HIK1" s="9" t="s">
        <v>5671</v>
      </c>
      <c r="HIL1" s="9" t="s">
        <v>5672</v>
      </c>
      <c r="HIM1" s="9" t="s">
        <v>5673</v>
      </c>
      <c r="HIN1" s="9" t="s">
        <v>5674</v>
      </c>
      <c r="HIO1" s="9" t="s">
        <v>5675</v>
      </c>
      <c r="HIP1" s="9" t="s">
        <v>5676</v>
      </c>
      <c r="HIQ1" s="9" t="s">
        <v>5677</v>
      </c>
      <c r="HIR1" s="9" t="s">
        <v>5678</v>
      </c>
      <c r="HIS1" s="9" t="s">
        <v>5679</v>
      </c>
      <c r="HIT1" s="9" t="s">
        <v>5680</v>
      </c>
      <c r="HIU1" s="9" t="s">
        <v>5681</v>
      </c>
      <c r="HIV1" s="9" t="s">
        <v>5682</v>
      </c>
      <c r="HIW1" s="9" t="s">
        <v>5683</v>
      </c>
      <c r="HIX1" s="9" t="s">
        <v>5684</v>
      </c>
      <c r="HIY1" s="9" t="s">
        <v>5685</v>
      </c>
      <c r="HIZ1" s="9" t="s">
        <v>5686</v>
      </c>
      <c r="HJA1" s="9" t="s">
        <v>5687</v>
      </c>
      <c r="HJB1" s="9" t="s">
        <v>5688</v>
      </c>
      <c r="HJC1" s="9" t="s">
        <v>5689</v>
      </c>
      <c r="HJD1" s="9" t="s">
        <v>5690</v>
      </c>
      <c r="HJE1" s="9" t="s">
        <v>5691</v>
      </c>
      <c r="HJF1" s="9" t="s">
        <v>5692</v>
      </c>
      <c r="HJG1" s="9" t="s">
        <v>5693</v>
      </c>
      <c r="HJH1" s="9" t="s">
        <v>5694</v>
      </c>
      <c r="HJI1" s="9" t="s">
        <v>5695</v>
      </c>
      <c r="HJJ1" s="9" t="s">
        <v>5696</v>
      </c>
      <c r="HJK1" s="9" t="s">
        <v>5697</v>
      </c>
      <c r="HJL1" s="9" t="s">
        <v>5698</v>
      </c>
      <c r="HJM1" s="9" t="s">
        <v>5699</v>
      </c>
      <c r="HJN1" s="9" t="s">
        <v>5700</v>
      </c>
      <c r="HJO1" s="9" t="s">
        <v>5701</v>
      </c>
      <c r="HJP1" s="9" t="s">
        <v>5702</v>
      </c>
      <c r="HJQ1" s="9" t="s">
        <v>5703</v>
      </c>
      <c r="HJR1" s="9" t="s">
        <v>5704</v>
      </c>
      <c r="HJS1" s="9" t="s">
        <v>5705</v>
      </c>
      <c r="HJT1" s="9" t="s">
        <v>5706</v>
      </c>
      <c r="HJU1" s="9" t="s">
        <v>5707</v>
      </c>
      <c r="HJV1" s="9" t="s">
        <v>5708</v>
      </c>
      <c r="HJW1" s="9" t="s">
        <v>5709</v>
      </c>
      <c r="HJX1" s="9" t="s">
        <v>5710</v>
      </c>
      <c r="HJY1" s="9" t="s">
        <v>5711</v>
      </c>
      <c r="HJZ1" s="9" t="s">
        <v>5712</v>
      </c>
      <c r="HKA1" s="9" t="s">
        <v>5713</v>
      </c>
      <c r="HKB1" s="9" t="s">
        <v>5714</v>
      </c>
      <c r="HKC1" s="9" t="s">
        <v>5715</v>
      </c>
      <c r="HKD1" s="9" t="s">
        <v>5716</v>
      </c>
      <c r="HKE1" s="9" t="s">
        <v>5717</v>
      </c>
      <c r="HKF1" s="9" t="s">
        <v>5718</v>
      </c>
      <c r="HKG1" s="9" t="s">
        <v>5719</v>
      </c>
      <c r="HKH1" s="9" t="s">
        <v>5720</v>
      </c>
      <c r="HKI1" s="9" t="s">
        <v>5721</v>
      </c>
      <c r="HKJ1" s="9" t="s">
        <v>5722</v>
      </c>
      <c r="HKK1" s="9" t="s">
        <v>5723</v>
      </c>
      <c r="HKL1" s="9" t="s">
        <v>5724</v>
      </c>
      <c r="HKM1" s="9" t="s">
        <v>5725</v>
      </c>
      <c r="HKN1" s="9" t="s">
        <v>5726</v>
      </c>
      <c r="HKO1" s="9" t="s">
        <v>5727</v>
      </c>
      <c r="HKP1" s="9" t="s">
        <v>5728</v>
      </c>
      <c r="HKQ1" s="9" t="s">
        <v>5729</v>
      </c>
      <c r="HKR1" s="9" t="s">
        <v>5730</v>
      </c>
      <c r="HKS1" s="9" t="s">
        <v>5731</v>
      </c>
      <c r="HKT1" s="9" t="s">
        <v>5732</v>
      </c>
      <c r="HKU1" s="9" t="s">
        <v>5733</v>
      </c>
      <c r="HKV1" s="9" t="s">
        <v>5734</v>
      </c>
      <c r="HKW1" s="9" t="s">
        <v>5735</v>
      </c>
      <c r="HKX1" s="9" t="s">
        <v>5736</v>
      </c>
      <c r="HKY1" s="9" t="s">
        <v>5737</v>
      </c>
      <c r="HKZ1" s="9" t="s">
        <v>5738</v>
      </c>
      <c r="HLA1" s="9" t="s">
        <v>5739</v>
      </c>
      <c r="HLB1" s="9" t="s">
        <v>5740</v>
      </c>
      <c r="HLC1" s="9" t="s">
        <v>5741</v>
      </c>
      <c r="HLD1" s="9" t="s">
        <v>5742</v>
      </c>
      <c r="HLE1" s="9" t="s">
        <v>5743</v>
      </c>
      <c r="HLF1" s="9" t="s">
        <v>5744</v>
      </c>
      <c r="HLG1" s="9" t="s">
        <v>5745</v>
      </c>
      <c r="HLH1" s="9" t="s">
        <v>5746</v>
      </c>
      <c r="HLI1" s="9" t="s">
        <v>5747</v>
      </c>
      <c r="HLJ1" s="9" t="s">
        <v>5748</v>
      </c>
      <c r="HLK1" s="9" t="s">
        <v>5749</v>
      </c>
      <c r="HLL1" s="9" t="s">
        <v>5750</v>
      </c>
      <c r="HLM1" s="9" t="s">
        <v>5751</v>
      </c>
      <c r="HLN1" s="9" t="s">
        <v>5752</v>
      </c>
      <c r="HLO1" s="9" t="s">
        <v>5753</v>
      </c>
      <c r="HLP1" s="9" t="s">
        <v>5754</v>
      </c>
      <c r="HLQ1" s="9" t="s">
        <v>5755</v>
      </c>
      <c r="HLR1" s="9" t="s">
        <v>5756</v>
      </c>
      <c r="HLS1" s="9" t="s">
        <v>5757</v>
      </c>
      <c r="HLT1" s="9" t="s">
        <v>5758</v>
      </c>
      <c r="HLU1" s="9" t="s">
        <v>5759</v>
      </c>
      <c r="HLV1" s="9" t="s">
        <v>5760</v>
      </c>
      <c r="HLW1" s="9" t="s">
        <v>5761</v>
      </c>
      <c r="HLX1" s="9" t="s">
        <v>5762</v>
      </c>
      <c r="HLY1" s="9" t="s">
        <v>5763</v>
      </c>
      <c r="HLZ1" s="9" t="s">
        <v>5764</v>
      </c>
      <c r="HMA1" s="9" t="s">
        <v>5765</v>
      </c>
      <c r="HMB1" s="9" t="s">
        <v>5766</v>
      </c>
      <c r="HMC1" s="9" t="s">
        <v>5767</v>
      </c>
      <c r="HMD1" s="9" t="s">
        <v>5768</v>
      </c>
      <c r="HME1" s="9" t="s">
        <v>5769</v>
      </c>
      <c r="HMF1" s="9" t="s">
        <v>5770</v>
      </c>
      <c r="HMG1" s="9" t="s">
        <v>5771</v>
      </c>
      <c r="HMH1" s="9" t="s">
        <v>5772</v>
      </c>
      <c r="HMI1" s="9" t="s">
        <v>5773</v>
      </c>
      <c r="HMJ1" s="9" t="s">
        <v>5774</v>
      </c>
      <c r="HMK1" s="9" t="s">
        <v>5775</v>
      </c>
      <c r="HML1" s="9" t="s">
        <v>5776</v>
      </c>
      <c r="HMM1" s="9" t="s">
        <v>5777</v>
      </c>
      <c r="HMN1" s="9" t="s">
        <v>5778</v>
      </c>
      <c r="HMO1" s="9" t="s">
        <v>5779</v>
      </c>
      <c r="HMP1" s="9" t="s">
        <v>5780</v>
      </c>
      <c r="HMQ1" s="9" t="s">
        <v>5781</v>
      </c>
      <c r="HMR1" s="9" t="s">
        <v>5782</v>
      </c>
      <c r="HMS1" s="9" t="s">
        <v>5783</v>
      </c>
      <c r="HMT1" s="9" t="s">
        <v>5784</v>
      </c>
      <c r="HMU1" s="9" t="s">
        <v>5785</v>
      </c>
      <c r="HMV1" s="9" t="s">
        <v>5786</v>
      </c>
      <c r="HMW1" s="9" t="s">
        <v>5787</v>
      </c>
      <c r="HMX1" s="9" t="s">
        <v>5788</v>
      </c>
      <c r="HMY1" s="9" t="s">
        <v>5789</v>
      </c>
      <c r="HMZ1" s="9" t="s">
        <v>5790</v>
      </c>
      <c r="HNA1" s="9" t="s">
        <v>5791</v>
      </c>
      <c r="HNB1" s="9" t="s">
        <v>5792</v>
      </c>
      <c r="HNC1" s="9" t="s">
        <v>5793</v>
      </c>
      <c r="HND1" s="9" t="s">
        <v>5794</v>
      </c>
      <c r="HNE1" s="9" t="s">
        <v>5795</v>
      </c>
      <c r="HNF1" s="9" t="s">
        <v>5796</v>
      </c>
      <c r="HNG1" s="9" t="s">
        <v>5797</v>
      </c>
      <c r="HNH1" s="9" t="s">
        <v>5798</v>
      </c>
      <c r="HNI1" s="9" t="s">
        <v>5799</v>
      </c>
      <c r="HNJ1" s="9" t="s">
        <v>5800</v>
      </c>
      <c r="HNK1" s="9" t="s">
        <v>5801</v>
      </c>
      <c r="HNL1" s="9" t="s">
        <v>5802</v>
      </c>
      <c r="HNM1" s="9" t="s">
        <v>5803</v>
      </c>
      <c r="HNN1" s="9" t="s">
        <v>5804</v>
      </c>
      <c r="HNO1" s="9" t="s">
        <v>5805</v>
      </c>
      <c r="HNP1" s="9" t="s">
        <v>5806</v>
      </c>
      <c r="HNQ1" s="9" t="s">
        <v>5807</v>
      </c>
      <c r="HNR1" s="9" t="s">
        <v>5808</v>
      </c>
      <c r="HNS1" s="9" t="s">
        <v>5809</v>
      </c>
      <c r="HNT1" s="9" t="s">
        <v>5810</v>
      </c>
      <c r="HNU1" s="9" t="s">
        <v>5811</v>
      </c>
      <c r="HNV1" s="9" t="s">
        <v>5812</v>
      </c>
      <c r="HNW1" s="9" t="s">
        <v>5813</v>
      </c>
      <c r="HNX1" s="9" t="s">
        <v>5814</v>
      </c>
      <c r="HNY1" s="9" t="s">
        <v>5815</v>
      </c>
      <c r="HNZ1" s="9" t="s">
        <v>5816</v>
      </c>
      <c r="HOA1" s="9" t="s">
        <v>5817</v>
      </c>
      <c r="HOB1" s="9" t="s">
        <v>5818</v>
      </c>
      <c r="HOC1" s="9" t="s">
        <v>5819</v>
      </c>
      <c r="HOD1" s="9" t="s">
        <v>5820</v>
      </c>
      <c r="HOE1" s="9" t="s">
        <v>5821</v>
      </c>
      <c r="HOF1" s="9" t="s">
        <v>5822</v>
      </c>
      <c r="HOG1" s="9" t="s">
        <v>5823</v>
      </c>
      <c r="HOH1" s="9" t="s">
        <v>5824</v>
      </c>
      <c r="HOI1" s="9" t="s">
        <v>5825</v>
      </c>
      <c r="HOJ1" s="9" t="s">
        <v>5826</v>
      </c>
      <c r="HOK1" s="9" t="s">
        <v>5827</v>
      </c>
      <c r="HOL1" s="9" t="s">
        <v>5828</v>
      </c>
      <c r="HOM1" s="9" t="s">
        <v>5829</v>
      </c>
      <c r="HON1" s="9" t="s">
        <v>5830</v>
      </c>
      <c r="HOO1" s="9" t="s">
        <v>5831</v>
      </c>
      <c r="HOP1" s="9" t="s">
        <v>5832</v>
      </c>
      <c r="HOQ1" s="9" t="s">
        <v>5833</v>
      </c>
      <c r="HOR1" s="9" t="s">
        <v>5834</v>
      </c>
      <c r="HOS1" s="9" t="s">
        <v>5835</v>
      </c>
      <c r="HOT1" s="9" t="s">
        <v>5836</v>
      </c>
      <c r="HOU1" s="9" t="s">
        <v>5837</v>
      </c>
      <c r="HOV1" s="9" t="s">
        <v>5838</v>
      </c>
      <c r="HOW1" s="9" t="s">
        <v>5839</v>
      </c>
      <c r="HOX1" s="9" t="s">
        <v>5840</v>
      </c>
      <c r="HOY1" s="9" t="s">
        <v>5841</v>
      </c>
      <c r="HOZ1" s="9" t="s">
        <v>5842</v>
      </c>
      <c r="HPA1" s="9" t="s">
        <v>5843</v>
      </c>
      <c r="HPB1" s="9" t="s">
        <v>5844</v>
      </c>
      <c r="HPC1" s="9" t="s">
        <v>5845</v>
      </c>
      <c r="HPD1" s="9" t="s">
        <v>5846</v>
      </c>
      <c r="HPE1" s="9" t="s">
        <v>5847</v>
      </c>
      <c r="HPF1" s="9" t="s">
        <v>5848</v>
      </c>
      <c r="HPG1" s="9" t="s">
        <v>5849</v>
      </c>
      <c r="HPH1" s="9" t="s">
        <v>5850</v>
      </c>
      <c r="HPI1" s="9" t="s">
        <v>5851</v>
      </c>
      <c r="HPJ1" s="9" t="s">
        <v>5852</v>
      </c>
      <c r="HPK1" s="9" t="s">
        <v>5853</v>
      </c>
      <c r="HPL1" s="9" t="s">
        <v>5854</v>
      </c>
      <c r="HPM1" s="9" t="s">
        <v>5855</v>
      </c>
      <c r="HPN1" s="9" t="s">
        <v>5856</v>
      </c>
      <c r="HPO1" s="9" t="s">
        <v>5857</v>
      </c>
      <c r="HPP1" s="9" t="s">
        <v>5858</v>
      </c>
      <c r="HPQ1" s="9" t="s">
        <v>5859</v>
      </c>
      <c r="HPR1" s="9" t="s">
        <v>5860</v>
      </c>
      <c r="HPS1" s="9" t="s">
        <v>5861</v>
      </c>
      <c r="HPT1" s="9" t="s">
        <v>5862</v>
      </c>
      <c r="HPU1" s="9" t="s">
        <v>5863</v>
      </c>
      <c r="HPV1" s="9" t="s">
        <v>5864</v>
      </c>
      <c r="HPW1" s="9" t="s">
        <v>5865</v>
      </c>
      <c r="HPX1" s="9" t="s">
        <v>5866</v>
      </c>
      <c r="HPY1" s="9" t="s">
        <v>5867</v>
      </c>
      <c r="HPZ1" s="9" t="s">
        <v>5868</v>
      </c>
      <c r="HQA1" s="9" t="s">
        <v>5869</v>
      </c>
      <c r="HQB1" s="9" t="s">
        <v>5870</v>
      </c>
      <c r="HQC1" s="9" t="s">
        <v>5871</v>
      </c>
      <c r="HQD1" s="9" t="s">
        <v>5872</v>
      </c>
      <c r="HQE1" s="9" t="s">
        <v>5873</v>
      </c>
      <c r="HQF1" s="9" t="s">
        <v>5874</v>
      </c>
      <c r="HQG1" s="9" t="s">
        <v>5875</v>
      </c>
      <c r="HQH1" s="9" t="s">
        <v>5876</v>
      </c>
      <c r="HQI1" s="9" t="s">
        <v>5877</v>
      </c>
      <c r="HQJ1" s="9" t="s">
        <v>5878</v>
      </c>
      <c r="HQK1" s="9" t="s">
        <v>5879</v>
      </c>
      <c r="HQL1" s="9" t="s">
        <v>5880</v>
      </c>
      <c r="HQM1" s="9" t="s">
        <v>5881</v>
      </c>
      <c r="HQN1" s="9" t="s">
        <v>5882</v>
      </c>
      <c r="HQO1" s="9" t="s">
        <v>5883</v>
      </c>
      <c r="HQP1" s="9" t="s">
        <v>5884</v>
      </c>
      <c r="HQQ1" s="9" t="s">
        <v>5885</v>
      </c>
      <c r="HQR1" s="9" t="s">
        <v>5886</v>
      </c>
      <c r="HQS1" s="9" t="s">
        <v>5887</v>
      </c>
      <c r="HQT1" s="9" t="s">
        <v>5888</v>
      </c>
      <c r="HQU1" s="9" t="s">
        <v>5889</v>
      </c>
      <c r="HQV1" s="9" t="s">
        <v>5890</v>
      </c>
      <c r="HQW1" s="9" t="s">
        <v>5891</v>
      </c>
      <c r="HQX1" s="9" t="s">
        <v>5892</v>
      </c>
      <c r="HQY1" s="9" t="s">
        <v>5893</v>
      </c>
      <c r="HQZ1" s="9" t="s">
        <v>5894</v>
      </c>
      <c r="HRA1" s="9" t="s">
        <v>5895</v>
      </c>
      <c r="HRB1" s="9" t="s">
        <v>5896</v>
      </c>
      <c r="HRC1" s="9" t="s">
        <v>5897</v>
      </c>
      <c r="HRD1" s="9" t="s">
        <v>5898</v>
      </c>
      <c r="HRE1" s="9" t="s">
        <v>5899</v>
      </c>
      <c r="HRF1" s="9" t="s">
        <v>5900</v>
      </c>
      <c r="HRG1" s="9" t="s">
        <v>5901</v>
      </c>
      <c r="HRH1" s="9" t="s">
        <v>5902</v>
      </c>
      <c r="HRI1" s="9" t="s">
        <v>5903</v>
      </c>
      <c r="HRJ1" s="9" t="s">
        <v>5904</v>
      </c>
      <c r="HRK1" s="9" t="s">
        <v>5905</v>
      </c>
      <c r="HRL1" s="9" t="s">
        <v>5906</v>
      </c>
      <c r="HRM1" s="9" t="s">
        <v>5907</v>
      </c>
      <c r="HRN1" s="9" t="s">
        <v>5908</v>
      </c>
      <c r="HRO1" s="9" t="s">
        <v>5909</v>
      </c>
      <c r="HRP1" s="9" t="s">
        <v>5910</v>
      </c>
      <c r="HRQ1" s="9" t="s">
        <v>5911</v>
      </c>
      <c r="HRR1" s="9" t="s">
        <v>5912</v>
      </c>
      <c r="HRS1" s="9" t="s">
        <v>5913</v>
      </c>
      <c r="HRT1" s="9" t="s">
        <v>5914</v>
      </c>
      <c r="HRU1" s="9" t="s">
        <v>5915</v>
      </c>
      <c r="HRV1" s="9" t="s">
        <v>5916</v>
      </c>
      <c r="HRW1" s="9" t="s">
        <v>5917</v>
      </c>
      <c r="HRX1" s="9" t="s">
        <v>5918</v>
      </c>
      <c r="HRY1" s="9" t="s">
        <v>5919</v>
      </c>
      <c r="HRZ1" s="9" t="s">
        <v>5920</v>
      </c>
      <c r="HSA1" s="9" t="s">
        <v>5921</v>
      </c>
      <c r="HSB1" s="9" t="s">
        <v>5922</v>
      </c>
      <c r="HSC1" s="9" t="s">
        <v>5923</v>
      </c>
      <c r="HSD1" s="9" t="s">
        <v>5924</v>
      </c>
      <c r="HSE1" s="9" t="s">
        <v>5925</v>
      </c>
      <c r="HSF1" s="9" t="s">
        <v>5926</v>
      </c>
      <c r="HSG1" s="9" t="s">
        <v>5927</v>
      </c>
      <c r="HSH1" s="9" t="s">
        <v>5928</v>
      </c>
      <c r="HSI1" s="9" t="s">
        <v>5929</v>
      </c>
      <c r="HSJ1" s="9" t="s">
        <v>5930</v>
      </c>
      <c r="HSK1" s="9" t="s">
        <v>5931</v>
      </c>
      <c r="HSL1" s="9" t="s">
        <v>5932</v>
      </c>
      <c r="HSM1" s="9" t="s">
        <v>5933</v>
      </c>
      <c r="HSN1" s="9" t="s">
        <v>5934</v>
      </c>
      <c r="HSO1" s="9" t="s">
        <v>5935</v>
      </c>
      <c r="HSP1" s="9" t="s">
        <v>5936</v>
      </c>
      <c r="HSQ1" s="9" t="s">
        <v>5937</v>
      </c>
      <c r="HSR1" s="9" t="s">
        <v>5938</v>
      </c>
      <c r="HSS1" s="9" t="s">
        <v>5939</v>
      </c>
      <c r="HST1" s="9" t="s">
        <v>5940</v>
      </c>
      <c r="HSU1" s="9" t="s">
        <v>5941</v>
      </c>
      <c r="HSV1" s="9" t="s">
        <v>5942</v>
      </c>
      <c r="HSW1" s="9" t="s">
        <v>5943</v>
      </c>
      <c r="HSX1" s="9" t="s">
        <v>5944</v>
      </c>
      <c r="HSY1" s="9" t="s">
        <v>5945</v>
      </c>
      <c r="HSZ1" s="9" t="s">
        <v>5946</v>
      </c>
      <c r="HTA1" s="9" t="s">
        <v>5947</v>
      </c>
      <c r="HTB1" s="9" t="s">
        <v>5948</v>
      </c>
      <c r="HTC1" s="9" t="s">
        <v>5949</v>
      </c>
      <c r="HTD1" s="9" t="s">
        <v>5950</v>
      </c>
      <c r="HTE1" s="9" t="s">
        <v>5951</v>
      </c>
      <c r="HTF1" s="9" t="s">
        <v>5952</v>
      </c>
      <c r="HTG1" s="9" t="s">
        <v>5953</v>
      </c>
      <c r="HTH1" s="9" t="s">
        <v>5954</v>
      </c>
      <c r="HTI1" s="9" t="s">
        <v>5955</v>
      </c>
      <c r="HTJ1" s="9" t="s">
        <v>5956</v>
      </c>
      <c r="HTK1" s="9" t="s">
        <v>5957</v>
      </c>
      <c r="HTL1" s="9" t="s">
        <v>5958</v>
      </c>
      <c r="HTM1" s="9" t="s">
        <v>5959</v>
      </c>
      <c r="HTN1" s="9" t="s">
        <v>5960</v>
      </c>
      <c r="HTO1" s="9" t="s">
        <v>5961</v>
      </c>
      <c r="HTP1" s="9" t="s">
        <v>5962</v>
      </c>
      <c r="HTQ1" s="9" t="s">
        <v>5963</v>
      </c>
      <c r="HTR1" s="9" t="s">
        <v>5964</v>
      </c>
      <c r="HTS1" s="9" t="s">
        <v>5965</v>
      </c>
      <c r="HTT1" s="9" t="s">
        <v>5966</v>
      </c>
      <c r="HTU1" s="9" t="s">
        <v>5967</v>
      </c>
      <c r="HTV1" s="9" t="s">
        <v>5968</v>
      </c>
      <c r="HTW1" s="9" t="s">
        <v>5969</v>
      </c>
      <c r="HTX1" s="9" t="s">
        <v>5970</v>
      </c>
      <c r="HTY1" s="9" t="s">
        <v>5971</v>
      </c>
      <c r="HTZ1" s="9" t="s">
        <v>5972</v>
      </c>
      <c r="HUA1" s="9" t="s">
        <v>5973</v>
      </c>
      <c r="HUB1" s="9" t="s">
        <v>5974</v>
      </c>
      <c r="HUC1" s="9" t="s">
        <v>5975</v>
      </c>
      <c r="HUD1" s="9" t="s">
        <v>5976</v>
      </c>
      <c r="HUE1" s="9" t="s">
        <v>5977</v>
      </c>
      <c r="HUF1" s="9" t="s">
        <v>5978</v>
      </c>
      <c r="HUG1" s="9" t="s">
        <v>5979</v>
      </c>
      <c r="HUH1" s="9" t="s">
        <v>5980</v>
      </c>
      <c r="HUI1" s="9" t="s">
        <v>5981</v>
      </c>
      <c r="HUJ1" s="9" t="s">
        <v>5982</v>
      </c>
      <c r="HUK1" s="9" t="s">
        <v>5983</v>
      </c>
      <c r="HUL1" s="9" t="s">
        <v>5984</v>
      </c>
      <c r="HUM1" s="9" t="s">
        <v>5985</v>
      </c>
      <c r="HUN1" s="9" t="s">
        <v>5986</v>
      </c>
      <c r="HUO1" s="9" t="s">
        <v>5987</v>
      </c>
      <c r="HUP1" s="9" t="s">
        <v>5988</v>
      </c>
      <c r="HUQ1" s="9" t="s">
        <v>5989</v>
      </c>
      <c r="HUR1" s="9" t="s">
        <v>5990</v>
      </c>
      <c r="HUS1" s="9" t="s">
        <v>5991</v>
      </c>
      <c r="HUT1" s="9" t="s">
        <v>5992</v>
      </c>
      <c r="HUU1" s="9" t="s">
        <v>5993</v>
      </c>
      <c r="HUV1" s="9" t="s">
        <v>5994</v>
      </c>
      <c r="HUW1" s="9" t="s">
        <v>5995</v>
      </c>
      <c r="HUX1" s="9" t="s">
        <v>5996</v>
      </c>
      <c r="HUY1" s="9" t="s">
        <v>5997</v>
      </c>
      <c r="HUZ1" s="9" t="s">
        <v>5998</v>
      </c>
      <c r="HVA1" s="9" t="s">
        <v>5999</v>
      </c>
      <c r="HVB1" s="9" t="s">
        <v>6000</v>
      </c>
      <c r="HVC1" s="9" t="s">
        <v>6001</v>
      </c>
      <c r="HVD1" s="9" t="s">
        <v>6002</v>
      </c>
      <c r="HVE1" s="9" t="s">
        <v>6003</v>
      </c>
      <c r="HVF1" s="9" t="s">
        <v>6004</v>
      </c>
      <c r="HVG1" s="9" t="s">
        <v>6005</v>
      </c>
      <c r="HVH1" s="9" t="s">
        <v>6006</v>
      </c>
      <c r="HVI1" s="9" t="s">
        <v>6007</v>
      </c>
      <c r="HVJ1" s="9" t="s">
        <v>6008</v>
      </c>
      <c r="HVK1" s="9" t="s">
        <v>6009</v>
      </c>
      <c r="HVL1" s="9" t="s">
        <v>6010</v>
      </c>
      <c r="HVM1" s="9" t="s">
        <v>6011</v>
      </c>
      <c r="HVN1" s="9" t="s">
        <v>6012</v>
      </c>
      <c r="HVO1" s="9" t="s">
        <v>6013</v>
      </c>
      <c r="HVP1" s="9" t="s">
        <v>6014</v>
      </c>
      <c r="HVQ1" s="9" t="s">
        <v>6015</v>
      </c>
      <c r="HVR1" s="9" t="s">
        <v>6016</v>
      </c>
      <c r="HVS1" s="9" t="s">
        <v>6017</v>
      </c>
      <c r="HVT1" s="9" t="s">
        <v>6018</v>
      </c>
      <c r="HVU1" s="9" t="s">
        <v>6019</v>
      </c>
      <c r="HVV1" s="9" t="s">
        <v>6020</v>
      </c>
      <c r="HVW1" s="9" t="s">
        <v>6021</v>
      </c>
      <c r="HVX1" s="9" t="s">
        <v>6022</v>
      </c>
      <c r="HVY1" s="9" t="s">
        <v>6023</v>
      </c>
      <c r="HVZ1" s="9" t="s">
        <v>6024</v>
      </c>
      <c r="HWA1" s="9" t="s">
        <v>6025</v>
      </c>
      <c r="HWB1" s="9" t="s">
        <v>6026</v>
      </c>
      <c r="HWC1" s="9" t="s">
        <v>6027</v>
      </c>
      <c r="HWD1" s="9" t="s">
        <v>6028</v>
      </c>
      <c r="HWE1" s="9" t="s">
        <v>6029</v>
      </c>
      <c r="HWF1" s="9" t="s">
        <v>6030</v>
      </c>
      <c r="HWG1" s="9" t="s">
        <v>6031</v>
      </c>
      <c r="HWH1" s="9" t="s">
        <v>6032</v>
      </c>
      <c r="HWI1" s="9" t="s">
        <v>6033</v>
      </c>
      <c r="HWJ1" s="9" t="s">
        <v>6034</v>
      </c>
      <c r="HWK1" s="9" t="s">
        <v>6035</v>
      </c>
      <c r="HWL1" s="9" t="s">
        <v>6036</v>
      </c>
      <c r="HWM1" s="9" t="s">
        <v>6037</v>
      </c>
      <c r="HWN1" s="9" t="s">
        <v>6038</v>
      </c>
      <c r="HWO1" s="9" t="s">
        <v>6039</v>
      </c>
      <c r="HWP1" s="9" t="s">
        <v>6040</v>
      </c>
      <c r="HWQ1" s="9" t="s">
        <v>6041</v>
      </c>
      <c r="HWR1" s="9" t="s">
        <v>6042</v>
      </c>
      <c r="HWS1" s="9" t="s">
        <v>6043</v>
      </c>
      <c r="HWT1" s="9" t="s">
        <v>6044</v>
      </c>
      <c r="HWU1" s="9" t="s">
        <v>6045</v>
      </c>
      <c r="HWV1" s="9" t="s">
        <v>6046</v>
      </c>
      <c r="HWW1" s="9" t="s">
        <v>6047</v>
      </c>
      <c r="HWX1" s="9" t="s">
        <v>6048</v>
      </c>
      <c r="HWY1" s="9" t="s">
        <v>6049</v>
      </c>
      <c r="HWZ1" s="9" t="s">
        <v>6050</v>
      </c>
      <c r="HXA1" s="9" t="s">
        <v>6051</v>
      </c>
      <c r="HXB1" s="9" t="s">
        <v>6052</v>
      </c>
      <c r="HXC1" s="9" t="s">
        <v>6053</v>
      </c>
      <c r="HXD1" s="9" t="s">
        <v>6054</v>
      </c>
      <c r="HXE1" s="9" t="s">
        <v>6055</v>
      </c>
      <c r="HXF1" s="9" t="s">
        <v>6056</v>
      </c>
      <c r="HXG1" s="9" t="s">
        <v>6057</v>
      </c>
      <c r="HXH1" s="9" t="s">
        <v>6058</v>
      </c>
      <c r="HXI1" s="9" t="s">
        <v>6059</v>
      </c>
      <c r="HXJ1" s="9" t="s">
        <v>6060</v>
      </c>
      <c r="HXK1" s="9" t="s">
        <v>6061</v>
      </c>
      <c r="HXL1" s="9" t="s">
        <v>6062</v>
      </c>
      <c r="HXM1" s="9" t="s">
        <v>6063</v>
      </c>
      <c r="HXN1" s="9" t="s">
        <v>6064</v>
      </c>
      <c r="HXO1" s="9" t="s">
        <v>6065</v>
      </c>
      <c r="HXP1" s="9" t="s">
        <v>6066</v>
      </c>
      <c r="HXQ1" s="9" t="s">
        <v>6067</v>
      </c>
      <c r="HXR1" s="9" t="s">
        <v>6068</v>
      </c>
      <c r="HXS1" s="9" t="s">
        <v>6069</v>
      </c>
      <c r="HXT1" s="9" t="s">
        <v>6070</v>
      </c>
      <c r="HXU1" s="9" t="s">
        <v>6071</v>
      </c>
      <c r="HXV1" s="9" t="s">
        <v>6072</v>
      </c>
      <c r="HXW1" s="9" t="s">
        <v>6073</v>
      </c>
      <c r="HXX1" s="9" t="s">
        <v>6074</v>
      </c>
      <c r="HXY1" s="9" t="s">
        <v>6075</v>
      </c>
      <c r="HXZ1" s="9" t="s">
        <v>6076</v>
      </c>
      <c r="HYA1" s="9" t="s">
        <v>6077</v>
      </c>
      <c r="HYB1" s="9" t="s">
        <v>6078</v>
      </c>
      <c r="HYC1" s="9" t="s">
        <v>6079</v>
      </c>
      <c r="HYD1" s="9" t="s">
        <v>6080</v>
      </c>
      <c r="HYE1" s="9" t="s">
        <v>6081</v>
      </c>
      <c r="HYF1" s="9" t="s">
        <v>6082</v>
      </c>
      <c r="HYG1" s="9" t="s">
        <v>6083</v>
      </c>
      <c r="HYH1" s="9" t="s">
        <v>6084</v>
      </c>
      <c r="HYI1" s="9" t="s">
        <v>6085</v>
      </c>
      <c r="HYJ1" s="9" t="s">
        <v>6086</v>
      </c>
      <c r="HYK1" s="9" t="s">
        <v>6087</v>
      </c>
      <c r="HYL1" s="9" t="s">
        <v>6088</v>
      </c>
      <c r="HYM1" s="9" t="s">
        <v>6089</v>
      </c>
      <c r="HYN1" s="9" t="s">
        <v>6090</v>
      </c>
      <c r="HYO1" s="9" t="s">
        <v>6091</v>
      </c>
      <c r="HYP1" s="9" t="s">
        <v>6092</v>
      </c>
      <c r="HYQ1" s="9" t="s">
        <v>6093</v>
      </c>
      <c r="HYR1" s="9" t="s">
        <v>6094</v>
      </c>
      <c r="HYS1" s="9" t="s">
        <v>6095</v>
      </c>
      <c r="HYT1" s="9" t="s">
        <v>6096</v>
      </c>
      <c r="HYU1" s="9" t="s">
        <v>6097</v>
      </c>
      <c r="HYV1" s="9" t="s">
        <v>6098</v>
      </c>
      <c r="HYW1" s="9" t="s">
        <v>6099</v>
      </c>
      <c r="HYX1" s="9" t="s">
        <v>6100</v>
      </c>
      <c r="HYY1" s="9" t="s">
        <v>6101</v>
      </c>
      <c r="HYZ1" s="9" t="s">
        <v>6102</v>
      </c>
      <c r="HZA1" s="9" t="s">
        <v>6103</v>
      </c>
      <c r="HZB1" s="9" t="s">
        <v>6104</v>
      </c>
      <c r="HZC1" s="9" t="s">
        <v>6105</v>
      </c>
      <c r="HZD1" s="9" t="s">
        <v>6106</v>
      </c>
      <c r="HZE1" s="9" t="s">
        <v>6107</v>
      </c>
      <c r="HZF1" s="9" t="s">
        <v>6108</v>
      </c>
      <c r="HZG1" s="9" t="s">
        <v>6109</v>
      </c>
      <c r="HZH1" s="9" t="s">
        <v>6110</v>
      </c>
      <c r="HZI1" s="9" t="s">
        <v>6111</v>
      </c>
      <c r="HZJ1" s="9" t="s">
        <v>6112</v>
      </c>
      <c r="HZK1" s="9" t="s">
        <v>6113</v>
      </c>
      <c r="HZL1" s="9" t="s">
        <v>6114</v>
      </c>
      <c r="HZM1" s="9" t="s">
        <v>6115</v>
      </c>
      <c r="HZN1" s="9" t="s">
        <v>6116</v>
      </c>
      <c r="HZO1" s="9" t="s">
        <v>6117</v>
      </c>
      <c r="HZP1" s="9" t="s">
        <v>6118</v>
      </c>
      <c r="HZQ1" s="9" t="s">
        <v>6119</v>
      </c>
      <c r="HZR1" s="9" t="s">
        <v>6120</v>
      </c>
      <c r="HZS1" s="9" t="s">
        <v>6121</v>
      </c>
      <c r="HZT1" s="9" t="s">
        <v>6122</v>
      </c>
      <c r="HZU1" s="9" t="s">
        <v>6123</v>
      </c>
      <c r="HZV1" s="9" t="s">
        <v>6124</v>
      </c>
      <c r="HZW1" s="9" t="s">
        <v>6125</v>
      </c>
      <c r="HZX1" s="9" t="s">
        <v>6126</v>
      </c>
      <c r="HZY1" s="9" t="s">
        <v>6127</v>
      </c>
      <c r="HZZ1" s="9" t="s">
        <v>6128</v>
      </c>
      <c r="IAA1" s="9" t="s">
        <v>6129</v>
      </c>
      <c r="IAB1" s="9" t="s">
        <v>6130</v>
      </c>
      <c r="IAC1" s="9" t="s">
        <v>6131</v>
      </c>
      <c r="IAD1" s="9" t="s">
        <v>6132</v>
      </c>
      <c r="IAE1" s="9" t="s">
        <v>6133</v>
      </c>
      <c r="IAF1" s="9" t="s">
        <v>6134</v>
      </c>
      <c r="IAG1" s="9" t="s">
        <v>6135</v>
      </c>
      <c r="IAH1" s="9" t="s">
        <v>6136</v>
      </c>
      <c r="IAI1" s="9" t="s">
        <v>6137</v>
      </c>
      <c r="IAJ1" s="9" t="s">
        <v>6138</v>
      </c>
      <c r="IAK1" s="9" t="s">
        <v>6139</v>
      </c>
      <c r="IAL1" s="9" t="s">
        <v>6140</v>
      </c>
      <c r="IAM1" s="9" t="s">
        <v>6141</v>
      </c>
      <c r="IAN1" s="9" t="s">
        <v>6142</v>
      </c>
      <c r="IAO1" s="9" t="s">
        <v>6143</v>
      </c>
      <c r="IAP1" s="9" t="s">
        <v>6144</v>
      </c>
      <c r="IAQ1" s="9" t="s">
        <v>6145</v>
      </c>
      <c r="IAR1" s="9" t="s">
        <v>6146</v>
      </c>
      <c r="IAS1" s="9" t="s">
        <v>6147</v>
      </c>
      <c r="IAT1" s="9" t="s">
        <v>6148</v>
      </c>
      <c r="IAU1" s="9" t="s">
        <v>6149</v>
      </c>
      <c r="IAV1" s="9" t="s">
        <v>6150</v>
      </c>
      <c r="IAW1" s="9" t="s">
        <v>6151</v>
      </c>
      <c r="IAX1" s="9" t="s">
        <v>6152</v>
      </c>
      <c r="IAY1" s="9" t="s">
        <v>6153</v>
      </c>
      <c r="IAZ1" s="9" t="s">
        <v>6154</v>
      </c>
      <c r="IBA1" s="9" t="s">
        <v>6155</v>
      </c>
      <c r="IBB1" s="9" t="s">
        <v>6156</v>
      </c>
      <c r="IBC1" s="9" t="s">
        <v>6157</v>
      </c>
      <c r="IBD1" s="9" t="s">
        <v>6158</v>
      </c>
      <c r="IBE1" s="9" t="s">
        <v>6159</v>
      </c>
      <c r="IBF1" s="9" t="s">
        <v>6160</v>
      </c>
      <c r="IBG1" s="9" t="s">
        <v>6161</v>
      </c>
      <c r="IBH1" s="9" t="s">
        <v>6162</v>
      </c>
      <c r="IBI1" s="9" t="s">
        <v>6163</v>
      </c>
      <c r="IBJ1" s="9" t="s">
        <v>6164</v>
      </c>
      <c r="IBK1" s="9" t="s">
        <v>6165</v>
      </c>
      <c r="IBL1" s="9" t="s">
        <v>6166</v>
      </c>
      <c r="IBM1" s="9" t="s">
        <v>6167</v>
      </c>
      <c r="IBN1" s="9" t="s">
        <v>6168</v>
      </c>
      <c r="IBO1" s="9" t="s">
        <v>6169</v>
      </c>
      <c r="IBP1" s="9" t="s">
        <v>6170</v>
      </c>
      <c r="IBQ1" s="9" t="s">
        <v>6171</v>
      </c>
      <c r="IBR1" s="9" t="s">
        <v>6172</v>
      </c>
      <c r="IBS1" s="9" t="s">
        <v>6173</v>
      </c>
      <c r="IBT1" s="9" t="s">
        <v>6174</v>
      </c>
      <c r="IBU1" s="9" t="s">
        <v>6175</v>
      </c>
      <c r="IBV1" s="9" t="s">
        <v>6176</v>
      </c>
      <c r="IBW1" s="9" t="s">
        <v>6177</v>
      </c>
      <c r="IBX1" s="9" t="s">
        <v>6178</v>
      </c>
      <c r="IBY1" s="9" t="s">
        <v>6179</v>
      </c>
      <c r="IBZ1" s="9" t="s">
        <v>6180</v>
      </c>
      <c r="ICA1" s="9" t="s">
        <v>6181</v>
      </c>
      <c r="ICB1" s="9" t="s">
        <v>6182</v>
      </c>
      <c r="ICC1" s="9" t="s">
        <v>6183</v>
      </c>
      <c r="ICD1" s="9" t="s">
        <v>6184</v>
      </c>
      <c r="ICE1" s="9" t="s">
        <v>6185</v>
      </c>
      <c r="ICF1" s="9" t="s">
        <v>6186</v>
      </c>
      <c r="ICG1" s="9" t="s">
        <v>6187</v>
      </c>
      <c r="ICH1" s="9" t="s">
        <v>6188</v>
      </c>
      <c r="ICI1" s="9" t="s">
        <v>6189</v>
      </c>
      <c r="ICJ1" s="9" t="s">
        <v>6190</v>
      </c>
      <c r="ICK1" s="9" t="s">
        <v>6191</v>
      </c>
      <c r="ICL1" s="9" t="s">
        <v>6192</v>
      </c>
      <c r="ICM1" s="9" t="s">
        <v>6193</v>
      </c>
      <c r="ICN1" s="9" t="s">
        <v>6194</v>
      </c>
      <c r="ICO1" s="9" t="s">
        <v>6195</v>
      </c>
      <c r="ICP1" s="9" t="s">
        <v>6196</v>
      </c>
      <c r="ICQ1" s="9" t="s">
        <v>6197</v>
      </c>
      <c r="ICR1" s="9" t="s">
        <v>6198</v>
      </c>
      <c r="ICS1" s="9" t="s">
        <v>6199</v>
      </c>
      <c r="ICT1" s="9" t="s">
        <v>6200</v>
      </c>
      <c r="ICU1" s="9" t="s">
        <v>6201</v>
      </c>
      <c r="ICV1" s="9" t="s">
        <v>6202</v>
      </c>
      <c r="ICW1" s="9" t="s">
        <v>6203</v>
      </c>
      <c r="ICX1" s="9" t="s">
        <v>6204</v>
      </c>
      <c r="ICY1" s="9" t="s">
        <v>6205</v>
      </c>
      <c r="ICZ1" s="9" t="s">
        <v>6206</v>
      </c>
      <c r="IDA1" s="9" t="s">
        <v>6207</v>
      </c>
      <c r="IDB1" s="9" t="s">
        <v>6208</v>
      </c>
      <c r="IDC1" s="9" t="s">
        <v>6209</v>
      </c>
      <c r="IDD1" s="9" t="s">
        <v>6210</v>
      </c>
      <c r="IDE1" s="9" t="s">
        <v>6211</v>
      </c>
      <c r="IDF1" s="9" t="s">
        <v>6212</v>
      </c>
      <c r="IDG1" s="9" t="s">
        <v>6213</v>
      </c>
      <c r="IDH1" s="9" t="s">
        <v>6214</v>
      </c>
      <c r="IDI1" s="9" t="s">
        <v>6215</v>
      </c>
      <c r="IDJ1" s="9" t="s">
        <v>6216</v>
      </c>
      <c r="IDK1" s="9" t="s">
        <v>6217</v>
      </c>
      <c r="IDL1" s="9" t="s">
        <v>6218</v>
      </c>
      <c r="IDM1" s="9" t="s">
        <v>6219</v>
      </c>
      <c r="IDN1" s="9" t="s">
        <v>6220</v>
      </c>
      <c r="IDO1" s="9" t="s">
        <v>6221</v>
      </c>
      <c r="IDP1" s="9" t="s">
        <v>6222</v>
      </c>
      <c r="IDQ1" s="9" t="s">
        <v>6223</v>
      </c>
      <c r="IDR1" s="9" t="s">
        <v>6224</v>
      </c>
      <c r="IDS1" s="9" t="s">
        <v>6225</v>
      </c>
      <c r="IDT1" s="9" t="s">
        <v>6226</v>
      </c>
      <c r="IDU1" s="9" t="s">
        <v>6227</v>
      </c>
      <c r="IDV1" s="9" t="s">
        <v>6228</v>
      </c>
      <c r="IDW1" s="9" t="s">
        <v>6229</v>
      </c>
      <c r="IDX1" s="9" t="s">
        <v>6230</v>
      </c>
      <c r="IDY1" s="9" t="s">
        <v>6231</v>
      </c>
      <c r="IDZ1" s="9" t="s">
        <v>6232</v>
      </c>
      <c r="IEA1" s="9" t="s">
        <v>6233</v>
      </c>
      <c r="IEB1" s="9" t="s">
        <v>6234</v>
      </c>
      <c r="IEC1" s="9" t="s">
        <v>6235</v>
      </c>
      <c r="IED1" s="9" t="s">
        <v>6236</v>
      </c>
      <c r="IEE1" s="9" t="s">
        <v>6237</v>
      </c>
      <c r="IEF1" s="9" t="s">
        <v>6238</v>
      </c>
      <c r="IEG1" s="9" t="s">
        <v>6239</v>
      </c>
      <c r="IEH1" s="9" t="s">
        <v>6240</v>
      </c>
      <c r="IEI1" s="9" t="s">
        <v>6241</v>
      </c>
      <c r="IEJ1" s="9" t="s">
        <v>6242</v>
      </c>
      <c r="IEK1" s="9" t="s">
        <v>6243</v>
      </c>
      <c r="IEL1" s="9" t="s">
        <v>6244</v>
      </c>
      <c r="IEM1" s="9" t="s">
        <v>6245</v>
      </c>
      <c r="IEN1" s="9" t="s">
        <v>6246</v>
      </c>
      <c r="IEO1" s="9" t="s">
        <v>6247</v>
      </c>
      <c r="IEP1" s="9" t="s">
        <v>6248</v>
      </c>
      <c r="IEQ1" s="9" t="s">
        <v>6249</v>
      </c>
      <c r="IER1" s="9" t="s">
        <v>6250</v>
      </c>
      <c r="IES1" s="9" t="s">
        <v>6251</v>
      </c>
      <c r="IET1" s="9" t="s">
        <v>6252</v>
      </c>
      <c r="IEU1" s="9" t="s">
        <v>6253</v>
      </c>
      <c r="IEV1" s="9" t="s">
        <v>6254</v>
      </c>
      <c r="IEW1" s="9" t="s">
        <v>6255</v>
      </c>
      <c r="IEX1" s="9" t="s">
        <v>6256</v>
      </c>
      <c r="IEY1" s="9" t="s">
        <v>6257</v>
      </c>
      <c r="IEZ1" s="9" t="s">
        <v>6258</v>
      </c>
      <c r="IFA1" s="9" t="s">
        <v>6259</v>
      </c>
      <c r="IFB1" s="9" t="s">
        <v>6260</v>
      </c>
      <c r="IFC1" s="9" t="s">
        <v>6261</v>
      </c>
      <c r="IFD1" s="9" t="s">
        <v>6262</v>
      </c>
      <c r="IFE1" s="9" t="s">
        <v>6263</v>
      </c>
      <c r="IFF1" s="9" t="s">
        <v>6264</v>
      </c>
      <c r="IFG1" s="9" t="s">
        <v>6265</v>
      </c>
      <c r="IFH1" s="9" t="s">
        <v>6266</v>
      </c>
      <c r="IFI1" s="9" t="s">
        <v>6267</v>
      </c>
      <c r="IFJ1" s="9" t="s">
        <v>6268</v>
      </c>
      <c r="IFK1" s="9" t="s">
        <v>6269</v>
      </c>
      <c r="IFL1" s="9" t="s">
        <v>6270</v>
      </c>
      <c r="IFM1" s="9" t="s">
        <v>6271</v>
      </c>
      <c r="IFN1" s="9" t="s">
        <v>6272</v>
      </c>
      <c r="IFO1" s="9" t="s">
        <v>6273</v>
      </c>
      <c r="IFP1" s="9" t="s">
        <v>6274</v>
      </c>
      <c r="IFQ1" s="9" t="s">
        <v>6275</v>
      </c>
      <c r="IFR1" s="9" t="s">
        <v>6276</v>
      </c>
      <c r="IFS1" s="9" t="s">
        <v>6277</v>
      </c>
      <c r="IFT1" s="9" t="s">
        <v>6278</v>
      </c>
      <c r="IFU1" s="9" t="s">
        <v>6279</v>
      </c>
      <c r="IFV1" s="9" t="s">
        <v>6280</v>
      </c>
      <c r="IFW1" s="9" t="s">
        <v>6281</v>
      </c>
      <c r="IFX1" s="9" t="s">
        <v>6282</v>
      </c>
      <c r="IFY1" s="9" t="s">
        <v>6283</v>
      </c>
      <c r="IFZ1" s="9" t="s">
        <v>6284</v>
      </c>
      <c r="IGA1" s="9" t="s">
        <v>6285</v>
      </c>
      <c r="IGB1" s="9" t="s">
        <v>6286</v>
      </c>
      <c r="IGC1" s="9" t="s">
        <v>6287</v>
      </c>
      <c r="IGD1" s="9" t="s">
        <v>6288</v>
      </c>
      <c r="IGE1" s="9" t="s">
        <v>6289</v>
      </c>
      <c r="IGF1" s="9" t="s">
        <v>6290</v>
      </c>
      <c r="IGG1" s="9" t="s">
        <v>6291</v>
      </c>
      <c r="IGH1" s="9" t="s">
        <v>6292</v>
      </c>
      <c r="IGI1" s="9" t="s">
        <v>6293</v>
      </c>
      <c r="IGJ1" s="9" t="s">
        <v>6294</v>
      </c>
      <c r="IGK1" s="9" t="s">
        <v>6295</v>
      </c>
      <c r="IGL1" s="9" t="s">
        <v>6296</v>
      </c>
      <c r="IGM1" s="9" t="s">
        <v>6297</v>
      </c>
      <c r="IGN1" s="9" t="s">
        <v>6298</v>
      </c>
      <c r="IGO1" s="9" t="s">
        <v>6299</v>
      </c>
      <c r="IGP1" s="9" t="s">
        <v>6300</v>
      </c>
      <c r="IGQ1" s="9" t="s">
        <v>6301</v>
      </c>
      <c r="IGR1" s="9" t="s">
        <v>6302</v>
      </c>
      <c r="IGS1" s="9" t="s">
        <v>6303</v>
      </c>
      <c r="IGT1" s="9" t="s">
        <v>6304</v>
      </c>
      <c r="IGU1" s="9" t="s">
        <v>6305</v>
      </c>
      <c r="IGV1" s="9" t="s">
        <v>6306</v>
      </c>
      <c r="IGW1" s="9" t="s">
        <v>6307</v>
      </c>
      <c r="IGX1" s="9" t="s">
        <v>6308</v>
      </c>
      <c r="IGY1" s="9" t="s">
        <v>6309</v>
      </c>
      <c r="IGZ1" s="9" t="s">
        <v>6310</v>
      </c>
      <c r="IHA1" s="9" t="s">
        <v>6311</v>
      </c>
      <c r="IHB1" s="9" t="s">
        <v>6312</v>
      </c>
      <c r="IHC1" s="9" t="s">
        <v>6313</v>
      </c>
      <c r="IHD1" s="9" t="s">
        <v>6314</v>
      </c>
      <c r="IHE1" s="9" t="s">
        <v>6315</v>
      </c>
      <c r="IHF1" s="9" t="s">
        <v>6316</v>
      </c>
      <c r="IHG1" s="9" t="s">
        <v>6317</v>
      </c>
      <c r="IHH1" s="9" t="s">
        <v>6318</v>
      </c>
      <c r="IHI1" s="9" t="s">
        <v>6319</v>
      </c>
      <c r="IHJ1" s="9" t="s">
        <v>6320</v>
      </c>
      <c r="IHK1" s="9" t="s">
        <v>6321</v>
      </c>
      <c r="IHL1" s="9" t="s">
        <v>6322</v>
      </c>
      <c r="IHM1" s="9" t="s">
        <v>6323</v>
      </c>
      <c r="IHN1" s="9" t="s">
        <v>6324</v>
      </c>
      <c r="IHO1" s="9" t="s">
        <v>6325</v>
      </c>
      <c r="IHP1" s="9" t="s">
        <v>6326</v>
      </c>
      <c r="IHQ1" s="9" t="s">
        <v>6327</v>
      </c>
      <c r="IHR1" s="9" t="s">
        <v>6328</v>
      </c>
      <c r="IHS1" s="9" t="s">
        <v>6329</v>
      </c>
      <c r="IHT1" s="9" t="s">
        <v>6330</v>
      </c>
      <c r="IHU1" s="9" t="s">
        <v>6331</v>
      </c>
      <c r="IHV1" s="9" t="s">
        <v>6332</v>
      </c>
      <c r="IHW1" s="9" t="s">
        <v>6333</v>
      </c>
      <c r="IHX1" s="9" t="s">
        <v>6334</v>
      </c>
      <c r="IHY1" s="9" t="s">
        <v>6335</v>
      </c>
      <c r="IHZ1" s="9" t="s">
        <v>6336</v>
      </c>
      <c r="IIA1" s="9" t="s">
        <v>6337</v>
      </c>
      <c r="IIB1" s="9" t="s">
        <v>6338</v>
      </c>
      <c r="IIC1" s="9" t="s">
        <v>6339</v>
      </c>
      <c r="IID1" s="9" t="s">
        <v>6340</v>
      </c>
      <c r="IIE1" s="9" t="s">
        <v>6341</v>
      </c>
      <c r="IIF1" s="9" t="s">
        <v>6342</v>
      </c>
      <c r="IIG1" s="9" t="s">
        <v>6343</v>
      </c>
      <c r="IIH1" s="9" t="s">
        <v>6344</v>
      </c>
      <c r="III1" s="9" t="s">
        <v>6345</v>
      </c>
      <c r="IIJ1" s="9" t="s">
        <v>6346</v>
      </c>
      <c r="IIK1" s="9" t="s">
        <v>6347</v>
      </c>
      <c r="IIL1" s="9" t="s">
        <v>6348</v>
      </c>
      <c r="IIM1" s="9" t="s">
        <v>6349</v>
      </c>
      <c r="IIN1" s="9" t="s">
        <v>6350</v>
      </c>
      <c r="IIO1" s="9" t="s">
        <v>6351</v>
      </c>
      <c r="IIP1" s="9" t="s">
        <v>6352</v>
      </c>
      <c r="IIQ1" s="9" t="s">
        <v>6353</v>
      </c>
      <c r="IIR1" s="9" t="s">
        <v>6354</v>
      </c>
      <c r="IIS1" s="9" t="s">
        <v>6355</v>
      </c>
      <c r="IIT1" s="9" t="s">
        <v>6356</v>
      </c>
      <c r="IIU1" s="9" t="s">
        <v>6357</v>
      </c>
      <c r="IIV1" s="9" t="s">
        <v>6358</v>
      </c>
      <c r="IIW1" s="9" t="s">
        <v>6359</v>
      </c>
      <c r="IIX1" s="9" t="s">
        <v>6360</v>
      </c>
      <c r="IIY1" s="9" t="s">
        <v>6361</v>
      </c>
      <c r="IIZ1" s="9" t="s">
        <v>6362</v>
      </c>
      <c r="IJA1" s="9" t="s">
        <v>6363</v>
      </c>
      <c r="IJB1" s="9" t="s">
        <v>6364</v>
      </c>
      <c r="IJC1" s="9" t="s">
        <v>6365</v>
      </c>
      <c r="IJD1" s="9" t="s">
        <v>6366</v>
      </c>
      <c r="IJE1" s="9" t="s">
        <v>6367</v>
      </c>
      <c r="IJF1" s="9" t="s">
        <v>6368</v>
      </c>
      <c r="IJG1" s="9" t="s">
        <v>6369</v>
      </c>
      <c r="IJH1" s="9" t="s">
        <v>6370</v>
      </c>
      <c r="IJI1" s="9" t="s">
        <v>6371</v>
      </c>
      <c r="IJJ1" s="9" t="s">
        <v>6372</v>
      </c>
      <c r="IJK1" s="9" t="s">
        <v>6373</v>
      </c>
      <c r="IJL1" s="9" t="s">
        <v>6374</v>
      </c>
      <c r="IJM1" s="9" t="s">
        <v>6375</v>
      </c>
      <c r="IJN1" s="9" t="s">
        <v>6376</v>
      </c>
      <c r="IJO1" s="9" t="s">
        <v>6377</v>
      </c>
      <c r="IJP1" s="9" t="s">
        <v>6378</v>
      </c>
      <c r="IJQ1" s="9" t="s">
        <v>6379</v>
      </c>
      <c r="IJR1" s="9" t="s">
        <v>6380</v>
      </c>
      <c r="IJS1" s="9" t="s">
        <v>6381</v>
      </c>
      <c r="IJT1" s="9" t="s">
        <v>6382</v>
      </c>
      <c r="IJU1" s="9" t="s">
        <v>6383</v>
      </c>
      <c r="IJV1" s="9" t="s">
        <v>6384</v>
      </c>
      <c r="IJW1" s="9" t="s">
        <v>6385</v>
      </c>
      <c r="IJX1" s="9" t="s">
        <v>6386</v>
      </c>
      <c r="IJY1" s="9" t="s">
        <v>6387</v>
      </c>
      <c r="IJZ1" s="9" t="s">
        <v>6388</v>
      </c>
      <c r="IKA1" s="9" t="s">
        <v>6389</v>
      </c>
      <c r="IKB1" s="9" t="s">
        <v>6390</v>
      </c>
      <c r="IKC1" s="9" t="s">
        <v>6391</v>
      </c>
      <c r="IKD1" s="9" t="s">
        <v>6392</v>
      </c>
      <c r="IKE1" s="9" t="s">
        <v>6393</v>
      </c>
      <c r="IKF1" s="9" t="s">
        <v>6394</v>
      </c>
      <c r="IKG1" s="9" t="s">
        <v>6395</v>
      </c>
      <c r="IKH1" s="9" t="s">
        <v>6396</v>
      </c>
      <c r="IKI1" s="9" t="s">
        <v>6397</v>
      </c>
      <c r="IKJ1" s="9" t="s">
        <v>6398</v>
      </c>
      <c r="IKK1" s="9" t="s">
        <v>6399</v>
      </c>
      <c r="IKL1" s="9" t="s">
        <v>6400</v>
      </c>
      <c r="IKM1" s="9" t="s">
        <v>6401</v>
      </c>
      <c r="IKN1" s="9" t="s">
        <v>6402</v>
      </c>
      <c r="IKO1" s="9" t="s">
        <v>6403</v>
      </c>
      <c r="IKP1" s="9" t="s">
        <v>6404</v>
      </c>
      <c r="IKQ1" s="9" t="s">
        <v>6405</v>
      </c>
      <c r="IKR1" s="9" t="s">
        <v>6406</v>
      </c>
      <c r="IKS1" s="9" t="s">
        <v>6407</v>
      </c>
      <c r="IKT1" s="9" t="s">
        <v>6408</v>
      </c>
      <c r="IKU1" s="9" t="s">
        <v>6409</v>
      </c>
      <c r="IKV1" s="9" t="s">
        <v>6410</v>
      </c>
      <c r="IKW1" s="9" t="s">
        <v>6411</v>
      </c>
      <c r="IKX1" s="9" t="s">
        <v>6412</v>
      </c>
      <c r="IKY1" s="9" t="s">
        <v>6413</v>
      </c>
      <c r="IKZ1" s="9" t="s">
        <v>6414</v>
      </c>
      <c r="ILA1" s="9" t="s">
        <v>6415</v>
      </c>
      <c r="ILB1" s="9" t="s">
        <v>6416</v>
      </c>
      <c r="ILC1" s="9" t="s">
        <v>6417</v>
      </c>
      <c r="ILD1" s="9" t="s">
        <v>6418</v>
      </c>
      <c r="ILE1" s="9" t="s">
        <v>6419</v>
      </c>
      <c r="ILF1" s="9" t="s">
        <v>6420</v>
      </c>
      <c r="ILG1" s="9" t="s">
        <v>6421</v>
      </c>
      <c r="ILH1" s="9" t="s">
        <v>6422</v>
      </c>
      <c r="ILI1" s="9" t="s">
        <v>6423</v>
      </c>
      <c r="ILJ1" s="9" t="s">
        <v>6424</v>
      </c>
      <c r="ILK1" s="9" t="s">
        <v>6425</v>
      </c>
      <c r="ILL1" s="9" t="s">
        <v>6426</v>
      </c>
      <c r="ILM1" s="9" t="s">
        <v>6427</v>
      </c>
      <c r="ILN1" s="9" t="s">
        <v>6428</v>
      </c>
      <c r="ILO1" s="9" t="s">
        <v>6429</v>
      </c>
      <c r="ILP1" s="9" t="s">
        <v>6430</v>
      </c>
      <c r="ILQ1" s="9" t="s">
        <v>6431</v>
      </c>
      <c r="ILR1" s="9" t="s">
        <v>6432</v>
      </c>
      <c r="ILS1" s="9" t="s">
        <v>6433</v>
      </c>
      <c r="ILT1" s="9" t="s">
        <v>6434</v>
      </c>
      <c r="ILU1" s="9" t="s">
        <v>6435</v>
      </c>
      <c r="ILV1" s="9" t="s">
        <v>6436</v>
      </c>
      <c r="ILW1" s="9" t="s">
        <v>6437</v>
      </c>
      <c r="ILX1" s="9" t="s">
        <v>6438</v>
      </c>
      <c r="ILY1" s="9" t="s">
        <v>6439</v>
      </c>
      <c r="ILZ1" s="9" t="s">
        <v>6440</v>
      </c>
      <c r="IMA1" s="9" t="s">
        <v>6441</v>
      </c>
      <c r="IMB1" s="9" t="s">
        <v>6442</v>
      </c>
      <c r="IMC1" s="9" t="s">
        <v>6443</v>
      </c>
      <c r="IMD1" s="9" t="s">
        <v>6444</v>
      </c>
      <c r="IME1" s="9" t="s">
        <v>6445</v>
      </c>
      <c r="IMF1" s="9" t="s">
        <v>6446</v>
      </c>
      <c r="IMG1" s="9" t="s">
        <v>6447</v>
      </c>
      <c r="IMH1" s="9" t="s">
        <v>6448</v>
      </c>
      <c r="IMI1" s="9" t="s">
        <v>6449</v>
      </c>
      <c r="IMJ1" s="9" t="s">
        <v>6450</v>
      </c>
      <c r="IMK1" s="9" t="s">
        <v>6451</v>
      </c>
      <c r="IML1" s="9" t="s">
        <v>6452</v>
      </c>
      <c r="IMM1" s="9" t="s">
        <v>6453</v>
      </c>
      <c r="IMN1" s="9" t="s">
        <v>6454</v>
      </c>
      <c r="IMO1" s="9" t="s">
        <v>6455</v>
      </c>
      <c r="IMP1" s="9" t="s">
        <v>6456</v>
      </c>
      <c r="IMQ1" s="9" t="s">
        <v>6457</v>
      </c>
      <c r="IMR1" s="9" t="s">
        <v>6458</v>
      </c>
      <c r="IMS1" s="9" t="s">
        <v>6459</v>
      </c>
      <c r="IMT1" s="9" t="s">
        <v>6460</v>
      </c>
      <c r="IMU1" s="9" t="s">
        <v>6461</v>
      </c>
      <c r="IMV1" s="9" t="s">
        <v>6462</v>
      </c>
      <c r="IMW1" s="9" t="s">
        <v>6463</v>
      </c>
      <c r="IMX1" s="9" t="s">
        <v>6464</v>
      </c>
      <c r="IMY1" s="9" t="s">
        <v>6465</v>
      </c>
      <c r="IMZ1" s="9" t="s">
        <v>6466</v>
      </c>
      <c r="INA1" s="9" t="s">
        <v>6467</v>
      </c>
      <c r="INB1" s="9" t="s">
        <v>6468</v>
      </c>
      <c r="INC1" s="9" t="s">
        <v>6469</v>
      </c>
      <c r="IND1" s="9" t="s">
        <v>6470</v>
      </c>
      <c r="INE1" s="9" t="s">
        <v>6471</v>
      </c>
      <c r="INF1" s="9" t="s">
        <v>6472</v>
      </c>
      <c r="ING1" s="9" t="s">
        <v>6473</v>
      </c>
      <c r="INH1" s="9" t="s">
        <v>6474</v>
      </c>
      <c r="INI1" s="9" t="s">
        <v>6475</v>
      </c>
      <c r="INJ1" s="9" t="s">
        <v>6476</v>
      </c>
      <c r="INK1" s="9" t="s">
        <v>6477</v>
      </c>
      <c r="INL1" s="9" t="s">
        <v>6478</v>
      </c>
      <c r="INM1" s="9" t="s">
        <v>6479</v>
      </c>
      <c r="INN1" s="9" t="s">
        <v>6480</v>
      </c>
      <c r="INO1" s="9" t="s">
        <v>6481</v>
      </c>
      <c r="INP1" s="9" t="s">
        <v>6482</v>
      </c>
      <c r="INQ1" s="9" t="s">
        <v>6483</v>
      </c>
      <c r="INR1" s="9" t="s">
        <v>6484</v>
      </c>
      <c r="INS1" s="9" t="s">
        <v>6485</v>
      </c>
      <c r="INT1" s="9" t="s">
        <v>6486</v>
      </c>
      <c r="INU1" s="9" t="s">
        <v>6487</v>
      </c>
      <c r="INV1" s="9" t="s">
        <v>6488</v>
      </c>
      <c r="INW1" s="9" t="s">
        <v>6489</v>
      </c>
      <c r="INX1" s="9" t="s">
        <v>6490</v>
      </c>
      <c r="INY1" s="9" t="s">
        <v>6491</v>
      </c>
      <c r="INZ1" s="9" t="s">
        <v>6492</v>
      </c>
      <c r="IOA1" s="9" t="s">
        <v>6493</v>
      </c>
      <c r="IOB1" s="9" t="s">
        <v>6494</v>
      </c>
      <c r="IOC1" s="9" t="s">
        <v>6495</v>
      </c>
      <c r="IOD1" s="9" t="s">
        <v>6496</v>
      </c>
      <c r="IOE1" s="9" t="s">
        <v>6497</v>
      </c>
      <c r="IOF1" s="9" t="s">
        <v>6498</v>
      </c>
      <c r="IOG1" s="9" t="s">
        <v>6499</v>
      </c>
      <c r="IOH1" s="9" t="s">
        <v>6500</v>
      </c>
      <c r="IOI1" s="9" t="s">
        <v>6501</v>
      </c>
      <c r="IOJ1" s="9" t="s">
        <v>6502</v>
      </c>
      <c r="IOK1" s="9" t="s">
        <v>6503</v>
      </c>
      <c r="IOL1" s="9" t="s">
        <v>6504</v>
      </c>
      <c r="IOM1" s="9" t="s">
        <v>6505</v>
      </c>
      <c r="ION1" s="9" t="s">
        <v>6506</v>
      </c>
      <c r="IOO1" s="9" t="s">
        <v>6507</v>
      </c>
      <c r="IOP1" s="9" t="s">
        <v>6508</v>
      </c>
      <c r="IOQ1" s="9" t="s">
        <v>6509</v>
      </c>
      <c r="IOR1" s="9" t="s">
        <v>6510</v>
      </c>
      <c r="IOS1" s="9" t="s">
        <v>6511</v>
      </c>
      <c r="IOT1" s="9" t="s">
        <v>6512</v>
      </c>
      <c r="IOU1" s="9" t="s">
        <v>6513</v>
      </c>
      <c r="IOV1" s="9" t="s">
        <v>6514</v>
      </c>
      <c r="IOW1" s="9" t="s">
        <v>6515</v>
      </c>
      <c r="IOX1" s="9" t="s">
        <v>6516</v>
      </c>
      <c r="IOY1" s="9" t="s">
        <v>6517</v>
      </c>
      <c r="IOZ1" s="9" t="s">
        <v>6518</v>
      </c>
      <c r="IPA1" s="9" t="s">
        <v>6519</v>
      </c>
      <c r="IPB1" s="9" t="s">
        <v>6520</v>
      </c>
      <c r="IPC1" s="9" t="s">
        <v>6521</v>
      </c>
      <c r="IPD1" s="9" t="s">
        <v>6522</v>
      </c>
      <c r="IPE1" s="9" t="s">
        <v>6523</v>
      </c>
      <c r="IPF1" s="9" t="s">
        <v>6524</v>
      </c>
      <c r="IPG1" s="9" t="s">
        <v>6525</v>
      </c>
      <c r="IPH1" s="9" t="s">
        <v>6526</v>
      </c>
      <c r="IPI1" s="9" t="s">
        <v>6527</v>
      </c>
      <c r="IPJ1" s="9" t="s">
        <v>6528</v>
      </c>
      <c r="IPK1" s="9" t="s">
        <v>6529</v>
      </c>
      <c r="IPL1" s="9" t="s">
        <v>6530</v>
      </c>
      <c r="IPM1" s="9" t="s">
        <v>6531</v>
      </c>
      <c r="IPN1" s="9" t="s">
        <v>6532</v>
      </c>
      <c r="IPO1" s="9" t="s">
        <v>6533</v>
      </c>
      <c r="IPP1" s="9" t="s">
        <v>6534</v>
      </c>
      <c r="IPQ1" s="9" t="s">
        <v>6535</v>
      </c>
      <c r="IPR1" s="9" t="s">
        <v>6536</v>
      </c>
      <c r="IPS1" s="9" t="s">
        <v>6537</v>
      </c>
      <c r="IPT1" s="9" t="s">
        <v>6538</v>
      </c>
      <c r="IPU1" s="9" t="s">
        <v>6539</v>
      </c>
      <c r="IPV1" s="9" t="s">
        <v>6540</v>
      </c>
      <c r="IPW1" s="9" t="s">
        <v>6541</v>
      </c>
      <c r="IPX1" s="9" t="s">
        <v>6542</v>
      </c>
      <c r="IPY1" s="9" t="s">
        <v>6543</v>
      </c>
      <c r="IPZ1" s="9" t="s">
        <v>6544</v>
      </c>
      <c r="IQA1" s="9" t="s">
        <v>6545</v>
      </c>
      <c r="IQB1" s="9" t="s">
        <v>6546</v>
      </c>
      <c r="IQC1" s="9" t="s">
        <v>6547</v>
      </c>
      <c r="IQD1" s="9" t="s">
        <v>6548</v>
      </c>
      <c r="IQE1" s="9" t="s">
        <v>6549</v>
      </c>
      <c r="IQF1" s="9" t="s">
        <v>6550</v>
      </c>
      <c r="IQG1" s="9" t="s">
        <v>6551</v>
      </c>
      <c r="IQH1" s="9" t="s">
        <v>6552</v>
      </c>
      <c r="IQI1" s="9" t="s">
        <v>6553</v>
      </c>
      <c r="IQJ1" s="9" t="s">
        <v>6554</v>
      </c>
      <c r="IQK1" s="9" t="s">
        <v>6555</v>
      </c>
      <c r="IQL1" s="9" t="s">
        <v>6556</v>
      </c>
      <c r="IQM1" s="9" t="s">
        <v>6557</v>
      </c>
      <c r="IQN1" s="9" t="s">
        <v>6558</v>
      </c>
      <c r="IQO1" s="9" t="s">
        <v>6559</v>
      </c>
      <c r="IQP1" s="9" t="s">
        <v>6560</v>
      </c>
      <c r="IQQ1" s="9" t="s">
        <v>6561</v>
      </c>
      <c r="IQR1" s="9" t="s">
        <v>6562</v>
      </c>
      <c r="IQS1" s="9" t="s">
        <v>6563</v>
      </c>
      <c r="IQT1" s="9" t="s">
        <v>6564</v>
      </c>
      <c r="IQU1" s="9" t="s">
        <v>6565</v>
      </c>
      <c r="IQV1" s="9" t="s">
        <v>6566</v>
      </c>
      <c r="IQW1" s="9" t="s">
        <v>6567</v>
      </c>
      <c r="IQX1" s="9" t="s">
        <v>6568</v>
      </c>
      <c r="IQY1" s="9" t="s">
        <v>6569</v>
      </c>
      <c r="IQZ1" s="9" t="s">
        <v>6570</v>
      </c>
      <c r="IRA1" s="9" t="s">
        <v>6571</v>
      </c>
      <c r="IRB1" s="9" t="s">
        <v>6572</v>
      </c>
      <c r="IRC1" s="9" t="s">
        <v>6573</v>
      </c>
      <c r="IRD1" s="9" t="s">
        <v>6574</v>
      </c>
      <c r="IRE1" s="9" t="s">
        <v>6575</v>
      </c>
      <c r="IRF1" s="9" t="s">
        <v>6576</v>
      </c>
      <c r="IRG1" s="9" t="s">
        <v>6577</v>
      </c>
      <c r="IRH1" s="9" t="s">
        <v>6578</v>
      </c>
      <c r="IRI1" s="9" t="s">
        <v>6579</v>
      </c>
      <c r="IRJ1" s="9" t="s">
        <v>6580</v>
      </c>
      <c r="IRK1" s="9" t="s">
        <v>6581</v>
      </c>
      <c r="IRL1" s="9" t="s">
        <v>6582</v>
      </c>
      <c r="IRM1" s="9" t="s">
        <v>6583</v>
      </c>
      <c r="IRN1" s="9" t="s">
        <v>6584</v>
      </c>
      <c r="IRO1" s="9" t="s">
        <v>6585</v>
      </c>
      <c r="IRP1" s="9" t="s">
        <v>6586</v>
      </c>
      <c r="IRQ1" s="9" t="s">
        <v>6587</v>
      </c>
      <c r="IRR1" s="9" t="s">
        <v>6588</v>
      </c>
      <c r="IRS1" s="9" t="s">
        <v>6589</v>
      </c>
      <c r="IRT1" s="9" t="s">
        <v>6590</v>
      </c>
      <c r="IRU1" s="9" t="s">
        <v>6591</v>
      </c>
      <c r="IRV1" s="9" t="s">
        <v>6592</v>
      </c>
      <c r="IRW1" s="9" t="s">
        <v>6593</v>
      </c>
      <c r="IRX1" s="9" t="s">
        <v>6594</v>
      </c>
      <c r="IRY1" s="9" t="s">
        <v>6595</v>
      </c>
      <c r="IRZ1" s="9" t="s">
        <v>6596</v>
      </c>
      <c r="ISA1" s="9" t="s">
        <v>6597</v>
      </c>
      <c r="ISB1" s="9" t="s">
        <v>6598</v>
      </c>
      <c r="ISC1" s="9" t="s">
        <v>6599</v>
      </c>
      <c r="ISD1" s="9" t="s">
        <v>6600</v>
      </c>
      <c r="ISE1" s="9" t="s">
        <v>6601</v>
      </c>
      <c r="ISF1" s="9" t="s">
        <v>6602</v>
      </c>
      <c r="ISG1" s="9" t="s">
        <v>6603</v>
      </c>
      <c r="ISH1" s="9" t="s">
        <v>6604</v>
      </c>
      <c r="ISI1" s="9" t="s">
        <v>6605</v>
      </c>
      <c r="ISJ1" s="9" t="s">
        <v>6606</v>
      </c>
      <c r="ISK1" s="9" t="s">
        <v>6607</v>
      </c>
      <c r="ISL1" s="9" t="s">
        <v>6608</v>
      </c>
      <c r="ISM1" s="9" t="s">
        <v>6609</v>
      </c>
      <c r="ISN1" s="9" t="s">
        <v>6610</v>
      </c>
      <c r="ISO1" s="9" t="s">
        <v>6611</v>
      </c>
      <c r="ISP1" s="9" t="s">
        <v>6612</v>
      </c>
      <c r="ISQ1" s="9" t="s">
        <v>6613</v>
      </c>
      <c r="ISR1" s="9" t="s">
        <v>6614</v>
      </c>
      <c r="ISS1" s="9" t="s">
        <v>6615</v>
      </c>
      <c r="IST1" s="9" t="s">
        <v>6616</v>
      </c>
      <c r="ISU1" s="9" t="s">
        <v>6617</v>
      </c>
      <c r="ISV1" s="9" t="s">
        <v>6618</v>
      </c>
      <c r="ISW1" s="9" t="s">
        <v>6619</v>
      </c>
      <c r="ISX1" s="9" t="s">
        <v>6620</v>
      </c>
      <c r="ISY1" s="9" t="s">
        <v>6621</v>
      </c>
      <c r="ISZ1" s="9" t="s">
        <v>6622</v>
      </c>
      <c r="ITA1" s="9" t="s">
        <v>6623</v>
      </c>
      <c r="ITB1" s="9" t="s">
        <v>6624</v>
      </c>
      <c r="ITC1" s="9" t="s">
        <v>6625</v>
      </c>
      <c r="ITD1" s="9" t="s">
        <v>6626</v>
      </c>
      <c r="ITE1" s="9" t="s">
        <v>6627</v>
      </c>
      <c r="ITF1" s="9" t="s">
        <v>6628</v>
      </c>
      <c r="ITG1" s="9" t="s">
        <v>6629</v>
      </c>
      <c r="ITH1" s="9" t="s">
        <v>6630</v>
      </c>
      <c r="ITI1" s="9" t="s">
        <v>6631</v>
      </c>
      <c r="ITJ1" s="9" t="s">
        <v>6632</v>
      </c>
      <c r="ITK1" s="9" t="s">
        <v>6633</v>
      </c>
      <c r="ITL1" s="9" t="s">
        <v>6634</v>
      </c>
      <c r="ITM1" s="9" t="s">
        <v>6635</v>
      </c>
      <c r="ITN1" s="9" t="s">
        <v>6636</v>
      </c>
      <c r="ITO1" s="9" t="s">
        <v>6637</v>
      </c>
      <c r="ITP1" s="9" t="s">
        <v>6638</v>
      </c>
      <c r="ITQ1" s="9" t="s">
        <v>6639</v>
      </c>
      <c r="ITR1" s="9" t="s">
        <v>6640</v>
      </c>
      <c r="ITS1" s="9" t="s">
        <v>6641</v>
      </c>
      <c r="ITT1" s="9" t="s">
        <v>6642</v>
      </c>
      <c r="ITU1" s="9" t="s">
        <v>6643</v>
      </c>
      <c r="ITV1" s="9" t="s">
        <v>6644</v>
      </c>
      <c r="ITW1" s="9" t="s">
        <v>6645</v>
      </c>
      <c r="ITX1" s="9" t="s">
        <v>6646</v>
      </c>
      <c r="ITY1" s="9" t="s">
        <v>6647</v>
      </c>
      <c r="ITZ1" s="9" t="s">
        <v>6648</v>
      </c>
      <c r="IUA1" s="9" t="s">
        <v>6649</v>
      </c>
      <c r="IUB1" s="9" t="s">
        <v>6650</v>
      </c>
      <c r="IUC1" s="9" t="s">
        <v>6651</v>
      </c>
      <c r="IUD1" s="9" t="s">
        <v>6652</v>
      </c>
      <c r="IUE1" s="9" t="s">
        <v>6653</v>
      </c>
      <c r="IUF1" s="9" t="s">
        <v>6654</v>
      </c>
      <c r="IUG1" s="9" t="s">
        <v>6655</v>
      </c>
      <c r="IUH1" s="9" t="s">
        <v>6656</v>
      </c>
      <c r="IUI1" s="9" t="s">
        <v>6657</v>
      </c>
      <c r="IUJ1" s="9" t="s">
        <v>6658</v>
      </c>
      <c r="IUK1" s="9" t="s">
        <v>6659</v>
      </c>
      <c r="IUL1" s="9" t="s">
        <v>6660</v>
      </c>
      <c r="IUM1" s="9" t="s">
        <v>6661</v>
      </c>
      <c r="IUN1" s="9" t="s">
        <v>6662</v>
      </c>
      <c r="IUO1" s="9" t="s">
        <v>6663</v>
      </c>
      <c r="IUP1" s="9" t="s">
        <v>6664</v>
      </c>
      <c r="IUQ1" s="9" t="s">
        <v>6665</v>
      </c>
      <c r="IUR1" s="9" t="s">
        <v>6666</v>
      </c>
      <c r="IUS1" s="9" t="s">
        <v>6667</v>
      </c>
      <c r="IUT1" s="9" t="s">
        <v>6668</v>
      </c>
      <c r="IUU1" s="9" t="s">
        <v>6669</v>
      </c>
      <c r="IUV1" s="9" t="s">
        <v>6670</v>
      </c>
      <c r="IUW1" s="9" t="s">
        <v>6671</v>
      </c>
      <c r="IUX1" s="9" t="s">
        <v>6672</v>
      </c>
      <c r="IUY1" s="9" t="s">
        <v>6673</v>
      </c>
      <c r="IUZ1" s="9" t="s">
        <v>6674</v>
      </c>
      <c r="IVA1" s="9" t="s">
        <v>6675</v>
      </c>
      <c r="IVB1" s="9" t="s">
        <v>6676</v>
      </c>
      <c r="IVC1" s="9" t="s">
        <v>6677</v>
      </c>
      <c r="IVD1" s="9" t="s">
        <v>6678</v>
      </c>
      <c r="IVE1" s="9" t="s">
        <v>6679</v>
      </c>
      <c r="IVF1" s="9" t="s">
        <v>6680</v>
      </c>
      <c r="IVG1" s="9" t="s">
        <v>6681</v>
      </c>
      <c r="IVH1" s="9" t="s">
        <v>6682</v>
      </c>
      <c r="IVI1" s="9" t="s">
        <v>6683</v>
      </c>
      <c r="IVJ1" s="9" t="s">
        <v>6684</v>
      </c>
      <c r="IVK1" s="9" t="s">
        <v>6685</v>
      </c>
      <c r="IVL1" s="9" t="s">
        <v>6686</v>
      </c>
      <c r="IVM1" s="9" t="s">
        <v>6687</v>
      </c>
      <c r="IVN1" s="9" t="s">
        <v>6688</v>
      </c>
      <c r="IVO1" s="9" t="s">
        <v>6689</v>
      </c>
      <c r="IVP1" s="9" t="s">
        <v>6690</v>
      </c>
      <c r="IVQ1" s="9" t="s">
        <v>6691</v>
      </c>
      <c r="IVR1" s="9" t="s">
        <v>6692</v>
      </c>
      <c r="IVS1" s="9" t="s">
        <v>6693</v>
      </c>
      <c r="IVT1" s="9" t="s">
        <v>6694</v>
      </c>
      <c r="IVU1" s="9" t="s">
        <v>6695</v>
      </c>
      <c r="IVV1" s="9" t="s">
        <v>6696</v>
      </c>
      <c r="IVW1" s="9" t="s">
        <v>6697</v>
      </c>
      <c r="IVX1" s="9" t="s">
        <v>6698</v>
      </c>
      <c r="IVY1" s="9" t="s">
        <v>6699</v>
      </c>
      <c r="IVZ1" s="9" t="s">
        <v>6700</v>
      </c>
      <c r="IWA1" s="9" t="s">
        <v>6701</v>
      </c>
      <c r="IWB1" s="9" t="s">
        <v>6702</v>
      </c>
      <c r="IWC1" s="9" t="s">
        <v>6703</v>
      </c>
      <c r="IWD1" s="9" t="s">
        <v>6704</v>
      </c>
      <c r="IWE1" s="9" t="s">
        <v>6705</v>
      </c>
      <c r="IWF1" s="9" t="s">
        <v>6706</v>
      </c>
      <c r="IWG1" s="9" t="s">
        <v>6707</v>
      </c>
      <c r="IWH1" s="9" t="s">
        <v>6708</v>
      </c>
      <c r="IWI1" s="9" t="s">
        <v>6709</v>
      </c>
      <c r="IWJ1" s="9" t="s">
        <v>6710</v>
      </c>
      <c r="IWK1" s="9" t="s">
        <v>6711</v>
      </c>
      <c r="IWL1" s="9" t="s">
        <v>6712</v>
      </c>
      <c r="IWM1" s="9" t="s">
        <v>6713</v>
      </c>
      <c r="IWN1" s="9" t="s">
        <v>6714</v>
      </c>
      <c r="IWO1" s="9" t="s">
        <v>6715</v>
      </c>
      <c r="IWP1" s="9" t="s">
        <v>6716</v>
      </c>
      <c r="IWQ1" s="9" t="s">
        <v>6717</v>
      </c>
      <c r="IWR1" s="9" t="s">
        <v>6718</v>
      </c>
      <c r="IWS1" s="9" t="s">
        <v>6719</v>
      </c>
      <c r="IWT1" s="9" t="s">
        <v>6720</v>
      </c>
      <c r="IWU1" s="9" t="s">
        <v>6721</v>
      </c>
      <c r="IWV1" s="9" t="s">
        <v>6722</v>
      </c>
      <c r="IWW1" s="9" t="s">
        <v>6723</v>
      </c>
      <c r="IWX1" s="9" t="s">
        <v>6724</v>
      </c>
      <c r="IWY1" s="9" t="s">
        <v>6725</v>
      </c>
      <c r="IWZ1" s="9" t="s">
        <v>6726</v>
      </c>
      <c r="IXA1" s="9" t="s">
        <v>6727</v>
      </c>
      <c r="IXB1" s="9" t="s">
        <v>6728</v>
      </c>
      <c r="IXC1" s="9" t="s">
        <v>6729</v>
      </c>
      <c r="IXD1" s="9" t="s">
        <v>6730</v>
      </c>
      <c r="IXE1" s="9" t="s">
        <v>6731</v>
      </c>
      <c r="IXF1" s="9" t="s">
        <v>6732</v>
      </c>
      <c r="IXG1" s="9" t="s">
        <v>6733</v>
      </c>
      <c r="IXH1" s="9" t="s">
        <v>6734</v>
      </c>
      <c r="IXI1" s="9" t="s">
        <v>6735</v>
      </c>
      <c r="IXJ1" s="9" t="s">
        <v>6736</v>
      </c>
      <c r="IXK1" s="9" t="s">
        <v>6737</v>
      </c>
      <c r="IXL1" s="9" t="s">
        <v>6738</v>
      </c>
      <c r="IXM1" s="9" t="s">
        <v>6739</v>
      </c>
      <c r="IXN1" s="9" t="s">
        <v>6740</v>
      </c>
      <c r="IXO1" s="9" t="s">
        <v>6741</v>
      </c>
      <c r="IXP1" s="9" t="s">
        <v>6742</v>
      </c>
      <c r="IXQ1" s="9" t="s">
        <v>6743</v>
      </c>
      <c r="IXR1" s="9" t="s">
        <v>6744</v>
      </c>
      <c r="IXS1" s="9" t="s">
        <v>6745</v>
      </c>
      <c r="IXT1" s="9" t="s">
        <v>6746</v>
      </c>
      <c r="IXU1" s="9" t="s">
        <v>6747</v>
      </c>
      <c r="IXV1" s="9" t="s">
        <v>6748</v>
      </c>
      <c r="IXW1" s="9" t="s">
        <v>6749</v>
      </c>
      <c r="IXX1" s="9" t="s">
        <v>6750</v>
      </c>
      <c r="IXY1" s="9" t="s">
        <v>6751</v>
      </c>
      <c r="IXZ1" s="9" t="s">
        <v>6752</v>
      </c>
      <c r="IYA1" s="9" t="s">
        <v>6753</v>
      </c>
      <c r="IYB1" s="9" t="s">
        <v>6754</v>
      </c>
      <c r="IYC1" s="9" t="s">
        <v>6755</v>
      </c>
      <c r="IYD1" s="9" t="s">
        <v>6756</v>
      </c>
      <c r="IYE1" s="9" t="s">
        <v>6757</v>
      </c>
      <c r="IYF1" s="9" t="s">
        <v>6758</v>
      </c>
      <c r="IYG1" s="9" t="s">
        <v>6759</v>
      </c>
      <c r="IYH1" s="9" t="s">
        <v>6760</v>
      </c>
      <c r="IYI1" s="9" t="s">
        <v>6761</v>
      </c>
      <c r="IYJ1" s="9" t="s">
        <v>6762</v>
      </c>
      <c r="IYK1" s="9" t="s">
        <v>6763</v>
      </c>
      <c r="IYL1" s="9" t="s">
        <v>6764</v>
      </c>
      <c r="IYM1" s="9" t="s">
        <v>6765</v>
      </c>
      <c r="IYN1" s="9" t="s">
        <v>6766</v>
      </c>
      <c r="IYO1" s="9" t="s">
        <v>6767</v>
      </c>
      <c r="IYP1" s="9" t="s">
        <v>6768</v>
      </c>
      <c r="IYQ1" s="9" t="s">
        <v>6769</v>
      </c>
      <c r="IYR1" s="9" t="s">
        <v>6770</v>
      </c>
      <c r="IYS1" s="9" t="s">
        <v>6771</v>
      </c>
      <c r="IYT1" s="9" t="s">
        <v>6772</v>
      </c>
      <c r="IYU1" s="9" t="s">
        <v>6773</v>
      </c>
      <c r="IYV1" s="9" t="s">
        <v>6774</v>
      </c>
      <c r="IYW1" s="9" t="s">
        <v>6775</v>
      </c>
      <c r="IYX1" s="9" t="s">
        <v>6776</v>
      </c>
      <c r="IYY1" s="9" t="s">
        <v>6777</v>
      </c>
      <c r="IYZ1" s="9" t="s">
        <v>6778</v>
      </c>
      <c r="IZA1" s="9" t="s">
        <v>6779</v>
      </c>
      <c r="IZB1" s="9" t="s">
        <v>6780</v>
      </c>
      <c r="IZC1" s="9" t="s">
        <v>6781</v>
      </c>
      <c r="IZD1" s="9" t="s">
        <v>6782</v>
      </c>
      <c r="IZE1" s="9" t="s">
        <v>6783</v>
      </c>
      <c r="IZF1" s="9" t="s">
        <v>6784</v>
      </c>
      <c r="IZG1" s="9" t="s">
        <v>6785</v>
      </c>
      <c r="IZH1" s="9" t="s">
        <v>6786</v>
      </c>
      <c r="IZI1" s="9" t="s">
        <v>6787</v>
      </c>
      <c r="IZJ1" s="9" t="s">
        <v>6788</v>
      </c>
      <c r="IZK1" s="9" t="s">
        <v>6789</v>
      </c>
      <c r="IZL1" s="9" t="s">
        <v>6790</v>
      </c>
      <c r="IZM1" s="9" t="s">
        <v>6791</v>
      </c>
      <c r="IZN1" s="9" t="s">
        <v>6792</v>
      </c>
      <c r="IZO1" s="9" t="s">
        <v>6793</v>
      </c>
      <c r="IZP1" s="9" t="s">
        <v>6794</v>
      </c>
      <c r="IZQ1" s="9" t="s">
        <v>6795</v>
      </c>
      <c r="IZR1" s="9" t="s">
        <v>6796</v>
      </c>
      <c r="IZS1" s="9" t="s">
        <v>6797</v>
      </c>
      <c r="IZT1" s="9" t="s">
        <v>6798</v>
      </c>
      <c r="IZU1" s="9" t="s">
        <v>6799</v>
      </c>
      <c r="IZV1" s="9" t="s">
        <v>6800</v>
      </c>
      <c r="IZW1" s="9" t="s">
        <v>6801</v>
      </c>
      <c r="IZX1" s="9" t="s">
        <v>6802</v>
      </c>
      <c r="IZY1" s="9" t="s">
        <v>6803</v>
      </c>
      <c r="IZZ1" s="9" t="s">
        <v>6804</v>
      </c>
      <c r="JAA1" s="9" t="s">
        <v>6805</v>
      </c>
      <c r="JAB1" s="9" t="s">
        <v>6806</v>
      </c>
      <c r="JAC1" s="9" t="s">
        <v>6807</v>
      </c>
      <c r="JAD1" s="9" t="s">
        <v>6808</v>
      </c>
      <c r="JAE1" s="9" t="s">
        <v>6809</v>
      </c>
      <c r="JAF1" s="9" t="s">
        <v>6810</v>
      </c>
      <c r="JAG1" s="9" t="s">
        <v>6811</v>
      </c>
      <c r="JAH1" s="9" t="s">
        <v>6812</v>
      </c>
      <c r="JAI1" s="9" t="s">
        <v>6813</v>
      </c>
      <c r="JAJ1" s="9" t="s">
        <v>6814</v>
      </c>
      <c r="JAK1" s="9" t="s">
        <v>6815</v>
      </c>
      <c r="JAL1" s="9" t="s">
        <v>6816</v>
      </c>
      <c r="JAM1" s="9" t="s">
        <v>6817</v>
      </c>
      <c r="JAN1" s="9" t="s">
        <v>6818</v>
      </c>
      <c r="JAO1" s="9" t="s">
        <v>6819</v>
      </c>
      <c r="JAP1" s="9" t="s">
        <v>6820</v>
      </c>
      <c r="JAQ1" s="9" t="s">
        <v>6821</v>
      </c>
      <c r="JAR1" s="9" t="s">
        <v>6822</v>
      </c>
      <c r="JAS1" s="9" t="s">
        <v>6823</v>
      </c>
      <c r="JAT1" s="9" t="s">
        <v>6824</v>
      </c>
      <c r="JAU1" s="9" t="s">
        <v>6825</v>
      </c>
      <c r="JAV1" s="9" t="s">
        <v>6826</v>
      </c>
      <c r="JAW1" s="9" t="s">
        <v>6827</v>
      </c>
      <c r="JAX1" s="9" t="s">
        <v>6828</v>
      </c>
      <c r="JAY1" s="9" t="s">
        <v>6829</v>
      </c>
      <c r="JAZ1" s="9" t="s">
        <v>6830</v>
      </c>
      <c r="JBA1" s="9" t="s">
        <v>6831</v>
      </c>
      <c r="JBB1" s="9" t="s">
        <v>6832</v>
      </c>
      <c r="JBC1" s="9" t="s">
        <v>6833</v>
      </c>
      <c r="JBD1" s="9" t="s">
        <v>6834</v>
      </c>
      <c r="JBE1" s="9" t="s">
        <v>6835</v>
      </c>
      <c r="JBF1" s="9" t="s">
        <v>6836</v>
      </c>
      <c r="JBG1" s="9" t="s">
        <v>6837</v>
      </c>
      <c r="JBH1" s="9" t="s">
        <v>6838</v>
      </c>
      <c r="JBI1" s="9" t="s">
        <v>6839</v>
      </c>
      <c r="JBJ1" s="9" t="s">
        <v>6840</v>
      </c>
      <c r="JBK1" s="9" t="s">
        <v>6841</v>
      </c>
      <c r="JBL1" s="9" t="s">
        <v>6842</v>
      </c>
      <c r="JBM1" s="9" t="s">
        <v>6843</v>
      </c>
      <c r="JBN1" s="9" t="s">
        <v>6844</v>
      </c>
      <c r="JBO1" s="9" t="s">
        <v>6845</v>
      </c>
      <c r="JBP1" s="9" t="s">
        <v>6846</v>
      </c>
      <c r="JBQ1" s="9" t="s">
        <v>6847</v>
      </c>
      <c r="JBR1" s="9" t="s">
        <v>6848</v>
      </c>
      <c r="JBS1" s="9" t="s">
        <v>6849</v>
      </c>
      <c r="JBT1" s="9" t="s">
        <v>6850</v>
      </c>
      <c r="JBU1" s="9" t="s">
        <v>6851</v>
      </c>
      <c r="JBV1" s="9" t="s">
        <v>6852</v>
      </c>
      <c r="JBW1" s="9" t="s">
        <v>6853</v>
      </c>
      <c r="JBX1" s="9" t="s">
        <v>6854</v>
      </c>
      <c r="JBY1" s="9" t="s">
        <v>6855</v>
      </c>
      <c r="JBZ1" s="9" t="s">
        <v>6856</v>
      </c>
      <c r="JCA1" s="9" t="s">
        <v>6857</v>
      </c>
      <c r="JCB1" s="9" t="s">
        <v>6858</v>
      </c>
      <c r="JCC1" s="9" t="s">
        <v>6859</v>
      </c>
      <c r="JCD1" s="9" t="s">
        <v>6860</v>
      </c>
      <c r="JCE1" s="9" t="s">
        <v>6861</v>
      </c>
      <c r="JCF1" s="9" t="s">
        <v>6862</v>
      </c>
      <c r="JCG1" s="9" t="s">
        <v>6863</v>
      </c>
      <c r="JCH1" s="9" t="s">
        <v>6864</v>
      </c>
      <c r="JCI1" s="9" t="s">
        <v>6865</v>
      </c>
      <c r="JCJ1" s="9" t="s">
        <v>6866</v>
      </c>
      <c r="JCK1" s="9" t="s">
        <v>6867</v>
      </c>
      <c r="JCL1" s="9" t="s">
        <v>6868</v>
      </c>
      <c r="JCM1" s="9" t="s">
        <v>6869</v>
      </c>
      <c r="JCN1" s="9" t="s">
        <v>6870</v>
      </c>
      <c r="JCO1" s="9" t="s">
        <v>6871</v>
      </c>
      <c r="JCP1" s="9" t="s">
        <v>6872</v>
      </c>
      <c r="JCQ1" s="9" t="s">
        <v>6873</v>
      </c>
      <c r="JCR1" s="9" t="s">
        <v>6874</v>
      </c>
      <c r="JCS1" s="9" t="s">
        <v>6875</v>
      </c>
      <c r="JCT1" s="9" t="s">
        <v>6876</v>
      </c>
      <c r="JCU1" s="9" t="s">
        <v>6877</v>
      </c>
      <c r="JCV1" s="9" t="s">
        <v>6878</v>
      </c>
      <c r="JCW1" s="9" t="s">
        <v>6879</v>
      </c>
      <c r="JCX1" s="9" t="s">
        <v>6880</v>
      </c>
      <c r="JCY1" s="9" t="s">
        <v>6881</v>
      </c>
      <c r="JCZ1" s="9" t="s">
        <v>6882</v>
      </c>
      <c r="JDA1" s="9" t="s">
        <v>6883</v>
      </c>
      <c r="JDB1" s="9" t="s">
        <v>6884</v>
      </c>
      <c r="JDC1" s="9" t="s">
        <v>6885</v>
      </c>
      <c r="JDD1" s="9" t="s">
        <v>6886</v>
      </c>
      <c r="JDE1" s="9" t="s">
        <v>6887</v>
      </c>
      <c r="JDF1" s="9" t="s">
        <v>6888</v>
      </c>
      <c r="JDG1" s="9" t="s">
        <v>6889</v>
      </c>
      <c r="JDH1" s="9" t="s">
        <v>6890</v>
      </c>
      <c r="JDI1" s="9" t="s">
        <v>6891</v>
      </c>
      <c r="JDJ1" s="9" t="s">
        <v>6892</v>
      </c>
      <c r="JDK1" s="9" t="s">
        <v>6893</v>
      </c>
      <c r="JDL1" s="9" t="s">
        <v>6894</v>
      </c>
      <c r="JDM1" s="9" t="s">
        <v>6895</v>
      </c>
      <c r="JDN1" s="9" t="s">
        <v>6896</v>
      </c>
      <c r="JDO1" s="9" t="s">
        <v>6897</v>
      </c>
      <c r="JDP1" s="9" t="s">
        <v>6898</v>
      </c>
      <c r="JDQ1" s="9" t="s">
        <v>6899</v>
      </c>
      <c r="JDR1" s="9" t="s">
        <v>6900</v>
      </c>
      <c r="JDS1" s="9" t="s">
        <v>6901</v>
      </c>
      <c r="JDT1" s="9" t="s">
        <v>6902</v>
      </c>
      <c r="JDU1" s="9" t="s">
        <v>6903</v>
      </c>
      <c r="JDV1" s="9" t="s">
        <v>6904</v>
      </c>
      <c r="JDW1" s="9" t="s">
        <v>6905</v>
      </c>
      <c r="JDX1" s="9" t="s">
        <v>6906</v>
      </c>
      <c r="JDY1" s="9" t="s">
        <v>6907</v>
      </c>
      <c r="JDZ1" s="9" t="s">
        <v>6908</v>
      </c>
      <c r="JEA1" s="9" t="s">
        <v>6909</v>
      </c>
      <c r="JEB1" s="9" t="s">
        <v>6910</v>
      </c>
      <c r="JEC1" s="9" t="s">
        <v>6911</v>
      </c>
      <c r="JED1" s="9" t="s">
        <v>6912</v>
      </c>
      <c r="JEE1" s="9" t="s">
        <v>6913</v>
      </c>
      <c r="JEF1" s="9" t="s">
        <v>6914</v>
      </c>
      <c r="JEG1" s="9" t="s">
        <v>6915</v>
      </c>
      <c r="JEH1" s="9" t="s">
        <v>6916</v>
      </c>
      <c r="JEI1" s="9" t="s">
        <v>6917</v>
      </c>
      <c r="JEJ1" s="9" t="s">
        <v>6918</v>
      </c>
      <c r="JEK1" s="9" t="s">
        <v>6919</v>
      </c>
      <c r="JEL1" s="9" t="s">
        <v>6920</v>
      </c>
      <c r="JEM1" s="9" t="s">
        <v>6921</v>
      </c>
      <c r="JEN1" s="9" t="s">
        <v>6922</v>
      </c>
      <c r="JEO1" s="9" t="s">
        <v>6923</v>
      </c>
      <c r="JEP1" s="9" t="s">
        <v>6924</v>
      </c>
      <c r="JEQ1" s="9" t="s">
        <v>6925</v>
      </c>
      <c r="JER1" s="9" t="s">
        <v>6926</v>
      </c>
      <c r="JES1" s="9" t="s">
        <v>6927</v>
      </c>
      <c r="JET1" s="9" t="s">
        <v>6928</v>
      </c>
      <c r="JEU1" s="9" t="s">
        <v>6929</v>
      </c>
      <c r="JEV1" s="9" t="s">
        <v>6930</v>
      </c>
      <c r="JEW1" s="9" t="s">
        <v>6931</v>
      </c>
      <c r="JEX1" s="9" t="s">
        <v>6932</v>
      </c>
      <c r="JEY1" s="9" t="s">
        <v>6933</v>
      </c>
      <c r="JEZ1" s="9" t="s">
        <v>6934</v>
      </c>
      <c r="JFA1" s="9" t="s">
        <v>6935</v>
      </c>
      <c r="JFB1" s="9" t="s">
        <v>6936</v>
      </c>
      <c r="JFC1" s="9" t="s">
        <v>6937</v>
      </c>
      <c r="JFD1" s="9" t="s">
        <v>6938</v>
      </c>
      <c r="JFE1" s="9" t="s">
        <v>6939</v>
      </c>
      <c r="JFF1" s="9" t="s">
        <v>6940</v>
      </c>
      <c r="JFG1" s="9" t="s">
        <v>6941</v>
      </c>
      <c r="JFH1" s="9" t="s">
        <v>6942</v>
      </c>
      <c r="JFI1" s="9" t="s">
        <v>6943</v>
      </c>
      <c r="JFJ1" s="9" t="s">
        <v>6944</v>
      </c>
      <c r="JFK1" s="9" t="s">
        <v>6945</v>
      </c>
      <c r="JFL1" s="9" t="s">
        <v>6946</v>
      </c>
      <c r="JFM1" s="9" t="s">
        <v>6947</v>
      </c>
      <c r="JFN1" s="9" t="s">
        <v>6948</v>
      </c>
      <c r="JFO1" s="9" t="s">
        <v>6949</v>
      </c>
      <c r="JFP1" s="9" t="s">
        <v>6950</v>
      </c>
      <c r="JFQ1" s="9" t="s">
        <v>6951</v>
      </c>
      <c r="JFR1" s="9" t="s">
        <v>6952</v>
      </c>
      <c r="JFS1" s="9" t="s">
        <v>6953</v>
      </c>
      <c r="JFT1" s="9" t="s">
        <v>6954</v>
      </c>
      <c r="JFU1" s="9" t="s">
        <v>6955</v>
      </c>
      <c r="JFV1" s="9" t="s">
        <v>6956</v>
      </c>
      <c r="JFW1" s="9" t="s">
        <v>6957</v>
      </c>
      <c r="JFX1" s="9" t="s">
        <v>6958</v>
      </c>
      <c r="JFY1" s="9" t="s">
        <v>6959</v>
      </c>
      <c r="JFZ1" s="9" t="s">
        <v>6960</v>
      </c>
      <c r="JGA1" s="9" t="s">
        <v>6961</v>
      </c>
      <c r="JGB1" s="9" t="s">
        <v>6962</v>
      </c>
      <c r="JGC1" s="9" t="s">
        <v>6963</v>
      </c>
      <c r="JGD1" s="9" t="s">
        <v>6964</v>
      </c>
      <c r="JGE1" s="9" t="s">
        <v>6965</v>
      </c>
      <c r="JGF1" s="9" t="s">
        <v>6966</v>
      </c>
      <c r="JGG1" s="9" t="s">
        <v>6967</v>
      </c>
      <c r="JGH1" s="9" t="s">
        <v>6968</v>
      </c>
      <c r="JGI1" s="9" t="s">
        <v>6969</v>
      </c>
      <c r="JGJ1" s="9" t="s">
        <v>6970</v>
      </c>
      <c r="JGK1" s="9" t="s">
        <v>6971</v>
      </c>
      <c r="JGL1" s="9" t="s">
        <v>6972</v>
      </c>
      <c r="JGM1" s="9" t="s">
        <v>6973</v>
      </c>
      <c r="JGN1" s="9" t="s">
        <v>6974</v>
      </c>
      <c r="JGO1" s="9" t="s">
        <v>6975</v>
      </c>
      <c r="JGP1" s="9" t="s">
        <v>6976</v>
      </c>
      <c r="JGQ1" s="9" t="s">
        <v>6977</v>
      </c>
      <c r="JGR1" s="9" t="s">
        <v>6978</v>
      </c>
      <c r="JGS1" s="9" t="s">
        <v>6979</v>
      </c>
      <c r="JGT1" s="9" t="s">
        <v>6980</v>
      </c>
      <c r="JGU1" s="9" t="s">
        <v>6981</v>
      </c>
      <c r="JGV1" s="9" t="s">
        <v>6982</v>
      </c>
      <c r="JGW1" s="9" t="s">
        <v>6983</v>
      </c>
      <c r="JGX1" s="9" t="s">
        <v>6984</v>
      </c>
      <c r="JGY1" s="9" t="s">
        <v>6985</v>
      </c>
      <c r="JGZ1" s="9" t="s">
        <v>6986</v>
      </c>
      <c r="JHA1" s="9" t="s">
        <v>6987</v>
      </c>
      <c r="JHB1" s="9" t="s">
        <v>6988</v>
      </c>
      <c r="JHC1" s="9" t="s">
        <v>6989</v>
      </c>
      <c r="JHD1" s="9" t="s">
        <v>6990</v>
      </c>
      <c r="JHE1" s="9" t="s">
        <v>6991</v>
      </c>
      <c r="JHF1" s="9" t="s">
        <v>6992</v>
      </c>
      <c r="JHG1" s="9" t="s">
        <v>6993</v>
      </c>
      <c r="JHH1" s="9" t="s">
        <v>6994</v>
      </c>
      <c r="JHI1" s="9" t="s">
        <v>6995</v>
      </c>
      <c r="JHJ1" s="9" t="s">
        <v>6996</v>
      </c>
      <c r="JHK1" s="9" t="s">
        <v>6997</v>
      </c>
      <c r="JHL1" s="9" t="s">
        <v>6998</v>
      </c>
      <c r="JHM1" s="9" t="s">
        <v>6999</v>
      </c>
      <c r="JHN1" s="9" t="s">
        <v>7000</v>
      </c>
      <c r="JHO1" s="9" t="s">
        <v>7001</v>
      </c>
      <c r="JHP1" s="9" t="s">
        <v>7002</v>
      </c>
      <c r="JHQ1" s="9" t="s">
        <v>7003</v>
      </c>
      <c r="JHR1" s="9" t="s">
        <v>7004</v>
      </c>
      <c r="JHS1" s="9" t="s">
        <v>7005</v>
      </c>
      <c r="JHT1" s="9" t="s">
        <v>7006</v>
      </c>
      <c r="JHU1" s="9" t="s">
        <v>7007</v>
      </c>
      <c r="JHV1" s="9" t="s">
        <v>7008</v>
      </c>
      <c r="JHW1" s="9" t="s">
        <v>7009</v>
      </c>
      <c r="JHX1" s="9" t="s">
        <v>7010</v>
      </c>
      <c r="JHY1" s="9" t="s">
        <v>7011</v>
      </c>
      <c r="JHZ1" s="9" t="s">
        <v>7012</v>
      </c>
      <c r="JIA1" s="9" t="s">
        <v>7013</v>
      </c>
      <c r="JIB1" s="9" t="s">
        <v>7014</v>
      </c>
      <c r="JIC1" s="9" t="s">
        <v>7015</v>
      </c>
      <c r="JID1" s="9" t="s">
        <v>7016</v>
      </c>
      <c r="JIE1" s="9" t="s">
        <v>7017</v>
      </c>
      <c r="JIF1" s="9" t="s">
        <v>7018</v>
      </c>
      <c r="JIG1" s="9" t="s">
        <v>7019</v>
      </c>
      <c r="JIH1" s="9" t="s">
        <v>7020</v>
      </c>
      <c r="JII1" s="9" t="s">
        <v>7021</v>
      </c>
      <c r="JIJ1" s="9" t="s">
        <v>7022</v>
      </c>
      <c r="JIK1" s="9" t="s">
        <v>7023</v>
      </c>
      <c r="JIL1" s="9" t="s">
        <v>7024</v>
      </c>
      <c r="JIM1" s="9" t="s">
        <v>7025</v>
      </c>
      <c r="JIN1" s="9" t="s">
        <v>7026</v>
      </c>
      <c r="JIO1" s="9" t="s">
        <v>7027</v>
      </c>
      <c r="JIP1" s="9" t="s">
        <v>7028</v>
      </c>
      <c r="JIQ1" s="9" t="s">
        <v>7029</v>
      </c>
      <c r="JIR1" s="9" t="s">
        <v>7030</v>
      </c>
      <c r="JIS1" s="9" t="s">
        <v>7031</v>
      </c>
      <c r="JIT1" s="9" t="s">
        <v>7032</v>
      </c>
      <c r="JIU1" s="9" t="s">
        <v>7033</v>
      </c>
      <c r="JIV1" s="9" t="s">
        <v>7034</v>
      </c>
      <c r="JIW1" s="9" t="s">
        <v>7035</v>
      </c>
      <c r="JIX1" s="9" t="s">
        <v>7036</v>
      </c>
      <c r="JIY1" s="9" t="s">
        <v>7037</v>
      </c>
      <c r="JIZ1" s="9" t="s">
        <v>7038</v>
      </c>
      <c r="JJA1" s="9" t="s">
        <v>7039</v>
      </c>
      <c r="JJB1" s="9" t="s">
        <v>7040</v>
      </c>
      <c r="JJC1" s="9" t="s">
        <v>7041</v>
      </c>
      <c r="JJD1" s="9" t="s">
        <v>7042</v>
      </c>
      <c r="JJE1" s="9" t="s">
        <v>7043</v>
      </c>
      <c r="JJF1" s="9" t="s">
        <v>7044</v>
      </c>
      <c r="JJG1" s="9" t="s">
        <v>7045</v>
      </c>
      <c r="JJH1" s="9" t="s">
        <v>7046</v>
      </c>
      <c r="JJI1" s="9" t="s">
        <v>7047</v>
      </c>
      <c r="JJJ1" s="9" t="s">
        <v>7048</v>
      </c>
      <c r="JJK1" s="9" t="s">
        <v>7049</v>
      </c>
      <c r="JJL1" s="9" t="s">
        <v>7050</v>
      </c>
      <c r="JJM1" s="9" t="s">
        <v>7051</v>
      </c>
      <c r="JJN1" s="9" t="s">
        <v>7052</v>
      </c>
      <c r="JJO1" s="9" t="s">
        <v>7053</v>
      </c>
      <c r="JJP1" s="9" t="s">
        <v>7054</v>
      </c>
      <c r="JJQ1" s="9" t="s">
        <v>7055</v>
      </c>
      <c r="JJR1" s="9" t="s">
        <v>7056</v>
      </c>
      <c r="JJS1" s="9" t="s">
        <v>7057</v>
      </c>
      <c r="JJT1" s="9" t="s">
        <v>7058</v>
      </c>
      <c r="JJU1" s="9" t="s">
        <v>7059</v>
      </c>
      <c r="JJV1" s="9" t="s">
        <v>7060</v>
      </c>
      <c r="JJW1" s="9" t="s">
        <v>7061</v>
      </c>
      <c r="JJX1" s="9" t="s">
        <v>7062</v>
      </c>
      <c r="JJY1" s="9" t="s">
        <v>7063</v>
      </c>
      <c r="JJZ1" s="9" t="s">
        <v>7064</v>
      </c>
      <c r="JKA1" s="9" t="s">
        <v>7065</v>
      </c>
      <c r="JKB1" s="9" t="s">
        <v>7066</v>
      </c>
      <c r="JKC1" s="9" t="s">
        <v>7067</v>
      </c>
      <c r="JKD1" s="9" t="s">
        <v>7068</v>
      </c>
      <c r="JKE1" s="9" t="s">
        <v>7069</v>
      </c>
      <c r="JKF1" s="9" t="s">
        <v>7070</v>
      </c>
      <c r="JKG1" s="9" t="s">
        <v>7071</v>
      </c>
      <c r="JKH1" s="9" t="s">
        <v>7072</v>
      </c>
      <c r="JKI1" s="9" t="s">
        <v>7073</v>
      </c>
      <c r="JKJ1" s="9" t="s">
        <v>7074</v>
      </c>
      <c r="JKK1" s="9" t="s">
        <v>7075</v>
      </c>
      <c r="JKL1" s="9" t="s">
        <v>7076</v>
      </c>
      <c r="JKM1" s="9" t="s">
        <v>7077</v>
      </c>
      <c r="JKN1" s="9" t="s">
        <v>7078</v>
      </c>
      <c r="JKO1" s="9" t="s">
        <v>7079</v>
      </c>
      <c r="JKP1" s="9" t="s">
        <v>7080</v>
      </c>
      <c r="JKQ1" s="9" t="s">
        <v>7081</v>
      </c>
      <c r="JKR1" s="9" t="s">
        <v>7082</v>
      </c>
      <c r="JKS1" s="9" t="s">
        <v>7083</v>
      </c>
      <c r="JKT1" s="9" t="s">
        <v>7084</v>
      </c>
      <c r="JKU1" s="9" t="s">
        <v>7085</v>
      </c>
      <c r="JKV1" s="9" t="s">
        <v>7086</v>
      </c>
      <c r="JKW1" s="9" t="s">
        <v>7087</v>
      </c>
      <c r="JKX1" s="9" t="s">
        <v>7088</v>
      </c>
      <c r="JKY1" s="9" t="s">
        <v>7089</v>
      </c>
      <c r="JKZ1" s="9" t="s">
        <v>7090</v>
      </c>
      <c r="JLA1" s="9" t="s">
        <v>7091</v>
      </c>
      <c r="JLB1" s="9" t="s">
        <v>7092</v>
      </c>
      <c r="JLC1" s="9" t="s">
        <v>7093</v>
      </c>
      <c r="JLD1" s="9" t="s">
        <v>7094</v>
      </c>
      <c r="JLE1" s="9" t="s">
        <v>7095</v>
      </c>
      <c r="JLF1" s="9" t="s">
        <v>7096</v>
      </c>
      <c r="JLG1" s="9" t="s">
        <v>7097</v>
      </c>
      <c r="JLH1" s="9" t="s">
        <v>7098</v>
      </c>
      <c r="JLI1" s="9" t="s">
        <v>7099</v>
      </c>
      <c r="JLJ1" s="9" t="s">
        <v>7100</v>
      </c>
      <c r="JLK1" s="9" t="s">
        <v>7101</v>
      </c>
      <c r="JLL1" s="9" t="s">
        <v>7102</v>
      </c>
      <c r="JLM1" s="9" t="s">
        <v>7103</v>
      </c>
      <c r="JLN1" s="9" t="s">
        <v>7104</v>
      </c>
      <c r="JLO1" s="9" t="s">
        <v>7105</v>
      </c>
      <c r="JLP1" s="9" t="s">
        <v>7106</v>
      </c>
      <c r="JLQ1" s="9" t="s">
        <v>7107</v>
      </c>
      <c r="JLR1" s="9" t="s">
        <v>7108</v>
      </c>
      <c r="JLS1" s="9" t="s">
        <v>7109</v>
      </c>
      <c r="JLT1" s="9" t="s">
        <v>7110</v>
      </c>
      <c r="JLU1" s="9" t="s">
        <v>7111</v>
      </c>
      <c r="JLV1" s="9" t="s">
        <v>7112</v>
      </c>
      <c r="JLW1" s="9" t="s">
        <v>7113</v>
      </c>
      <c r="JLX1" s="9" t="s">
        <v>7114</v>
      </c>
      <c r="JLY1" s="9" t="s">
        <v>7115</v>
      </c>
      <c r="JLZ1" s="9" t="s">
        <v>7116</v>
      </c>
      <c r="JMA1" s="9" t="s">
        <v>7117</v>
      </c>
      <c r="JMB1" s="9" t="s">
        <v>7118</v>
      </c>
      <c r="JMC1" s="9" t="s">
        <v>7119</v>
      </c>
      <c r="JMD1" s="9" t="s">
        <v>7120</v>
      </c>
      <c r="JME1" s="9" t="s">
        <v>7121</v>
      </c>
      <c r="JMF1" s="9" t="s">
        <v>7122</v>
      </c>
      <c r="JMG1" s="9" t="s">
        <v>7123</v>
      </c>
      <c r="JMH1" s="9" t="s">
        <v>7124</v>
      </c>
      <c r="JMI1" s="9" t="s">
        <v>7125</v>
      </c>
      <c r="JMJ1" s="9" t="s">
        <v>7126</v>
      </c>
      <c r="JMK1" s="9" t="s">
        <v>7127</v>
      </c>
      <c r="JML1" s="9" t="s">
        <v>7128</v>
      </c>
      <c r="JMM1" s="9" t="s">
        <v>7129</v>
      </c>
      <c r="JMN1" s="9" t="s">
        <v>7130</v>
      </c>
      <c r="JMO1" s="9" t="s">
        <v>7131</v>
      </c>
      <c r="JMP1" s="9" t="s">
        <v>7132</v>
      </c>
      <c r="JMQ1" s="9" t="s">
        <v>7133</v>
      </c>
      <c r="JMR1" s="9" t="s">
        <v>7134</v>
      </c>
      <c r="JMS1" s="9" t="s">
        <v>7135</v>
      </c>
      <c r="JMT1" s="9" t="s">
        <v>7136</v>
      </c>
      <c r="JMU1" s="9" t="s">
        <v>7137</v>
      </c>
      <c r="JMV1" s="9" t="s">
        <v>7138</v>
      </c>
      <c r="JMW1" s="9" t="s">
        <v>7139</v>
      </c>
      <c r="JMX1" s="9" t="s">
        <v>7140</v>
      </c>
      <c r="JMY1" s="9" t="s">
        <v>7141</v>
      </c>
      <c r="JMZ1" s="9" t="s">
        <v>7142</v>
      </c>
      <c r="JNA1" s="9" t="s">
        <v>7143</v>
      </c>
      <c r="JNB1" s="9" t="s">
        <v>7144</v>
      </c>
      <c r="JNC1" s="9" t="s">
        <v>7145</v>
      </c>
      <c r="JND1" s="9" t="s">
        <v>7146</v>
      </c>
      <c r="JNE1" s="9" t="s">
        <v>7147</v>
      </c>
      <c r="JNF1" s="9" t="s">
        <v>7148</v>
      </c>
      <c r="JNG1" s="9" t="s">
        <v>7149</v>
      </c>
      <c r="JNH1" s="9" t="s">
        <v>7150</v>
      </c>
      <c r="JNI1" s="9" t="s">
        <v>7151</v>
      </c>
      <c r="JNJ1" s="9" t="s">
        <v>7152</v>
      </c>
      <c r="JNK1" s="9" t="s">
        <v>7153</v>
      </c>
      <c r="JNL1" s="9" t="s">
        <v>7154</v>
      </c>
      <c r="JNM1" s="9" t="s">
        <v>7155</v>
      </c>
      <c r="JNN1" s="9" t="s">
        <v>7156</v>
      </c>
      <c r="JNO1" s="9" t="s">
        <v>7157</v>
      </c>
      <c r="JNP1" s="9" t="s">
        <v>7158</v>
      </c>
      <c r="JNQ1" s="9" t="s">
        <v>7159</v>
      </c>
      <c r="JNR1" s="9" t="s">
        <v>7160</v>
      </c>
      <c r="JNS1" s="9" t="s">
        <v>7161</v>
      </c>
      <c r="JNT1" s="9" t="s">
        <v>7162</v>
      </c>
      <c r="JNU1" s="9" t="s">
        <v>7163</v>
      </c>
      <c r="JNV1" s="9" t="s">
        <v>7164</v>
      </c>
      <c r="JNW1" s="9" t="s">
        <v>7165</v>
      </c>
      <c r="JNX1" s="9" t="s">
        <v>7166</v>
      </c>
      <c r="JNY1" s="9" t="s">
        <v>7167</v>
      </c>
      <c r="JNZ1" s="9" t="s">
        <v>7168</v>
      </c>
      <c r="JOA1" s="9" t="s">
        <v>7169</v>
      </c>
      <c r="JOB1" s="9" t="s">
        <v>7170</v>
      </c>
      <c r="JOC1" s="9" t="s">
        <v>7171</v>
      </c>
      <c r="JOD1" s="9" t="s">
        <v>7172</v>
      </c>
      <c r="JOE1" s="9" t="s">
        <v>7173</v>
      </c>
      <c r="JOF1" s="9" t="s">
        <v>7174</v>
      </c>
      <c r="JOG1" s="9" t="s">
        <v>7175</v>
      </c>
      <c r="JOH1" s="9" t="s">
        <v>7176</v>
      </c>
      <c r="JOI1" s="9" t="s">
        <v>7177</v>
      </c>
      <c r="JOJ1" s="9" t="s">
        <v>7178</v>
      </c>
      <c r="JOK1" s="9" t="s">
        <v>7179</v>
      </c>
      <c r="JOL1" s="9" t="s">
        <v>7180</v>
      </c>
      <c r="JOM1" s="9" t="s">
        <v>7181</v>
      </c>
      <c r="JON1" s="9" t="s">
        <v>7182</v>
      </c>
      <c r="JOO1" s="9" t="s">
        <v>7183</v>
      </c>
      <c r="JOP1" s="9" t="s">
        <v>7184</v>
      </c>
      <c r="JOQ1" s="9" t="s">
        <v>7185</v>
      </c>
      <c r="JOR1" s="9" t="s">
        <v>7186</v>
      </c>
      <c r="JOS1" s="9" t="s">
        <v>7187</v>
      </c>
      <c r="JOT1" s="9" t="s">
        <v>7188</v>
      </c>
      <c r="JOU1" s="9" t="s">
        <v>7189</v>
      </c>
      <c r="JOV1" s="9" t="s">
        <v>7190</v>
      </c>
      <c r="JOW1" s="9" t="s">
        <v>7191</v>
      </c>
      <c r="JOX1" s="9" t="s">
        <v>7192</v>
      </c>
      <c r="JOY1" s="9" t="s">
        <v>7193</v>
      </c>
      <c r="JOZ1" s="9" t="s">
        <v>7194</v>
      </c>
      <c r="JPA1" s="9" t="s">
        <v>7195</v>
      </c>
      <c r="JPB1" s="9" t="s">
        <v>7196</v>
      </c>
      <c r="JPC1" s="9" t="s">
        <v>7197</v>
      </c>
      <c r="JPD1" s="9" t="s">
        <v>7198</v>
      </c>
      <c r="JPE1" s="9" t="s">
        <v>7199</v>
      </c>
      <c r="JPF1" s="9" t="s">
        <v>7200</v>
      </c>
      <c r="JPG1" s="9" t="s">
        <v>7201</v>
      </c>
      <c r="JPH1" s="9" t="s">
        <v>7202</v>
      </c>
      <c r="JPI1" s="9" t="s">
        <v>7203</v>
      </c>
      <c r="JPJ1" s="9" t="s">
        <v>7204</v>
      </c>
      <c r="JPK1" s="9" t="s">
        <v>7205</v>
      </c>
      <c r="JPL1" s="9" t="s">
        <v>7206</v>
      </c>
      <c r="JPM1" s="9" t="s">
        <v>7207</v>
      </c>
      <c r="JPN1" s="9" t="s">
        <v>7208</v>
      </c>
      <c r="JPO1" s="9" t="s">
        <v>7209</v>
      </c>
      <c r="JPP1" s="9" t="s">
        <v>7210</v>
      </c>
      <c r="JPQ1" s="9" t="s">
        <v>7211</v>
      </c>
      <c r="JPR1" s="9" t="s">
        <v>7212</v>
      </c>
      <c r="JPS1" s="9" t="s">
        <v>7213</v>
      </c>
      <c r="JPT1" s="9" t="s">
        <v>7214</v>
      </c>
      <c r="JPU1" s="9" t="s">
        <v>7215</v>
      </c>
      <c r="JPV1" s="9" t="s">
        <v>7216</v>
      </c>
      <c r="JPW1" s="9" t="s">
        <v>7217</v>
      </c>
      <c r="JPX1" s="9" t="s">
        <v>7218</v>
      </c>
      <c r="JPY1" s="9" t="s">
        <v>7219</v>
      </c>
      <c r="JPZ1" s="9" t="s">
        <v>7220</v>
      </c>
      <c r="JQA1" s="9" t="s">
        <v>7221</v>
      </c>
      <c r="JQB1" s="9" t="s">
        <v>7222</v>
      </c>
      <c r="JQC1" s="9" t="s">
        <v>7223</v>
      </c>
      <c r="JQD1" s="9" t="s">
        <v>7224</v>
      </c>
      <c r="JQE1" s="9" t="s">
        <v>7225</v>
      </c>
      <c r="JQF1" s="9" t="s">
        <v>7226</v>
      </c>
      <c r="JQG1" s="9" t="s">
        <v>7227</v>
      </c>
      <c r="JQH1" s="9" t="s">
        <v>7228</v>
      </c>
      <c r="JQI1" s="9" t="s">
        <v>7229</v>
      </c>
      <c r="JQJ1" s="9" t="s">
        <v>7230</v>
      </c>
      <c r="JQK1" s="9" t="s">
        <v>7231</v>
      </c>
      <c r="JQL1" s="9" t="s">
        <v>7232</v>
      </c>
      <c r="JQM1" s="9" t="s">
        <v>7233</v>
      </c>
      <c r="JQN1" s="9" t="s">
        <v>7234</v>
      </c>
      <c r="JQO1" s="9" t="s">
        <v>7235</v>
      </c>
      <c r="JQP1" s="9" t="s">
        <v>7236</v>
      </c>
      <c r="JQQ1" s="9" t="s">
        <v>7237</v>
      </c>
      <c r="JQR1" s="9" t="s">
        <v>7238</v>
      </c>
      <c r="JQS1" s="9" t="s">
        <v>7239</v>
      </c>
      <c r="JQT1" s="9" t="s">
        <v>7240</v>
      </c>
      <c r="JQU1" s="9" t="s">
        <v>7241</v>
      </c>
      <c r="JQV1" s="9" t="s">
        <v>7242</v>
      </c>
      <c r="JQW1" s="9" t="s">
        <v>7243</v>
      </c>
      <c r="JQX1" s="9" t="s">
        <v>7244</v>
      </c>
      <c r="JQY1" s="9" t="s">
        <v>7245</v>
      </c>
      <c r="JQZ1" s="9" t="s">
        <v>7246</v>
      </c>
      <c r="JRA1" s="9" t="s">
        <v>7247</v>
      </c>
      <c r="JRB1" s="9" t="s">
        <v>7248</v>
      </c>
      <c r="JRC1" s="9" t="s">
        <v>7249</v>
      </c>
      <c r="JRD1" s="9" t="s">
        <v>7250</v>
      </c>
      <c r="JRE1" s="9" t="s">
        <v>7251</v>
      </c>
      <c r="JRF1" s="9" t="s">
        <v>7252</v>
      </c>
      <c r="JRG1" s="9" t="s">
        <v>7253</v>
      </c>
      <c r="JRH1" s="9" t="s">
        <v>7254</v>
      </c>
      <c r="JRI1" s="9" t="s">
        <v>7255</v>
      </c>
      <c r="JRJ1" s="9" t="s">
        <v>7256</v>
      </c>
      <c r="JRK1" s="9" t="s">
        <v>7257</v>
      </c>
      <c r="JRL1" s="9" t="s">
        <v>7258</v>
      </c>
      <c r="JRM1" s="9" t="s">
        <v>7259</v>
      </c>
      <c r="JRN1" s="9" t="s">
        <v>7260</v>
      </c>
      <c r="JRO1" s="9" t="s">
        <v>7261</v>
      </c>
      <c r="JRP1" s="9" t="s">
        <v>7262</v>
      </c>
      <c r="JRQ1" s="9" t="s">
        <v>7263</v>
      </c>
      <c r="JRR1" s="9" t="s">
        <v>7264</v>
      </c>
      <c r="JRS1" s="9" t="s">
        <v>7265</v>
      </c>
      <c r="JRT1" s="9" t="s">
        <v>7266</v>
      </c>
      <c r="JRU1" s="9" t="s">
        <v>7267</v>
      </c>
      <c r="JRV1" s="9" t="s">
        <v>7268</v>
      </c>
      <c r="JRW1" s="9" t="s">
        <v>7269</v>
      </c>
      <c r="JRX1" s="9" t="s">
        <v>7270</v>
      </c>
      <c r="JRY1" s="9" t="s">
        <v>7271</v>
      </c>
      <c r="JRZ1" s="9" t="s">
        <v>7272</v>
      </c>
      <c r="JSA1" s="9" t="s">
        <v>7273</v>
      </c>
      <c r="JSB1" s="9" t="s">
        <v>7274</v>
      </c>
      <c r="JSC1" s="9" t="s">
        <v>7275</v>
      </c>
      <c r="JSD1" s="9" t="s">
        <v>7276</v>
      </c>
      <c r="JSE1" s="9" t="s">
        <v>7277</v>
      </c>
      <c r="JSF1" s="9" t="s">
        <v>7278</v>
      </c>
      <c r="JSG1" s="9" t="s">
        <v>7279</v>
      </c>
      <c r="JSH1" s="9" t="s">
        <v>7280</v>
      </c>
      <c r="JSI1" s="9" t="s">
        <v>7281</v>
      </c>
      <c r="JSJ1" s="9" t="s">
        <v>7282</v>
      </c>
      <c r="JSK1" s="9" t="s">
        <v>7283</v>
      </c>
      <c r="JSL1" s="9" t="s">
        <v>7284</v>
      </c>
      <c r="JSM1" s="9" t="s">
        <v>7285</v>
      </c>
      <c r="JSN1" s="9" t="s">
        <v>7286</v>
      </c>
      <c r="JSO1" s="9" t="s">
        <v>7287</v>
      </c>
      <c r="JSP1" s="9" t="s">
        <v>7288</v>
      </c>
      <c r="JSQ1" s="9" t="s">
        <v>7289</v>
      </c>
      <c r="JSR1" s="9" t="s">
        <v>7290</v>
      </c>
      <c r="JSS1" s="9" t="s">
        <v>7291</v>
      </c>
      <c r="JST1" s="9" t="s">
        <v>7292</v>
      </c>
      <c r="JSU1" s="9" t="s">
        <v>7293</v>
      </c>
      <c r="JSV1" s="9" t="s">
        <v>7294</v>
      </c>
      <c r="JSW1" s="9" t="s">
        <v>7295</v>
      </c>
      <c r="JSX1" s="9" t="s">
        <v>7296</v>
      </c>
      <c r="JSY1" s="9" t="s">
        <v>7297</v>
      </c>
      <c r="JSZ1" s="9" t="s">
        <v>7298</v>
      </c>
      <c r="JTA1" s="9" t="s">
        <v>7299</v>
      </c>
      <c r="JTB1" s="9" t="s">
        <v>7300</v>
      </c>
      <c r="JTC1" s="9" t="s">
        <v>7301</v>
      </c>
      <c r="JTD1" s="9" t="s">
        <v>7302</v>
      </c>
      <c r="JTE1" s="9" t="s">
        <v>7303</v>
      </c>
      <c r="JTF1" s="9" t="s">
        <v>7304</v>
      </c>
      <c r="JTG1" s="9" t="s">
        <v>7305</v>
      </c>
      <c r="JTH1" s="9" t="s">
        <v>7306</v>
      </c>
      <c r="JTI1" s="9" t="s">
        <v>7307</v>
      </c>
      <c r="JTJ1" s="9" t="s">
        <v>7308</v>
      </c>
      <c r="JTK1" s="9" t="s">
        <v>7309</v>
      </c>
      <c r="JTL1" s="9" t="s">
        <v>7310</v>
      </c>
      <c r="JTM1" s="9" t="s">
        <v>7311</v>
      </c>
      <c r="JTN1" s="9" t="s">
        <v>7312</v>
      </c>
      <c r="JTO1" s="9" t="s">
        <v>7313</v>
      </c>
      <c r="JTP1" s="9" t="s">
        <v>7314</v>
      </c>
      <c r="JTQ1" s="9" t="s">
        <v>7315</v>
      </c>
      <c r="JTR1" s="9" t="s">
        <v>7316</v>
      </c>
      <c r="JTS1" s="9" t="s">
        <v>7317</v>
      </c>
      <c r="JTT1" s="9" t="s">
        <v>7318</v>
      </c>
      <c r="JTU1" s="9" t="s">
        <v>7319</v>
      </c>
      <c r="JTV1" s="9" t="s">
        <v>7320</v>
      </c>
      <c r="JTW1" s="9" t="s">
        <v>7321</v>
      </c>
      <c r="JTX1" s="9" t="s">
        <v>7322</v>
      </c>
      <c r="JTY1" s="9" t="s">
        <v>7323</v>
      </c>
      <c r="JTZ1" s="9" t="s">
        <v>7324</v>
      </c>
      <c r="JUA1" s="9" t="s">
        <v>7325</v>
      </c>
      <c r="JUB1" s="9" t="s">
        <v>7326</v>
      </c>
      <c r="JUC1" s="9" t="s">
        <v>7327</v>
      </c>
      <c r="JUD1" s="9" t="s">
        <v>7328</v>
      </c>
      <c r="JUE1" s="9" t="s">
        <v>7329</v>
      </c>
      <c r="JUF1" s="9" t="s">
        <v>7330</v>
      </c>
      <c r="JUG1" s="9" t="s">
        <v>7331</v>
      </c>
      <c r="JUH1" s="9" t="s">
        <v>7332</v>
      </c>
      <c r="JUI1" s="9" t="s">
        <v>7333</v>
      </c>
      <c r="JUJ1" s="9" t="s">
        <v>7334</v>
      </c>
      <c r="JUK1" s="9" t="s">
        <v>7335</v>
      </c>
      <c r="JUL1" s="9" t="s">
        <v>7336</v>
      </c>
      <c r="JUM1" s="9" t="s">
        <v>7337</v>
      </c>
      <c r="JUN1" s="9" t="s">
        <v>7338</v>
      </c>
      <c r="JUO1" s="9" t="s">
        <v>7339</v>
      </c>
      <c r="JUP1" s="9" t="s">
        <v>7340</v>
      </c>
      <c r="JUQ1" s="9" t="s">
        <v>7341</v>
      </c>
      <c r="JUR1" s="9" t="s">
        <v>7342</v>
      </c>
      <c r="JUS1" s="9" t="s">
        <v>7343</v>
      </c>
      <c r="JUT1" s="9" t="s">
        <v>7344</v>
      </c>
      <c r="JUU1" s="9" t="s">
        <v>7345</v>
      </c>
      <c r="JUV1" s="9" t="s">
        <v>7346</v>
      </c>
      <c r="JUW1" s="9" t="s">
        <v>7347</v>
      </c>
      <c r="JUX1" s="9" t="s">
        <v>7348</v>
      </c>
      <c r="JUY1" s="9" t="s">
        <v>7349</v>
      </c>
      <c r="JUZ1" s="9" t="s">
        <v>7350</v>
      </c>
      <c r="JVA1" s="9" t="s">
        <v>7351</v>
      </c>
      <c r="JVB1" s="9" t="s">
        <v>7352</v>
      </c>
      <c r="JVC1" s="9" t="s">
        <v>7353</v>
      </c>
      <c r="JVD1" s="9" t="s">
        <v>7354</v>
      </c>
      <c r="JVE1" s="9" t="s">
        <v>7355</v>
      </c>
      <c r="JVF1" s="9" t="s">
        <v>7356</v>
      </c>
      <c r="JVG1" s="9" t="s">
        <v>7357</v>
      </c>
      <c r="JVH1" s="9" t="s">
        <v>7358</v>
      </c>
      <c r="JVI1" s="9" t="s">
        <v>7359</v>
      </c>
      <c r="JVJ1" s="9" t="s">
        <v>7360</v>
      </c>
      <c r="JVK1" s="9" t="s">
        <v>7361</v>
      </c>
      <c r="JVL1" s="9" t="s">
        <v>7362</v>
      </c>
      <c r="JVM1" s="9" t="s">
        <v>7363</v>
      </c>
      <c r="JVN1" s="9" t="s">
        <v>7364</v>
      </c>
      <c r="JVO1" s="9" t="s">
        <v>7365</v>
      </c>
      <c r="JVP1" s="9" t="s">
        <v>7366</v>
      </c>
      <c r="JVQ1" s="9" t="s">
        <v>7367</v>
      </c>
      <c r="JVR1" s="9" t="s">
        <v>7368</v>
      </c>
      <c r="JVS1" s="9" t="s">
        <v>7369</v>
      </c>
      <c r="JVT1" s="9" t="s">
        <v>7370</v>
      </c>
      <c r="JVU1" s="9" t="s">
        <v>7371</v>
      </c>
      <c r="JVV1" s="9" t="s">
        <v>7372</v>
      </c>
      <c r="JVW1" s="9" t="s">
        <v>7373</v>
      </c>
      <c r="JVX1" s="9" t="s">
        <v>7374</v>
      </c>
      <c r="JVY1" s="9" t="s">
        <v>7375</v>
      </c>
      <c r="JVZ1" s="9" t="s">
        <v>7376</v>
      </c>
      <c r="JWA1" s="9" t="s">
        <v>7377</v>
      </c>
      <c r="JWB1" s="9" t="s">
        <v>7378</v>
      </c>
      <c r="JWC1" s="9" t="s">
        <v>7379</v>
      </c>
      <c r="JWD1" s="9" t="s">
        <v>7380</v>
      </c>
      <c r="JWE1" s="9" t="s">
        <v>7381</v>
      </c>
      <c r="JWF1" s="9" t="s">
        <v>7382</v>
      </c>
      <c r="JWG1" s="9" t="s">
        <v>7383</v>
      </c>
      <c r="JWH1" s="9" t="s">
        <v>7384</v>
      </c>
      <c r="JWI1" s="9" t="s">
        <v>7385</v>
      </c>
      <c r="JWJ1" s="9" t="s">
        <v>7386</v>
      </c>
      <c r="JWK1" s="9" t="s">
        <v>7387</v>
      </c>
      <c r="JWL1" s="9" t="s">
        <v>7388</v>
      </c>
      <c r="JWM1" s="9" t="s">
        <v>7389</v>
      </c>
      <c r="JWN1" s="9" t="s">
        <v>7390</v>
      </c>
      <c r="JWO1" s="9" t="s">
        <v>7391</v>
      </c>
      <c r="JWP1" s="9" t="s">
        <v>7392</v>
      </c>
      <c r="JWQ1" s="9" t="s">
        <v>7393</v>
      </c>
      <c r="JWR1" s="9" t="s">
        <v>7394</v>
      </c>
      <c r="JWS1" s="9" t="s">
        <v>7395</v>
      </c>
      <c r="JWT1" s="9" t="s">
        <v>7396</v>
      </c>
      <c r="JWU1" s="9" t="s">
        <v>7397</v>
      </c>
      <c r="JWV1" s="9" t="s">
        <v>7398</v>
      </c>
      <c r="JWW1" s="9" t="s">
        <v>7399</v>
      </c>
      <c r="JWX1" s="9" t="s">
        <v>7400</v>
      </c>
      <c r="JWY1" s="9" t="s">
        <v>7401</v>
      </c>
      <c r="JWZ1" s="9" t="s">
        <v>7402</v>
      </c>
      <c r="JXA1" s="9" t="s">
        <v>7403</v>
      </c>
      <c r="JXB1" s="9" t="s">
        <v>7404</v>
      </c>
      <c r="JXC1" s="9" t="s">
        <v>7405</v>
      </c>
      <c r="JXD1" s="9" t="s">
        <v>7406</v>
      </c>
      <c r="JXE1" s="9" t="s">
        <v>7407</v>
      </c>
      <c r="JXF1" s="9" t="s">
        <v>7408</v>
      </c>
      <c r="JXG1" s="9" t="s">
        <v>7409</v>
      </c>
      <c r="JXH1" s="9" t="s">
        <v>7410</v>
      </c>
      <c r="JXI1" s="9" t="s">
        <v>7411</v>
      </c>
      <c r="JXJ1" s="9" t="s">
        <v>7412</v>
      </c>
      <c r="JXK1" s="9" t="s">
        <v>7413</v>
      </c>
      <c r="JXL1" s="9" t="s">
        <v>7414</v>
      </c>
      <c r="JXM1" s="9" t="s">
        <v>7415</v>
      </c>
      <c r="JXN1" s="9" t="s">
        <v>7416</v>
      </c>
      <c r="JXO1" s="9" t="s">
        <v>7417</v>
      </c>
      <c r="JXP1" s="9" t="s">
        <v>7418</v>
      </c>
      <c r="JXQ1" s="9" t="s">
        <v>7419</v>
      </c>
      <c r="JXR1" s="9" t="s">
        <v>7420</v>
      </c>
      <c r="JXS1" s="9" t="s">
        <v>7421</v>
      </c>
      <c r="JXT1" s="9" t="s">
        <v>7422</v>
      </c>
      <c r="JXU1" s="9" t="s">
        <v>7423</v>
      </c>
      <c r="JXV1" s="9" t="s">
        <v>7424</v>
      </c>
      <c r="JXW1" s="9" t="s">
        <v>7425</v>
      </c>
      <c r="JXX1" s="9" t="s">
        <v>7426</v>
      </c>
      <c r="JXY1" s="9" t="s">
        <v>7427</v>
      </c>
      <c r="JXZ1" s="9" t="s">
        <v>7428</v>
      </c>
      <c r="JYA1" s="9" t="s">
        <v>7429</v>
      </c>
      <c r="JYB1" s="9" t="s">
        <v>7430</v>
      </c>
      <c r="JYC1" s="9" t="s">
        <v>7431</v>
      </c>
      <c r="JYD1" s="9" t="s">
        <v>7432</v>
      </c>
      <c r="JYE1" s="9" t="s">
        <v>7433</v>
      </c>
      <c r="JYF1" s="9" t="s">
        <v>7434</v>
      </c>
      <c r="JYG1" s="9" t="s">
        <v>7435</v>
      </c>
      <c r="JYH1" s="9" t="s">
        <v>7436</v>
      </c>
      <c r="JYI1" s="9" t="s">
        <v>7437</v>
      </c>
      <c r="JYJ1" s="9" t="s">
        <v>7438</v>
      </c>
      <c r="JYK1" s="9" t="s">
        <v>7439</v>
      </c>
      <c r="JYL1" s="9" t="s">
        <v>7440</v>
      </c>
      <c r="JYM1" s="9" t="s">
        <v>7441</v>
      </c>
      <c r="JYN1" s="9" t="s">
        <v>7442</v>
      </c>
      <c r="JYO1" s="9" t="s">
        <v>7443</v>
      </c>
      <c r="JYP1" s="9" t="s">
        <v>7444</v>
      </c>
      <c r="JYQ1" s="9" t="s">
        <v>7445</v>
      </c>
      <c r="JYR1" s="9" t="s">
        <v>7446</v>
      </c>
      <c r="JYS1" s="9" t="s">
        <v>7447</v>
      </c>
      <c r="JYT1" s="9" t="s">
        <v>7448</v>
      </c>
      <c r="JYU1" s="9" t="s">
        <v>7449</v>
      </c>
      <c r="JYV1" s="9" t="s">
        <v>7450</v>
      </c>
      <c r="JYW1" s="9" t="s">
        <v>7451</v>
      </c>
      <c r="JYX1" s="9" t="s">
        <v>7452</v>
      </c>
      <c r="JYY1" s="9" t="s">
        <v>7453</v>
      </c>
      <c r="JYZ1" s="9" t="s">
        <v>7454</v>
      </c>
      <c r="JZA1" s="9" t="s">
        <v>7455</v>
      </c>
      <c r="JZB1" s="9" t="s">
        <v>7456</v>
      </c>
      <c r="JZC1" s="9" t="s">
        <v>7457</v>
      </c>
      <c r="JZD1" s="9" t="s">
        <v>7458</v>
      </c>
      <c r="JZE1" s="9" t="s">
        <v>7459</v>
      </c>
      <c r="JZF1" s="9" t="s">
        <v>7460</v>
      </c>
      <c r="JZG1" s="9" t="s">
        <v>7461</v>
      </c>
      <c r="JZH1" s="9" t="s">
        <v>7462</v>
      </c>
      <c r="JZI1" s="9" t="s">
        <v>7463</v>
      </c>
      <c r="JZJ1" s="9" t="s">
        <v>7464</v>
      </c>
      <c r="JZK1" s="9" t="s">
        <v>7465</v>
      </c>
      <c r="JZL1" s="9" t="s">
        <v>7466</v>
      </c>
      <c r="JZM1" s="9" t="s">
        <v>7467</v>
      </c>
      <c r="JZN1" s="9" t="s">
        <v>7468</v>
      </c>
      <c r="JZO1" s="9" t="s">
        <v>7469</v>
      </c>
      <c r="JZP1" s="9" t="s">
        <v>7470</v>
      </c>
      <c r="JZQ1" s="9" t="s">
        <v>7471</v>
      </c>
      <c r="JZR1" s="9" t="s">
        <v>7472</v>
      </c>
      <c r="JZS1" s="9" t="s">
        <v>7473</v>
      </c>
      <c r="JZT1" s="9" t="s">
        <v>7474</v>
      </c>
      <c r="JZU1" s="9" t="s">
        <v>7475</v>
      </c>
      <c r="JZV1" s="9" t="s">
        <v>7476</v>
      </c>
      <c r="JZW1" s="9" t="s">
        <v>7477</v>
      </c>
      <c r="JZX1" s="9" t="s">
        <v>7478</v>
      </c>
      <c r="JZY1" s="9" t="s">
        <v>7479</v>
      </c>
      <c r="JZZ1" s="9" t="s">
        <v>7480</v>
      </c>
      <c r="KAA1" s="9" t="s">
        <v>7481</v>
      </c>
      <c r="KAB1" s="9" t="s">
        <v>7482</v>
      </c>
      <c r="KAC1" s="9" t="s">
        <v>7483</v>
      </c>
      <c r="KAD1" s="9" t="s">
        <v>7484</v>
      </c>
      <c r="KAE1" s="9" t="s">
        <v>7485</v>
      </c>
      <c r="KAF1" s="9" t="s">
        <v>7486</v>
      </c>
      <c r="KAG1" s="9" t="s">
        <v>7487</v>
      </c>
      <c r="KAH1" s="9" t="s">
        <v>7488</v>
      </c>
      <c r="KAI1" s="9" t="s">
        <v>7489</v>
      </c>
      <c r="KAJ1" s="9" t="s">
        <v>7490</v>
      </c>
      <c r="KAK1" s="9" t="s">
        <v>7491</v>
      </c>
      <c r="KAL1" s="9" t="s">
        <v>7492</v>
      </c>
      <c r="KAM1" s="9" t="s">
        <v>7493</v>
      </c>
      <c r="KAN1" s="9" t="s">
        <v>7494</v>
      </c>
      <c r="KAO1" s="9" t="s">
        <v>7495</v>
      </c>
      <c r="KAP1" s="9" t="s">
        <v>7496</v>
      </c>
      <c r="KAQ1" s="9" t="s">
        <v>7497</v>
      </c>
      <c r="KAR1" s="9" t="s">
        <v>7498</v>
      </c>
      <c r="KAS1" s="9" t="s">
        <v>7499</v>
      </c>
      <c r="KAT1" s="9" t="s">
        <v>7500</v>
      </c>
      <c r="KAU1" s="9" t="s">
        <v>7501</v>
      </c>
      <c r="KAV1" s="9" t="s">
        <v>7502</v>
      </c>
      <c r="KAW1" s="9" t="s">
        <v>7503</v>
      </c>
      <c r="KAX1" s="9" t="s">
        <v>7504</v>
      </c>
      <c r="KAY1" s="9" t="s">
        <v>7505</v>
      </c>
      <c r="KAZ1" s="9" t="s">
        <v>7506</v>
      </c>
      <c r="KBA1" s="9" t="s">
        <v>7507</v>
      </c>
      <c r="KBB1" s="9" t="s">
        <v>7508</v>
      </c>
      <c r="KBC1" s="9" t="s">
        <v>7509</v>
      </c>
      <c r="KBD1" s="9" t="s">
        <v>7510</v>
      </c>
      <c r="KBE1" s="9" t="s">
        <v>7511</v>
      </c>
      <c r="KBF1" s="9" t="s">
        <v>7512</v>
      </c>
      <c r="KBG1" s="9" t="s">
        <v>7513</v>
      </c>
      <c r="KBH1" s="9" t="s">
        <v>7514</v>
      </c>
      <c r="KBI1" s="9" t="s">
        <v>7515</v>
      </c>
      <c r="KBJ1" s="9" t="s">
        <v>7516</v>
      </c>
      <c r="KBK1" s="9" t="s">
        <v>7517</v>
      </c>
      <c r="KBL1" s="9" t="s">
        <v>7518</v>
      </c>
      <c r="KBM1" s="9" t="s">
        <v>7519</v>
      </c>
      <c r="KBN1" s="9" t="s">
        <v>7520</v>
      </c>
      <c r="KBO1" s="9" t="s">
        <v>7521</v>
      </c>
      <c r="KBP1" s="9" t="s">
        <v>7522</v>
      </c>
      <c r="KBQ1" s="9" t="s">
        <v>7523</v>
      </c>
      <c r="KBR1" s="9" t="s">
        <v>7524</v>
      </c>
      <c r="KBS1" s="9" t="s">
        <v>7525</v>
      </c>
      <c r="KBT1" s="9" t="s">
        <v>7526</v>
      </c>
      <c r="KBU1" s="9" t="s">
        <v>7527</v>
      </c>
      <c r="KBV1" s="9" t="s">
        <v>7528</v>
      </c>
      <c r="KBW1" s="9" t="s">
        <v>7529</v>
      </c>
      <c r="KBX1" s="9" t="s">
        <v>7530</v>
      </c>
      <c r="KBY1" s="9" t="s">
        <v>7531</v>
      </c>
      <c r="KBZ1" s="9" t="s">
        <v>7532</v>
      </c>
      <c r="KCA1" s="9" t="s">
        <v>7533</v>
      </c>
      <c r="KCB1" s="9" t="s">
        <v>7534</v>
      </c>
      <c r="KCC1" s="9" t="s">
        <v>7535</v>
      </c>
      <c r="KCD1" s="9" t="s">
        <v>7536</v>
      </c>
      <c r="KCE1" s="9" t="s">
        <v>7537</v>
      </c>
      <c r="KCF1" s="9" t="s">
        <v>7538</v>
      </c>
      <c r="KCG1" s="9" t="s">
        <v>7539</v>
      </c>
      <c r="KCH1" s="9" t="s">
        <v>7540</v>
      </c>
      <c r="KCI1" s="9" t="s">
        <v>7541</v>
      </c>
      <c r="KCJ1" s="9" t="s">
        <v>7542</v>
      </c>
      <c r="KCK1" s="9" t="s">
        <v>7543</v>
      </c>
      <c r="KCL1" s="9" t="s">
        <v>7544</v>
      </c>
      <c r="KCM1" s="9" t="s">
        <v>7545</v>
      </c>
      <c r="KCN1" s="9" t="s">
        <v>7546</v>
      </c>
      <c r="KCO1" s="9" t="s">
        <v>7547</v>
      </c>
      <c r="KCP1" s="9" t="s">
        <v>7548</v>
      </c>
      <c r="KCQ1" s="9" t="s">
        <v>7549</v>
      </c>
      <c r="KCR1" s="9" t="s">
        <v>7550</v>
      </c>
      <c r="KCS1" s="9" t="s">
        <v>7551</v>
      </c>
      <c r="KCT1" s="9" t="s">
        <v>7552</v>
      </c>
      <c r="KCU1" s="9" t="s">
        <v>7553</v>
      </c>
      <c r="KCV1" s="9" t="s">
        <v>7554</v>
      </c>
      <c r="KCW1" s="9" t="s">
        <v>7555</v>
      </c>
      <c r="KCX1" s="9" t="s">
        <v>7556</v>
      </c>
      <c r="KCY1" s="9" t="s">
        <v>7557</v>
      </c>
      <c r="KCZ1" s="9" t="s">
        <v>7558</v>
      </c>
      <c r="KDA1" s="9" t="s">
        <v>7559</v>
      </c>
      <c r="KDB1" s="9" t="s">
        <v>7560</v>
      </c>
      <c r="KDC1" s="9" t="s">
        <v>7561</v>
      </c>
      <c r="KDD1" s="9" t="s">
        <v>7562</v>
      </c>
      <c r="KDE1" s="9" t="s">
        <v>7563</v>
      </c>
      <c r="KDF1" s="9" t="s">
        <v>7564</v>
      </c>
      <c r="KDG1" s="9" t="s">
        <v>7565</v>
      </c>
      <c r="KDH1" s="9" t="s">
        <v>7566</v>
      </c>
      <c r="KDI1" s="9" t="s">
        <v>7567</v>
      </c>
      <c r="KDJ1" s="9" t="s">
        <v>7568</v>
      </c>
      <c r="KDK1" s="9" t="s">
        <v>7569</v>
      </c>
      <c r="KDL1" s="9" t="s">
        <v>7570</v>
      </c>
      <c r="KDM1" s="9" t="s">
        <v>7571</v>
      </c>
      <c r="KDN1" s="9" t="s">
        <v>7572</v>
      </c>
      <c r="KDO1" s="9" t="s">
        <v>7573</v>
      </c>
      <c r="KDP1" s="9" t="s">
        <v>7574</v>
      </c>
      <c r="KDQ1" s="9" t="s">
        <v>7575</v>
      </c>
      <c r="KDR1" s="9" t="s">
        <v>7576</v>
      </c>
      <c r="KDS1" s="9" t="s">
        <v>7577</v>
      </c>
      <c r="KDT1" s="9" t="s">
        <v>7578</v>
      </c>
      <c r="KDU1" s="9" t="s">
        <v>7579</v>
      </c>
      <c r="KDV1" s="9" t="s">
        <v>7580</v>
      </c>
      <c r="KDW1" s="9" t="s">
        <v>7581</v>
      </c>
      <c r="KDX1" s="9" t="s">
        <v>7582</v>
      </c>
      <c r="KDY1" s="9" t="s">
        <v>7583</v>
      </c>
      <c r="KDZ1" s="9" t="s">
        <v>7584</v>
      </c>
      <c r="KEA1" s="9" t="s">
        <v>7585</v>
      </c>
      <c r="KEB1" s="9" t="s">
        <v>7586</v>
      </c>
      <c r="KEC1" s="9" t="s">
        <v>7587</v>
      </c>
      <c r="KED1" s="9" t="s">
        <v>7588</v>
      </c>
      <c r="KEE1" s="9" t="s">
        <v>7589</v>
      </c>
      <c r="KEF1" s="9" t="s">
        <v>7590</v>
      </c>
      <c r="KEG1" s="9" t="s">
        <v>7591</v>
      </c>
      <c r="KEH1" s="9" t="s">
        <v>7592</v>
      </c>
      <c r="KEI1" s="9" t="s">
        <v>7593</v>
      </c>
      <c r="KEJ1" s="9" t="s">
        <v>7594</v>
      </c>
      <c r="KEK1" s="9" t="s">
        <v>7595</v>
      </c>
      <c r="KEL1" s="9" t="s">
        <v>7596</v>
      </c>
      <c r="KEM1" s="9" t="s">
        <v>7597</v>
      </c>
      <c r="KEN1" s="9" t="s">
        <v>7598</v>
      </c>
      <c r="KEO1" s="9" t="s">
        <v>7599</v>
      </c>
      <c r="KEP1" s="9" t="s">
        <v>7600</v>
      </c>
      <c r="KEQ1" s="9" t="s">
        <v>7601</v>
      </c>
      <c r="KER1" s="9" t="s">
        <v>7602</v>
      </c>
      <c r="KES1" s="9" t="s">
        <v>7603</v>
      </c>
      <c r="KET1" s="9" t="s">
        <v>7604</v>
      </c>
      <c r="KEU1" s="9" t="s">
        <v>7605</v>
      </c>
      <c r="KEV1" s="9" t="s">
        <v>7606</v>
      </c>
      <c r="KEW1" s="9" t="s">
        <v>7607</v>
      </c>
      <c r="KEX1" s="9" t="s">
        <v>7608</v>
      </c>
      <c r="KEY1" s="9" t="s">
        <v>7609</v>
      </c>
      <c r="KEZ1" s="9" t="s">
        <v>7610</v>
      </c>
      <c r="KFA1" s="9" t="s">
        <v>7611</v>
      </c>
      <c r="KFB1" s="9" t="s">
        <v>7612</v>
      </c>
      <c r="KFC1" s="9" t="s">
        <v>7613</v>
      </c>
      <c r="KFD1" s="9" t="s">
        <v>7614</v>
      </c>
      <c r="KFE1" s="9" t="s">
        <v>7615</v>
      </c>
      <c r="KFF1" s="9" t="s">
        <v>7616</v>
      </c>
      <c r="KFG1" s="9" t="s">
        <v>7617</v>
      </c>
      <c r="KFH1" s="9" t="s">
        <v>7618</v>
      </c>
      <c r="KFI1" s="9" t="s">
        <v>7619</v>
      </c>
      <c r="KFJ1" s="9" t="s">
        <v>7620</v>
      </c>
      <c r="KFK1" s="9" t="s">
        <v>7621</v>
      </c>
      <c r="KFL1" s="9" t="s">
        <v>7622</v>
      </c>
      <c r="KFM1" s="9" t="s">
        <v>7623</v>
      </c>
      <c r="KFN1" s="9" t="s">
        <v>7624</v>
      </c>
      <c r="KFO1" s="9" t="s">
        <v>7625</v>
      </c>
      <c r="KFP1" s="9" t="s">
        <v>7626</v>
      </c>
      <c r="KFQ1" s="9" t="s">
        <v>7627</v>
      </c>
      <c r="KFR1" s="9" t="s">
        <v>7628</v>
      </c>
      <c r="KFS1" s="9" t="s">
        <v>7629</v>
      </c>
      <c r="KFT1" s="9" t="s">
        <v>7630</v>
      </c>
      <c r="KFU1" s="9" t="s">
        <v>7631</v>
      </c>
      <c r="KFV1" s="9" t="s">
        <v>7632</v>
      </c>
      <c r="KFW1" s="9" t="s">
        <v>7633</v>
      </c>
      <c r="KFX1" s="9" t="s">
        <v>7634</v>
      </c>
      <c r="KFY1" s="9" t="s">
        <v>7635</v>
      </c>
      <c r="KFZ1" s="9" t="s">
        <v>7636</v>
      </c>
      <c r="KGA1" s="9" t="s">
        <v>7637</v>
      </c>
      <c r="KGB1" s="9" t="s">
        <v>7638</v>
      </c>
      <c r="KGC1" s="9" t="s">
        <v>7639</v>
      </c>
      <c r="KGD1" s="9" t="s">
        <v>7640</v>
      </c>
      <c r="KGE1" s="9" t="s">
        <v>7641</v>
      </c>
      <c r="KGF1" s="9" t="s">
        <v>7642</v>
      </c>
      <c r="KGG1" s="9" t="s">
        <v>7643</v>
      </c>
      <c r="KGH1" s="9" t="s">
        <v>7644</v>
      </c>
      <c r="KGI1" s="9" t="s">
        <v>7645</v>
      </c>
      <c r="KGJ1" s="9" t="s">
        <v>7646</v>
      </c>
      <c r="KGK1" s="9" t="s">
        <v>7647</v>
      </c>
      <c r="KGL1" s="9" t="s">
        <v>7648</v>
      </c>
      <c r="KGM1" s="9" t="s">
        <v>7649</v>
      </c>
      <c r="KGN1" s="9" t="s">
        <v>7650</v>
      </c>
      <c r="KGO1" s="9" t="s">
        <v>7651</v>
      </c>
      <c r="KGP1" s="9" t="s">
        <v>7652</v>
      </c>
      <c r="KGQ1" s="9" t="s">
        <v>7653</v>
      </c>
      <c r="KGR1" s="9" t="s">
        <v>7654</v>
      </c>
      <c r="KGS1" s="9" t="s">
        <v>7655</v>
      </c>
      <c r="KGT1" s="9" t="s">
        <v>7656</v>
      </c>
      <c r="KGU1" s="9" t="s">
        <v>7657</v>
      </c>
      <c r="KGV1" s="9" t="s">
        <v>7658</v>
      </c>
      <c r="KGW1" s="9" t="s">
        <v>7659</v>
      </c>
      <c r="KGX1" s="9" t="s">
        <v>7660</v>
      </c>
      <c r="KGY1" s="9" t="s">
        <v>7661</v>
      </c>
      <c r="KGZ1" s="9" t="s">
        <v>7662</v>
      </c>
      <c r="KHA1" s="9" t="s">
        <v>7663</v>
      </c>
      <c r="KHB1" s="9" t="s">
        <v>7664</v>
      </c>
      <c r="KHC1" s="9" t="s">
        <v>7665</v>
      </c>
      <c r="KHD1" s="9" t="s">
        <v>7666</v>
      </c>
      <c r="KHE1" s="9" t="s">
        <v>7667</v>
      </c>
      <c r="KHF1" s="9" t="s">
        <v>7668</v>
      </c>
      <c r="KHG1" s="9" t="s">
        <v>7669</v>
      </c>
      <c r="KHH1" s="9" t="s">
        <v>7670</v>
      </c>
      <c r="KHI1" s="9" t="s">
        <v>7671</v>
      </c>
      <c r="KHJ1" s="9" t="s">
        <v>7672</v>
      </c>
      <c r="KHK1" s="9" t="s">
        <v>7673</v>
      </c>
      <c r="KHL1" s="9" t="s">
        <v>7674</v>
      </c>
      <c r="KHM1" s="9" t="s">
        <v>7675</v>
      </c>
      <c r="KHN1" s="9" t="s">
        <v>7676</v>
      </c>
      <c r="KHO1" s="9" t="s">
        <v>7677</v>
      </c>
      <c r="KHP1" s="9" t="s">
        <v>7678</v>
      </c>
      <c r="KHQ1" s="9" t="s">
        <v>7679</v>
      </c>
      <c r="KHR1" s="9" t="s">
        <v>7680</v>
      </c>
      <c r="KHS1" s="9" t="s">
        <v>7681</v>
      </c>
      <c r="KHT1" s="9" t="s">
        <v>7682</v>
      </c>
      <c r="KHU1" s="9" t="s">
        <v>7683</v>
      </c>
      <c r="KHV1" s="9" t="s">
        <v>7684</v>
      </c>
      <c r="KHW1" s="9" t="s">
        <v>7685</v>
      </c>
      <c r="KHX1" s="9" t="s">
        <v>7686</v>
      </c>
      <c r="KHY1" s="9" t="s">
        <v>7687</v>
      </c>
      <c r="KHZ1" s="9" t="s">
        <v>7688</v>
      </c>
      <c r="KIA1" s="9" t="s">
        <v>7689</v>
      </c>
      <c r="KIB1" s="9" t="s">
        <v>7690</v>
      </c>
      <c r="KIC1" s="9" t="s">
        <v>7691</v>
      </c>
      <c r="KID1" s="9" t="s">
        <v>7692</v>
      </c>
      <c r="KIE1" s="9" t="s">
        <v>7693</v>
      </c>
      <c r="KIF1" s="9" t="s">
        <v>7694</v>
      </c>
      <c r="KIG1" s="9" t="s">
        <v>7695</v>
      </c>
      <c r="KIH1" s="9" t="s">
        <v>7696</v>
      </c>
      <c r="KII1" s="9" t="s">
        <v>7697</v>
      </c>
      <c r="KIJ1" s="9" t="s">
        <v>7698</v>
      </c>
      <c r="KIK1" s="9" t="s">
        <v>7699</v>
      </c>
      <c r="KIL1" s="9" t="s">
        <v>7700</v>
      </c>
      <c r="KIM1" s="9" t="s">
        <v>7701</v>
      </c>
      <c r="KIN1" s="9" t="s">
        <v>7702</v>
      </c>
      <c r="KIO1" s="9" t="s">
        <v>7703</v>
      </c>
      <c r="KIP1" s="9" t="s">
        <v>7704</v>
      </c>
      <c r="KIQ1" s="9" t="s">
        <v>7705</v>
      </c>
      <c r="KIR1" s="9" t="s">
        <v>7706</v>
      </c>
      <c r="KIS1" s="9" t="s">
        <v>7707</v>
      </c>
      <c r="KIT1" s="9" t="s">
        <v>7708</v>
      </c>
      <c r="KIU1" s="9" t="s">
        <v>7709</v>
      </c>
      <c r="KIV1" s="9" t="s">
        <v>7710</v>
      </c>
      <c r="KIW1" s="9" t="s">
        <v>7711</v>
      </c>
      <c r="KIX1" s="9" t="s">
        <v>7712</v>
      </c>
      <c r="KIY1" s="9" t="s">
        <v>7713</v>
      </c>
      <c r="KIZ1" s="9" t="s">
        <v>7714</v>
      </c>
      <c r="KJA1" s="9" t="s">
        <v>7715</v>
      </c>
      <c r="KJB1" s="9" t="s">
        <v>7716</v>
      </c>
      <c r="KJC1" s="9" t="s">
        <v>7717</v>
      </c>
      <c r="KJD1" s="9" t="s">
        <v>7718</v>
      </c>
      <c r="KJE1" s="9" t="s">
        <v>7719</v>
      </c>
      <c r="KJF1" s="9" t="s">
        <v>7720</v>
      </c>
      <c r="KJG1" s="9" t="s">
        <v>7721</v>
      </c>
      <c r="KJH1" s="9" t="s">
        <v>7722</v>
      </c>
      <c r="KJI1" s="9" t="s">
        <v>7723</v>
      </c>
      <c r="KJJ1" s="9" t="s">
        <v>7724</v>
      </c>
      <c r="KJK1" s="9" t="s">
        <v>7725</v>
      </c>
      <c r="KJL1" s="9" t="s">
        <v>7726</v>
      </c>
      <c r="KJM1" s="9" t="s">
        <v>7727</v>
      </c>
      <c r="KJN1" s="9" t="s">
        <v>7728</v>
      </c>
      <c r="KJO1" s="9" t="s">
        <v>7729</v>
      </c>
      <c r="KJP1" s="9" t="s">
        <v>7730</v>
      </c>
      <c r="KJQ1" s="9" t="s">
        <v>7731</v>
      </c>
      <c r="KJR1" s="9" t="s">
        <v>7732</v>
      </c>
      <c r="KJS1" s="9" t="s">
        <v>7733</v>
      </c>
      <c r="KJT1" s="9" t="s">
        <v>7734</v>
      </c>
      <c r="KJU1" s="9" t="s">
        <v>7735</v>
      </c>
      <c r="KJV1" s="9" t="s">
        <v>7736</v>
      </c>
      <c r="KJW1" s="9" t="s">
        <v>7737</v>
      </c>
      <c r="KJX1" s="9" t="s">
        <v>7738</v>
      </c>
      <c r="KJY1" s="9" t="s">
        <v>7739</v>
      </c>
      <c r="KJZ1" s="9" t="s">
        <v>7740</v>
      </c>
      <c r="KKA1" s="9" t="s">
        <v>7741</v>
      </c>
      <c r="KKB1" s="9" t="s">
        <v>7742</v>
      </c>
      <c r="KKC1" s="9" t="s">
        <v>7743</v>
      </c>
      <c r="KKD1" s="9" t="s">
        <v>7744</v>
      </c>
      <c r="KKE1" s="9" t="s">
        <v>7745</v>
      </c>
      <c r="KKF1" s="9" t="s">
        <v>7746</v>
      </c>
      <c r="KKG1" s="9" t="s">
        <v>7747</v>
      </c>
      <c r="KKH1" s="9" t="s">
        <v>7748</v>
      </c>
      <c r="KKI1" s="9" t="s">
        <v>7749</v>
      </c>
      <c r="KKJ1" s="9" t="s">
        <v>7750</v>
      </c>
      <c r="KKK1" s="9" t="s">
        <v>7751</v>
      </c>
      <c r="KKL1" s="9" t="s">
        <v>7752</v>
      </c>
      <c r="KKM1" s="9" t="s">
        <v>7753</v>
      </c>
      <c r="KKN1" s="9" t="s">
        <v>7754</v>
      </c>
      <c r="KKO1" s="9" t="s">
        <v>7755</v>
      </c>
      <c r="KKP1" s="9" t="s">
        <v>7756</v>
      </c>
      <c r="KKQ1" s="9" t="s">
        <v>7757</v>
      </c>
      <c r="KKR1" s="9" t="s">
        <v>7758</v>
      </c>
      <c r="KKS1" s="9" t="s">
        <v>7759</v>
      </c>
      <c r="KKT1" s="9" t="s">
        <v>7760</v>
      </c>
      <c r="KKU1" s="9" t="s">
        <v>7761</v>
      </c>
      <c r="KKV1" s="9" t="s">
        <v>7762</v>
      </c>
      <c r="KKW1" s="9" t="s">
        <v>7763</v>
      </c>
      <c r="KKX1" s="9" t="s">
        <v>7764</v>
      </c>
      <c r="KKY1" s="9" t="s">
        <v>7765</v>
      </c>
      <c r="KKZ1" s="9" t="s">
        <v>7766</v>
      </c>
      <c r="KLA1" s="9" t="s">
        <v>7767</v>
      </c>
      <c r="KLB1" s="9" t="s">
        <v>7768</v>
      </c>
      <c r="KLC1" s="9" t="s">
        <v>7769</v>
      </c>
      <c r="KLD1" s="9" t="s">
        <v>7770</v>
      </c>
      <c r="KLE1" s="9" t="s">
        <v>7771</v>
      </c>
      <c r="KLF1" s="9" t="s">
        <v>7772</v>
      </c>
      <c r="KLG1" s="9" t="s">
        <v>7773</v>
      </c>
      <c r="KLH1" s="9" t="s">
        <v>7774</v>
      </c>
      <c r="KLI1" s="9" t="s">
        <v>7775</v>
      </c>
      <c r="KLJ1" s="9" t="s">
        <v>7776</v>
      </c>
      <c r="KLK1" s="9" t="s">
        <v>7777</v>
      </c>
      <c r="KLL1" s="9" t="s">
        <v>7778</v>
      </c>
      <c r="KLM1" s="9" t="s">
        <v>7779</v>
      </c>
      <c r="KLN1" s="9" t="s">
        <v>7780</v>
      </c>
      <c r="KLO1" s="9" t="s">
        <v>7781</v>
      </c>
      <c r="KLP1" s="9" t="s">
        <v>7782</v>
      </c>
      <c r="KLQ1" s="9" t="s">
        <v>7783</v>
      </c>
      <c r="KLR1" s="9" t="s">
        <v>7784</v>
      </c>
      <c r="KLS1" s="9" t="s">
        <v>7785</v>
      </c>
      <c r="KLT1" s="9" t="s">
        <v>7786</v>
      </c>
      <c r="KLU1" s="9" t="s">
        <v>7787</v>
      </c>
      <c r="KLV1" s="9" t="s">
        <v>7788</v>
      </c>
      <c r="KLW1" s="9" t="s">
        <v>7789</v>
      </c>
      <c r="KLX1" s="9" t="s">
        <v>7790</v>
      </c>
      <c r="KLY1" s="9" t="s">
        <v>7791</v>
      </c>
      <c r="KLZ1" s="9" t="s">
        <v>7792</v>
      </c>
      <c r="KMA1" s="9" t="s">
        <v>7793</v>
      </c>
      <c r="KMB1" s="9" t="s">
        <v>7794</v>
      </c>
      <c r="KMC1" s="9" t="s">
        <v>7795</v>
      </c>
      <c r="KMD1" s="9" t="s">
        <v>7796</v>
      </c>
      <c r="KME1" s="9" t="s">
        <v>7797</v>
      </c>
      <c r="KMF1" s="9" t="s">
        <v>7798</v>
      </c>
      <c r="KMG1" s="9" t="s">
        <v>7799</v>
      </c>
      <c r="KMH1" s="9" t="s">
        <v>7800</v>
      </c>
      <c r="KMI1" s="9" t="s">
        <v>7801</v>
      </c>
      <c r="KMJ1" s="9" t="s">
        <v>7802</v>
      </c>
      <c r="KMK1" s="9" t="s">
        <v>7803</v>
      </c>
      <c r="KML1" s="9" t="s">
        <v>7804</v>
      </c>
      <c r="KMM1" s="9" t="s">
        <v>7805</v>
      </c>
      <c r="KMN1" s="9" t="s">
        <v>7806</v>
      </c>
      <c r="KMO1" s="9" t="s">
        <v>7807</v>
      </c>
      <c r="KMP1" s="9" t="s">
        <v>7808</v>
      </c>
      <c r="KMQ1" s="9" t="s">
        <v>7809</v>
      </c>
      <c r="KMR1" s="9" t="s">
        <v>7810</v>
      </c>
      <c r="KMS1" s="9" t="s">
        <v>7811</v>
      </c>
      <c r="KMT1" s="9" t="s">
        <v>7812</v>
      </c>
      <c r="KMU1" s="9" t="s">
        <v>7813</v>
      </c>
      <c r="KMV1" s="9" t="s">
        <v>7814</v>
      </c>
      <c r="KMW1" s="9" t="s">
        <v>7815</v>
      </c>
      <c r="KMX1" s="9" t="s">
        <v>7816</v>
      </c>
      <c r="KMY1" s="9" t="s">
        <v>7817</v>
      </c>
      <c r="KMZ1" s="9" t="s">
        <v>7818</v>
      </c>
      <c r="KNA1" s="9" t="s">
        <v>7819</v>
      </c>
      <c r="KNB1" s="9" t="s">
        <v>7820</v>
      </c>
      <c r="KNC1" s="9" t="s">
        <v>7821</v>
      </c>
      <c r="KND1" s="9" t="s">
        <v>7822</v>
      </c>
      <c r="KNE1" s="9" t="s">
        <v>7823</v>
      </c>
      <c r="KNF1" s="9" t="s">
        <v>7824</v>
      </c>
      <c r="KNG1" s="9" t="s">
        <v>7825</v>
      </c>
      <c r="KNH1" s="9" t="s">
        <v>7826</v>
      </c>
      <c r="KNI1" s="9" t="s">
        <v>7827</v>
      </c>
      <c r="KNJ1" s="9" t="s">
        <v>7828</v>
      </c>
      <c r="KNK1" s="9" t="s">
        <v>7829</v>
      </c>
      <c r="KNL1" s="9" t="s">
        <v>7830</v>
      </c>
      <c r="KNM1" s="9" t="s">
        <v>7831</v>
      </c>
      <c r="KNN1" s="9" t="s">
        <v>7832</v>
      </c>
      <c r="KNO1" s="9" t="s">
        <v>7833</v>
      </c>
      <c r="KNP1" s="9" t="s">
        <v>7834</v>
      </c>
      <c r="KNQ1" s="9" t="s">
        <v>7835</v>
      </c>
      <c r="KNR1" s="9" t="s">
        <v>7836</v>
      </c>
      <c r="KNS1" s="9" t="s">
        <v>7837</v>
      </c>
      <c r="KNT1" s="9" t="s">
        <v>7838</v>
      </c>
      <c r="KNU1" s="9" t="s">
        <v>7839</v>
      </c>
      <c r="KNV1" s="9" t="s">
        <v>7840</v>
      </c>
      <c r="KNW1" s="9" t="s">
        <v>7841</v>
      </c>
      <c r="KNX1" s="9" t="s">
        <v>7842</v>
      </c>
      <c r="KNY1" s="9" t="s">
        <v>7843</v>
      </c>
      <c r="KNZ1" s="9" t="s">
        <v>7844</v>
      </c>
      <c r="KOA1" s="9" t="s">
        <v>7845</v>
      </c>
      <c r="KOB1" s="9" t="s">
        <v>7846</v>
      </c>
      <c r="KOC1" s="9" t="s">
        <v>7847</v>
      </c>
      <c r="KOD1" s="9" t="s">
        <v>7848</v>
      </c>
      <c r="KOE1" s="9" t="s">
        <v>7849</v>
      </c>
      <c r="KOF1" s="9" t="s">
        <v>7850</v>
      </c>
      <c r="KOG1" s="9" t="s">
        <v>7851</v>
      </c>
      <c r="KOH1" s="9" t="s">
        <v>7852</v>
      </c>
      <c r="KOI1" s="9" t="s">
        <v>7853</v>
      </c>
      <c r="KOJ1" s="9" t="s">
        <v>7854</v>
      </c>
      <c r="KOK1" s="9" t="s">
        <v>7855</v>
      </c>
      <c r="KOL1" s="9" t="s">
        <v>7856</v>
      </c>
      <c r="KOM1" s="9" t="s">
        <v>7857</v>
      </c>
      <c r="KON1" s="9" t="s">
        <v>7858</v>
      </c>
      <c r="KOO1" s="9" t="s">
        <v>7859</v>
      </c>
      <c r="KOP1" s="9" t="s">
        <v>7860</v>
      </c>
      <c r="KOQ1" s="9" t="s">
        <v>7861</v>
      </c>
      <c r="KOR1" s="9" t="s">
        <v>7862</v>
      </c>
      <c r="KOS1" s="9" t="s">
        <v>7863</v>
      </c>
      <c r="KOT1" s="9" t="s">
        <v>7864</v>
      </c>
      <c r="KOU1" s="9" t="s">
        <v>7865</v>
      </c>
      <c r="KOV1" s="9" t="s">
        <v>7866</v>
      </c>
      <c r="KOW1" s="9" t="s">
        <v>7867</v>
      </c>
      <c r="KOX1" s="9" t="s">
        <v>7868</v>
      </c>
      <c r="KOY1" s="9" t="s">
        <v>7869</v>
      </c>
      <c r="KOZ1" s="9" t="s">
        <v>7870</v>
      </c>
      <c r="KPA1" s="9" t="s">
        <v>7871</v>
      </c>
      <c r="KPB1" s="9" t="s">
        <v>7872</v>
      </c>
      <c r="KPC1" s="9" t="s">
        <v>7873</v>
      </c>
      <c r="KPD1" s="9" t="s">
        <v>7874</v>
      </c>
      <c r="KPE1" s="9" t="s">
        <v>7875</v>
      </c>
      <c r="KPF1" s="9" t="s">
        <v>7876</v>
      </c>
      <c r="KPG1" s="9" t="s">
        <v>7877</v>
      </c>
      <c r="KPH1" s="9" t="s">
        <v>7878</v>
      </c>
      <c r="KPI1" s="9" t="s">
        <v>7879</v>
      </c>
      <c r="KPJ1" s="9" t="s">
        <v>7880</v>
      </c>
      <c r="KPK1" s="9" t="s">
        <v>7881</v>
      </c>
      <c r="KPL1" s="9" t="s">
        <v>7882</v>
      </c>
      <c r="KPM1" s="9" t="s">
        <v>7883</v>
      </c>
      <c r="KPN1" s="9" t="s">
        <v>7884</v>
      </c>
      <c r="KPO1" s="9" t="s">
        <v>7885</v>
      </c>
      <c r="KPP1" s="9" t="s">
        <v>7886</v>
      </c>
      <c r="KPQ1" s="9" t="s">
        <v>7887</v>
      </c>
      <c r="KPR1" s="9" t="s">
        <v>7888</v>
      </c>
      <c r="KPS1" s="9" t="s">
        <v>7889</v>
      </c>
      <c r="KPT1" s="9" t="s">
        <v>7890</v>
      </c>
      <c r="KPU1" s="9" t="s">
        <v>7891</v>
      </c>
      <c r="KPV1" s="9" t="s">
        <v>7892</v>
      </c>
      <c r="KPW1" s="9" t="s">
        <v>7893</v>
      </c>
      <c r="KPX1" s="9" t="s">
        <v>7894</v>
      </c>
      <c r="KPY1" s="9" t="s">
        <v>7895</v>
      </c>
      <c r="KPZ1" s="9" t="s">
        <v>7896</v>
      </c>
      <c r="KQA1" s="9" t="s">
        <v>7897</v>
      </c>
      <c r="KQB1" s="9" t="s">
        <v>7898</v>
      </c>
      <c r="KQC1" s="9" t="s">
        <v>7899</v>
      </c>
      <c r="KQD1" s="9" t="s">
        <v>7900</v>
      </c>
      <c r="KQE1" s="9" t="s">
        <v>7901</v>
      </c>
      <c r="KQF1" s="9" t="s">
        <v>7902</v>
      </c>
      <c r="KQG1" s="9" t="s">
        <v>7903</v>
      </c>
      <c r="KQH1" s="9" t="s">
        <v>7904</v>
      </c>
      <c r="KQI1" s="9" t="s">
        <v>7905</v>
      </c>
      <c r="KQJ1" s="9" t="s">
        <v>7906</v>
      </c>
      <c r="KQK1" s="9" t="s">
        <v>7907</v>
      </c>
      <c r="KQL1" s="9" t="s">
        <v>7908</v>
      </c>
      <c r="KQM1" s="9" t="s">
        <v>7909</v>
      </c>
      <c r="KQN1" s="9" t="s">
        <v>7910</v>
      </c>
      <c r="KQO1" s="9" t="s">
        <v>7911</v>
      </c>
      <c r="KQP1" s="9" t="s">
        <v>7912</v>
      </c>
      <c r="KQQ1" s="9" t="s">
        <v>7913</v>
      </c>
      <c r="KQR1" s="9" t="s">
        <v>7914</v>
      </c>
      <c r="KQS1" s="9" t="s">
        <v>7915</v>
      </c>
      <c r="KQT1" s="9" t="s">
        <v>7916</v>
      </c>
      <c r="KQU1" s="9" t="s">
        <v>7917</v>
      </c>
      <c r="KQV1" s="9" t="s">
        <v>7918</v>
      </c>
      <c r="KQW1" s="9" t="s">
        <v>7919</v>
      </c>
      <c r="KQX1" s="9" t="s">
        <v>7920</v>
      </c>
      <c r="KQY1" s="9" t="s">
        <v>7921</v>
      </c>
      <c r="KQZ1" s="9" t="s">
        <v>7922</v>
      </c>
      <c r="KRA1" s="9" t="s">
        <v>7923</v>
      </c>
      <c r="KRB1" s="9" t="s">
        <v>7924</v>
      </c>
      <c r="KRC1" s="9" t="s">
        <v>7925</v>
      </c>
      <c r="KRD1" s="9" t="s">
        <v>7926</v>
      </c>
      <c r="KRE1" s="9" t="s">
        <v>7927</v>
      </c>
      <c r="KRF1" s="9" t="s">
        <v>7928</v>
      </c>
      <c r="KRG1" s="9" t="s">
        <v>7929</v>
      </c>
      <c r="KRH1" s="9" t="s">
        <v>7930</v>
      </c>
      <c r="KRI1" s="9" t="s">
        <v>7931</v>
      </c>
      <c r="KRJ1" s="9" t="s">
        <v>7932</v>
      </c>
      <c r="KRK1" s="9" t="s">
        <v>7933</v>
      </c>
      <c r="KRL1" s="9" t="s">
        <v>7934</v>
      </c>
      <c r="KRM1" s="9" t="s">
        <v>7935</v>
      </c>
      <c r="KRN1" s="9" t="s">
        <v>7936</v>
      </c>
      <c r="KRO1" s="9" t="s">
        <v>7937</v>
      </c>
      <c r="KRP1" s="9" t="s">
        <v>7938</v>
      </c>
      <c r="KRQ1" s="9" t="s">
        <v>7939</v>
      </c>
      <c r="KRR1" s="9" t="s">
        <v>7940</v>
      </c>
      <c r="KRS1" s="9" t="s">
        <v>7941</v>
      </c>
      <c r="KRT1" s="9" t="s">
        <v>7942</v>
      </c>
      <c r="KRU1" s="9" t="s">
        <v>7943</v>
      </c>
      <c r="KRV1" s="9" t="s">
        <v>7944</v>
      </c>
      <c r="KRW1" s="9" t="s">
        <v>7945</v>
      </c>
      <c r="KRX1" s="9" t="s">
        <v>7946</v>
      </c>
      <c r="KRY1" s="9" t="s">
        <v>7947</v>
      </c>
      <c r="KRZ1" s="9" t="s">
        <v>7948</v>
      </c>
      <c r="KSA1" s="9" t="s">
        <v>7949</v>
      </c>
      <c r="KSB1" s="9" t="s">
        <v>7950</v>
      </c>
      <c r="KSC1" s="9" t="s">
        <v>7951</v>
      </c>
      <c r="KSD1" s="9" t="s">
        <v>7952</v>
      </c>
      <c r="KSE1" s="9" t="s">
        <v>7953</v>
      </c>
      <c r="KSF1" s="9" t="s">
        <v>7954</v>
      </c>
      <c r="KSG1" s="9" t="s">
        <v>7955</v>
      </c>
      <c r="KSH1" s="9" t="s">
        <v>7956</v>
      </c>
      <c r="KSI1" s="9" t="s">
        <v>7957</v>
      </c>
      <c r="KSJ1" s="9" t="s">
        <v>7958</v>
      </c>
      <c r="KSK1" s="9" t="s">
        <v>7959</v>
      </c>
      <c r="KSL1" s="9" t="s">
        <v>7960</v>
      </c>
      <c r="KSM1" s="9" t="s">
        <v>7961</v>
      </c>
      <c r="KSN1" s="9" t="s">
        <v>7962</v>
      </c>
      <c r="KSO1" s="9" t="s">
        <v>7963</v>
      </c>
      <c r="KSP1" s="9" t="s">
        <v>7964</v>
      </c>
      <c r="KSQ1" s="9" t="s">
        <v>7965</v>
      </c>
      <c r="KSR1" s="9" t="s">
        <v>7966</v>
      </c>
      <c r="KSS1" s="9" t="s">
        <v>7967</v>
      </c>
      <c r="KST1" s="9" t="s">
        <v>7968</v>
      </c>
      <c r="KSU1" s="9" t="s">
        <v>7969</v>
      </c>
      <c r="KSV1" s="9" t="s">
        <v>7970</v>
      </c>
      <c r="KSW1" s="9" t="s">
        <v>7971</v>
      </c>
      <c r="KSX1" s="9" t="s">
        <v>7972</v>
      </c>
      <c r="KSY1" s="9" t="s">
        <v>7973</v>
      </c>
      <c r="KSZ1" s="9" t="s">
        <v>7974</v>
      </c>
      <c r="KTA1" s="9" t="s">
        <v>7975</v>
      </c>
      <c r="KTB1" s="9" t="s">
        <v>7976</v>
      </c>
      <c r="KTC1" s="9" t="s">
        <v>7977</v>
      </c>
      <c r="KTD1" s="9" t="s">
        <v>7978</v>
      </c>
      <c r="KTE1" s="9" t="s">
        <v>7979</v>
      </c>
      <c r="KTF1" s="9" t="s">
        <v>7980</v>
      </c>
      <c r="KTG1" s="9" t="s">
        <v>7981</v>
      </c>
      <c r="KTH1" s="9" t="s">
        <v>7982</v>
      </c>
      <c r="KTI1" s="9" t="s">
        <v>7983</v>
      </c>
      <c r="KTJ1" s="9" t="s">
        <v>7984</v>
      </c>
      <c r="KTK1" s="9" t="s">
        <v>7985</v>
      </c>
      <c r="KTL1" s="9" t="s">
        <v>7986</v>
      </c>
      <c r="KTM1" s="9" t="s">
        <v>7987</v>
      </c>
      <c r="KTN1" s="9" t="s">
        <v>7988</v>
      </c>
      <c r="KTO1" s="9" t="s">
        <v>7989</v>
      </c>
      <c r="KTP1" s="9" t="s">
        <v>7990</v>
      </c>
      <c r="KTQ1" s="9" t="s">
        <v>7991</v>
      </c>
      <c r="KTR1" s="9" t="s">
        <v>7992</v>
      </c>
      <c r="KTS1" s="9" t="s">
        <v>7993</v>
      </c>
      <c r="KTT1" s="9" t="s">
        <v>7994</v>
      </c>
      <c r="KTU1" s="9" t="s">
        <v>7995</v>
      </c>
      <c r="KTV1" s="9" t="s">
        <v>7996</v>
      </c>
      <c r="KTW1" s="9" t="s">
        <v>7997</v>
      </c>
      <c r="KTX1" s="9" t="s">
        <v>7998</v>
      </c>
      <c r="KTY1" s="9" t="s">
        <v>7999</v>
      </c>
      <c r="KTZ1" s="9" t="s">
        <v>8000</v>
      </c>
      <c r="KUA1" s="9" t="s">
        <v>8001</v>
      </c>
      <c r="KUB1" s="9" t="s">
        <v>8002</v>
      </c>
      <c r="KUC1" s="9" t="s">
        <v>8003</v>
      </c>
      <c r="KUD1" s="9" t="s">
        <v>8004</v>
      </c>
      <c r="KUE1" s="9" t="s">
        <v>8005</v>
      </c>
      <c r="KUF1" s="9" t="s">
        <v>8006</v>
      </c>
      <c r="KUG1" s="9" t="s">
        <v>8007</v>
      </c>
      <c r="KUH1" s="9" t="s">
        <v>8008</v>
      </c>
      <c r="KUI1" s="9" t="s">
        <v>8009</v>
      </c>
      <c r="KUJ1" s="9" t="s">
        <v>8010</v>
      </c>
      <c r="KUK1" s="9" t="s">
        <v>8011</v>
      </c>
      <c r="KUL1" s="9" t="s">
        <v>8012</v>
      </c>
      <c r="KUM1" s="9" t="s">
        <v>8013</v>
      </c>
      <c r="KUN1" s="9" t="s">
        <v>8014</v>
      </c>
      <c r="KUO1" s="9" t="s">
        <v>8015</v>
      </c>
      <c r="KUP1" s="9" t="s">
        <v>8016</v>
      </c>
      <c r="KUQ1" s="9" t="s">
        <v>8017</v>
      </c>
      <c r="KUR1" s="9" t="s">
        <v>8018</v>
      </c>
      <c r="KUS1" s="9" t="s">
        <v>8019</v>
      </c>
      <c r="KUT1" s="9" t="s">
        <v>8020</v>
      </c>
      <c r="KUU1" s="9" t="s">
        <v>8021</v>
      </c>
      <c r="KUV1" s="9" t="s">
        <v>8022</v>
      </c>
      <c r="KUW1" s="9" t="s">
        <v>8023</v>
      </c>
      <c r="KUX1" s="9" t="s">
        <v>8024</v>
      </c>
      <c r="KUY1" s="9" t="s">
        <v>8025</v>
      </c>
      <c r="KUZ1" s="9" t="s">
        <v>8026</v>
      </c>
      <c r="KVA1" s="9" t="s">
        <v>8027</v>
      </c>
      <c r="KVB1" s="9" t="s">
        <v>8028</v>
      </c>
      <c r="KVC1" s="9" t="s">
        <v>8029</v>
      </c>
      <c r="KVD1" s="9" t="s">
        <v>8030</v>
      </c>
      <c r="KVE1" s="9" t="s">
        <v>8031</v>
      </c>
      <c r="KVF1" s="9" t="s">
        <v>8032</v>
      </c>
      <c r="KVG1" s="9" t="s">
        <v>8033</v>
      </c>
      <c r="KVH1" s="9" t="s">
        <v>8034</v>
      </c>
      <c r="KVI1" s="9" t="s">
        <v>8035</v>
      </c>
      <c r="KVJ1" s="9" t="s">
        <v>8036</v>
      </c>
      <c r="KVK1" s="9" t="s">
        <v>8037</v>
      </c>
      <c r="KVL1" s="9" t="s">
        <v>8038</v>
      </c>
      <c r="KVM1" s="9" t="s">
        <v>8039</v>
      </c>
      <c r="KVN1" s="9" t="s">
        <v>8040</v>
      </c>
      <c r="KVO1" s="9" t="s">
        <v>8041</v>
      </c>
      <c r="KVP1" s="9" t="s">
        <v>8042</v>
      </c>
      <c r="KVQ1" s="9" t="s">
        <v>8043</v>
      </c>
      <c r="KVR1" s="9" t="s">
        <v>8044</v>
      </c>
      <c r="KVS1" s="9" t="s">
        <v>8045</v>
      </c>
      <c r="KVT1" s="9" t="s">
        <v>8046</v>
      </c>
      <c r="KVU1" s="9" t="s">
        <v>8047</v>
      </c>
      <c r="KVV1" s="9" t="s">
        <v>8048</v>
      </c>
      <c r="KVW1" s="9" t="s">
        <v>8049</v>
      </c>
      <c r="KVX1" s="9" t="s">
        <v>8050</v>
      </c>
      <c r="KVY1" s="9" t="s">
        <v>8051</v>
      </c>
      <c r="KVZ1" s="9" t="s">
        <v>8052</v>
      </c>
      <c r="KWA1" s="9" t="s">
        <v>8053</v>
      </c>
      <c r="KWB1" s="9" t="s">
        <v>8054</v>
      </c>
      <c r="KWC1" s="9" t="s">
        <v>8055</v>
      </c>
      <c r="KWD1" s="9" t="s">
        <v>8056</v>
      </c>
      <c r="KWE1" s="9" t="s">
        <v>8057</v>
      </c>
      <c r="KWF1" s="9" t="s">
        <v>8058</v>
      </c>
      <c r="KWG1" s="9" t="s">
        <v>8059</v>
      </c>
      <c r="KWH1" s="9" t="s">
        <v>8060</v>
      </c>
      <c r="KWI1" s="9" t="s">
        <v>8061</v>
      </c>
      <c r="KWJ1" s="9" t="s">
        <v>8062</v>
      </c>
      <c r="KWK1" s="9" t="s">
        <v>8063</v>
      </c>
      <c r="KWL1" s="9" t="s">
        <v>8064</v>
      </c>
      <c r="KWM1" s="9" t="s">
        <v>8065</v>
      </c>
      <c r="KWN1" s="9" t="s">
        <v>8066</v>
      </c>
      <c r="KWO1" s="9" t="s">
        <v>8067</v>
      </c>
      <c r="KWP1" s="9" t="s">
        <v>8068</v>
      </c>
      <c r="KWQ1" s="9" t="s">
        <v>8069</v>
      </c>
      <c r="KWR1" s="9" t="s">
        <v>8070</v>
      </c>
      <c r="KWS1" s="9" t="s">
        <v>8071</v>
      </c>
      <c r="KWT1" s="9" t="s">
        <v>8072</v>
      </c>
      <c r="KWU1" s="9" t="s">
        <v>8073</v>
      </c>
      <c r="KWV1" s="9" t="s">
        <v>8074</v>
      </c>
      <c r="KWW1" s="9" t="s">
        <v>8075</v>
      </c>
      <c r="KWX1" s="9" t="s">
        <v>8076</v>
      </c>
      <c r="KWY1" s="9" t="s">
        <v>8077</v>
      </c>
      <c r="KWZ1" s="9" t="s">
        <v>8078</v>
      </c>
      <c r="KXA1" s="9" t="s">
        <v>8079</v>
      </c>
      <c r="KXB1" s="9" t="s">
        <v>8080</v>
      </c>
      <c r="KXC1" s="9" t="s">
        <v>8081</v>
      </c>
      <c r="KXD1" s="9" t="s">
        <v>8082</v>
      </c>
      <c r="KXE1" s="9" t="s">
        <v>8083</v>
      </c>
      <c r="KXF1" s="9" t="s">
        <v>8084</v>
      </c>
      <c r="KXG1" s="9" t="s">
        <v>8085</v>
      </c>
      <c r="KXH1" s="9" t="s">
        <v>8086</v>
      </c>
      <c r="KXI1" s="9" t="s">
        <v>8087</v>
      </c>
      <c r="KXJ1" s="9" t="s">
        <v>8088</v>
      </c>
      <c r="KXK1" s="9" t="s">
        <v>8089</v>
      </c>
      <c r="KXL1" s="9" t="s">
        <v>8090</v>
      </c>
      <c r="KXM1" s="9" t="s">
        <v>8091</v>
      </c>
      <c r="KXN1" s="9" t="s">
        <v>8092</v>
      </c>
      <c r="KXO1" s="9" t="s">
        <v>8093</v>
      </c>
      <c r="KXP1" s="9" t="s">
        <v>8094</v>
      </c>
      <c r="KXQ1" s="9" t="s">
        <v>8095</v>
      </c>
      <c r="KXR1" s="9" t="s">
        <v>8096</v>
      </c>
      <c r="KXS1" s="9" t="s">
        <v>8097</v>
      </c>
      <c r="KXT1" s="9" t="s">
        <v>8098</v>
      </c>
      <c r="KXU1" s="9" t="s">
        <v>8099</v>
      </c>
      <c r="KXV1" s="9" t="s">
        <v>8100</v>
      </c>
      <c r="KXW1" s="9" t="s">
        <v>8101</v>
      </c>
      <c r="KXX1" s="9" t="s">
        <v>8102</v>
      </c>
      <c r="KXY1" s="9" t="s">
        <v>8103</v>
      </c>
      <c r="KXZ1" s="9" t="s">
        <v>8104</v>
      </c>
      <c r="KYA1" s="9" t="s">
        <v>8105</v>
      </c>
      <c r="KYB1" s="9" t="s">
        <v>8106</v>
      </c>
      <c r="KYC1" s="9" t="s">
        <v>8107</v>
      </c>
      <c r="KYD1" s="9" t="s">
        <v>8108</v>
      </c>
      <c r="KYE1" s="9" t="s">
        <v>8109</v>
      </c>
      <c r="KYF1" s="9" t="s">
        <v>8110</v>
      </c>
      <c r="KYG1" s="9" t="s">
        <v>8111</v>
      </c>
      <c r="KYH1" s="9" t="s">
        <v>8112</v>
      </c>
      <c r="KYI1" s="9" t="s">
        <v>8113</v>
      </c>
      <c r="KYJ1" s="9" t="s">
        <v>8114</v>
      </c>
      <c r="KYK1" s="9" t="s">
        <v>8115</v>
      </c>
      <c r="KYL1" s="9" t="s">
        <v>8116</v>
      </c>
      <c r="KYM1" s="9" t="s">
        <v>8117</v>
      </c>
      <c r="KYN1" s="9" t="s">
        <v>8118</v>
      </c>
      <c r="KYO1" s="9" t="s">
        <v>8119</v>
      </c>
      <c r="KYP1" s="9" t="s">
        <v>8120</v>
      </c>
      <c r="KYQ1" s="9" t="s">
        <v>8121</v>
      </c>
      <c r="KYR1" s="9" t="s">
        <v>8122</v>
      </c>
      <c r="KYS1" s="9" t="s">
        <v>8123</v>
      </c>
      <c r="KYT1" s="9" t="s">
        <v>8124</v>
      </c>
      <c r="KYU1" s="9" t="s">
        <v>8125</v>
      </c>
      <c r="KYV1" s="9" t="s">
        <v>8126</v>
      </c>
      <c r="KYW1" s="9" t="s">
        <v>8127</v>
      </c>
      <c r="KYX1" s="9" t="s">
        <v>8128</v>
      </c>
      <c r="KYY1" s="9" t="s">
        <v>8129</v>
      </c>
      <c r="KYZ1" s="9" t="s">
        <v>8130</v>
      </c>
      <c r="KZA1" s="9" t="s">
        <v>8131</v>
      </c>
      <c r="KZB1" s="9" t="s">
        <v>8132</v>
      </c>
      <c r="KZC1" s="9" t="s">
        <v>8133</v>
      </c>
      <c r="KZD1" s="9" t="s">
        <v>8134</v>
      </c>
      <c r="KZE1" s="9" t="s">
        <v>8135</v>
      </c>
      <c r="KZF1" s="9" t="s">
        <v>8136</v>
      </c>
      <c r="KZG1" s="9" t="s">
        <v>8137</v>
      </c>
      <c r="KZH1" s="9" t="s">
        <v>8138</v>
      </c>
      <c r="KZI1" s="9" t="s">
        <v>8139</v>
      </c>
      <c r="KZJ1" s="9" t="s">
        <v>8140</v>
      </c>
      <c r="KZK1" s="9" t="s">
        <v>8141</v>
      </c>
      <c r="KZL1" s="9" t="s">
        <v>8142</v>
      </c>
      <c r="KZM1" s="9" t="s">
        <v>8143</v>
      </c>
      <c r="KZN1" s="9" t="s">
        <v>8144</v>
      </c>
      <c r="KZO1" s="9" t="s">
        <v>8145</v>
      </c>
      <c r="KZP1" s="9" t="s">
        <v>8146</v>
      </c>
      <c r="KZQ1" s="9" t="s">
        <v>8147</v>
      </c>
      <c r="KZR1" s="9" t="s">
        <v>8148</v>
      </c>
      <c r="KZS1" s="9" t="s">
        <v>8149</v>
      </c>
      <c r="KZT1" s="9" t="s">
        <v>8150</v>
      </c>
      <c r="KZU1" s="9" t="s">
        <v>8151</v>
      </c>
      <c r="KZV1" s="9" t="s">
        <v>8152</v>
      </c>
      <c r="KZW1" s="9" t="s">
        <v>8153</v>
      </c>
      <c r="KZX1" s="9" t="s">
        <v>8154</v>
      </c>
      <c r="KZY1" s="9" t="s">
        <v>8155</v>
      </c>
      <c r="KZZ1" s="9" t="s">
        <v>8156</v>
      </c>
      <c r="LAA1" s="9" t="s">
        <v>8157</v>
      </c>
      <c r="LAB1" s="9" t="s">
        <v>8158</v>
      </c>
      <c r="LAC1" s="9" t="s">
        <v>8159</v>
      </c>
      <c r="LAD1" s="9" t="s">
        <v>8160</v>
      </c>
      <c r="LAE1" s="9" t="s">
        <v>8161</v>
      </c>
      <c r="LAF1" s="9" t="s">
        <v>8162</v>
      </c>
      <c r="LAG1" s="9" t="s">
        <v>8163</v>
      </c>
      <c r="LAH1" s="9" t="s">
        <v>8164</v>
      </c>
      <c r="LAI1" s="9" t="s">
        <v>8165</v>
      </c>
      <c r="LAJ1" s="9" t="s">
        <v>8166</v>
      </c>
      <c r="LAK1" s="9" t="s">
        <v>8167</v>
      </c>
      <c r="LAL1" s="9" t="s">
        <v>8168</v>
      </c>
      <c r="LAM1" s="9" t="s">
        <v>8169</v>
      </c>
      <c r="LAN1" s="9" t="s">
        <v>8170</v>
      </c>
      <c r="LAO1" s="9" t="s">
        <v>8171</v>
      </c>
      <c r="LAP1" s="9" t="s">
        <v>8172</v>
      </c>
      <c r="LAQ1" s="9" t="s">
        <v>8173</v>
      </c>
      <c r="LAR1" s="9" t="s">
        <v>8174</v>
      </c>
      <c r="LAS1" s="9" t="s">
        <v>8175</v>
      </c>
      <c r="LAT1" s="9" t="s">
        <v>8176</v>
      </c>
      <c r="LAU1" s="9" t="s">
        <v>8177</v>
      </c>
      <c r="LAV1" s="9" t="s">
        <v>8178</v>
      </c>
      <c r="LAW1" s="9" t="s">
        <v>8179</v>
      </c>
      <c r="LAX1" s="9" t="s">
        <v>8180</v>
      </c>
      <c r="LAY1" s="9" t="s">
        <v>8181</v>
      </c>
      <c r="LAZ1" s="9" t="s">
        <v>8182</v>
      </c>
      <c r="LBA1" s="9" t="s">
        <v>8183</v>
      </c>
      <c r="LBB1" s="9" t="s">
        <v>8184</v>
      </c>
      <c r="LBC1" s="9" t="s">
        <v>8185</v>
      </c>
      <c r="LBD1" s="9" t="s">
        <v>8186</v>
      </c>
      <c r="LBE1" s="9" t="s">
        <v>8187</v>
      </c>
      <c r="LBF1" s="9" t="s">
        <v>8188</v>
      </c>
      <c r="LBG1" s="9" t="s">
        <v>8189</v>
      </c>
      <c r="LBH1" s="9" t="s">
        <v>8190</v>
      </c>
      <c r="LBI1" s="9" t="s">
        <v>8191</v>
      </c>
      <c r="LBJ1" s="9" t="s">
        <v>8192</v>
      </c>
      <c r="LBK1" s="9" t="s">
        <v>8193</v>
      </c>
      <c r="LBL1" s="9" t="s">
        <v>8194</v>
      </c>
      <c r="LBM1" s="9" t="s">
        <v>8195</v>
      </c>
      <c r="LBN1" s="9" t="s">
        <v>8196</v>
      </c>
      <c r="LBO1" s="9" t="s">
        <v>8197</v>
      </c>
      <c r="LBP1" s="9" t="s">
        <v>8198</v>
      </c>
      <c r="LBQ1" s="9" t="s">
        <v>8199</v>
      </c>
      <c r="LBR1" s="9" t="s">
        <v>8200</v>
      </c>
      <c r="LBS1" s="9" t="s">
        <v>8201</v>
      </c>
      <c r="LBT1" s="9" t="s">
        <v>8202</v>
      </c>
      <c r="LBU1" s="9" t="s">
        <v>8203</v>
      </c>
      <c r="LBV1" s="9" t="s">
        <v>8204</v>
      </c>
      <c r="LBW1" s="9" t="s">
        <v>8205</v>
      </c>
      <c r="LBX1" s="9" t="s">
        <v>8206</v>
      </c>
      <c r="LBY1" s="9" t="s">
        <v>8207</v>
      </c>
      <c r="LBZ1" s="9" t="s">
        <v>8208</v>
      </c>
      <c r="LCA1" s="9" t="s">
        <v>8209</v>
      </c>
      <c r="LCB1" s="9" t="s">
        <v>8210</v>
      </c>
      <c r="LCC1" s="9" t="s">
        <v>8211</v>
      </c>
      <c r="LCD1" s="9" t="s">
        <v>8212</v>
      </c>
      <c r="LCE1" s="9" t="s">
        <v>8213</v>
      </c>
      <c r="LCF1" s="9" t="s">
        <v>8214</v>
      </c>
      <c r="LCG1" s="9" t="s">
        <v>8215</v>
      </c>
      <c r="LCH1" s="9" t="s">
        <v>8216</v>
      </c>
      <c r="LCI1" s="9" t="s">
        <v>8217</v>
      </c>
      <c r="LCJ1" s="9" t="s">
        <v>8218</v>
      </c>
      <c r="LCK1" s="9" t="s">
        <v>8219</v>
      </c>
      <c r="LCL1" s="9" t="s">
        <v>8220</v>
      </c>
      <c r="LCM1" s="9" t="s">
        <v>8221</v>
      </c>
      <c r="LCN1" s="9" t="s">
        <v>8222</v>
      </c>
      <c r="LCO1" s="9" t="s">
        <v>8223</v>
      </c>
      <c r="LCP1" s="9" t="s">
        <v>8224</v>
      </c>
      <c r="LCQ1" s="9" t="s">
        <v>8225</v>
      </c>
      <c r="LCR1" s="9" t="s">
        <v>8226</v>
      </c>
      <c r="LCS1" s="9" t="s">
        <v>8227</v>
      </c>
      <c r="LCT1" s="9" t="s">
        <v>8228</v>
      </c>
      <c r="LCU1" s="9" t="s">
        <v>8229</v>
      </c>
      <c r="LCV1" s="9" t="s">
        <v>8230</v>
      </c>
      <c r="LCW1" s="9" t="s">
        <v>8231</v>
      </c>
      <c r="LCX1" s="9" t="s">
        <v>8232</v>
      </c>
      <c r="LCY1" s="9" t="s">
        <v>8233</v>
      </c>
      <c r="LCZ1" s="9" t="s">
        <v>8234</v>
      </c>
      <c r="LDA1" s="9" t="s">
        <v>8235</v>
      </c>
      <c r="LDB1" s="9" t="s">
        <v>8236</v>
      </c>
      <c r="LDC1" s="9" t="s">
        <v>8237</v>
      </c>
      <c r="LDD1" s="9" t="s">
        <v>8238</v>
      </c>
      <c r="LDE1" s="9" t="s">
        <v>8239</v>
      </c>
      <c r="LDF1" s="9" t="s">
        <v>8240</v>
      </c>
      <c r="LDG1" s="9" t="s">
        <v>8241</v>
      </c>
      <c r="LDH1" s="9" t="s">
        <v>8242</v>
      </c>
      <c r="LDI1" s="9" t="s">
        <v>8243</v>
      </c>
      <c r="LDJ1" s="9" t="s">
        <v>8244</v>
      </c>
      <c r="LDK1" s="9" t="s">
        <v>8245</v>
      </c>
      <c r="LDL1" s="9" t="s">
        <v>8246</v>
      </c>
      <c r="LDM1" s="9" t="s">
        <v>8247</v>
      </c>
      <c r="LDN1" s="9" t="s">
        <v>8248</v>
      </c>
      <c r="LDO1" s="9" t="s">
        <v>8249</v>
      </c>
      <c r="LDP1" s="9" t="s">
        <v>8250</v>
      </c>
      <c r="LDQ1" s="9" t="s">
        <v>8251</v>
      </c>
      <c r="LDR1" s="9" t="s">
        <v>8252</v>
      </c>
      <c r="LDS1" s="9" t="s">
        <v>8253</v>
      </c>
      <c r="LDT1" s="9" t="s">
        <v>8254</v>
      </c>
      <c r="LDU1" s="9" t="s">
        <v>8255</v>
      </c>
      <c r="LDV1" s="9" t="s">
        <v>8256</v>
      </c>
      <c r="LDW1" s="9" t="s">
        <v>8257</v>
      </c>
      <c r="LDX1" s="9" t="s">
        <v>8258</v>
      </c>
      <c r="LDY1" s="9" t="s">
        <v>8259</v>
      </c>
      <c r="LDZ1" s="9" t="s">
        <v>8260</v>
      </c>
      <c r="LEA1" s="9" t="s">
        <v>8261</v>
      </c>
      <c r="LEB1" s="9" t="s">
        <v>8262</v>
      </c>
      <c r="LEC1" s="9" t="s">
        <v>8263</v>
      </c>
      <c r="LED1" s="9" t="s">
        <v>8264</v>
      </c>
      <c r="LEE1" s="9" t="s">
        <v>8265</v>
      </c>
      <c r="LEF1" s="9" t="s">
        <v>8266</v>
      </c>
      <c r="LEG1" s="9" t="s">
        <v>8267</v>
      </c>
      <c r="LEH1" s="9" t="s">
        <v>8268</v>
      </c>
      <c r="LEI1" s="9" t="s">
        <v>8269</v>
      </c>
      <c r="LEJ1" s="9" t="s">
        <v>8270</v>
      </c>
      <c r="LEK1" s="9" t="s">
        <v>8271</v>
      </c>
      <c r="LEL1" s="9" t="s">
        <v>8272</v>
      </c>
      <c r="LEM1" s="9" t="s">
        <v>8273</v>
      </c>
      <c r="LEN1" s="9" t="s">
        <v>8274</v>
      </c>
      <c r="LEO1" s="9" t="s">
        <v>8275</v>
      </c>
      <c r="LEP1" s="9" t="s">
        <v>8276</v>
      </c>
      <c r="LEQ1" s="9" t="s">
        <v>8277</v>
      </c>
      <c r="LER1" s="9" t="s">
        <v>8278</v>
      </c>
      <c r="LES1" s="9" t="s">
        <v>8279</v>
      </c>
      <c r="LET1" s="9" t="s">
        <v>8280</v>
      </c>
      <c r="LEU1" s="9" t="s">
        <v>8281</v>
      </c>
      <c r="LEV1" s="9" t="s">
        <v>8282</v>
      </c>
      <c r="LEW1" s="9" t="s">
        <v>8283</v>
      </c>
      <c r="LEX1" s="9" t="s">
        <v>8284</v>
      </c>
      <c r="LEY1" s="9" t="s">
        <v>8285</v>
      </c>
      <c r="LEZ1" s="9" t="s">
        <v>8286</v>
      </c>
      <c r="LFA1" s="9" t="s">
        <v>8287</v>
      </c>
      <c r="LFB1" s="9" t="s">
        <v>8288</v>
      </c>
      <c r="LFC1" s="9" t="s">
        <v>8289</v>
      </c>
      <c r="LFD1" s="9" t="s">
        <v>8290</v>
      </c>
      <c r="LFE1" s="9" t="s">
        <v>8291</v>
      </c>
      <c r="LFF1" s="9" t="s">
        <v>8292</v>
      </c>
      <c r="LFG1" s="9" t="s">
        <v>8293</v>
      </c>
      <c r="LFH1" s="9" t="s">
        <v>8294</v>
      </c>
      <c r="LFI1" s="9" t="s">
        <v>8295</v>
      </c>
      <c r="LFJ1" s="9" t="s">
        <v>8296</v>
      </c>
      <c r="LFK1" s="9" t="s">
        <v>8297</v>
      </c>
      <c r="LFL1" s="9" t="s">
        <v>8298</v>
      </c>
      <c r="LFM1" s="9" t="s">
        <v>8299</v>
      </c>
      <c r="LFN1" s="9" t="s">
        <v>8300</v>
      </c>
      <c r="LFO1" s="9" t="s">
        <v>8301</v>
      </c>
      <c r="LFP1" s="9" t="s">
        <v>8302</v>
      </c>
      <c r="LFQ1" s="9" t="s">
        <v>8303</v>
      </c>
      <c r="LFR1" s="9" t="s">
        <v>8304</v>
      </c>
      <c r="LFS1" s="9" t="s">
        <v>8305</v>
      </c>
      <c r="LFT1" s="9" t="s">
        <v>8306</v>
      </c>
      <c r="LFU1" s="9" t="s">
        <v>8307</v>
      </c>
      <c r="LFV1" s="9" t="s">
        <v>8308</v>
      </c>
      <c r="LFW1" s="9" t="s">
        <v>8309</v>
      </c>
      <c r="LFX1" s="9" t="s">
        <v>8310</v>
      </c>
      <c r="LFY1" s="9" t="s">
        <v>8311</v>
      </c>
      <c r="LFZ1" s="9" t="s">
        <v>8312</v>
      </c>
      <c r="LGA1" s="9" t="s">
        <v>8313</v>
      </c>
      <c r="LGB1" s="9" t="s">
        <v>8314</v>
      </c>
      <c r="LGC1" s="9" t="s">
        <v>8315</v>
      </c>
      <c r="LGD1" s="9" t="s">
        <v>8316</v>
      </c>
      <c r="LGE1" s="9" t="s">
        <v>8317</v>
      </c>
      <c r="LGF1" s="9" t="s">
        <v>8318</v>
      </c>
      <c r="LGG1" s="9" t="s">
        <v>8319</v>
      </c>
      <c r="LGH1" s="9" t="s">
        <v>8320</v>
      </c>
      <c r="LGI1" s="9" t="s">
        <v>8321</v>
      </c>
      <c r="LGJ1" s="9" t="s">
        <v>8322</v>
      </c>
      <c r="LGK1" s="9" t="s">
        <v>8323</v>
      </c>
      <c r="LGL1" s="9" t="s">
        <v>8324</v>
      </c>
      <c r="LGM1" s="9" t="s">
        <v>8325</v>
      </c>
      <c r="LGN1" s="9" t="s">
        <v>8326</v>
      </c>
      <c r="LGO1" s="9" t="s">
        <v>8327</v>
      </c>
      <c r="LGP1" s="9" t="s">
        <v>8328</v>
      </c>
      <c r="LGQ1" s="9" t="s">
        <v>8329</v>
      </c>
      <c r="LGR1" s="9" t="s">
        <v>8330</v>
      </c>
      <c r="LGS1" s="9" t="s">
        <v>8331</v>
      </c>
      <c r="LGT1" s="9" t="s">
        <v>8332</v>
      </c>
      <c r="LGU1" s="9" t="s">
        <v>8333</v>
      </c>
      <c r="LGV1" s="9" t="s">
        <v>8334</v>
      </c>
      <c r="LGW1" s="9" t="s">
        <v>8335</v>
      </c>
      <c r="LGX1" s="9" t="s">
        <v>8336</v>
      </c>
      <c r="LGY1" s="9" t="s">
        <v>8337</v>
      </c>
      <c r="LGZ1" s="9" t="s">
        <v>8338</v>
      </c>
      <c r="LHA1" s="9" t="s">
        <v>8339</v>
      </c>
      <c r="LHB1" s="9" t="s">
        <v>8340</v>
      </c>
      <c r="LHC1" s="9" t="s">
        <v>8341</v>
      </c>
      <c r="LHD1" s="9" t="s">
        <v>8342</v>
      </c>
      <c r="LHE1" s="9" t="s">
        <v>8343</v>
      </c>
      <c r="LHF1" s="9" t="s">
        <v>8344</v>
      </c>
      <c r="LHG1" s="9" t="s">
        <v>8345</v>
      </c>
      <c r="LHH1" s="9" t="s">
        <v>8346</v>
      </c>
      <c r="LHI1" s="9" t="s">
        <v>8347</v>
      </c>
      <c r="LHJ1" s="9" t="s">
        <v>8348</v>
      </c>
      <c r="LHK1" s="9" t="s">
        <v>8349</v>
      </c>
      <c r="LHL1" s="9" t="s">
        <v>8350</v>
      </c>
      <c r="LHM1" s="9" t="s">
        <v>8351</v>
      </c>
      <c r="LHN1" s="9" t="s">
        <v>8352</v>
      </c>
      <c r="LHO1" s="9" t="s">
        <v>8353</v>
      </c>
      <c r="LHP1" s="9" t="s">
        <v>8354</v>
      </c>
      <c r="LHQ1" s="9" t="s">
        <v>8355</v>
      </c>
      <c r="LHR1" s="9" t="s">
        <v>8356</v>
      </c>
      <c r="LHS1" s="9" t="s">
        <v>8357</v>
      </c>
      <c r="LHT1" s="9" t="s">
        <v>8358</v>
      </c>
      <c r="LHU1" s="9" t="s">
        <v>8359</v>
      </c>
      <c r="LHV1" s="9" t="s">
        <v>8360</v>
      </c>
      <c r="LHW1" s="9" t="s">
        <v>8361</v>
      </c>
      <c r="LHX1" s="9" t="s">
        <v>8362</v>
      </c>
      <c r="LHY1" s="9" t="s">
        <v>8363</v>
      </c>
      <c r="LHZ1" s="9" t="s">
        <v>8364</v>
      </c>
      <c r="LIA1" s="9" t="s">
        <v>8365</v>
      </c>
      <c r="LIB1" s="9" t="s">
        <v>8366</v>
      </c>
      <c r="LIC1" s="9" t="s">
        <v>8367</v>
      </c>
      <c r="LID1" s="9" t="s">
        <v>8368</v>
      </c>
      <c r="LIE1" s="9" t="s">
        <v>8369</v>
      </c>
      <c r="LIF1" s="9" t="s">
        <v>8370</v>
      </c>
      <c r="LIG1" s="9" t="s">
        <v>8371</v>
      </c>
      <c r="LIH1" s="9" t="s">
        <v>8372</v>
      </c>
      <c r="LII1" s="9" t="s">
        <v>8373</v>
      </c>
      <c r="LIJ1" s="9" t="s">
        <v>8374</v>
      </c>
      <c r="LIK1" s="9" t="s">
        <v>8375</v>
      </c>
      <c r="LIL1" s="9" t="s">
        <v>8376</v>
      </c>
      <c r="LIM1" s="9" t="s">
        <v>8377</v>
      </c>
      <c r="LIN1" s="9" t="s">
        <v>8378</v>
      </c>
      <c r="LIO1" s="9" t="s">
        <v>8379</v>
      </c>
      <c r="LIP1" s="9" t="s">
        <v>8380</v>
      </c>
      <c r="LIQ1" s="9" t="s">
        <v>8381</v>
      </c>
      <c r="LIR1" s="9" t="s">
        <v>8382</v>
      </c>
      <c r="LIS1" s="9" t="s">
        <v>8383</v>
      </c>
      <c r="LIT1" s="9" t="s">
        <v>8384</v>
      </c>
      <c r="LIU1" s="9" t="s">
        <v>8385</v>
      </c>
      <c r="LIV1" s="9" t="s">
        <v>8386</v>
      </c>
      <c r="LIW1" s="9" t="s">
        <v>8387</v>
      </c>
      <c r="LIX1" s="9" t="s">
        <v>8388</v>
      </c>
      <c r="LIY1" s="9" t="s">
        <v>8389</v>
      </c>
      <c r="LIZ1" s="9" t="s">
        <v>8390</v>
      </c>
      <c r="LJA1" s="9" t="s">
        <v>8391</v>
      </c>
      <c r="LJB1" s="9" t="s">
        <v>8392</v>
      </c>
      <c r="LJC1" s="9" t="s">
        <v>8393</v>
      </c>
      <c r="LJD1" s="9" t="s">
        <v>8394</v>
      </c>
      <c r="LJE1" s="9" t="s">
        <v>8395</v>
      </c>
      <c r="LJF1" s="9" t="s">
        <v>8396</v>
      </c>
      <c r="LJG1" s="9" t="s">
        <v>8397</v>
      </c>
      <c r="LJH1" s="9" t="s">
        <v>8398</v>
      </c>
      <c r="LJI1" s="9" t="s">
        <v>8399</v>
      </c>
      <c r="LJJ1" s="9" t="s">
        <v>8400</v>
      </c>
      <c r="LJK1" s="9" t="s">
        <v>8401</v>
      </c>
      <c r="LJL1" s="9" t="s">
        <v>8402</v>
      </c>
      <c r="LJM1" s="9" t="s">
        <v>8403</v>
      </c>
      <c r="LJN1" s="9" t="s">
        <v>8404</v>
      </c>
      <c r="LJO1" s="9" t="s">
        <v>8405</v>
      </c>
      <c r="LJP1" s="9" t="s">
        <v>8406</v>
      </c>
      <c r="LJQ1" s="9" t="s">
        <v>8407</v>
      </c>
      <c r="LJR1" s="9" t="s">
        <v>8408</v>
      </c>
      <c r="LJS1" s="9" t="s">
        <v>8409</v>
      </c>
      <c r="LJT1" s="9" t="s">
        <v>8410</v>
      </c>
      <c r="LJU1" s="9" t="s">
        <v>8411</v>
      </c>
      <c r="LJV1" s="9" t="s">
        <v>8412</v>
      </c>
      <c r="LJW1" s="9" t="s">
        <v>8413</v>
      </c>
      <c r="LJX1" s="9" t="s">
        <v>8414</v>
      </c>
      <c r="LJY1" s="9" t="s">
        <v>8415</v>
      </c>
      <c r="LJZ1" s="9" t="s">
        <v>8416</v>
      </c>
      <c r="LKA1" s="9" t="s">
        <v>8417</v>
      </c>
      <c r="LKB1" s="9" t="s">
        <v>8418</v>
      </c>
      <c r="LKC1" s="9" t="s">
        <v>8419</v>
      </c>
      <c r="LKD1" s="9" t="s">
        <v>8420</v>
      </c>
      <c r="LKE1" s="9" t="s">
        <v>8421</v>
      </c>
      <c r="LKF1" s="9" t="s">
        <v>8422</v>
      </c>
      <c r="LKG1" s="9" t="s">
        <v>8423</v>
      </c>
      <c r="LKH1" s="9" t="s">
        <v>8424</v>
      </c>
      <c r="LKI1" s="9" t="s">
        <v>8425</v>
      </c>
      <c r="LKJ1" s="9" t="s">
        <v>8426</v>
      </c>
      <c r="LKK1" s="9" t="s">
        <v>8427</v>
      </c>
      <c r="LKL1" s="9" t="s">
        <v>8428</v>
      </c>
      <c r="LKM1" s="9" t="s">
        <v>8429</v>
      </c>
      <c r="LKN1" s="9" t="s">
        <v>8430</v>
      </c>
      <c r="LKO1" s="9" t="s">
        <v>8431</v>
      </c>
      <c r="LKP1" s="9" t="s">
        <v>8432</v>
      </c>
      <c r="LKQ1" s="9" t="s">
        <v>8433</v>
      </c>
      <c r="LKR1" s="9" t="s">
        <v>8434</v>
      </c>
      <c r="LKS1" s="9" t="s">
        <v>8435</v>
      </c>
      <c r="LKT1" s="9" t="s">
        <v>8436</v>
      </c>
      <c r="LKU1" s="9" t="s">
        <v>8437</v>
      </c>
      <c r="LKV1" s="9" t="s">
        <v>8438</v>
      </c>
      <c r="LKW1" s="9" t="s">
        <v>8439</v>
      </c>
      <c r="LKX1" s="9" t="s">
        <v>8440</v>
      </c>
      <c r="LKY1" s="9" t="s">
        <v>8441</v>
      </c>
      <c r="LKZ1" s="9" t="s">
        <v>8442</v>
      </c>
      <c r="LLA1" s="9" t="s">
        <v>8443</v>
      </c>
      <c r="LLB1" s="9" t="s">
        <v>8444</v>
      </c>
      <c r="LLC1" s="9" t="s">
        <v>8445</v>
      </c>
      <c r="LLD1" s="9" t="s">
        <v>8446</v>
      </c>
      <c r="LLE1" s="9" t="s">
        <v>8447</v>
      </c>
      <c r="LLF1" s="9" t="s">
        <v>8448</v>
      </c>
      <c r="LLG1" s="9" t="s">
        <v>8449</v>
      </c>
      <c r="LLH1" s="9" t="s">
        <v>8450</v>
      </c>
      <c r="LLI1" s="9" t="s">
        <v>8451</v>
      </c>
      <c r="LLJ1" s="9" t="s">
        <v>8452</v>
      </c>
      <c r="LLK1" s="9" t="s">
        <v>8453</v>
      </c>
      <c r="LLL1" s="9" t="s">
        <v>8454</v>
      </c>
      <c r="LLM1" s="9" t="s">
        <v>8455</v>
      </c>
      <c r="LLN1" s="9" t="s">
        <v>8456</v>
      </c>
      <c r="LLO1" s="9" t="s">
        <v>8457</v>
      </c>
      <c r="LLP1" s="9" t="s">
        <v>8458</v>
      </c>
      <c r="LLQ1" s="9" t="s">
        <v>8459</v>
      </c>
      <c r="LLR1" s="9" t="s">
        <v>8460</v>
      </c>
      <c r="LLS1" s="9" t="s">
        <v>8461</v>
      </c>
      <c r="LLT1" s="9" t="s">
        <v>8462</v>
      </c>
      <c r="LLU1" s="9" t="s">
        <v>8463</v>
      </c>
      <c r="LLV1" s="9" t="s">
        <v>8464</v>
      </c>
      <c r="LLW1" s="9" t="s">
        <v>8465</v>
      </c>
      <c r="LLX1" s="9" t="s">
        <v>8466</v>
      </c>
      <c r="LLY1" s="9" t="s">
        <v>8467</v>
      </c>
      <c r="LLZ1" s="9" t="s">
        <v>8468</v>
      </c>
      <c r="LMA1" s="9" t="s">
        <v>8469</v>
      </c>
      <c r="LMB1" s="9" t="s">
        <v>8470</v>
      </c>
      <c r="LMC1" s="9" t="s">
        <v>8471</v>
      </c>
      <c r="LMD1" s="9" t="s">
        <v>8472</v>
      </c>
      <c r="LME1" s="9" t="s">
        <v>8473</v>
      </c>
      <c r="LMF1" s="9" t="s">
        <v>8474</v>
      </c>
      <c r="LMG1" s="9" t="s">
        <v>8475</v>
      </c>
      <c r="LMH1" s="9" t="s">
        <v>8476</v>
      </c>
      <c r="LMI1" s="9" t="s">
        <v>8477</v>
      </c>
      <c r="LMJ1" s="9" t="s">
        <v>8478</v>
      </c>
      <c r="LMK1" s="9" t="s">
        <v>8479</v>
      </c>
      <c r="LML1" s="9" t="s">
        <v>8480</v>
      </c>
      <c r="LMM1" s="9" t="s">
        <v>8481</v>
      </c>
      <c r="LMN1" s="9" t="s">
        <v>8482</v>
      </c>
      <c r="LMO1" s="9" t="s">
        <v>8483</v>
      </c>
      <c r="LMP1" s="9" t="s">
        <v>8484</v>
      </c>
      <c r="LMQ1" s="9" t="s">
        <v>8485</v>
      </c>
      <c r="LMR1" s="9" t="s">
        <v>8486</v>
      </c>
      <c r="LMS1" s="9" t="s">
        <v>8487</v>
      </c>
      <c r="LMT1" s="9" t="s">
        <v>8488</v>
      </c>
      <c r="LMU1" s="9" t="s">
        <v>8489</v>
      </c>
      <c r="LMV1" s="9" t="s">
        <v>8490</v>
      </c>
      <c r="LMW1" s="9" t="s">
        <v>8491</v>
      </c>
      <c r="LMX1" s="9" t="s">
        <v>8492</v>
      </c>
      <c r="LMY1" s="9" t="s">
        <v>8493</v>
      </c>
      <c r="LMZ1" s="9" t="s">
        <v>8494</v>
      </c>
      <c r="LNA1" s="9" t="s">
        <v>8495</v>
      </c>
      <c r="LNB1" s="9" t="s">
        <v>8496</v>
      </c>
      <c r="LNC1" s="9" t="s">
        <v>8497</v>
      </c>
      <c r="LND1" s="9" t="s">
        <v>8498</v>
      </c>
      <c r="LNE1" s="9" t="s">
        <v>8499</v>
      </c>
      <c r="LNF1" s="9" t="s">
        <v>8500</v>
      </c>
      <c r="LNG1" s="9" t="s">
        <v>8501</v>
      </c>
      <c r="LNH1" s="9" t="s">
        <v>8502</v>
      </c>
      <c r="LNI1" s="9" t="s">
        <v>8503</v>
      </c>
      <c r="LNJ1" s="9" t="s">
        <v>8504</v>
      </c>
      <c r="LNK1" s="9" t="s">
        <v>8505</v>
      </c>
      <c r="LNL1" s="9" t="s">
        <v>8506</v>
      </c>
      <c r="LNM1" s="9" t="s">
        <v>8507</v>
      </c>
      <c r="LNN1" s="9" t="s">
        <v>8508</v>
      </c>
      <c r="LNO1" s="9" t="s">
        <v>8509</v>
      </c>
      <c r="LNP1" s="9" t="s">
        <v>8510</v>
      </c>
      <c r="LNQ1" s="9" t="s">
        <v>8511</v>
      </c>
      <c r="LNR1" s="9" t="s">
        <v>8512</v>
      </c>
      <c r="LNS1" s="9" t="s">
        <v>8513</v>
      </c>
      <c r="LNT1" s="9" t="s">
        <v>8514</v>
      </c>
      <c r="LNU1" s="9" t="s">
        <v>8515</v>
      </c>
      <c r="LNV1" s="9" t="s">
        <v>8516</v>
      </c>
      <c r="LNW1" s="9" t="s">
        <v>8517</v>
      </c>
      <c r="LNX1" s="9" t="s">
        <v>8518</v>
      </c>
      <c r="LNY1" s="9" t="s">
        <v>8519</v>
      </c>
      <c r="LNZ1" s="9" t="s">
        <v>8520</v>
      </c>
      <c r="LOA1" s="9" t="s">
        <v>8521</v>
      </c>
      <c r="LOB1" s="9" t="s">
        <v>8522</v>
      </c>
      <c r="LOC1" s="9" t="s">
        <v>8523</v>
      </c>
      <c r="LOD1" s="9" t="s">
        <v>8524</v>
      </c>
      <c r="LOE1" s="9" t="s">
        <v>8525</v>
      </c>
      <c r="LOF1" s="9" t="s">
        <v>8526</v>
      </c>
      <c r="LOG1" s="9" t="s">
        <v>8527</v>
      </c>
      <c r="LOH1" s="9" t="s">
        <v>8528</v>
      </c>
      <c r="LOI1" s="9" t="s">
        <v>8529</v>
      </c>
      <c r="LOJ1" s="9" t="s">
        <v>8530</v>
      </c>
      <c r="LOK1" s="9" t="s">
        <v>8531</v>
      </c>
      <c r="LOL1" s="9" t="s">
        <v>8532</v>
      </c>
      <c r="LOM1" s="9" t="s">
        <v>8533</v>
      </c>
      <c r="LON1" s="9" t="s">
        <v>8534</v>
      </c>
      <c r="LOO1" s="9" t="s">
        <v>8535</v>
      </c>
      <c r="LOP1" s="9" t="s">
        <v>8536</v>
      </c>
      <c r="LOQ1" s="9" t="s">
        <v>8537</v>
      </c>
      <c r="LOR1" s="9" t="s">
        <v>8538</v>
      </c>
      <c r="LOS1" s="9" t="s">
        <v>8539</v>
      </c>
      <c r="LOT1" s="9" t="s">
        <v>8540</v>
      </c>
      <c r="LOU1" s="9" t="s">
        <v>8541</v>
      </c>
      <c r="LOV1" s="9" t="s">
        <v>8542</v>
      </c>
      <c r="LOW1" s="9" t="s">
        <v>8543</v>
      </c>
      <c r="LOX1" s="9" t="s">
        <v>8544</v>
      </c>
      <c r="LOY1" s="9" t="s">
        <v>8545</v>
      </c>
      <c r="LOZ1" s="9" t="s">
        <v>8546</v>
      </c>
      <c r="LPA1" s="9" t="s">
        <v>8547</v>
      </c>
      <c r="LPB1" s="9" t="s">
        <v>8548</v>
      </c>
      <c r="LPC1" s="9" t="s">
        <v>8549</v>
      </c>
      <c r="LPD1" s="9" t="s">
        <v>8550</v>
      </c>
      <c r="LPE1" s="9" t="s">
        <v>8551</v>
      </c>
      <c r="LPF1" s="9" t="s">
        <v>8552</v>
      </c>
      <c r="LPG1" s="9" t="s">
        <v>8553</v>
      </c>
      <c r="LPH1" s="9" t="s">
        <v>8554</v>
      </c>
      <c r="LPI1" s="9" t="s">
        <v>8555</v>
      </c>
      <c r="LPJ1" s="9" t="s">
        <v>8556</v>
      </c>
      <c r="LPK1" s="9" t="s">
        <v>8557</v>
      </c>
      <c r="LPL1" s="9" t="s">
        <v>8558</v>
      </c>
      <c r="LPM1" s="9" t="s">
        <v>8559</v>
      </c>
      <c r="LPN1" s="9" t="s">
        <v>8560</v>
      </c>
      <c r="LPO1" s="9" t="s">
        <v>8561</v>
      </c>
      <c r="LPP1" s="9" t="s">
        <v>8562</v>
      </c>
      <c r="LPQ1" s="9" t="s">
        <v>8563</v>
      </c>
      <c r="LPR1" s="9" t="s">
        <v>8564</v>
      </c>
      <c r="LPS1" s="9" t="s">
        <v>8565</v>
      </c>
      <c r="LPT1" s="9" t="s">
        <v>8566</v>
      </c>
      <c r="LPU1" s="9" t="s">
        <v>8567</v>
      </c>
      <c r="LPV1" s="9" t="s">
        <v>8568</v>
      </c>
      <c r="LPW1" s="9" t="s">
        <v>8569</v>
      </c>
      <c r="LPX1" s="9" t="s">
        <v>8570</v>
      </c>
      <c r="LPY1" s="9" t="s">
        <v>8571</v>
      </c>
      <c r="LPZ1" s="9" t="s">
        <v>8572</v>
      </c>
      <c r="LQA1" s="9" t="s">
        <v>8573</v>
      </c>
      <c r="LQB1" s="9" t="s">
        <v>8574</v>
      </c>
      <c r="LQC1" s="9" t="s">
        <v>8575</v>
      </c>
      <c r="LQD1" s="9" t="s">
        <v>8576</v>
      </c>
      <c r="LQE1" s="9" t="s">
        <v>8577</v>
      </c>
      <c r="LQF1" s="9" t="s">
        <v>8578</v>
      </c>
      <c r="LQG1" s="9" t="s">
        <v>8579</v>
      </c>
      <c r="LQH1" s="9" t="s">
        <v>8580</v>
      </c>
      <c r="LQI1" s="9" t="s">
        <v>8581</v>
      </c>
      <c r="LQJ1" s="9" t="s">
        <v>8582</v>
      </c>
      <c r="LQK1" s="9" t="s">
        <v>8583</v>
      </c>
      <c r="LQL1" s="9" t="s">
        <v>8584</v>
      </c>
      <c r="LQM1" s="9" t="s">
        <v>8585</v>
      </c>
      <c r="LQN1" s="9" t="s">
        <v>8586</v>
      </c>
      <c r="LQO1" s="9" t="s">
        <v>8587</v>
      </c>
      <c r="LQP1" s="9" t="s">
        <v>8588</v>
      </c>
      <c r="LQQ1" s="9" t="s">
        <v>8589</v>
      </c>
      <c r="LQR1" s="9" t="s">
        <v>8590</v>
      </c>
      <c r="LQS1" s="9" t="s">
        <v>8591</v>
      </c>
      <c r="LQT1" s="9" t="s">
        <v>8592</v>
      </c>
      <c r="LQU1" s="9" t="s">
        <v>8593</v>
      </c>
      <c r="LQV1" s="9" t="s">
        <v>8594</v>
      </c>
      <c r="LQW1" s="9" t="s">
        <v>8595</v>
      </c>
      <c r="LQX1" s="9" t="s">
        <v>8596</v>
      </c>
      <c r="LQY1" s="9" t="s">
        <v>8597</v>
      </c>
      <c r="LQZ1" s="9" t="s">
        <v>8598</v>
      </c>
      <c r="LRA1" s="9" t="s">
        <v>8599</v>
      </c>
      <c r="LRB1" s="9" t="s">
        <v>8600</v>
      </c>
      <c r="LRC1" s="9" t="s">
        <v>8601</v>
      </c>
      <c r="LRD1" s="9" t="s">
        <v>8602</v>
      </c>
      <c r="LRE1" s="9" t="s">
        <v>8603</v>
      </c>
      <c r="LRF1" s="9" t="s">
        <v>8604</v>
      </c>
      <c r="LRG1" s="9" t="s">
        <v>8605</v>
      </c>
      <c r="LRH1" s="9" t="s">
        <v>8606</v>
      </c>
      <c r="LRI1" s="9" t="s">
        <v>8607</v>
      </c>
      <c r="LRJ1" s="9" t="s">
        <v>8608</v>
      </c>
      <c r="LRK1" s="9" t="s">
        <v>8609</v>
      </c>
      <c r="LRL1" s="9" t="s">
        <v>8610</v>
      </c>
      <c r="LRM1" s="9" t="s">
        <v>8611</v>
      </c>
      <c r="LRN1" s="9" t="s">
        <v>8612</v>
      </c>
      <c r="LRO1" s="9" t="s">
        <v>8613</v>
      </c>
      <c r="LRP1" s="9" t="s">
        <v>8614</v>
      </c>
      <c r="LRQ1" s="9" t="s">
        <v>8615</v>
      </c>
      <c r="LRR1" s="9" t="s">
        <v>8616</v>
      </c>
      <c r="LRS1" s="9" t="s">
        <v>8617</v>
      </c>
      <c r="LRT1" s="9" t="s">
        <v>8618</v>
      </c>
      <c r="LRU1" s="9" t="s">
        <v>8619</v>
      </c>
      <c r="LRV1" s="9" t="s">
        <v>8620</v>
      </c>
      <c r="LRW1" s="9" t="s">
        <v>8621</v>
      </c>
      <c r="LRX1" s="9" t="s">
        <v>8622</v>
      </c>
      <c r="LRY1" s="9" t="s">
        <v>8623</v>
      </c>
      <c r="LRZ1" s="9" t="s">
        <v>8624</v>
      </c>
      <c r="LSA1" s="9" t="s">
        <v>8625</v>
      </c>
      <c r="LSB1" s="9" t="s">
        <v>8626</v>
      </c>
      <c r="LSC1" s="9" t="s">
        <v>8627</v>
      </c>
      <c r="LSD1" s="9" t="s">
        <v>8628</v>
      </c>
      <c r="LSE1" s="9" t="s">
        <v>8629</v>
      </c>
      <c r="LSF1" s="9" t="s">
        <v>8630</v>
      </c>
      <c r="LSG1" s="9" t="s">
        <v>8631</v>
      </c>
      <c r="LSH1" s="9" t="s">
        <v>8632</v>
      </c>
      <c r="LSI1" s="9" t="s">
        <v>8633</v>
      </c>
      <c r="LSJ1" s="9" t="s">
        <v>8634</v>
      </c>
      <c r="LSK1" s="9" t="s">
        <v>8635</v>
      </c>
      <c r="LSL1" s="9" t="s">
        <v>8636</v>
      </c>
      <c r="LSM1" s="9" t="s">
        <v>8637</v>
      </c>
      <c r="LSN1" s="9" t="s">
        <v>8638</v>
      </c>
      <c r="LSO1" s="9" t="s">
        <v>8639</v>
      </c>
      <c r="LSP1" s="9" t="s">
        <v>8640</v>
      </c>
      <c r="LSQ1" s="9" t="s">
        <v>8641</v>
      </c>
      <c r="LSR1" s="9" t="s">
        <v>8642</v>
      </c>
      <c r="LSS1" s="9" t="s">
        <v>8643</v>
      </c>
      <c r="LST1" s="9" t="s">
        <v>8644</v>
      </c>
      <c r="LSU1" s="9" t="s">
        <v>8645</v>
      </c>
      <c r="LSV1" s="9" t="s">
        <v>8646</v>
      </c>
      <c r="LSW1" s="9" t="s">
        <v>8647</v>
      </c>
      <c r="LSX1" s="9" t="s">
        <v>8648</v>
      </c>
      <c r="LSY1" s="9" t="s">
        <v>8649</v>
      </c>
      <c r="LSZ1" s="9" t="s">
        <v>8650</v>
      </c>
      <c r="LTA1" s="9" t="s">
        <v>8651</v>
      </c>
      <c r="LTB1" s="9" t="s">
        <v>8652</v>
      </c>
      <c r="LTC1" s="9" t="s">
        <v>8653</v>
      </c>
      <c r="LTD1" s="9" t="s">
        <v>8654</v>
      </c>
      <c r="LTE1" s="9" t="s">
        <v>8655</v>
      </c>
      <c r="LTF1" s="9" t="s">
        <v>8656</v>
      </c>
      <c r="LTG1" s="9" t="s">
        <v>8657</v>
      </c>
      <c r="LTH1" s="9" t="s">
        <v>8658</v>
      </c>
      <c r="LTI1" s="9" t="s">
        <v>8659</v>
      </c>
      <c r="LTJ1" s="9" t="s">
        <v>8660</v>
      </c>
      <c r="LTK1" s="9" t="s">
        <v>8661</v>
      </c>
      <c r="LTL1" s="9" t="s">
        <v>8662</v>
      </c>
      <c r="LTM1" s="9" t="s">
        <v>8663</v>
      </c>
      <c r="LTN1" s="9" t="s">
        <v>8664</v>
      </c>
      <c r="LTO1" s="9" t="s">
        <v>8665</v>
      </c>
      <c r="LTP1" s="9" t="s">
        <v>8666</v>
      </c>
      <c r="LTQ1" s="9" t="s">
        <v>8667</v>
      </c>
      <c r="LTR1" s="9" t="s">
        <v>8668</v>
      </c>
      <c r="LTS1" s="9" t="s">
        <v>8669</v>
      </c>
      <c r="LTT1" s="9" t="s">
        <v>8670</v>
      </c>
      <c r="LTU1" s="9" t="s">
        <v>8671</v>
      </c>
      <c r="LTV1" s="9" t="s">
        <v>8672</v>
      </c>
      <c r="LTW1" s="9" t="s">
        <v>8673</v>
      </c>
      <c r="LTX1" s="9" t="s">
        <v>8674</v>
      </c>
      <c r="LTY1" s="9" t="s">
        <v>8675</v>
      </c>
      <c r="LTZ1" s="9" t="s">
        <v>8676</v>
      </c>
      <c r="LUA1" s="9" t="s">
        <v>8677</v>
      </c>
      <c r="LUB1" s="9" t="s">
        <v>8678</v>
      </c>
      <c r="LUC1" s="9" t="s">
        <v>8679</v>
      </c>
      <c r="LUD1" s="9" t="s">
        <v>8680</v>
      </c>
      <c r="LUE1" s="9" t="s">
        <v>8681</v>
      </c>
      <c r="LUF1" s="9" t="s">
        <v>8682</v>
      </c>
      <c r="LUG1" s="9" t="s">
        <v>8683</v>
      </c>
      <c r="LUH1" s="9" t="s">
        <v>8684</v>
      </c>
      <c r="LUI1" s="9" t="s">
        <v>8685</v>
      </c>
      <c r="LUJ1" s="9" t="s">
        <v>8686</v>
      </c>
      <c r="LUK1" s="9" t="s">
        <v>8687</v>
      </c>
      <c r="LUL1" s="9" t="s">
        <v>8688</v>
      </c>
      <c r="LUM1" s="9" t="s">
        <v>8689</v>
      </c>
      <c r="LUN1" s="9" t="s">
        <v>8690</v>
      </c>
      <c r="LUO1" s="9" t="s">
        <v>8691</v>
      </c>
      <c r="LUP1" s="9" t="s">
        <v>8692</v>
      </c>
      <c r="LUQ1" s="9" t="s">
        <v>8693</v>
      </c>
      <c r="LUR1" s="9" t="s">
        <v>8694</v>
      </c>
      <c r="LUS1" s="9" t="s">
        <v>8695</v>
      </c>
      <c r="LUT1" s="9" t="s">
        <v>8696</v>
      </c>
      <c r="LUU1" s="9" t="s">
        <v>8697</v>
      </c>
      <c r="LUV1" s="9" t="s">
        <v>8698</v>
      </c>
      <c r="LUW1" s="9" t="s">
        <v>8699</v>
      </c>
      <c r="LUX1" s="9" t="s">
        <v>8700</v>
      </c>
      <c r="LUY1" s="9" t="s">
        <v>8701</v>
      </c>
      <c r="LUZ1" s="9" t="s">
        <v>8702</v>
      </c>
      <c r="LVA1" s="9" t="s">
        <v>8703</v>
      </c>
      <c r="LVB1" s="9" t="s">
        <v>8704</v>
      </c>
      <c r="LVC1" s="9" t="s">
        <v>8705</v>
      </c>
      <c r="LVD1" s="9" t="s">
        <v>8706</v>
      </c>
      <c r="LVE1" s="9" t="s">
        <v>8707</v>
      </c>
      <c r="LVF1" s="9" t="s">
        <v>8708</v>
      </c>
      <c r="LVG1" s="9" t="s">
        <v>8709</v>
      </c>
      <c r="LVH1" s="9" t="s">
        <v>8710</v>
      </c>
      <c r="LVI1" s="9" t="s">
        <v>8711</v>
      </c>
      <c r="LVJ1" s="9" t="s">
        <v>8712</v>
      </c>
      <c r="LVK1" s="9" t="s">
        <v>8713</v>
      </c>
      <c r="LVL1" s="9" t="s">
        <v>8714</v>
      </c>
      <c r="LVM1" s="9" t="s">
        <v>8715</v>
      </c>
      <c r="LVN1" s="9" t="s">
        <v>8716</v>
      </c>
      <c r="LVO1" s="9" t="s">
        <v>8717</v>
      </c>
      <c r="LVP1" s="9" t="s">
        <v>8718</v>
      </c>
      <c r="LVQ1" s="9" t="s">
        <v>8719</v>
      </c>
      <c r="LVR1" s="9" t="s">
        <v>8720</v>
      </c>
      <c r="LVS1" s="9" t="s">
        <v>8721</v>
      </c>
      <c r="LVT1" s="9" t="s">
        <v>8722</v>
      </c>
      <c r="LVU1" s="9" t="s">
        <v>8723</v>
      </c>
      <c r="LVV1" s="9" t="s">
        <v>8724</v>
      </c>
      <c r="LVW1" s="9" t="s">
        <v>8725</v>
      </c>
      <c r="LVX1" s="9" t="s">
        <v>8726</v>
      </c>
      <c r="LVY1" s="9" t="s">
        <v>8727</v>
      </c>
      <c r="LVZ1" s="9" t="s">
        <v>8728</v>
      </c>
      <c r="LWA1" s="9" t="s">
        <v>8729</v>
      </c>
      <c r="LWB1" s="9" t="s">
        <v>8730</v>
      </c>
      <c r="LWC1" s="9" t="s">
        <v>8731</v>
      </c>
      <c r="LWD1" s="9" t="s">
        <v>8732</v>
      </c>
      <c r="LWE1" s="9" t="s">
        <v>8733</v>
      </c>
      <c r="LWF1" s="9" t="s">
        <v>8734</v>
      </c>
      <c r="LWG1" s="9" t="s">
        <v>8735</v>
      </c>
      <c r="LWH1" s="9" t="s">
        <v>8736</v>
      </c>
      <c r="LWI1" s="9" t="s">
        <v>8737</v>
      </c>
      <c r="LWJ1" s="9" t="s">
        <v>8738</v>
      </c>
      <c r="LWK1" s="9" t="s">
        <v>8739</v>
      </c>
      <c r="LWL1" s="9" t="s">
        <v>8740</v>
      </c>
      <c r="LWM1" s="9" t="s">
        <v>8741</v>
      </c>
      <c r="LWN1" s="9" t="s">
        <v>8742</v>
      </c>
      <c r="LWO1" s="9" t="s">
        <v>8743</v>
      </c>
      <c r="LWP1" s="9" t="s">
        <v>8744</v>
      </c>
      <c r="LWQ1" s="9" t="s">
        <v>8745</v>
      </c>
      <c r="LWR1" s="9" t="s">
        <v>8746</v>
      </c>
      <c r="LWS1" s="9" t="s">
        <v>8747</v>
      </c>
      <c r="LWT1" s="9" t="s">
        <v>8748</v>
      </c>
      <c r="LWU1" s="9" t="s">
        <v>8749</v>
      </c>
      <c r="LWV1" s="9" t="s">
        <v>8750</v>
      </c>
      <c r="LWW1" s="9" t="s">
        <v>8751</v>
      </c>
      <c r="LWX1" s="9" t="s">
        <v>8752</v>
      </c>
      <c r="LWY1" s="9" t="s">
        <v>8753</v>
      </c>
      <c r="LWZ1" s="9" t="s">
        <v>8754</v>
      </c>
      <c r="LXA1" s="9" t="s">
        <v>8755</v>
      </c>
      <c r="LXB1" s="9" t="s">
        <v>8756</v>
      </c>
      <c r="LXC1" s="9" t="s">
        <v>8757</v>
      </c>
      <c r="LXD1" s="9" t="s">
        <v>8758</v>
      </c>
      <c r="LXE1" s="9" t="s">
        <v>8759</v>
      </c>
      <c r="LXF1" s="9" t="s">
        <v>8760</v>
      </c>
      <c r="LXG1" s="9" t="s">
        <v>8761</v>
      </c>
      <c r="LXH1" s="9" t="s">
        <v>8762</v>
      </c>
      <c r="LXI1" s="9" t="s">
        <v>8763</v>
      </c>
      <c r="LXJ1" s="9" t="s">
        <v>8764</v>
      </c>
      <c r="LXK1" s="9" t="s">
        <v>8765</v>
      </c>
      <c r="LXL1" s="9" t="s">
        <v>8766</v>
      </c>
      <c r="LXM1" s="9" t="s">
        <v>8767</v>
      </c>
      <c r="LXN1" s="9" t="s">
        <v>8768</v>
      </c>
      <c r="LXO1" s="9" t="s">
        <v>8769</v>
      </c>
      <c r="LXP1" s="9" t="s">
        <v>8770</v>
      </c>
      <c r="LXQ1" s="9" t="s">
        <v>8771</v>
      </c>
      <c r="LXR1" s="9" t="s">
        <v>8772</v>
      </c>
      <c r="LXS1" s="9" t="s">
        <v>8773</v>
      </c>
      <c r="LXT1" s="9" t="s">
        <v>8774</v>
      </c>
      <c r="LXU1" s="9" t="s">
        <v>8775</v>
      </c>
      <c r="LXV1" s="9" t="s">
        <v>8776</v>
      </c>
      <c r="LXW1" s="9" t="s">
        <v>8777</v>
      </c>
      <c r="LXX1" s="9" t="s">
        <v>8778</v>
      </c>
      <c r="LXY1" s="9" t="s">
        <v>8779</v>
      </c>
      <c r="LXZ1" s="9" t="s">
        <v>8780</v>
      </c>
      <c r="LYA1" s="9" t="s">
        <v>8781</v>
      </c>
      <c r="LYB1" s="9" t="s">
        <v>8782</v>
      </c>
      <c r="LYC1" s="9" t="s">
        <v>8783</v>
      </c>
      <c r="LYD1" s="9" t="s">
        <v>8784</v>
      </c>
      <c r="LYE1" s="9" t="s">
        <v>8785</v>
      </c>
      <c r="LYF1" s="9" t="s">
        <v>8786</v>
      </c>
      <c r="LYG1" s="9" t="s">
        <v>8787</v>
      </c>
      <c r="LYH1" s="9" t="s">
        <v>8788</v>
      </c>
      <c r="LYI1" s="9" t="s">
        <v>8789</v>
      </c>
      <c r="LYJ1" s="9" t="s">
        <v>8790</v>
      </c>
      <c r="LYK1" s="9" t="s">
        <v>8791</v>
      </c>
      <c r="LYL1" s="9" t="s">
        <v>8792</v>
      </c>
      <c r="LYM1" s="9" t="s">
        <v>8793</v>
      </c>
      <c r="LYN1" s="9" t="s">
        <v>8794</v>
      </c>
      <c r="LYO1" s="9" t="s">
        <v>8795</v>
      </c>
      <c r="LYP1" s="9" t="s">
        <v>8796</v>
      </c>
      <c r="LYQ1" s="9" t="s">
        <v>8797</v>
      </c>
      <c r="LYR1" s="9" t="s">
        <v>8798</v>
      </c>
      <c r="LYS1" s="9" t="s">
        <v>8799</v>
      </c>
      <c r="LYT1" s="9" t="s">
        <v>8800</v>
      </c>
      <c r="LYU1" s="9" t="s">
        <v>8801</v>
      </c>
      <c r="LYV1" s="9" t="s">
        <v>8802</v>
      </c>
      <c r="LYW1" s="9" t="s">
        <v>8803</v>
      </c>
      <c r="LYX1" s="9" t="s">
        <v>8804</v>
      </c>
      <c r="LYY1" s="9" t="s">
        <v>8805</v>
      </c>
      <c r="LYZ1" s="9" t="s">
        <v>8806</v>
      </c>
      <c r="LZA1" s="9" t="s">
        <v>8807</v>
      </c>
      <c r="LZB1" s="9" t="s">
        <v>8808</v>
      </c>
      <c r="LZC1" s="9" t="s">
        <v>8809</v>
      </c>
      <c r="LZD1" s="9" t="s">
        <v>8810</v>
      </c>
      <c r="LZE1" s="9" t="s">
        <v>8811</v>
      </c>
      <c r="LZF1" s="9" t="s">
        <v>8812</v>
      </c>
      <c r="LZG1" s="9" t="s">
        <v>8813</v>
      </c>
      <c r="LZH1" s="9" t="s">
        <v>8814</v>
      </c>
      <c r="LZI1" s="9" t="s">
        <v>8815</v>
      </c>
      <c r="LZJ1" s="9" t="s">
        <v>8816</v>
      </c>
      <c r="LZK1" s="9" t="s">
        <v>8817</v>
      </c>
      <c r="LZL1" s="9" t="s">
        <v>8818</v>
      </c>
      <c r="LZM1" s="9" t="s">
        <v>8819</v>
      </c>
      <c r="LZN1" s="9" t="s">
        <v>8820</v>
      </c>
      <c r="LZO1" s="9" t="s">
        <v>8821</v>
      </c>
      <c r="LZP1" s="9" t="s">
        <v>8822</v>
      </c>
      <c r="LZQ1" s="9" t="s">
        <v>8823</v>
      </c>
      <c r="LZR1" s="9" t="s">
        <v>8824</v>
      </c>
      <c r="LZS1" s="9" t="s">
        <v>8825</v>
      </c>
      <c r="LZT1" s="9" t="s">
        <v>8826</v>
      </c>
      <c r="LZU1" s="9" t="s">
        <v>8827</v>
      </c>
      <c r="LZV1" s="9" t="s">
        <v>8828</v>
      </c>
      <c r="LZW1" s="9" t="s">
        <v>8829</v>
      </c>
      <c r="LZX1" s="9" t="s">
        <v>8830</v>
      </c>
      <c r="LZY1" s="9" t="s">
        <v>8831</v>
      </c>
      <c r="LZZ1" s="9" t="s">
        <v>8832</v>
      </c>
      <c r="MAA1" s="9" t="s">
        <v>8833</v>
      </c>
      <c r="MAB1" s="9" t="s">
        <v>8834</v>
      </c>
      <c r="MAC1" s="9" t="s">
        <v>8835</v>
      </c>
      <c r="MAD1" s="9" t="s">
        <v>8836</v>
      </c>
      <c r="MAE1" s="9" t="s">
        <v>8837</v>
      </c>
      <c r="MAF1" s="9" t="s">
        <v>8838</v>
      </c>
      <c r="MAG1" s="9" t="s">
        <v>8839</v>
      </c>
      <c r="MAH1" s="9" t="s">
        <v>8840</v>
      </c>
      <c r="MAI1" s="9" t="s">
        <v>8841</v>
      </c>
      <c r="MAJ1" s="9" t="s">
        <v>8842</v>
      </c>
      <c r="MAK1" s="9" t="s">
        <v>8843</v>
      </c>
      <c r="MAL1" s="9" t="s">
        <v>8844</v>
      </c>
      <c r="MAM1" s="9" t="s">
        <v>8845</v>
      </c>
      <c r="MAN1" s="9" t="s">
        <v>8846</v>
      </c>
      <c r="MAO1" s="9" t="s">
        <v>8847</v>
      </c>
      <c r="MAP1" s="9" t="s">
        <v>8848</v>
      </c>
      <c r="MAQ1" s="9" t="s">
        <v>8849</v>
      </c>
      <c r="MAR1" s="9" t="s">
        <v>8850</v>
      </c>
      <c r="MAS1" s="9" t="s">
        <v>8851</v>
      </c>
      <c r="MAT1" s="9" t="s">
        <v>8852</v>
      </c>
      <c r="MAU1" s="9" t="s">
        <v>8853</v>
      </c>
      <c r="MAV1" s="9" t="s">
        <v>8854</v>
      </c>
      <c r="MAW1" s="9" t="s">
        <v>8855</v>
      </c>
      <c r="MAX1" s="9" t="s">
        <v>8856</v>
      </c>
      <c r="MAY1" s="9" t="s">
        <v>8857</v>
      </c>
      <c r="MAZ1" s="9" t="s">
        <v>8858</v>
      </c>
      <c r="MBA1" s="9" t="s">
        <v>8859</v>
      </c>
      <c r="MBB1" s="9" t="s">
        <v>8860</v>
      </c>
      <c r="MBC1" s="9" t="s">
        <v>8861</v>
      </c>
      <c r="MBD1" s="9" t="s">
        <v>8862</v>
      </c>
      <c r="MBE1" s="9" t="s">
        <v>8863</v>
      </c>
      <c r="MBF1" s="9" t="s">
        <v>8864</v>
      </c>
      <c r="MBG1" s="9" t="s">
        <v>8865</v>
      </c>
      <c r="MBH1" s="9" t="s">
        <v>8866</v>
      </c>
      <c r="MBI1" s="9" t="s">
        <v>8867</v>
      </c>
      <c r="MBJ1" s="9" t="s">
        <v>8868</v>
      </c>
      <c r="MBK1" s="9" t="s">
        <v>8869</v>
      </c>
      <c r="MBL1" s="9" t="s">
        <v>8870</v>
      </c>
      <c r="MBM1" s="9" t="s">
        <v>8871</v>
      </c>
      <c r="MBN1" s="9" t="s">
        <v>8872</v>
      </c>
      <c r="MBO1" s="9" t="s">
        <v>8873</v>
      </c>
      <c r="MBP1" s="9" t="s">
        <v>8874</v>
      </c>
      <c r="MBQ1" s="9" t="s">
        <v>8875</v>
      </c>
      <c r="MBR1" s="9" t="s">
        <v>8876</v>
      </c>
      <c r="MBS1" s="9" t="s">
        <v>8877</v>
      </c>
      <c r="MBT1" s="9" t="s">
        <v>8878</v>
      </c>
      <c r="MBU1" s="9" t="s">
        <v>8879</v>
      </c>
      <c r="MBV1" s="9" t="s">
        <v>8880</v>
      </c>
      <c r="MBW1" s="9" t="s">
        <v>8881</v>
      </c>
      <c r="MBX1" s="9" t="s">
        <v>8882</v>
      </c>
      <c r="MBY1" s="9" t="s">
        <v>8883</v>
      </c>
      <c r="MBZ1" s="9" t="s">
        <v>8884</v>
      </c>
      <c r="MCA1" s="9" t="s">
        <v>8885</v>
      </c>
      <c r="MCB1" s="9" t="s">
        <v>8886</v>
      </c>
      <c r="MCC1" s="9" t="s">
        <v>8887</v>
      </c>
      <c r="MCD1" s="9" t="s">
        <v>8888</v>
      </c>
      <c r="MCE1" s="9" t="s">
        <v>8889</v>
      </c>
      <c r="MCF1" s="9" t="s">
        <v>8890</v>
      </c>
      <c r="MCG1" s="9" t="s">
        <v>8891</v>
      </c>
      <c r="MCH1" s="9" t="s">
        <v>8892</v>
      </c>
      <c r="MCI1" s="9" t="s">
        <v>8893</v>
      </c>
      <c r="MCJ1" s="9" t="s">
        <v>8894</v>
      </c>
      <c r="MCK1" s="9" t="s">
        <v>8895</v>
      </c>
      <c r="MCL1" s="9" t="s">
        <v>8896</v>
      </c>
      <c r="MCM1" s="9" t="s">
        <v>8897</v>
      </c>
      <c r="MCN1" s="9" t="s">
        <v>8898</v>
      </c>
      <c r="MCO1" s="9" t="s">
        <v>8899</v>
      </c>
      <c r="MCP1" s="9" t="s">
        <v>8900</v>
      </c>
      <c r="MCQ1" s="9" t="s">
        <v>8901</v>
      </c>
      <c r="MCR1" s="9" t="s">
        <v>8902</v>
      </c>
      <c r="MCS1" s="9" t="s">
        <v>8903</v>
      </c>
      <c r="MCT1" s="9" t="s">
        <v>8904</v>
      </c>
      <c r="MCU1" s="9" t="s">
        <v>8905</v>
      </c>
      <c r="MCV1" s="9" t="s">
        <v>8906</v>
      </c>
      <c r="MCW1" s="9" t="s">
        <v>8907</v>
      </c>
      <c r="MCX1" s="9" t="s">
        <v>8908</v>
      </c>
      <c r="MCY1" s="9" t="s">
        <v>8909</v>
      </c>
      <c r="MCZ1" s="9" t="s">
        <v>8910</v>
      </c>
      <c r="MDA1" s="9" t="s">
        <v>8911</v>
      </c>
      <c r="MDB1" s="9" t="s">
        <v>8912</v>
      </c>
      <c r="MDC1" s="9" t="s">
        <v>8913</v>
      </c>
      <c r="MDD1" s="9" t="s">
        <v>8914</v>
      </c>
      <c r="MDE1" s="9" t="s">
        <v>8915</v>
      </c>
      <c r="MDF1" s="9" t="s">
        <v>8916</v>
      </c>
      <c r="MDG1" s="9" t="s">
        <v>8917</v>
      </c>
      <c r="MDH1" s="9" t="s">
        <v>8918</v>
      </c>
      <c r="MDI1" s="9" t="s">
        <v>8919</v>
      </c>
      <c r="MDJ1" s="9" t="s">
        <v>8920</v>
      </c>
      <c r="MDK1" s="9" t="s">
        <v>8921</v>
      </c>
      <c r="MDL1" s="9" t="s">
        <v>8922</v>
      </c>
      <c r="MDM1" s="9" t="s">
        <v>8923</v>
      </c>
      <c r="MDN1" s="9" t="s">
        <v>8924</v>
      </c>
      <c r="MDO1" s="9" t="s">
        <v>8925</v>
      </c>
      <c r="MDP1" s="9" t="s">
        <v>8926</v>
      </c>
      <c r="MDQ1" s="9" t="s">
        <v>8927</v>
      </c>
      <c r="MDR1" s="9" t="s">
        <v>8928</v>
      </c>
      <c r="MDS1" s="9" t="s">
        <v>8929</v>
      </c>
      <c r="MDT1" s="9" t="s">
        <v>8930</v>
      </c>
      <c r="MDU1" s="9" t="s">
        <v>8931</v>
      </c>
      <c r="MDV1" s="9" t="s">
        <v>8932</v>
      </c>
      <c r="MDW1" s="9" t="s">
        <v>8933</v>
      </c>
      <c r="MDX1" s="9" t="s">
        <v>8934</v>
      </c>
      <c r="MDY1" s="9" t="s">
        <v>8935</v>
      </c>
      <c r="MDZ1" s="9" t="s">
        <v>8936</v>
      </c>
      <c r="MEA1" s="9" t="s">
        <v>8937</v>
      </c>
      <c r="MEB1" s="9" t="s">
        <v>8938</v>
      </c>
      <c r="MEC1" s="9" t="s">
        <v>8939</v>
      </c>
      <c r="MED1" s="9" t="s">
        <v>8940</v>
      </c>
      <c r="MEE1" s="9" t="s">
        <v>8941</v>
      </c>
      <c r="MEF1" s="9" t="s">
        <v>8942</v>
      </c>
      <c r="MEG1" s="9" t="s">
        <v>8943</v>
      </c>
      <c r="MEH1" s="9" t="s">
        <v>8944</v>
      </c>
      <c r="MEI1" s="9" t="s">
        <v>8945</v>
      </c>
      <c r="MEJ1" s="9" t="s">
        <v>8946</v>
      </c>
      <c r="MEK1" s="9" t="s">
        <v>8947</v>
      </c>
      <c r="MEL1" s="9" t="s">
        <v>8948</v>
      </c>
      <c r="MEM1" s="9" t="s">
        <v>8949</v>
      </c>
      <c r="MEN1" s="9" t="s">
        <v>8950</v>
      </c>
      <c r="MEO1" s="9" t="s">
        <v>8951</v>
      </c>
      <c r="MEP1" s="9" t="s">
        <v>8952</v>
      </c>
      <c r="MEQ1" s="9" t="s">
        <v>8953</v>
      </c>
      <c r="MER1" s="9" t="s">
        <v>8954</v>
      </c>
      <c r="MES1" s="9" t="s">
        <v>8955</v>
      </c>
      <c r="MET1" s="9" t="s">
        <v>8956</v>
      </c>
      <c r="MEU1" s="9" t="s">
        <v>8957</v>
      </c>
      <c r="MEV1" s="9" t="s">
        <v>8958</v>
      </c>
      <c r="MEW1" s="9" t="s">
        <v>8959</v>
      </c>
      <c r="MEX1" s="9" t="s">
        <v>8960</v>
      </c>
      <c r="MEY1" s="9" t="s">
        <v>8961</v>
      </c>
      <c r="MEZ1" s="9" t="s">
        <v>8962</v>
      </c>
      <c r="MFA1" s="9" t="s">
        <v>8963</v>
      </c>
      <c r="MFB1" s="9" t="s">
        <v>8964</v>
      </c>
      <c r="MFC1" s="9" t="s">
        <v>8965</v>
      </c>
      <c r="MFD1" s="9" t="s">
        <v>8966</v>
      </c>
      <c r="MFE1" s="9" t="s">
        <v>8967</v>
      </c>
      <c r="MFF1" s="9" t="s">
        <v>8968</v>
      </c>
      <c r="MFG1" s="9" t="s">
        <v>8969</v>
      </c>
      <c r="MFH1" s="9" t="s">
        <v>8970</v>
      </c>
      <c r="MFI1" s="9" t="s">
        <v>8971</v>
      </c>
      <c r="MFJ1" s="9" t="s">
        <v>8972</v>
      </c>
      <c r="MFK1" s="9" t="s">
        <v>8973</v>
      </c>
      <c r="MFL1" s="9" t="s">
        <v>8974</v>
      </c>
      <c r="MFM1" s="9" t="s">
        <v>8975</v>
      </c>
      <c r="MFN1" s="9" t="s">
        <v>8976</v>
      </c>
      <c r="MFO1" s="9" t="s">
        <v>8977</v>
      </c>
      <c r="MFP1" s="9" t="s">
        <v>8978</v>
      </c>
      <c r="MFQ1" s="9" t="s">
        <v>8979</v>
      </c>
      <c r="MFR1" s="9" t="s">
        <v>8980</v>
      </c>
      <c r="MFS1" s="9" t="s">
        <v>8981</v>
      </c>
      <c r="MFT1" s="9" t="s">
        <v>8982</v>
      </c>
      <c r="MFU1" s="9" t="s">
        <v>8983</v>
      </c>
      <c r="MFV1" s="9" t="s">
        <v>8984</v>
      </c>
      <c r="MFW1" s="9" t="s">
        <v>8985</v>
      </c>
      <c r="MFX1" s="9" t="s">
        <v>8986</v>
      </c>
      <c r="MFY1" s="9" t="s">
        <v>8987</v>
      </c>
      <c r="MFZ1" s="9" t="s">
        <v>8988</v>
      </c>
      <c r="MGA1" s="9" t="s">
        <v>8989</v>
      </c>
      <c r="MGB1" s="9" t="s">
        <v>8990</v>
      </c>
      <c r="MGC1" s="9" t="s">
        <v>8991</v>
      </c>
      <c r="MGD1" s="9" t="s">
        <v>8992</v>
      </c>
      <c r="MGE1" s="9" t="s">
        <v>8993</v>
      </c>
      <c r="MGF1" s="9" t="s">
        <v>8994</v>
      </c>
      <c r="MGG1" s="9" t="s">
        <v>8995</v>
      </c>
      <c r="MGH1" s="9" t="s">
        <v>8996</v>
      </c>
      <c r="MGI1" s="9" t="s">
        <v>8997</v>
      </c>
      <c r="MGJ1" s="9" t="s">
        <v>8998</v>
      </c>
      <c r="MGK1" s="9" t="s">
        <v>8999</v>
      </c>
      <c r="MGL1" s="9" t="s">
        <v>9000</v>
      </c>
      <c r="MGM1" s="9" t="s">
        <v>9001</v>
      </c>
      <c r="MGN1" s="9" t="s">
        <v>9002</v>
      </c>
      <c r="MGO1" s="9" t="s">
        <v>9003</v>
      </c>
      <c r="MGP1" s="9" t="s">
        <v>9004</v>
      </c>
      <c r="MGQ1" s="9" t="s">
        <v>9005</v>
      </c>
      <c r="MGR1" s="9" t="s">
        <v>9006</v>
      </c>
      <c r="MGS1" s="9" t="s">
        <v>9007</v>
      </c>
      <c r="MGT1" s="9" t="s">
        <v>9008</v>
      </c>
      <c r="MGU1" s="9" t="s">
        <v>9009</v>
      </c>
      <c r="MGV1" s="9" t="s">
        <v>9010</v>
      </c>
      <c r="MGW1" s="9" t="s">
        <v>9011</v>
      </c>
      <c r="MGX1" s="9" t="s">
        <v>9012</v>
      </c>
      <c r="MGY1" s="9" t="s">
        <v>9013</v>
      </c>
      <c r="MGZ1" s="9" t="s">
        <v>9014</v>
      </c>
      <c r="MHA1" s="9" t="s">
        <v>9015</v>
      </c>
      <c r="MHB1" s="9" t="s">
        <v>9016</v>
      </c>
      <c r="MHC1" s="9" t="s">
        <v>9017</v>
      </c>
      <c r="MHD1" s="9" t="s">
        <v>9018</v>
      </c>
      <c r="MHE1" s="9" t="s">
        <v>9019</v>
      </c>
      <c r="MHF1" s="9" t="s">
        <v>9020</v>
      </c>
      <c r="MHG1" s="9" t="s">
        <v>9021</v>
      </c>
      <c r="MHH1" s="9" t="s">
        <v>9022</v>
      </c>
      <c r="MHI1" s="9" t="s">
        <v>9023</v>
      </c>
      <c r="MHJ1" s="9" t="s">
        <v>9024</v>
      </c>
      <c r="MHK1" s="9" t="s">
        <v>9025</v>
      </c>
      <c r="MHL1" s="9" t="s">
        <v>9026</v>
      </c>
      <c r="MHM1" s="9" t="s">
        <v>9027</v>
      </c>
      <c r="MHN1" s="9" t="s">
        <v>9028</v>
      </c>
      <c r="MHO1" s="9" t="s">
        <v>9029</v>
      </c>
      <c r="MHP1" s="9" t="s">
        <v>9030</v>
      </c>
      <c r="MHQ1" s="9" t="s">
        <v>9031</v>
      </c>
      <c r="MHR1" s="9" t="s">
        <v>9032</v>
      </c>
      <c r="MHS1" s="9" t="s">
        <v>9033</v>
      </c>
      <c r="MHT1" s="9" t="s">
        <v>9034</v>
      </c>
      <c r="MHU1" s="9" t="s">
        <v>9035</v>
      </c>
      <c r="MHV1" s="9" t="s">
        <v>9036</v>
      </c>
      <c r="MHW1" s="9" t="s">
        <v>9037</v>
      </c>
      <c r="MHX1" s="9" t="s">
        <v>9038</v>
      </c>
      <c r="MHY1" s="9" t="s">
        <v>9039</v>
      </c>
      <c r="MHZ1" s="9" t="s">
        <v>9040</v>
      </c>
      <c r="MIA1" s="9" t="s">
        <v>9041</v>
      </c>
      <c r="MIB1" s="9" t="s">
        <v>9042</v>
      </c>
      <c r="MIC1" s="9" t="s">
        <v>9043</v>
      </c>
      <c r="MID1" s="9" t="s">
        <v>9044</v>
      </c>
      <c r="MIE1" s="9" t="s">
        <v>9045</v>
      </c>
      <c r="MIF1" s="9" t="s">
        <v>9046</v>
      </c>
      <c r="MIG1" s="9" t="s">
        <v>9047</v>
      </c>
      <c r="MIH1" s="9" t="s">
        <v>9048</v>
      </c>
      <c r="MII1" s="9" t="s">
        <v>9049</v>
      </c>
      <c r="MIJ1" s="9" t="s">
        <v>9050</v>
      </c>
      <c r="MIK1" s="9" t="s">
        <v>9051</v>
      </c>
      <c r="MIL1" s="9" t="s">
        <v>9052</v>
      </c>
      <c r="MIM1" s="9" t="s">
        <v>9053</v>
      </c>
      <c r="MIN1" s="9" t="s">
        <v>9054</v>
      </c>
      <c r="MIO1" s="9" t="s">
        <v>9055</v>
      </c>
      <c r="MIP1" s="9" t="s">
        <v>9056</v>
      </c>
      <c r="MIQ1" s="9" t="s">
        <v>9057</v>
      </c>
      <c r="MIR1" s="9" t="s">
        <v>9058</v>
      </c>
      <c r="MIS1" s="9" t="s">
        <v>9059</v>
      </c>
      <c r="MIT1" s="9" t="s">
        <v>9060</v>
      </c>
      <c r="MIU1" s="9" t="s">
        <v>9061</v>
      </c>
      <c r="MIV1" s="9" t="s">
        <v>9062</v>
      </c>
      <c r="MIW1" s="9" t="s">
        <v>9063</v>
      </c>
      <c r="MIX1" s="9" t="s">
        <v>9064</v>
      </c>
      <c r="MIY1" s="9" t="s">
        <v>9065</v>
      </c>
      <c r="MIZ1" s="9" t="s">
        <v>9066</v>
      </c>
      <c r="MJA1" s="9" t="s">
        <v>9067</v>
      </c>
      <c r="MJB1" s="9" t="s">
        <v>9068</v>
      </c>
      <c r="MJC1" s="9" t="s">
        <v>9069</v>
      </c>
      <c r="MJD1" s="9" t="s">
        <v>9070</v>
      </c>
      <c r="MJE1" s="9" t="s">
        <v>9071</v>
      </c>
      <c r="MJF1" s="9" t="s">
        <v>9072</v>
      </c>
      <c r="MJG1" s="9" t="s">
        <v>9073</v>
      </c>
      <c r="MJH1" s="9" t="s">
        <v>9074</v>
      </c>
      <c r="MJI1" s="9" t="s">
        <v>9075</v>
      </c>
      <c r="MJJ1" s="9" t="s">
        <v>9076</v>
      </c>
      <c r="MJK1" s="9" t="s">
        <v>9077</v>
      </c>
      <c r="MJL1" s="9" t="s">
        <v>9078</v>
      </c>
      <c r="MJM1" s="9" t="s">
        <v>9079</v>
      </c>
      <c r="MJN1" s="9" t="s">
        <v>9080</v>
      </c>
      <c r="MJO1" s="9" t="s">
        <v>9081</v>
      </c>
      <c r="MJP1" s="9" t="s">
        <v>9082</v>
      </c>
      <c r="MJQ1" s="9" t="s">
        <v>9083</v>
      </c>
      <c r="MJR1" s="9" t="s">
        <v>9084</v>
      </c>
      <c r="MJS1" s="9" t="s">
        <v>9085</v>
      </c>
      <c r="MJT1" s="9" t="s">
        <v>9086</v>
      </c>
      <c r="MJU1" s="9" t="s">
        <v>9087</v>
      </c>
      <c r="MJV1" s="9" t="s">
        <v>9088</v>
      </c>
      <c r="MJW1" s="9" t="s">
        <v>9089</v>
      </c>
      <c r="MJX1" s="9" t="s">
        <v>9090</v>
      </c>
      <c r="MJY1" s="9" t="s">
        <v>9091</v>
      </c>
      <c r="MJZ1" s="9" t="s">
        <v>9092</v>
      </c>
      <c r="MKA1" s="9" t="s">
        <v>9093</v>
      </c>
      <c r="MKB1" s="9" t="s">
        <v>9094</v>
      </c>
      <c r="MKC1" s="9" t="s">
        <v>9095</v>
      </c>
      <c r="MKD1" s="9" t="s">
        <v>9096</v>
      </c>
      <c r="MKE1" s="9" t="s">
        <v>9097</v>
      </c>
      <c r="MKF1" s="9" t="s">
        <v>9098</v>
      </c>
      <c r="MKG1" s="9" t="s">
        <v>9099</v>
      </c>
      <c r="MKH1" s="9" t="s">
        <v>9100</v>
      </c>
      <c r="MKI1" s="9" t="s">
        <v>9101</v>
      </c>
      <c r="MKJ1" s="9" t="s">
        <v>9102</v>
      </c>
      <c r="MKK1" s="9" t="s">
        <v>9103</v>
      </c>
      <c r="MKL1" s="9" t="s">
        <v>9104</v>
      </c>
      <c r="MKM1" s="9" t="s">
        <v>9105</v>
      </c>
      <c r="MKN1" s="9" t="s">
        <v>9106</v>
      </c>
      <c r="MKO1" s="9" t="s">
        <v>9107</v>
      </c>
      <c r="MKP1" s="9" t="s">
        <v>9108</v>
      </c>
      <c r="MKQ1" s="9" t="s">
        <v>9109</v>
      </c>
      <c r="MKR1" s="9" t="s">
        <v>9110</v>
      </c>
      <c r="MKS1" s="9" t="s">
        <v>9111</v>
      </c>
      <c r="MKT1" s="9" t="s">
        <v>9112</v>
      </c>
      <c r="MKU1" s="9" t="s">
        <v>9113</v>
      </c>
      <c r="MKV1" s="9" t="s">
        <v>9114</v>
      </c>
      <c r="MKW1" s="9" t="s">
        <v>9115</v>
      </c>
      <c r="MKX1" s="9" t="s">
        <v>9116</v>
      </c>
      <c r="MKY1" s="9" t="s">
        <v>9117</v>
      </c>
      <c r="MKZ1" s="9" t="s">
        <v>9118</v>
      </c>
      <c r="MLA1" s="9" t="s">
        <v>9119</v>
      </c>
      <c r="MLB1" s="9" t="s">
        <v>9120</v>
      </c>
      <c r="MLC1" s="9" t="s">
        <v>9121</v>
      </c>
      <c r="MLD1" s="9" t="s">
        <v>9122</v>
      </c>
      <c r="MLE1" s="9" t="s">
        <v>9123</v>
      </c>
      <c r="MLF1" s="9" t="s">
        <v>9124</v>
      </c>
      <c r="MLG1" s="9" t="s">
        <v>9125</v>
      </c>
      <c r="MLH1" s="9" t="s">
        <v>9126</v>
      </c>
      <c r="MLI1" s="9" t="s">
        <v>9127</v>
      </c>
      <c r="MLJ1" s="9" t="s">
        <v>9128</v>
      </c>
      <c r="MLK1" s="9" t="s">
        <v>9129</v>
      </c>
      <c r="MLL1" s="9" t="s">
        <v>9130</v>
      </c>
      <c r="MLM1" s="9" t="s">
        <v>9131</v>
      </c>
      <c r="MLN1" s="9" t="s">
        <v>9132</v>
      </c>
      <c r="MLO1" s="9" t="s">
        <v>9133</v>
      </c>
      <c r="MLP1" s="9" t="s">
        <v>9134</v>
      </c>
      <c r="MLQ1" s="9" t="s">
        <v>9135</v>
      </c>
      <c r="MLR1" s="9" t="s">
        <v>9136</v>
      </c>
      <c r="MLS1" s="9" t="s">
        <v>9137</v>
      </c>
      <c r="MLT1" s="9" t="s">
        <v>9138</v>
      </c>
      <c r="MLU1" s="9" t="s">
        <v>9139</v>
      </c>
      <c r="MLV1" s="9" t="s">
        <v>9140</v>
      </c>
      <c r="MLW1" s="9" t="s">
        <v>9141</v>
      </c>
      <c r="MLX1" s="9" t="s">
        <v>9142</v>
      </c>
      <c r="MLY1" s="9" t="s">
        <v>9143</v>
      </c>
      <c r="MLZ1" s="9" t="s">
        <v>9144</v>
      </c>
      <c r="MMA1" s="9" t="s">
        <v>9145</v>
      </c>
      <c r="MMB1" s="9" t="s">
        <v>9146</v>
      </c>
      <c r="MMC1" s="9" t="s">
        <v>9147</v>
      </c>
      <c r="MMD1" s="9" t="s">
        <v>9148</v>
      </c>
      <c r="MME1" s="9" t="s">
        <v>9149</v>
      </c>
      <c r="MMF1" s="9" t="s">
        <v>9150</v>
      </c>
      <c r="MMG1" s="9" t="s">
        <v>9151</v>
      </c>
      <c r="MMH1" s="9" t="s">
        <v>9152</v>
      </c>
      <c r="MMI1" s="9" t="s">
        <v>9153</v>
      </c>
      <c r="MMJ1" s="9" t="s">
        <v>9154</v>
      </c>
      <c r="MMK1" s="9" t="s">
        <v>9155</v>
      </c>
      <c r="MML1" s="9" t="s">
        <v>9156</v>
      </c>
      <c r="MMM1" s="9" t="s">
        <v>9157</v>
      </c>
      <c r="MMN1" s="9" t="s">
        <v>9158</v>
      </c>
      <c r="MMO1" s="9" t="s">
        <v>9159</v>
      </c>
      <c r="MMP1" s="9" t="s">
        <v>9160</v>
      </c>
      <c r="MMQ1" s="9" t="s">
        <v>9161</v>
      </c>
      <c r="MMR1" s="9" t="s">
        <v>9162</v>
      </c>
      <c r="MMS1" s="9" t="s">
        <v>9163</v>
      </c>
      <c r="MMT1" s="9" t="s">
        <v>9164</v>
      </c>
      <c r="MMU1" s="9" t="s">
        <v>9165</v>
      </c>
      <c r="MMV1" s="9" t="s">
        <v>9166</v>
      </c>
      <c r="MMW1" s="9" t="s">
        <v>9167</v>
      </c>
      <c r="MMX1" s="9" t="s">
        <v>9168</v>
      </c>
      <c r="MMY1" s="9" t="s">
        <v>9169</v>
      </c>
      <c r="MMZ1" s="9" t="s">
        <v>9170</v>
      </c>
      <c r="MNA1" s="9" t="s">
        <v>9171</v>
      </c>
      <c r="MNB1" s="9" t="s">
        <v>9172</v>
      </c>
      <c r="MNC1" s="9" t="s">
        <v>9173</v>
      </c>
      <c r="MND1" s="9" t="s">
        <v>9174</v>
      </c>
      <c r="MNE1" s="9" t="s">
        <v>9175</v>
      </c>
      <c r="MNF1" s="9" t="s">
        <v>9176</v>
      </c>
      <c r="MNG1" s="9" t="s">
        <v>9177</v>
      </c>
      <c r="MNH1" s="9" t="s">
        <v>9178</v>
      </c>
      <c r="MNI1" s="9" t="s">
        <v>9179</v>
      </c>
      <c r="MNJ1" s="9" t="s">
        <v>9180</v>
      </c>
      <c r="MNK1" s="9" t="s">
        <v>9181</v>
      </c>
      <c r="MNL1" s="9" t="s">
        <v>9182</v>
      </c>
      <c r="MNM1" s="9" t="s">
        <v>9183</v>
      </c>
      <c r="MNN1" s="9" t="s">
        <v>9184</v>
      </c>
      <c r="MNO1" s="9" t="s">
        <v>9185</v>
      </c>
      <c r="MNP1" s="9" t="s">
        <v>9186</v>
      </c>
      <c r="MNQ1" s="9" t="s">
        <v>9187</v>
      </c>
      <c r="MNR1" s="9" t="s">
        <v>9188</v>
      </c>
      <c r="MNS1" s="9" t="s">
        <v>9189</v>
      </c>
      <c r="MNT1" s="9" t="s">
        <v>9190</v>
      </c>
      <c r="MNU1" s="9" t="s">
        <v>9191</v>
      </c>
      <c r="MNV1" s="9" t="s">
        <v>9192</v>
      </c>
      <c r="MNW1" s="9" t="s">
        <v>9193</v>
      </c>
      <c r="MNX1" s="9" t="s">
        <v>9194</v>
      </c>
      <c r="MNY1" s="9" t="s">
        <v>9195</v>
      </c>
      <c r="MNZ1" s="9" t="s">
        <v>9196</v>
      </c>
      <c r="MOA1" s="9" t="s">
        <v>9197</v>
      </c>
      <c r="MOB1" s="9" t="s">
        <v>9198</v>
      </c>
      <c r="MOC1" s="9" t="s">
        <v>9199</v>
      </c>
      <c r="MOD1" s="9" t="s">
        <v>9200</v>
      </c>
      <c r="MOE1" s="9" t="s">
        <v>9201</v>
      </c>
      <c r="MOF1" s="9" t="s">
        <v>9202</v>
      </c>
      <c r="MOG1" s="9" t="s">
        <v>9203</v>
      </c>
      <c r="MOH1" s="9" t="s">
        <v>9204</v>
      </c>
      <c r="MOI1" s="9" t="s">
        <v>9205</v>
      </c>
      <c r="MOJ1" s="9" t="s">
        <v>9206</v>
      </c>
      <c r="MOK1" s="9" t="s">
        <v>9207</v>
      </c>
      <c r="MOL1" s="9" t="s">
        <v>9208</v>
      </c>
      <c r="MOM1" s="9" t="s">
        <v>9209</v>
      </c>
      <c r="MON1" s="9" t="s">
        <v>9210</v>
      </c>
      <c r="MOO1" s="9" t="s">
        <v>9211</v>
      </c>
      <c r="MOP1" s="9" t="s">
        <v>9212</v>
      </c>
      <c r="MOQ1" s="9" t="s">
        <v>9213</v>
      </c>
      <c r="MOR1" s="9" t="s">
        <v>9214</v>
      </c>
      <c r="MOS1" s="9" t="s">
        <v>9215</v>
      </c>
      <c r="MOT1" s="9" t="s">
        <v>9216</v>
      </c>
      <c r="MOU1" s="9" t="s">
        <v>9217</v>
      </c>
      <c r="MOV1" s="9" t="s">
        <v>9218</v>
      </c>
      <c r="MOW1" s="9" t="s">
        <v>9219</v>
      </c>
      <c r="MOX1" s="9" t="s">
        <v>9220</v>
      </c>
      <c r="MOY1" s="9" t="s">
        <v>9221</v>
      </c>
      <c r="MOZ1" s="9" t="s">
        <v>9222</v>
      </c>
      <c r="MPA1" s="9" t="s">
        <v>9223</v>
      </c>
      <c r="MPB1" s="9" t="s">
        <v>9224</v>
      </c>
      <c r="MPC1" s="9" t="s">
        <v>9225</v>
      </c>
      <c r="MPD1" s="9" t="s">
        <v>9226</v>
      </c>
      <c r="MPE1" s="9" t="s">
        <v>9227</v>
      </c>
      <c r="MPF1" s="9" t="s">
        <v>9228</v>
      </c>
      <c r="MPG1" s="9" t="s">
        <v>9229</v>
      </c>
      <c r="MPH1" s="9" t="s">
        <v>9230</v>
      </c>
      <c r="MPI1" s="9" t="s">
        <v>9231</v>
      </c>
      <c r="MPJ1" s="9" t="s">
        <v>9232</v>
      </c>
      <c r="MPK1" s="9" t="s">
        <v>9233</v>
      </c>
      <c r="MPL1" s="9" t="s">
        <v>9234</v>
      </c>
      <c r="MPM1" s="9" t="s">
        <v>9235</v>
      </c>
      <c r="MPN1" s="9" t="s">
        <v>9236</v>
      </c>
      <c r="MPO1" s="9" t="s">
        <v>9237</v>
      </c>
      <c r="MPP1" s="9" t="s">
        <v>9238</v>
      </c>
      <c r="MPQ1" s="9" t="s">
        <v>9239</v>
      </c>
      <c r="MPR1" s="9" t="s">
        <v>9240</v>
      </c>
      <c r="MPS1" s="9" t="s">
        <v>9241</v>
      </c>
      <c r="MPT1" s="9" t="s">
        <v>9242</v>
      </c>
      <c r="MPU1" s="9" t="s">
        <v>9243</v>
      </c>
      <c r="MPV1" s="9" t="s">
        <v>9244</v>
      </c>
      <c r="MPW1" s="9" t="s">
        <v>9245</v>
      </c>
      <c r="MPX1" s="9" t="s">
        <v>9246</v>
      </c>
      <c r="MPY1" s="9" t="s">
        <v>9247</v>
      </c>
      <c r="MPZ1" s="9" t="s">
        <v>9248</v>
      </c>
      <c r="MQA1" s="9" t="s">
        <v>9249</v>
      </c>
      <c r="MQB1" s="9" t="s">
        <v>9250</v>
      </c>
      <c r="MQC1" s="9" t="s">
        <v>9251</v>
      </c>
      <c r="MQD1" s="9" t="s">
        <v>9252</v>
      </c>
      <c r="MQE1" s="9" t="s">
        <v>9253</v>
      </c>
      <c r="MQF1" s="9" t="s">
        <v>9254</v>
      </c>
      <c r="MQG1" s="9" t="s">
        <v>9255</v>
      </c>
      <c r="MQH1" s="9" t="s">
        <v>9256</v>
      </c>
      <c r="MQI1" s="9" t="s">
        <v>9257</v>
      </c>
      <c r="MQJ1" s="9" t="s">
        <v>9258</v>
      </c>
      <c r="MQK1" s="9" t="s">
        <v>9259</v>
      </c>
      <c r="MQL1" s="9" t="s">
        <v>9260</v>
      </c>
      <c r="MQM1" s="9" t="s">
        <v>9261</v>
      </c>
      <c r="MQN1" s="9" t="s">
        <v>9262</v>
      </c>
      <c r="MQO1" s="9" t="s">
        <v>9263</v>
      </c>
      <c r="MQP1" s="9" t="s">
        <v>9264</v>
      </c>
      <c r="MQQ1" s="9" t="s">
        <v>9265</v>
      </c>
      <c r="MQR1" s="9" t="s">
        <v>9266</v>
      </c>
      <c r="MQS1" s="9" t="s">
        <v>9267</v>
      </c>
      <c r="MQT1" s="9" t="s">
        <v>9268</v>
      </c>
      <c r="MQU1" s="9" t="s">
        <v>9269</v>
      </c>
      <c r="MQV1" s="9" t="s">
        <v>9270</v>
      </c>
      <c r="MQW1" s="9" t="s">
        <v>9271</v>
      </c>
      <c r="MQX1" s="9" t="s">
        <v>9272</v>
      </c>
      <c r="MQY1" s="9" t="s">
        <v>9273</v>
      </c>
      <c r="MQZ1" s="9" t="s">
        <v>9274</v>
      </c>
      <c r="MRA1" s="9" t="s">
        <v>9275</v>
      </c>
      <c r="MRB1" s="9" t="s">
        <v>9276</v>
      </c>
      <c r="MRC1" s="9" t="s">
        <v>9277</v>
      </c>
      <c r="MRD1" s="9" t="s">
        <v>9278</v>
      </c>
      <c r="MRE1" s="9" t="s">
        <v>9279</v>
      </c>
      <c r="MRF1" s="9" t="s">
        <v>9280</v>
      </c>
      <c r="MRG1" s="9" t="s">
        <v>9281</v>
      </c>
      <c r="MRH1" s="9" t="s">
        <v>9282</v>
      </c>
      <c r="MRI1" s="9" t="s">
        <v>9283</v>
      </c>
      <c r="MRJ1" s="9" t="s">
        <v>9284</v>
      </c>
      <c r="MRK1" s="9" t="s">
        <v>9285</v>
      </c>
      <c r="MRL1" s="9" t="s">
        <v>9286</v>
      </c>
      <c r="MRM1" s="9" t="s">
        <v>9287</v>
      </c>
      <c r="MRN1" s="9" t="s">
        <v>9288</v>
      </c>
      <c r="MRO1" s="9" t="s">
        <v>9289</v>
      </c>
      <c r="MRP1" s="9" t="s">
        <v>9290</v>
      </c>
      <c r="MRQ1" s="9" t="s">
        <v>9291</v>
      </c>
      <c r="MRR1" s="9" t="s">
        <v>9292</v>
      </c>
      <c r="MRS1" s="9" t="s">
        <v>9293</v>
      </c>
      <c r="MRT1" s="9" t="s">
        <v>9294</v>
      </c>
      <c r="MRU1" s="9" t="s">
        <v>9295</v>
      </c>
      <c r="MRV1" s="9" t="s">
        <v>9296</v>
      </c>
      <c r="MRW1" s="9" t="s">
        <v>9297</v>
      </c>
      <c r="MRX1" s="9" t="s">
        <v>9298</v>
      </c>
      <c r="MRY1" s="9" t="s">
        <v>9299</v>
      </c>
      <c r="MRZ1" s="9" t="s">
        <v>9300</v>
      </c>
      <c r="MSA1" s="9" t="s">
        <v>9301</v>
      </c>
      <c r="MSB1" s="9" t="s">
        <v>9302</v>
      </c>
      <c r="MSC1" s="9" t="s">
        <v>9303</v>
      </c>
      <c r="MSD1" s="9" t="s">
        <v>9304</v>
      </c>
      <c r="MSE1" s="9" t="s">
        <v>9305</v>
      </c>
      <c r="MSF1" s="9" t="s">
        <v>9306</v>
      </c>
      <c r="MSG1" s="9" t="s">
        <v>9307</v>
      </c>
      <c r="MSH1" s="9" t="s">
        <v>9308</v>
      </c>
      <c r="MSI1" s="9" t="s">
        <v>9309</v>
      </c>
      <c r="MSJ1" s="9" t="s">
        <v>9310</v>
      </c>
      <c r="MSK1" s="9" t="s">
        <v>9311</v>
      </c>
      <c r="MSL1" s="9" t="s">
        <v>9312</v>
      </c>
      <c r="MSM1" s="9" t="s">
        <v>9313</v>
      </c>
      <c r="MSN1" s="9" t="s">
        <v>9314</v>
      </c>
      <c r="MSO1" s="9" t="s">
        <v>9315</v>
      </c>
      <c r="MSP1" s="9" t="s">
        <v>9316</v>
      </c>
      <c r="MSQ1" s="9" t="s">
        <v>9317</v>
      </c>
      <c r="MSR1" s="9" t="s">
        <v>9318</v>
      </c>
      <c r="MSS1" s="9" t="s">
        <v>9319</v>
      </c>
      <c r="MST1" s="9" t="s">
        <v>9320</v>
      </c>
      <c r="MSU1" s="9" t="s">
        <v>9321</v>
      </c>
      <c r="MSV1" s="9" t="s">
        <v>9322</v>
      </c>
      <c r="MSW1" s="9" t="s">
        <v>9323</v>
      </c>
      <c r="MSX1" s="9" t="s">
        <v>9324</v>
      </c>
      <c r="MSY1" s="9" t="s">
        <v>9325</v>
      </c>
      <c r="MSZ1" s="9" t="s">
        <v>9326</v>
      </c>
      <c r="MTA1" s="9" t="s">
        <v>9327</v>
      </c>
      <c r="MTB1" s="9" t="s">
        <v>9328</v>
      </c>
      <c r="MTC1" s="9" t="s">
        <v>9329</v>
      </c>
      <c r="MTD1" s="9" t="s">
        <v>9330</v>
      </c>
      <c r="MTE1" s="9" t="s">
        <v>9331</v>
      </c>
      <c r="MTF1" s="9" t="s">
        <v>9332</v>
      </c>
      <c r="MTG1" s="9" t="s">
        <v>9333</v>
      </c>
      <c r="MTH1" s="9" t="s">
        <v>9334</v>
      </c>
      <c r="MTI1" s="9" t="s">
        <v>9335</v>
      </c>
      <c r="MTJ1" s="9" t="s">
        <v>9336</v>
      </c>
      <c r="MTK1" s="9" t="s">
        <v>9337</v>
      </c>
      <c r="MTL1" s="9" t="s">
        <v>9338</v>
      </c>
      <c r="MTM1" s="9" t="s">
        <v>9339</v>
      </c>
      <c r="MTN1" s="9" t="s">
        <v>9340</v>
      </c>
      <c r="MTO1" s="9" t="s">
        <v>9341</v>
      </c>
      <c r="MTP1" s="9" t="s">
        <v>9342</v>
      </c>
      <c r="MTQ1" s="9" t="s">
        <v>9343</v>
      </c>
      <c r="MTR1" s="9" t="s">
        <v>9344</v>
      </c>
      <c r="MTS1" s="9" t="s">
        <v>9345</v>
      </c>
      <c r="MTT1" s="9" t="s">
        <v>9346</v>
      </c>
      <c r="MTU1" s="9" t="s">
        <v>9347</v>
      </c>
      <c r="MTV1" s="9" t="s">
        <v>9348</v>
      </c>
      <c r="MTW1" s="9" t="s">
        <v>9349</v>
      </c>
      <c r="MTX1" s="9" t="s">
        <v>9350</v>
      </c>
      <c r="MTY1" s="9" t="s">
        <v>9351</v>
      </c>
      <c r="MTZ1" s="9" t="s">
        <v>9352</v>
      </c>
      <c r="MUA1" s="9" t="s">
        <v>9353</v>
      </c>
      <c r="MUB1" s="9" t="s">
        <v>9354</v>
      </c>
      <c r="MUC1" s="9" t="s">
        <v>9355</v>
      </c>
      <c r="MUD1" s="9" t="s">
        <v>9356</v>
      </c>
      <c r="MUE1" s="9" t="s">
        <v>9357</v>
      </c>
      <c r="MUF1" s="9" t="s">
        <v>9358</v>
      </c>
      <c r="MUG1" s="9" t="s">
        <v>9359</v>
      </c>
      <c r="MUH1" s="9" t="s">
        <v>9360</v>
      </c>
      <c r="MUI1" s="9" t="s">
        <v>9361</v>
      </c>
      <c r="MUJ1" s="9" t="s">
        <v>9362</v>
      </c>
      <c r="MUK1" s="9" t="s">
        <v>9363</v>
      </c>
      <c r="MUL1" s="9" t="s">
        <v>9364</v>
      </c>
      <c r="MUM1" s="9" t="s">
        <v>9365</v>
      </c>
      <c r="MUN1" s="9" t="s">
        <v>9366</v>
      </c>
      <c r="MUO1" s="9" t="s">
        <v>9367</v>
      </c>
      <c r="MUP1" s="9" t="s">
        <v>9368</v>
      </c>
      <c r="MUQ1" s="9" t="s">
        <v>9369</v>
      </c>
      <c r="MUR1" s="9" t="s">
        <v>9370</v>
      </c>
      <c r="MUS1" s="9" t="s">
        <v>9371</v>
      </c>
      <c r="MUT1" s="9" t="s">
        <v>9372</v>
      </c>
      <c r="MUU1" s="9" t="s">
        <v>9373</v>
      </c>
      <c r="MUV1" s="9" t="s">
        <v>9374</v>
      </c>
      <c r="MUW1" s="9" t="s">
        <v>9375</v>
      </c>
      <c r="MUX1" s="9" t="s">
        <v>9376</v>
      </c>
      <c r="MUY1" s="9" t="s">
        <v>9377</v>
      </c>
      <c r="MUZ1" s="9" t="s">
        <v>9378</v>
      </c>
      <c r="MVA1" s="9" t="s">
        <v>9379</v>
      </c>
      <c r="MVB1" s="9" t="s">
        <v>9380</v>
      </c>
      <c r="MVC1" s="9" t="s">
        <v>9381</v>
      </c>
      <c r="MVD1" s="9" t="s">
        <v>9382</v>
      </c>
      <c r="MVE1" s="9" t="s">
        <v>9383</v>
      </c>
      <c r="MVF1" s="9" t="s">
        <v>9384</v>
      </c>
      <c r="MVG1" s="9" t="s">
        <v>9385</v>
      </c>
      <c r="MVH1" s="9" t="s">
        <v>9386</v>
      </c>
      <c r="MVI1" s="9" t="s">
        <v>9387</v>
      </c>
      <c r="MVJ1" s="9" t="s">
        <v>9388</v>
      </c>
      <c r="MVK1" s="9" t="s">
        <v>9389</v>
      </c>
      <c r="MVL1" s="9" t="s">
        <v>9390</v>
      </c>
      <c r="MVM1" s="9" t="s">
        <v>9391</v>
      </c>
      <c r="MVN1" s="9" t="s">
        <v>9392</v>
      </c>
      <c r="MVO1" s="9" t="s">
        <v>9393</v>
      </c>
      <c r="MVP1" s="9" t="s">
        <v>9394</v>
      </c>
      <c r="MVQ1" s="9" t="s">
        <v>9395</v>
      </c>
      <c r="MVR1" s="9" t="s">
        <v>9396</v>
      </c>
      <c r="MVS1" s="9" t="s">
        <v>9397</v>
      </c>
      <c r="MVT1" s="9" t="s">
        <v>9398</v>
      </c>
      <c r="MVU1" s="9" t="s">
        <v>9399</v>
      </c>
      <c r="MVV1" s="9" t="s">
        <v>9400</v>
      </c>
      <c r="MVW1" s="9" t="s">
        <v>9401</v>
      </c>
      <c r="MVX1" s="9" t="s">
        <v>9402</v>
      </c>
      <c r="MVY1" s="9" t="s">
        <v>9403</v>
      </c>
      <c r="MVZ1" s="9" t="s">
        <v>9404</v>
      </c>
      <c r="MWA1" s="9" t="s">
        <v>9405</v>
      </c>
      <c r="MWB1" s="9" t="s">
        <v>9406</v>
      </c>
      <c r="MWC1" s="9" t="s">
        <v>9407</v>
      </c>
      <c r="MWD1" s="9" t="s">
        <v>9408</v>
      </c>
      <c r="MWE1" s="9" t="s">
        <v>9409</v>
      </c>
      <c r="MWF1" s="9" t="s">
        <v>9410</v>
      </c>
      <c r="MWG1" s="9" t="s">
        <v>9411</v>
      </c>
      <c r="MWH1" s="9" t="s">
        <v>9412</v>
      </c>
      <c r="MWI1" s="9" t="s">
        <v>9413</v>
      </c>
      <c r="MWJ1" s="9" t="s">
        <v>9414</v>
      </c>
      <c r="MWK1" s="9" t="s">
        <v>9415</v>
      </c>
      <c r="MWL1" s="9" t="s">
        <v>9416</v>
      </c>
      <c r="MWM1" s="9" t="s">
        <v>9417</v>
      </c>
      <c r="MWN1" s="9" t="s">
        <v>9418</v>
      </c>
      <c r="MWO1" s="9" t="s">
        <v>9419</v>
      </c>
      <c r="MWP1" s="9" t="s">
        <v>9420</v>
      </c>
      <c r="MWQ1" s="9" t="s">
        <v>9421</v>
      </c>
      <c r="MWR1" s="9" t="s">
        <v>9422</v>
      </c>
      <c r="MWS1" s="9" t="s">
        <v>9423</v>
      </c>
      <c r="MWT1" s="9" t="s">
        <v>9424</v>
      </c>
      <c r="MWU1" s="9" t="s">
        <v>9425</v>
      </c>
      <c r="MWV1" s="9" t="s">
        <v>9426</v>
      </c>
      <c r="MWW1" s="9" t="s">
        <v>9427</v>
      </c>
      <c r="MWX1" s="9" t="s">
        <v>9428</v>
      </c>
      <c r="MWY1" s="9" t="s">
        <v>9429</v>
      </c>
      <c r="MWZ1" s="9" t="s">
        <v>9430</v>
      </c>
      <c r="MXA1" s="9" t="s">
        <v>9431</v>
      </c>
      <c r="MXB1" s="9" t="s">
        <v>9432</v>
      </c>
      <c r="MXC1" s="9" t="s">
        <v>9433</v>
      </c>
      <c r="MXD1" s="9" t="s">
        <v>9434</v>
      </c>
      <c r="MXE1" s="9" t="s">
        <v>9435</v>
      </c>
      <c r="MXF1" s="9" t="s">
        <v>9436</v>
      </c>
      <c r="MXG1" s="9" t="s">
        <v>9437</v>
      </c>
      <c r="MXH1" s="9" t="s">
        <v>9438</v>
      </c>
      <c r="MXI1" s="9" t="s">
        <v>9439</v>
      </c>
      <c r="MXJ1" s="9" t="s">
        <v>9440</v>
      </c>
      <c r="MXK1" s="9" t="s">
        <v>9441</v>
      </c>
      <c r="MXL1" s="9" t="s">
        <v>9442</v>
      </c>
      <c r="MXM1" s="9" t="s">
        <v>9443</v>
      </c>
      <c r="MXN1" s="9" t="s">
        <v>9444</v>
      </c>
      <c r="MXO1" s="9" t="s">
        <v>9445</v>
      </c>
      <c r="MXP1" s="9" t="s">
        <v>9446</v>
      </c>
      <c r="MXQ1" s="9" t="s">
        <v>9447</v>
      </c>
      <c r="MXR1" s="9" t="s">
        <v>9448</v>
      </c>
      <c r="MXS1" s="9" t="s">
        <v>9449</v>
      </c>
      <c r="MXT1" s="9" t="s">
        <v>9450</v>
      </c>
      <c r="MXU1" s="9" t="s">
        <v>9451</v>
      </c>
      <c r="MXV1" s="9" t="s">
        <v>9452</v>
      </c>
      <c r="MXW1" s="9" t="s">
        <v>9453</v>
      </c>
      <c r="MXX1" s="9" t="s">
        <v>9454</v>
      </c>
      <c r="MXY1" s="9" t="s">
        <v>9455</v>
      </c>
      <c r="MXZ1" s="9" t="s">
        <v>9456</v>
      </c>
      <c r="MYA1" s="9" t="s">
        <v>9457</v>
      </c>
      <c r="MYB1" s="9" t="s">
        <v>9458</v>
      </c>
      <c r="MYC1" s="9" t="s">
        <v>9459</v>
      </c>
      <c r="MYD1" s="9" t="s">
        <v>9460</v>
      </c>
      <c r="MYE1" s="9" t="s">
        <v>9461</v>
      </c>
      <c r="MYF1" s="9" t="s">
        <v>9462</v>
      </c>
      <c r="MYG1" s="9" t="s">
        <v>9463</v>
      </c>
      <c r="MYH1" s="9" t="s">
        <v>9464</v>
      </c>
      <c r="MYI1" s="9" t="s">
        <v>9465</v>
      </c>
      <c r="MYJ1" s="9" t="s">
        <v>9466</v>
      </c>
      <c r="MYK1" s="9" t="s">
        <v>9467</v>
      </c>
      <c r="MYL1" s="9" t="s">
        <v>9468</v>
      </c>
      <c r="MYM1" s="9" t="s">
        <v>9469</v>
      </c>
      <c r="MYN1" s="9" t="s">
        <v>9470</v>
      </c>
      <c r="MYO1" s="9" t="s">
        <v>9471</v>
      </c>
      <c r="MYP1" s="9" t="s">
        <v>9472</v>
      </c>
      <c r="MYQ1" s="9" t="s">
        <v>9473</v>
      </c>
      <c r="MYR1" s="9" t="s">
        <v>9474</v>
      </c>
      <c r="MYS1" s="9" t="s">
        <v>9475</v>
      </c>
      <c r="MYT1" s="9" t="s">
        <v>9476</v>
      </c>
      <c r="MYU1" s="9" t="s">
        <v>9477</v>
      </c>
      <c r="MYV1" s="9" t="s">
        <v>9478</v>
      </c>
      <c r="MYW1" s="9" t="s">
        <v>9479</v>
      </c>
      <c r="MYX1" s="9" t="s">
        <v>9480</v>
      </c>
      <c r="MYY1" s="9" t="s">
        <v>9481</v>
      </c>
      <c r="MYZ1" s="9" t="s">
        <v>9482</v>
      </c>
      <c r="MZA1" s="9" t="s">
        <v>9483</v>
      </c>
      <c r="MZB1" s="9" t="s">
        <v>9484</v>
      </c>
      <c r="MZC1" s="9" t="s">
        <v>9485</v>
      </c>
      <c r="MZD1" s="9" t="s">
        <v>9486</v>
      </c>
      <c r="MZE1" s="9" t="s">
        <v>9487</v>
      </c>
      <c r="MZF1" s="9" t="s">
        <v>9488</v>
      </c>
      <c r="MZG1" s="9" t="s">
        <v>9489</v>
      </c>
      <c r="MZH1" s="9" t="s">
        <v>9490</v>
      </c>
      <c r="MZI1" s="9" t="s">
        <v>9491</v>
      </c>
      <c r="MZJ1" s="9" t="s">
        <v>9492</v>
      </c>
      <c r="MZK1" s="9" t="s">
        <v>9493</v>
      </c>
      <c r="MZL1" s="9" t="s">
        <v>9494</v>
      </c>
      <c r="MZM1" s="9" t="s">
        <v>9495</v>
      </c>
      <c r="MZN1" s="9" t="s">
        <v>9496</v>
      </c>
      <c r="MZO1" s="9" t="s">
        <v>9497</v>
      </c>
      <c r="MZP1" s="9" t="s">
        <v>9498</v>
      </c>
      <c r="MZQ1" s="9" t="s">
        <v>9499</v>
      </c>
      <c r="MZR1" s="9" t="s">
        <v>9500</v>
      </c>
      <c r="MZS1" s="9" t="s">
        <v>9501</v>
      </c>
      <c r="MZT1" s="9" t="s">
        <v>9502</v>
      </c>
      <c r="MZU1" s="9" t="s">
        <v>9503</v>
      </c>
      <c r="MZV1" s="9" t="s">
        <v>9504</v>
      </c>
      <c r="MZW1" s="9" t="s">
        <v>9505</v>
      </c>
      <c r="MZX1" s="9" t="s">
        <v>9506</v>
      </c>
      <c r="MZY1" s="9" t="s">
        <v>9507</v>
      </c>
      <c r="MZZ1" s="9" t="s">
        <v>9508</v>
      </c>
      <c r="NAA1" s="9" t="s">
        <v>9509</v>
      </c>
      <c r="NAB1" s="9" t="s">
        <v>9510</v>
      </c>
      <c r="NAC1" s="9" t="s">
        <v>9511</v>
      </c>
      <c r="NAD1" s="9" t="s">
        <v>9512</v>
      </c>
      <c r="NAE1" s="9" t="s">
        <v>9513</v>
      </c>
      <c r="NAF1" s="9" t="s">
        <v>9514</v>
      </c>
      <c r="NAG1" s="9" t="s">
        <v>9515</v>
      </c>
      <c r="NAH1" s="9" t="s">
        <v>9516</v>
      </c>
      <c r="NAI1" s="9" t="s">
        <v>9517</v>
      </c>
      <c r="NAJ1" s="9" t="s">
        <v>9518</v>
      </c>
      <c r="NAK1" s="9" t="s">
        <v>9519</v>
      </c>
      <c r="NAL1" s="9" t="s">
        <v>9520</v>
      </c>
      <c r="NAM1" s="9" t="s">
        <v>9521</v>
      </c>
      <c r="NAN1" s="9" t="s">
        <v>9522</v>
      </c>
      <c r="NAO1" s="9" t="s">
        <v>9523</v>
      </c>
      <c r="NAP1" s="9" t="s">
        <v>9524</v>
      </c>
      <c r="NAQ1" s="9" t="s">
        <v>9525</v>
      </c>
      <c r="NAR1" s="9" t="s">
        <v>9526</v>
      </c>
      <c r="NAS1" s="9" t="s">
        <v>9527</v>
      </c>
      <c r="NAT1" s="9" t="s">
        <v>9528</v>
      </c>
      <c r="NAU1" s="9" t="s">
        <v>9529</v>
      </c>
      <c r="NAV1" s="9" t="s">
        <v>9530</v>
      </c>
      <c r="NAW1" s="9" t="s">
        <v>9531</v>
      </c>
      <c r="NAX1" s="9" t="s">
        <v>9532</v>
      </c>
      <c r="NAY1" s="9" t="s">
        <v>9533</v>
      </c>
      <c r="NAZ1" s="9" t="s">
        <v>9534</v>
      </c>
      <c r="NBA1" s="9" t="s">
        <v>9535</v>
      </c>
      <c r="NBB1" s="9" t="s">
        <v>9536</v>
      </c>
      <c r="NBC1" s="9" t="s">
        <v>9537</v>
      </c>
      <c r="NBD1" s="9" t="s">
        <v>9538</v>
      </c>
      <c r="NBE1" s="9" t="s">
        <v>9539</v>
      </c>
      <c r="NBF1" s="9" t="s">
        <v>9540</v>
      </c>
      <c r="NBG1" s="9" t="s">
        <v>9541</v>
      </c>
      <c r="NBH1" s="9" t="s">
        <v>9542</v>
      </c>
      <c r="NBI1" s="9" t="s">
        <v>9543</v>
      </c>
      <c r="NBJ1" s="9" t="s">
        <v>9544</v>
      </c>
      <c r="NBK1" s="9" t="s">
        <v>9545</v>
      </c>
      <c r="NBL1" s="9" t="s">
        <v>9546</v>
      </c>
      <c r="NBM1" s="9" t="s">
        <v>9547</v>
      </c>
      <c r="NBN1" s="9" t="s">
        <v>9548</v>
      </c>
      <c r="NBO1" s="9" t="s">
        <v>9549</v>
      </c>
      <c r="NBP1" s="9" t="s">
        <v>9550</v>
      </c>
      <c r="NBQ1" s="9" t="s">
        <v>9551</v>
      </c>
      <c r="NBR1" s="9" t="s">
        <v>9552</v>
      </c>
      <c r="NBS1" s="9" t="s">
        <v>9553</v>
      </c>
      <c r="NBT1" s="9" t="s">
        <v>9554</v>
      </c>
      <c r="NBU1" s="9" t="s">
        <v>9555</v>
      </c>
      <c r="NBV1" s="9" t="s">
        <v>9556</v>
      </c>
      <c r="NBW1" s="9" t="s">
        <v>9557</v>
      </c>
      <c r="NBX1" s="9" t="s">
        <v>9558</v>
      </c>
      <c r="NBY1" s="9" t="s">
        <v>9559</v>
      </c>
      <c r="NBZ1" s="9" t="s">
        <v>9560</v>
      </c>
      <c r="NCA1" s="9" t="s">
        <v>9561</v>
      </c>
      <c r="NCB1" s="9" t="s">
        <v>9562</v>
      </c>
      <c r="NCC1" s="9" t="s">
        <v>9563</v>
      </c>
      <c r="NCD1" s="9" t="s">
        <v>9564</v>
      </c>
      <c r="NCE1" s="9" t="s">
        <v>9565</v>
      </c>
      <c r="NCF1" s="9" t="s">
        <v>9566</v>
      </c>
      <c r="NCG1" s="9" t="s">
        <v>9567</v>
      </c>
      <c r="NCH1" s="9" t="s">
        <v>9568</v>
      </c>
      <c r="NCI1" s="9" t="s">
        <v>9569</v>
      </c>
      <c r="NCJ1" s="9" t="s">
        <v>9570</v>
      </c>
      <c r="NCK1" s="9" t="s">
        <v>9571</v>
      </c>
      <c r="NCL1" s="9" t="s">
        <v>9572</v>
      </c>
      <c r="NCM1" s="9" t="s">
        <v>9573</v>
      </c>
      <c r="NCN1" s="9" t="s">
        <v>9574</v>
      </c>
      <c r="NCO1" s="9" t="s">
        <v>9575</v>
      </c>
      <c r="NCP1" s="9" t="s">
        <v>9576</v>
      </c>
      <c r="NCQ1" s="9" t="s">
        <v>9577</v>
      </c>
      <c r="NCR1" s="9" t="s">
        <v>9578</v>
      </c>
      <c r="NCS1" s="9" t="s">
        <v>9579</v>
      </c>
      <c r="NCT1" s="9" t="s">
        <v>9580</v>
      </c>
      <c r="NCU1" s="9" t="s">
        <v>9581</v>
      </c>
      <c r="NCV1" s="9" t="s">
        <v>9582</v>
      </c>
      <c r="NCW1" s="9" t="s">
        <v>9583</v>
      </c>
      <c r="NCX1" s="9" t="s">
        <v>9584</v>
      </c>
      <c r="NCY1" s="9" t="s">
        <v>9585</v>
      </c>
      <c r="NCZ1" s="9" t="s">
        <v>9586</v>
      </c>
      <c r="NDA1" s="9" t="s">
        <v>9587</v>
      </c>
      <c r="NDB1" s="9" t="s">
        <v>9588</v>
      </c>
      <c r="NDC1" s="9" t="s">
        <v>9589</v>
      </c>
      <c r="NDD1" s="9" t="s">
        <v>9590</v>
      </c>
      <c r="NDE1" s="9" t="s">
        <v>9591</v>
      </c>
      <c r="NDF1" s="9" t="s">
        <v>9592</v>
      </c>
      <c r="NDG1" s="9" t="s">
        <v>9593</v>
      </c>
      <c r="NDH1" s="9" t="s">
        <v>9594</v>
      </c>
      <c r="NDI1" s="9" t="s">
        <v>9595</v>
      </c>
      <c r="NDJ1" s="9" t="s">
        <v>9596</v>
      </c>
      <c r="NDK1" s="9" t="s">
        <v>9597</v>
      </c>
      <c r="NDL1" s="9" t="s">
        <v>9598</v>
      </c>
      <c r="NDM1" s="9" t="s">
        <v>9599</v>
      </c>
      <c r="NDN1" s="9" t="s">
        <v>9600</v>
      </c>
      <c r="NDO1" s="9" t="s">
        <v>9601</v>
      </c>
      <c r="NDP1" s="9" t="s">
        <v>9602</v>
      </c>
      <c r="NDQ1" s="9" t="s">
        <v>9603</v>
      </c>
      <c r="NDR1" s="9" t="s">
        <v>9604</v>
      </c>
      <c r="NDS1" s="9" t="s">
        <v>9605</v>
      </c>
      <c r="NDT1" s="9" t="s">
        <v>9606</v>
      </c>
      <c r="NDU1" s="9" t="s">
        <v>9607</v>
      </c>
      <c r="NDV1" s="9" t="s">
        <v>9608</v>
      </c>
      <c r="NDW1" s="9" t="s">
        <v>9609</v>
      </c>
      <c r="NDX1" s="9" t="s">
        <v>9610</v>
      </c>
      <c r="NDY1" s="9" t="s">
        <v>9611</v>
      </c>
      <c r="NDZ1" s="9" t="s">
        <v>9612</v>
      </c>
      <c r="NEA1" s="9" t="s">
        <v>9613</v>
      </c>
      <c r="NEB1" s="9" t="s">
        <v>9614</v>
      </c>
      <c r="NEC1" s="9" t="s">
        <v>9615</v>
      </c>
      <c r="NED1" s="9" t="s">
        <v>9616</v>
      </c>
      <c r="NEE1" s="9" t="s">
        <v>9617</v>
      </c>
      <c r="NEF1" s="9" t="s">
        <v>9618</v>
      </c>
      <c r="NEG1" s="9" t="s">
        <v>9619</v>
      </c>
      <c r="NEH1" s="9" t="s">
        <v>9620</v>
      </c>
      <c r="NEI1" s="9" t="s">
        <v>9621</v>
      </c>
      <c r="NEJ1" s="9" t="s">
        <v>9622</v>
      </c>
      <c r="NEK1" s="9" t="s">
        <v>9623</v>
      </c>
      <c r="NEL1" s="9" t="s">
        <v>9624</v>
      </c>
      <c r="NEM1" s="9" t="s">
        <v>9625</v>
      </c>
      <c r="NEN1" s="9" t="s">
        <v>9626</v>
      </c>
      <c r="NEO1" s="9" t="s">
        <v>9627</v>
      </c>
      <c r="NEP1" s="9" t="s">
        <v>9628</v>
      </c>
      <c r="NEQ1" s="9" t="s">
        <v>9629</v>
      </c>
      <c r="NER1" s="9" t="s">
        <v>9630</v>
      </c>
      <c r="NES1" s="9" t="s">
        <v>9631</v>
      </c>
      <c r="NET1" s="9" t="s">
        <v>9632</v>
      </c>
      <c r="NEU1" s="9" t="s">
        <v>9633</v>
      </c>
      <c r="NEV1" s="9" t="s">
        <v>9634</v>
      </c>
      <c r="NEW1" s="9" t="s">
        <v>9635</v>
      </c>
      <c r="NEX1" s="9" t="s">
        <v>9636</v>
      </c>
      <c r="NEY1" s="9" t="s">
        <v>9637</v>
      </c>
      <c r="NEZ1" s="9" t="s">
        <v>9638</v>
      </c>
      <c r="NFA1" s="9" t="s">
        <v>9639</v>
      </c>
      <c r="NFB1" s="9" t="s">
        <v>9640</v>
      </c>
      <c r="NFC1" s="9" t="s">
        <v>9641</v>
      </c>
      <c r="NFD1" s="9" t="s">
        <v>9642</v>
      </c>
      <c r="NFE1" s="9" t="s">
        <v>9643</v>
      </c>
      <c r="NFF1" s="9" t="s">
        <v>9644</v>
      </c>
      <c r="NFG1" s="9" t="s">
        <v>9645</v>
      </c>
      <c r="NFH1" s="9" t="s">
        <v>9646</v>
      </c>
      <c r="NFI1" s="9" t="s">
        <v>9647</v>
      </c>
      <c r="NFJ1" s="9" t="s">
        <v>9648</v>
      </c>
      <c r="NFK1" s="9" t="s">
        <v>9649</v>
      </c>
      <c r="NFL1" s="9" t="s">
        <v>9650</v>
      </c>
      <c r="NFM1" s="9" t="s">
        <v>9651</v>
      </c>
      <c r="NFN1" s="9" t="s">
        <v>9652</v>
      </c>
      <c r="NFO1" s="9" t="s">
        <v>9653</v>
      </c>
      <c r="NFP1" s="9" t="s">
        <v>9654</v>
      </c>
      <c r="NFQ1" s="9" t="s">
        <v>9655</v>
      </c>
      <c r="NFR1" s="9" t="s">
        <v>9656</v>
      </c>
      <c r="NFS1" s="9" t="s">
        <v>9657</v>
      </c>
      <c r="NFT1" s="9" t="s">
        <v>9658</v>
      </c>
      <c r="NFU1" s="9" t="s">
        <v>9659</v>
      </c>
      <c r="NFV1" s="9" t="s">
        <v>9660</v>
      </c>
      <c r="NFW1" s="9" t="s">
        <v>9661</v>
      </c>
      <c r="NFX1" s="9" t="s">
        <v>9662</v>
      </c>
      <c r="NFY1" s="9" t="s">
        <v>9663</v>
      </c>
      <c r="NFZ1" s="9" t="s">
        <v>9664</v>
      </c>
      <c r="NGA1" s="9" t="s">
        <v>9665</v>
      </c>
      <c r="NGB1" s="9" t="s">
        <v>9666</v>
      </c>
      <c r="NGC1" s="9" t="s">
        <v>9667</v>
      </c>
      <c r="NGD1" s="9" t="s">
        <v>9668</v>
      </c>
      <c r="NGE1" s="9" t="s">
        <v>9669</v>
      </c>
      <c r="NGF1" s="9" t="s">
        <v>9670</v>
      </c>
      <c r="NGG1" s="9" t="s">
        <v>9671</v>
      </c>
      <c r="NGH1" s="9" t="s">
        <v>9672</v>
      </c>
      <c r="NGI1" s="9" t="s">
        <v>9673</v>
      </c>
      <c r="NGJ1" s="9" t="s">
        <v>9674</v>
      </c>
      <c r="NGK1" s="9" t="s">
        <v>9675</v>
      </c>
      <c r="NGL1" s="9" t="s">
        <v>9676</v>
      </c>
      <c r="NGM1" s="9" t="s">
        <v>9677</v>
      </c>
      <c r="NGN1" s="9" t="s">
        <v>9678</v>
      </c>
      <c r="NGO1" s="9" t="s">
        <v>9679</v>
      </c>
      <c r="NGP1" s="9" t="s">
        <v>9680</v>
      </c>
      <c r="NGQ1" s="9" t="s">
        <v>9681</v>
      </c>
      <c r="NGR1" s="9" t="s">
        <v>9682</v>
      </c>
      <c r="NGS1" s="9" t="s">
        <v>9683</v>
      </c>
      <c r="NGT1" s="9" t="s">
        <v>9684</v>
      </c>
      <c r="NGU1" s="9" t="s">
        <v>9685</v>
      </c>
      <c r="NGV1" s="9" t="s">
        <v>9686</v>
      </c>
      <c r="NGW1" s="9" t="s">
        <v>9687</v>
      </c>
      <c r="NGX1" s="9" t="s">
        <v>9688</v>
      </c>
      <c r="NGY1" s="9" t="s">
        <v>9689</v>
      </c>
      <c r="NGZ1" s="9" t="s">
        <v>9690</v>
      </c>
      <c r="NHA1" s="9" t="s">
        <v>9691</v>
      </c>
      <c r="NHB1" s="9" t="s">
        <v>9692</v>
      </c>
      <c r="NHC1" s="9" t="s">
        <v>9693</v>
      </c>
      <c r="NHD1" s="9" t="s">
        <v>9694</v>
      </c>
      <c r="NHE1" s="9" t="s">
        <v>9695</v>
      </c>
      <c r="NHF1" s="9" t="s">
        <v>9696</v>
      </c>
      <c r="NHG1" s="9" t="s">
        <v>9697</v>
      </c>
      <c r="NHH1" s="9" t="s">
        <v>9698</v>
      </c>
      <c r="NHI1" s="9" t="s">
        <v>9699</v>
      </c>
      <c r="NHJ1" s="9" t="s">
        <v>9700</v>
      </c>
      <c r="NHK1" s="9" t="s">
        <v>9701</v>
      </c>
      <c r="NHL1" s="9" t="s">
        <v>9702</v>
      </c>
      <c r="NHM1" s="9" t="s">
        <v>9703</v>
      </c>
      <c r="NHN1" s="9" t="s">
        <v>9704</v>
      </c>
      <c r="NHO1" s="9" t="s">
        <v>9705</v>
      </c>
      <c r="NHP1" s="9" t="s">
        <v>9706</v>
      </c>
      <c r="NHQ1" s="9" t="s">
        <v>9707</v>
      </c>
      <c r="NHR1" s="9" t="s">
        <v>9708</v>
      </c>
      <c r="NHS1" s="9" t="s">
        <v>9709</v>
      </c>
      <c r="NHT1" s="9" t="s">
        <v>9710</v>
      </c>
      <c r="NHU1" s="9" t="s">
        <v>9711</v>
      </c>
      <c r="NHV1" s="9" t="s">
        <v>9712</v>
      </c>
      <c r="NHW1" s="9" t="s">
        <v>9713</v>
      </c>
      <c r="NHX1" s="9" t="s">
        <v>9714</v>
      </c>
      <c r="NHY1" s="9" t="s">
        <v>9715</v>
      </c>
      <c r="NHZ1" s="9" t="s">
        <v>9716</v>
      </c>
      <c r="NIA1" s="9" t="s">
        <v>9717</v>
      </c>
      <c r="NIB1" s="9" t="s">
        <v>9718</v>
      </c>
      <c r="NIC1" s="9" t="s">
        <v>9719</v>
      </c>
      <c r="NID1" s="9" t="s">
        <v>9720</v>
      </c>
      <c r="NIE1" s="9" t="s">
        <v>9721</v>
      </c>
      <c r="NIF1" s="9" t="s">
        <v>9722</v>
      </c>
      <c r="NIG1" s="9" t="s">
        <v>9723</v>
      </c>
      <c r="NIH1" s="9" t="s">
        <v>9724</v>
      </c>
      <c r="NII1" s="9" t="s">
        <v>9725</v>
      </c>
      <c r="NIJ1" s="9" t="s">
        <v>9726</v>
      </c>
      <c r="NIK1" s="9" t="s">
        <v>9727</v>
      </c>
      <c r="NIL1" s="9" t="s">
        <v>9728</v>
      </c>
      <c r="NIM1" s="9" t="s">
        <v>9729</v>
      </c>
      <c r="NIN1" s="9" t="s">
        <v>9730</v>
      </c>
      <c r="NIO1" s="9" t="s">
        <v>9731</v>
      </c>
      <c r="NIP1" s="9" t="s">
        <v>9732</v>
      </c>
      <c r="NIQ1" s="9" t="s">
        <v>9733</v>
      </c>
      <c r="NIR1" s="9" t="s">
        <v>9734</v>
      </c>
      <c r="NIS1" s="9" t="s">
        <v>9735</v>
      </c>
      <c r="NIT1" s="9" t="s">
        <v>9736</v>
      </c>
      <c r="NIU1" s="9" t="s">
        <v>9737</v>
      </c>
      <c r="NIV1" s="9" t="s">
        <v>9738</v>
      </c>
      <c r="NIW1" s="9" t="s">
        <v>9739</v>
      </c>
      <c r="NIX1" s="9" t="s">
        <v>9740</v>
      </c>
      <c r="NIY1" s="9" t="s">
        <v>9741</v>
      </c>
      <c r="NIZ1" s="9" t="s">
        <v>9742</v>
      </c>
      <c r="NJA1" s="9" t="s">
        <v>9743</v>
      </c>
      <c r="NJB1" s="9" t="s">
        <v>9744</v>
      </c>
      <c r="NJC1" s="9" t="s">
        <v>9745</v>
      </c>
      <c r="NJD1" s="9" t="s">
        <v>9746</v>
      </c>
      <c r="NJE1" s="9" t="s">
        <v>9747</v>
      </c>
      <c r="NJF1" s="9" t="s">
        <v>9748</v>
      </c>
      <c r="NJG1" s="9" t="s">
        <v>9749</v>
      </c>
      <c r="NJH1" s="9" t="s">
        <v>9750</v>
      </c>
      <c r="NJI1" s="9" t="s">
        <v>9751</v>
      </c>
      <c r="NJJ1" s="9" t="s">
        <v>9752</v>
      </c>
      <c r="NJK1" s="9" t="s">
        <v>9753</v>
      </c>
      <c r="NJL1" s="9" t="s">
        <v>9754</v>
      </c>
      <c r="NJM1" s="9" t="s">
        <v>9755</v>
      </c>
      <c r="NJN1" s="9" t="s">
        <v>9756</v>
      </c>
      <c r="NJO1" s="9" t="s">
        <v>9757</v>
      </c>
      <c r="NJP1" s="9" t="s">
        <v>9758</v>
      </c>
      <c r="NJQ1" s="9" t="s">
        <v>9759</v>
      </c>
      <c r="NJR1" s="9" t="s">
        <v>9760</v>
      </c>
      <c r="NJS1" s="9" t="s">
        <v>9761</v>
      </c>
      <c r="NJT1" s="9" t="s">
        <v>9762</v>
      </c>
      <c r="NJU1" s="9" t="s">
        <v>9763</v>
      </c>
      <c r="NJV1" s="9" t="s">
        <v>9764</v>
      </c>
      <c r="NJW1" s="9" t="s">
        <v>9765</v>
      </c>
      <c r="NJX1" s="9" t="s">
        <v>9766</v>
      </c>
      <c r="NJY1" s="9" t="s">
        <v>9767</v>
      </c>
      <c r="NJZ1" s="9" t="s">
        <v>9768</v>
      </c>
      <c r="NKA1" s="9" t="s">
        <v>9769</v>
      </c>
      <c r="NKB1" s="9" t="s">
        <v>9770</v>
      </c>
      <c r="NKC1" s="9" t="s">
        <v>9771</v>
      </c>
      <c r="NKD1" s="9" t="s">
        <v>9772</v>
      </c>
      <c r="NKE1" s="9" t="s">
        <v>9773</v>
      </c>
      <c r="NKF1" s="9" t="s">
        <v>9774</v>
      </c>
      <c r="NKG1" s="9" t="s">
        <v>9775</v>
      </c>
      <c r="NKH1" s="9" t="s">
        <v>9776</v>
      </c>
      <c r="NKI1" s="9" t="s">
        <v>9777</v>
      </c>
      <c r="NKJ1" s="9" t="s">
        <v>9778</v>
      </c>
      <c r="NKK1" s="9" t="s">
        <v>9779</v>
      </c>
      <c r="NKL1" s="9" t="s">
        <v>9780</v>
      </c>
      <c r="NKM1" s="9" t="s">
        <v>9781</v>
      </c>
      <c r="NKN1" s="9" t="s">
        <v>9782</v>
      </c>
      <c r="NKO1" s="9" t="s">
        <v>9783</v>
      </c>
      <c r="NKP1" s="9" t="s">
        <v>9784</v>
      </c>
      <c r="NKQ1" s="9" t="s">
        <v>9785</v>
      </c>
      <c r="NKR1" s="9" t="s">
        <v>9786</v>
      </c>
      <c r="NKS1" s="9" t="s">
        <v>9787</v>
      </c>
      <c r="NKT1" s="9" t="s">
        <v>9788</v>
      </c>
      <c r="NKU1" s="9" t="s">
        <v>9789</v>
      </c>
      <c r="NKV1" s="9" t="s">
        <v>9790</v>
      </c>
      <c r="NKW1" s="9" t="s">
        <v>9791</v>
      </c>
      <c r="NKX1" s="9" t="s">
        <v>9792</v>
      </c>
      <c r="NKY1" s="9" t="s">
        <v>9793</v>
      </c>
      <c r="NKZ1" s="9" t="s">
        <v>9794</v>
      </c>
      <c r="NLA1" s="9" t="s">
        <v>9795</v>
      </c>
      <c r="NLB1" s="9" t="s">
        <v>9796</v>
      </c>
      <c r="NLC1" s="9" t="s">
        <v>9797</v>
      </c>
      <c r="NLD1" s="9" t="s">
        <v>9798</v>
      </c>
      <c r="NLE1" s="9" t="s">
        <v>9799</v>
      </c>
      <c r="NLF1" s="9" t="s">
        <v>9800</v>
      </c>
      <c r="NLG1" s="9" t="s">
        <v>9801</v>
      </c>
      <c r="NLH1" s="9" t="s">
        <v>9802</v>
      </c>
      <c r="NLI1" s="9" t="s">
        <v>9803</v>
      </c>
      <c r="NLJ1" s="9" t="s">
        <v>9804</v>
      </c>
      <c r="NLK1" s="9" t="s">
        <v>9805</v>
      </c>
      <c r="NLL1" s="9" t="s">
        <v>9806</v>
      </c>
      <c r="NLM1" s="9" t="s">
        <v>9807</v>
      </c>
      <c r="NLN1" s="9" t="s">
        <v>9808</v>
      </c>
      <c r="NLO1" s="9" t="s">
        <v>9809</v>
      </c>
      <c r="NLP1" s="9" t="s">
        <v>9810</v>
      </c>
      <c r="NLQ1" s="9" t="s">
        <v>9811</v>
      </c>
      <c r="NLR1" s="9" t="s">
        <v>9812</v>
      </c>
      <c r="NLS1" s="9" t="s">
        <v>9813</v>
      </c>
      <c r="NLT1" s="9" t="s">
        <v>9814</v>
      </c>
      <c r="NLU1" s="9" t="s">
        <v>9815</v>
      </c>
      <c r="NLV1" s="9" t="s">
        <v>9816</v>
      </c>
      <c r="NLW1" s="9" t="s">
        <v>9817</v>
      </c>
      <c r="NLX1" s="9" t="s">
        <v>9818</v>
      </c>
      <c r="NLY1" s="9" t="s">
        <v>9819</v>
      </c>
      <c r="NLZ1" s="9" t="s">
        <v>9820</v>
      </c>
      <c r="NMA1" s="9" t="s">
        <v>9821</v>
      </c>
      <c r="NMB1" s="9" t="s">
        <v>9822</v>
      </c>
      <c r="NMC1" s="9" t="s">
        <v>9823</v>
      </c>
      <c r="NMD1" s="9" t="s">
        <v>9824</v>
      </c>
      <c r="NME1" s="9" t="s">
        <v>9825</v>
      </c>
      <c r="NMF1" s="9" t="s">
        <v>9826</v>
      </c>
      <c r="NMG1" s="9" t="s">
        <v>9827</v>
      </c>
      <c r="NMH1" s="9" t="s">
        <v>9828</v>
      </c>
      <c r="NMI1" s="9" t="s">
        <v>9829</v>
      </c>
      <c r="NMJ1" s="9" t="s">
        <v>9830</v>
      </c>
      <c r="NMK1" s="9" t="s">
        <v>9831</v>
      </c>
      <c r="NML1" s="9" t="s">
        <v>9832</v>
      </c>
      <c r="NMM1" s="9" t="s">
        <v>9833</v>
      </c>
      <c r="NMN1" s="9" t="s">
        <v>9834</v>
      </c>
      <c r="NMO1" s="9" t="s">
        <v>9835</v>
      </c>
      <c r="NMP1" s="9" t="s">
        <v>9836</v>
      </c>
      <c r="NMQ1" s="9" t="s">
        <v>9837</v>
      </c>
      <c r="NMR1" s="9" t="s">
        <v>9838</v>
      </c>
      <c r="NMS1" s="9" t="s">
        <v>9839</v>
      </c>
      <c r="NMT1" s="9" t="s">
        <v>9840</v>
      </c>
      <c r="NMU1" s="9" t="s">
        <v>9841</v>
      </c>
      <c r="NMV1" s="9" t="s">
        <v>9842</v>
      </c>
      <c r="NMW1" s="9" t="s">
        <v>9843</v>
      </c>
      <c r="NMX1" s="9" t="s">
        <v>9844</v>
      </c>
      <c r="NMY1" s="9" t="s">
        <v>9845</v>
      </c>
      <c r="NMZ1" s="9" t="s">
        <v>9846</v>
      </c>
      <c r="NNA1" s="9" t="s">
        <v>9847</v>
      </c>
      <c r="NNB1" s="9" t="s">
        <v>9848</v>
      </c>
      <c r="NNC1" s="9" t="s">
        <v>9849</v>
      </c>
      <c r="NND1" s="9" t="s">
        <v>9850</v>
      </c>
      <c r="NNE1" s="9" t="s">
        <v>9851</v>
      </c>
      <c r="NNF1" s="9" t="s">
        <v>9852</v>
      </c>
      <c r="NNG1" s="9" t="s">
        <v>9853</v>
      </c>
      <c r="NNH1" s="9" t="s">
        <v>9854</v>
      </c>
      <c r="NNI1" s="9" t="s">
        <v>9855</v>
      </c>
      <c r="NNJ1" s="9" t="s">
        <v>9856</v>
      </c>
      <c r="NNK1" s="9" t="s">
        <v>9857</v>
      </c>
      <c r="NNL1" s="9" t="s">
        <v>9858</v>
      </c>
      <c r="NNM1" s="9" t="s">
        <v>9859</v>
      </c>
      <c r="NNN1" s="9" t="s">
        <v>9860</v>
      </c>
      <c r="NNO1" s="9" t="s">
        <v>9861</v>
      </c>
      <c r="NNP1" s="9" t="s">
        <v>9862</v>
      </c>
      <c r="NNQ1" s="9" t="s">
        <v>9863</v>
      </c>
      <c r="NNR1" s="9" t="s">
        <v>9864</v>
      </c>
      <c r="NNS1" s="9" t="s">
        <v>9865</v>
      </c>
      <c r="NNT1" s="9" t="s">
        <v>9866</v>
      </c>
      <c r="NNU1" s="9" t="s">
        <v>9867</v>
      </c>
      <c r="NNV1" s="9" t="s">
        <v>9868</v>
      </c>
      <c r="NNW1" s="9" t="s">
        <v>9869</v>
      </c>
      <c r="NNX1" s="9" t="s">
        <v>9870</v>
      </c>
      <c r="NNY1" s="9" t="s">
        <v>9871</v>
      </c>
      <c r="NNZ1" s="9" t="s">
        <v>9872</v>
      </c>
      <c r="NOA1" s="9" t="s">
        <v>9873</v>
      </c>
      <c r="NOB1" s="9" t="s">
        <v>9874</v>
      </c>
      <c r="NOC1" s="9" t="s">
        <v>9875</v>
      </c>
      <c r="NOD1" s="9" t="s">
        <v>9876</v>
      </c>
      <c r="NOE1" s="9" t="s">
        <v>9877</v>
      </c>
      <c r="NOF1" s="9" t="s">
        <v>9878</v>
      </c>
      <c r="NOG1" s="9" t="s">
        <v>9879</v>
      </c>
      <c r="NOH1" s="9" t="s">
        <v>9880</v>
      </c>
      <c r="NOI1" s="9" t="s">
        <v>9881</v>
      </c>
      <c r="NOJ1" s="9" t="s">
        <v>9882</v>
      </c>
      <c r="NOK1" s="9" t="s">
        <v>9883</v>
      </c>
      <c r="NOL1" s="9" t="s">
        <v>9884</v>
      </c>
      <c r="NOM1" s="9" t="s">
        <v>9885</v>
      </c>
      <c r="NON1" s="9" t="s">
        <v>9886</v>
      </c>
      <c r="NOO1" s="9" t="s">
        <v>9887</v>
      </c>
      <c r="NOP1" s="9" t="s">
        <v>9888</v>
      </c>
      <c r="NOQ1" s="9" t="s">
        <v>9889</v>
      </c>
      <c r="NOR1" s="9" t="s">
        <v>9890</v>
      </c>
      <c r="NOS1" s="9" t="s">
        <v>9891</v>
      </c>
      <c r="NOT1" s="9" t="s">
        <v>9892</v>
      </c>
      <c r="NOU1" s="9" t="s">
        <v>9893</v>
      </c>
      <c r="NOV1" s="9" t="s">
        <v>9894</v>
      </c>
      <c r="NOW1" s="9" t="s">
        <v>9895</v>
      </c>
      <c r="NOX1" s="9" t="s">
        <v>9896</v>
      </c>
      <c r="NOY1" s="9" t="s">
        <v>9897</v>
      </c>
      <c r="NOZ1" s="9" t="s">
        <v>9898</v>
      </c>
      <c r="NPA1" s="9" t="s">
        <v>9899</v>
      </c>
      <c r="NPB1" s="9" t="s">
        <v>9900</v>
      </c>
      <c r="NPC1" s="9" t="s">
        <v>9901</v>
      </c>
      <c r="NPD1" s="9" t="s">
        <v>9902</v>
      </c>
      <c r="NPE1" s="9" t="s">
        <v>9903</v>
      </c>
      <c r="NPF1" s="9" t="s">
        <v>9904</v>
      </c>
      <c r="NPG1" s="9" t="s">
        <v>9905</v>
      </c>
      <c r="NPH1" s="9" t="s">
        <v>9906</v>
      </c>
      <c r="NPI1" s="9" t="s">
        <v>9907</v>
      </c>
      <c r="NPJ1" s="9" t="s">
        <v>9908</v>
      </c>
      <c r="NPK1" s="9" t="s">
        <v>9909</v>
      </c>
      <c r="NPL1" s="9" t="s">
        <v>9910</v>
      </c>
      <c r="NPM1" s="9" t="s">
        <v>9911</v>
      </c>
      <c r="NPN1" s="9" t="s">
        <v>9912</v>
      </c>
      <c r="NPO1" s="9" t="s">
        <v>9913</v>
      </c>
      <c r="NPP1" s="9" t="s">
        <v>9914</v>
      </c>
      <c r="NPQ1" s="9" t="s">
        <v>9915</v>
      </c>
      <c r="NPR1" s="9" t="s">
        <v>9916</v>
      </c>
      <c r="NPS1" s="9" t="s">
        <v>9917</v>
      </c>
      <c r="NPT1" s="9" t="s">
        <v>9918</v>
      </c>
      <c r="NPU1" s="9" t="s">
        <v>9919</v>
      </c>
      <c r="NPV1" s="9" t="s">
        <v>9920</v>
      </c>
      <c r="NPW1" s="9" t="s">
        <v>9921</v>
      </c>
      <c r="NPX1" s="9" t="s">
        <v>9922</v>
      </c>
      <c r="NPY1" s="9" t="s">
        <v>9923</v>
      </c>
      <c r="NPZ1" s="9" t="s">
        <v>9924</v>
      </c>
      <c r="NQA1" s="9" t="s">
        <v>9925</v>
      </c>
      <c r="NQB1" s="9" t="s">
        <v>9926</v>
      </c>
      <c r="NQC1" s="9" t="s">
        <v>9927</v>
      </c>
      <c r="NQD1" s="9" t="s">
        <v>9928</v>
      </c>
      <c r="NQE1" s="9" t="s">
        <v>9929</v>
      </c>
      <c r="NQF1" s="9" t="s">
        <v>9930</v>
      </c>
      <c r="NQG1" s="9" t="s">
        <v>9931</v>
      </c>
      <c r="NQH1" s="9" t="s">
        <v>9932</v>
      </c>
      <c r="NQI1" s="9" t="s">
        <v>9933</v>
      </c>
      <c r="NQJ1" s="9" t="s">
        <v>9934</v>
      </c>
      <c r="NQK1" s="9" t="s">
        <v>9935</v>
      </c>
      <c r="NQL1" s="9" t="s">
        <v>9936</v>
      </c>
      <c r="NQM1" s="9" t="s">
        <v>9937</v>
      </c>
      <c r="NQN1" s="9" t="s">
        <v>9938</v>
      </c>
      <c r="NQO1" s="9" t="s">
        <v>9939</v>
      </c>
      <c r="NQP1" s="9" t="s">
        <v>9940</v>
      </c>
      <c r="NQQ1" s="9" t="s">
        <v>9941</v>
      </c>
      <c r="NQR1" s="9" t="s">
        <v>9942</v>
      </c>
      <c r="NQS1" s="9" t="s">
        <v>9943</v>
      </c>
      <c r="NQT1" s="9" t="s">
        <v>9944</v>
      </c>
      <c r="NQU1" s="9" t="s">
        <v>9945</v>
      </c>
      <c r="NQV1" s="9" t="s">
        <v>9946</v>
      </c>
      <c r="NQW1" s="9" t="s">
        <v>9947</v>
      </c>
      <c r="NQX1" s="9" t="s">
        <v>9948</v>
      </c>
      <c r="NQY1" s="9" t="s">
        <v>9949</v>
      </c>
      <c r="NQZ1" s="9" t="s">
        <v>9950</v>
      </c>
      <c r="NRA1" s="9" t="s">
        <v>9951</v>
      </c>
      <c r="NRB1" s="9" t="s">
        <v>9952</v>
      </c>
      <c r="NRC1" s="9" t="s">
        <v>9953</v>
      </c>
      <c r="NRD1" s="9" t="s">
        <v>9954</v>
      </c>
      <c r="NRE1" s="9" t="s">
        <v>9955</v>
      </c>
      <c r="NRF1" s="9" t="s">
        <v>9956</v>
      </c>
      <c r="NRG1" s="9" t="s">
        <v>9957</v>
      </c>
      <c r="NRH1" s="9" t="s">
        <v>9958</v>
      </c>
      <c r="NRI1" s="9" t="s">
        <v>9959</v>
      </c>
      <c r="NRJ1" s="9" t="s">
        <v>9960</v>
      </c>
      <c r="NRK1" s="9" t="s">
        <v>9961</v>
      </c>
      <c r="NRL1" s="9" t="s">
        <v>9962</v>
      </c>
      <c r="NRM1" s="9" t="s">
        <v>9963</v>
      </c>
      <c r="NRN1" s="9" t="s">
        <v>9964</v>
      </c>
      <c r="NRO1" s="9" t="s">
        <v>9965</v>
      </c>
      <c r="NRP1" s="9" t="s">
        <v>9966</v>
      </c>
      <c r="NRQ1" s="9" t="s">
        <v>9967</v>
      </c>
      <c r="NRR1" s="9" t="s">
        <v>9968</v>
      </c>
      <c r="NRS1" s="9" t="s">
        <v>9969</v>
      </c>
      <c r="NRT1" s="9" t="s">
        <v>9970</v>
      </c>
      <c r="NRU1" s="9" t="s">
        <v>9971</v>
      </c>
      <c r="NRV1" s="9" t="s">
        <v>9972</v>
      </c>
      <c r="NRW1" s="9" t="s">
        <v>9973</v>
      </c>
      <c r="NRX1" s="9" t="s">
        <v>9974</v>
      </c>
      <c r="NRY1" s="9" t="s">
        <v>9975</v>
      </c>
      <c r="NRZ1" s="9" t="s">
        <v>9976</v>
      </c>
      <c r="NSA1" s="9" t="s">
        <v>9977</v>
      </c>
      <c r="NSB1" s="9" t="s">
        <v>9978</v>
      </c>
      <c r="NSC1" s="9" t="s">
        <v>9979</v>
      </c>
      <c r="NSD1" s="9" t="s">
        <v>9980</v>
      </c>
      <c r="NSE1" s="9" t="s">
        <v>9981</v>
      </c>
      <c r="NSF1" s="9" t="s">
        <v>9982</v>
      </c>
      <c r="NSG1" s="9" t="s">
        <v>9983</v>
      </c>
      <c r="NSH1" s="9" t="s">
        <v>9984</v>
      </c>
      <c r="NSI1" s="9" t="s">
        <v>9985</v>
      </c>
      <c r="NSJ1" s="9" t="s">
        <v>9986</v>
      </c>
      <c r="NSK1" s="9" t="s">
        <v>9987</v>
      </c>
      <c r="NSL1" s="9" t="s">
        <v>9988</v>
      </c>
      <c r="NSM1" s="9" t="s">
        <v>9989</v>
      </c>
      <c r="NSN1" s="9" t="s">
        <v>9990</v>
      </c>
      <c r="NSO1" s="9" t="s">
        <v>9991</v>
      </c>
      <c r="NSP1" s="9" t="s">
        <v>9992</v>
      </c>
      <c r="NSQ1" s="9" t="s">
        <v>9993</v>
      </c>
      <c r="NSR1" s="9" t="s">
        <v>9994</v>
      </c>
      <c r="NSS1" s="9" t="s">
        <v>9995</v>
      </c>
      <c r="NST1" s="9" t="s">
        <v>9996</v>
      </c>
      <c r="NSU1" s="9" t="s">
        <v>9997</v>
      </c>
      <c r="NSV1" s="9" t="s">
        <v>9998</v>
      </c>
      <c r="NSW1" s="9" t="s">
        <v>9999</v>
      </c>
      <c r="NSX1" s="9" t="s">
        <v>10000</v>
      </c>
      <c r="NSY1" s="9" t="s">
        <v>10001</v>
      </c>
      <c r="NSZ1" s="9" t="s">
        <v>10002</v>
      </c>
      <c r="NTA1" s="9" t="s">
        <v>10003</v>
      </c>
      <c r="NTB1" s="9" t="s">
        <v>10004</v>
      </c>
      <c r="NTC1" s="9" t="s">
        <v>10005</v>
      </c>
      <c r="NTD1" s="9" t="s">
        <v>10006</v>
      </c>
      <c r="NTE1" s="9" t="s">
        <v>10007</v>
      </c>
      <c r="NTF1" s="9" t="s">
        <v>10008</v>
      </c>
      <c r="NTG1" s="9" t="s">
        <v>10009</v>
      </c>
      <c r="NTH1" s="9" t="s">
        <v>10010</v>
      </c>
      <c r="NTI1" s="9" t="s">
        <v>10011</v>
      </c>
      <c r="NTJ1" s="9" t="s">
        <v>10012</v>
      </c>
      <c r="NTK1" s="9" t="s">
        <v>10013</v>
      </c>
      <c r="NTL1" s="9" t="s">
        <v>10014</v>
      </c>
      <c r="NTM1" s="9" t="s">
        <v>10015</v>
      </c>
      <c r="NTN1" s="9" t="s">
        <v>10016</v>
      </c>
      <c r="NTO1" s="9" t="s">
        <v>10017</v>
      </c>
      <c r="NTP1" s="9" t="s">
        <v>10018</v>
      </c>
      <c r="NTQ1" s="9" t="s">
        <v>10019</v>
      </c>
      <c r="NTR1" s="9" t="s">
        <v>10020</v>
      </c>
      <c r="NTS1" s="9" t="s">
        <v>10021</v>
      </c>
      <c r="NTT1" s="9" t="s">
        <v>10022</v>
      </c>
      <c r="NTU1" s="9" t="s">
        <v>10023</v>
      </c>
      <c r="NTV1" s="9" t="s">
        <v>10024</v>
      </c>
      <c r="NTW1" s="9" t="s">
        <v>10025</v>
      </c>
      <c r="NTX1" s="9" t="s">
        <v>10026</v>
      </c>
      <c r="NTY1" s="9" t="s">
        <v>10027</v>
      </c>
      <c r="NTZ1" s="9" t="s">
        <v>10028</v>
      </c>
      <c r="NUA1" s="9" t="s">
        <v>10029</v>
      </c>
      <c r="NUB1" s="9" t="s">
        <v>10030</v>
      </c>
      <c r="NUC1" s="9" t="s">
        <v>10031</v>
      </c>
      <c r="NUD1" s="9" t="s">
        <v>10032</v>
      </c>
      <c r="NUE1" s="9" t="s">
        <v>10033</v>
      </c>
      <c r="NUF1" s="9" t="s">
        <v>10034</v>
      </c>
      <c r="NUG1" s="9" t="s">
        <v>10035</v>
      </c>
      <c r="NUH1" s="9" t="s">
        <v>10036</v>
      </c>
      <c r="NUI1" s="9" t="s">
        <v>10037</v>
      </c>
      <c r="NUJ1" s="9" t="s">
        <v>10038</v>
      </c>
      <c r="NUK1" s="9" t="s">
        <v>10039</v>
      </c>
      <c r="NUL1" s="9" t="s">
        <v>10040</v>
      </c>
      <c r="NUM1" s="9" t="s">
        <v>10041</v>
      </c>
      <c r="NUN1" s="9" t="s">
        <v>10042</v>
      </c>
      <c r="NUO1" s="9" t="s">
        <v>10043</v>
      </c>
      <c r="NUP1" s="9" t="s">
        <v>10044</v>
      </c>
      <c r="NUQ1" s="9" t="s">
        <v>10045</v>
      </c>
      <c r="NUR1" s="9" t="s">
        <v>10046</v>
      </c>
      <c r="NUS1" s="9" t="s">
        <v>10047</v>
      </c>
      <c r="NUT1" s="9" t="s">
        <v>10048</v>
      </c>
      <c r="NUU1" s="9" t="s">
        <v>10049</v>
      </c>
      <c r="NUV1" s="9" t="s">
        <v>10050</v>
      </c>
      <c r="NUW1" s="9" t="s">
        <v>10051</v>
      </c>
      <c r="NUX1" s="9" t="s">
        <v>10052</v>
      </c>
      <c r="NUY1" s="9" t="s">
        <v>10053</v>
      </c>
      <c r="NUZ1" s="9" t="s">
        <v>10054</v>
      </c>
      <c r="NVA1" s="9" t="s">
        <v>10055</v>
      </c>
      <c r="NVB1" s="9" t="s">
        <v>10056</v>
      </c>
      <c r="NVC1" s="9" t="s">
        <v>10057</v>
      </c>
      <c r="NVD1" s="9" t="s">
        <v>10058</v>
      </c>
      <c r="NVE1" s="9" t="s">
        <v>10059</v>
      </c>
      <c r="NVF1" s="9" t="s">
        <v>10060</v>
      </c>
      <c r="NVG1" s="9" t="s">
        <v>10061</v>
      </c>
      <c r="NVH1" s="9" t="s">
        <v>10062</v>
      </c>
      <c r="NVI1" s="9" t="s">
        <v>10063</v>
      </c>
      <c r="NVJ1" s="9" t="s">
        <v>10064</v>
      </c>
      <c r="NVK1" s="9" t="s">
        <v>10065</v>
      </c>
      <c r="NVL1" s="9" t="s">
        <v>10066</v>
      </c>
      <c r="NVM1" s="9" t="s">
        <v>10067</v>
      </c>
      <c r="NVN1" s="9" t="s">
        <v>10068</v>
      </c>
      <c r="NVO1" s="9" t="s">
        <v>10069</v>
      </c>
      <c r="NVP1" s="9" t="s">
        <v>10070</v>
      </c>
      <c r="NVQ1" s="9" t="s">
        <v>10071</v>
      </c>
      <c r="NVR1" s="9" t="s">
        <v>10072</v>
      </c>
      <c r="NVS1" s="9" t="s">
        <v>10073</v>
      </c>
      <c r="NVT1" s="9" t="s">
        <v>10074</v>
      </c>
      <c r="NVU1" s="9" t="s">
        <v>10075</v>
      </c>
      <c r="NVV1" s="9" t="s">
        <v>10076</v>
      </c>
      <c r="NVW1" s="9" t="s">
        <v>10077</v>
      </c>
      <c r="NVX1" s="9" t="s">
        <v>10078</v>
      </c>
      <c r="NVY1" s="9" t="s">
        <v>10079</v>
      </c>
      <c r="NVZ1" s="9" t="s">
        <v>10080</v>
      </c>
      <c r="NWA1" s="9" t="s">
        <v>10081</v>
      </c>
      <c r="NWB1" s="9" t="s">
        <v>10082</v>
      </c>
      <c r="NWC1" s="9" t="s">
        <v>10083</v>
      </c>
      <c r="NWD1" s="9" t="s">
        <v>10084</v>
      </c>
      <c r="NWE1" s="9" t="s">
        <v>10085</v>
      </c>
      <c r="NWF1" s="9" t="s">
        <v>10086</v>
      </c>
      <c r="NWG1" s="9" t="s">
        <v>10087</v>
      </c>
      <c r="NWH1" s="9" t="s">
        <v>10088</v>
      </c>
      <c r="NWI1" s="9" t="s">
        <v>10089</v>
      </c>
      <c r="NWJ1" s="9" t="s">
        <v>10090</v>
      </c>
      <c r="NWK1" s="9" t="s">
        <v>10091</v>
      </c>
      <c r="NWL1" s="9" t="s">
        <v>10092</v>
      </c>
      <c r="NWM1" s="9" t="s">
        <v>10093</v>
      </c>
      <c r="NWN1" s="9" t="s">
        <v>10094</v>
      </c>
      <c r="NWO1" s="9" t="s">
        <v>10095</v>
      </c>
      <c r="NWP1" s="9" t="s">
        <v>10096</v>
      </c>
      <c r="NWQ1" s="9" t="s">
        <v>10097</v>
      </c>
      <c r="NWR1" s="9" t="s">
        <v>10098</v>
      </c>
      <c r="NWS1" s="9" t="s">
        <v>10099</v>
      </c>
      <c r="NWT1" s="9" t="s">
        <v>10100</v>
      </c>
      <c r="NWU1" s="9" t="s">
        <v>10101</v>
      </c>
      <c r="NWV1" s="9" t="s">
        <v>10102</v>
      </c>
      <c r="NWW1" s="9" t="s">
        <v>10103</v>
      </c>
      <c r="NWX1" s="9" t="s">
        <v>10104</v>
      </c>
      <c r="NWY1" s="9" t="s">
        <v>10105</v>
      </c>
      <c r="NWZ1" s="9" t="s">
        <v>10106</v>
      </c>
      <c r="NXA1" s="9" t="s">
        <v>10107</v>
      </c>
      <c r="NXB1" s="9" t="s">
        <v>10108</v>
      </c>
      <c r="NXC1" s="9" t="s">
        <v>10109</v>
      </c>
      <c r="NXD1" s="9" t="s">
        <v>10110</v>
      </c>
      <c r="NXE1" s="9" t="s">
        <v>10111</v>
      </c>
      <c r="NXF1" s="9" t="s">
        <v>10112</v>
      </c>
      <c r="NXG1" s="9" t="s">
        <v>10113</v>
      </c>
      <c r="NXH1" s="9" t="s">
        <v>10114</v>
      </c>
      <c r="NXI1" s="9" t="s">
        <v>10115</v>
      </c>
      <c r="NXJ1" s="9" t="s">
        <v>10116</v>
      </c>
      <c r="NXK1" s="9" t="s">
        <v>10117</v>
      </c>
      <c r="NXL1" s="9" t="s">
        <v>10118</v>
      </c>
      <c r="NXM1" s="9" t="s">
        <v>10119</v>
      </c>
      <c r="NXN1" s="9" t="s">
        <v>10120</v>
      </c>
      <c r="NXO1" s="9" t="s">
        <v>10121</v>
      </c>
      <c r="NXP1" s="9" t="s">
        <v>10122</v>
      </c>
      <c r="NXQ1" s="9" t="s">
        <v>10123</v>
      </c>
      <c r="NXR1" s="9" t="s">
        <v>10124</v>
      </c>
      <c r="NXS1" s="9" t="s">
        <v>10125</v>
      </c>
      <c r="NXT1" s="9" t="s">
        <v>10126</v>
      </c>
      <c r="NXU1" s="9" t="s">
        <v>10127</v>
      </c>
      <c r="NXV1" s="9" t="s">
        <v>10128</v>
      </c>
      <c r="NXW1" s="9" t="s">
        <v>10129</v>
      </c>
      <c r="NXX1" s="9" t="s">
        <v>10130</v>
      </c>
      <c r="NXY1" s="9" t="s">
        <v>10131</v>
      </c>
      <c r="NXZ1" s="9" t="s">
        <v>10132</v>
      </c>
      <c r="NYA1" s="9" t="s">
        <v>10133</v>
      </c>
      <c r="NYB1" s="9" t="s">
        <v>10134</v>
      </c>
      <c r="NYC1" s="9" t="s">
        <v>10135</v>
      </c>
      <c r="NYD1" s="9" t="s">
        <v>10136</v>
      </c>
      <c r="NYE1" s="9" t="s">
        <v>10137</v>
      </c>
      <c r="NYF1" s="9" t="s">
        <v>10138</v>
      </c>
      <c r="NYG1" s="9" t="s">
        <v>10139</v>
      </c>
      <c r="NYH1" s="9" t="s">
        <v>10140</v>
      </c>
      <c r="NYI1" s="9" t="s">
        <v>10141</v>
      </c>
      <c r="NYJ1" s="9" t="s">
        <v>10142</v>
      </c>
      <c r="NYK1" s="9" t="s">
        <v>10143</v>
      </c>
      <c r="NYL1" s="9" t="s">
        <v>10144</v>
      </c>
      <c r="NYM1" s="9" t="s">
        <v>10145</v>
      </c>
      <c r="NYN1" s="9" t="s">
        <v>10146</v>
      </c>
      <c r="NYO1" s="9" t="s">
        <v>10147</v>
      </c>
      <c r="NYP1" s="9" t="s">
        <v>10148</v>
      </c>
      <c r="NYQ1" s="9" t="s">
        <v>10149</v>
      </c>
      <c r="NYR1" s="9" t="s">
        <v>10150</v>
      </c>
      <c r="NYS1" s="9" t="s">
        <v>10151</v>
      </c>
      <c r="NYT1" s="9" t="s">
        <v>10152</v>
      </c>
      <c r="NYU1" s="9" t="s">
        <v>10153</v>
      </c>
      <c r="NYV1" s="9" t="s">
        <v>10154</v>
      </c>
      <c r="NYW1" s="9" t="s">
        <v>10155</v>
      </c>
      <c r="NYX1" s="9" t="s">
        <v>10156</v>
      </c>
      <c r="NYY1" s="9" t="s">
        <v>10157</v>
      </c>
      <c r="NYZ1" s="9" t="s">
        <v>10158</v>
      </c>
      <c r="NZA1" s="9" t="s">
        <v>10159</v>
      </c>
      <c r="NZB1" s="9" t="s">
        <v>10160</v>
      </c>
      <c r="NZC1" s="9" t="s">
        <v>10161</v>
      </c>
      <c r="NZD1" s="9" t="s">
        <v>10162</v>
      </c>
      <c r="NZE1" s="9" t="s">
        <v>10163</v>
      </c>
      <c r="NZF1" s="9" t="s">
        <v>10164</v>
      </c>
      <c r="NZG1" s="9" t="s">
        <v>10165</v>
      </c>
      <c r="NZH1" s="9" t="s">
        <v>10166</v>
      </c>
      <c r="NZI1" s="9" t="s">
        <v>10167</v>
      </c>
      <c r="NZJ1" s="9" t="s">
        <v>10168</v>
      </c>
      <c r="NZK1" s="9" t="s">
        <v>10169</v>
      </c>
      <c r="NZL1" s="9" t="s">
        <v>10170</v>
      </c>
      <c r="NZM1" s="9" t="s">
        <v>10171</v>
      </c>
      <c r="NZN1" s="9" t="s">
        <v>10172</v>
      </c>
      <c r="NZO1" s="9" t="s">
        <v>10173</v>
      </c>
      <c r="NZP1" s="9" t="s">
        <v>10174</v>
      </c>
      <c r="NZQ1" s="9" t="s">
        <v>10175</v>
      </c>
      <c r="NZR1" s="9" t="s">
        <v>10176</v>
      </c>
      <c r="NZS1" s="9" t="s">
        <v>10177</v>
      </c>
      <c r="NZT1" s="9" t="s">
        <v>10178</v>
      </c>
      <c r="NZU1" s="9" t="s">
        <v>10179</v>
      </c>
      <c r="NZV1" s="9" t="s">
        <v>10180</v>
      </c>
      <c r="NZW1" s="9" t="s">
        <v>10181</v>
      </c>
      <c r="NZX1" s="9" t="s">
        <v>10182</v>
      </c>
      <c r="NZY1" s="9" t="s">
        <v>10183</v>
      </c>
      <c r="NZZ1" s="9" t="s">
        <v>10184</v>
      </c>
      <c r="OAA1" s="9" t="s">
        <v>10185</v>
      </c>
      <c r="OAB1" s="9" t="s">
        <v>10186</v>
      </c>
      <c r="OAC1" s="9" t="s">
        <v>10187</v>
      </c>
      <c r="OAD1" s="9" t="s">
        <v>10188</v>
      </c>
      <c r="OAE1" s="9" t="s">
        <v>10189</v>
      </c>
      <c r="OAF1" s="9" t="s">
        <v>10190</v>
      </c>
      <c r="OAG1" s="9" t="s">
        <v>10191</v>
      </c>
      <c r="OAH1" s="9" t="s">
        <v>10192</v>
      </c>
      <c r="OAI1" s="9" t="s">
        <v>10193</v>
      </c>
      <c r="OAJ1" s="9" t="s">
        <v>10194</v>
      </c>
      <c r="OAK1" s="9" t="s">
        <v>10195</v>
      </c>
      <c r="OAL1" s="9" t="s">
        <v>10196</v>
      </c>
      <c r="OAM1" s="9" t="s">
        <v>10197</v>
      </c>
      <c r="OAN1" s="9" t="s">
        <v>10198</v>
      </c>
      <c r="OAO1" s="9" t="s">
        <v>10199</v>
      </c>
      <c r="OAP1" s="9" t="s">
        <v>10200</v>
      </c>
      <c r="OAQ1" s="9" t="s">
        <v>10201</v>
      </c>
      <c r="OAR1" s="9" t="s">
        <v>10202</v>
      </c>
      <c r="OAS1" s="9" t="s">
        <v>10203</v>
      </c>
      <c r="OAT1" s="9" t="s">
        <v>10204</v>
      </c>
      <c r="OAU1" s="9" t="s">
        <v>10205</v>
      </c>
      <c r="OAV1" s="9" t="s">
        <v>10206</v>
      </c>
      <c r="OAW1" s="9" t="s">
        <v>10207</v>
      </c>
      <c r="OAX1" s="9" t="s">
        <v>10208</v>
      </c>
      <c r="OAY1" s="9" t="s">
        <v>10209</v>
      </c>
      <c r="OAZ1" s="9" t="s">
        <v>10210</v>
      </c>
      <c r="OBA1" s="9" t="s">
        <v>10211</v>
      </c>
      <c r="OBB1" s="9" t="s">
        <v>10212</v>
      </c>
      <c r="OBC1" s="9" t="s">
        <v>10213</v>
      </c>
      <c r="OBD1" s="9" t="s">
        <v>10214</v>
      </c>
      <c r="OBE1" s="9" t="s">
        <v>10215</v>
      </c>
      <c r="OBF1" s="9" t="s">
        <v>10216</v>
      </c>
      <c r="OBG1" s="9" t="s">
        <v>10217</v>
      </c>
      <c r="OBH1" s="9" t="s">
        <v>10218</v>
      </c>
      <c r="OBI1" s="9" t="s">
        <v>10219</v>
      </c>
      <c r="OBJ1" s="9" t="s">
        <v>10220</v>
      </c>
      <c r="OBK1" s="9" t="s">
        <v>10221</v>
      </c>
      <c r="OBL1" s="9" t="s">
        <v>10222</v>
      </c>
      <c r="OBM1" s="9" t="s">
        <v>10223</v>
      </c>
      <c r="OBN1" s="9" t="s">
        <v>10224</v>
      </c>
      <c r="OBO1" s="9" t="s">
        <v>10225</v>
      </c>
      <c r="OBP1" s="9" t="s">
        <v>10226</v>
      </c>
      <c r="OBQ1" s="9" t="s">
        <v>10227</v>
      </c>
      <c r="OBR1" s="9" t="s">
        <v>10228</v>
      </c>
      <c r="OBS1" s="9" t="s">
        <v>10229</v>
      </c>
      <c r="OBT1" s="9" t="s">
        <v>10230</v>
      </c>
      <c r="OBU1" s="9" t="s">
        <v>10231</v>
      </c>
      <c r="OBV1" s="9" t="s">
        <v>10232</v>
      </c>
      <c r="OBW1" s="9" t="s">
        <v>10233</v>
      </c>
      <c r="OBX1" s="9" t="s">
        <v>10234</v>
      </c>
      <c r="OBY1" s="9" t="s">
        <v>10235</v>
      </c>
      <c r="OBZ1" s="9" t="s">
        <v>10236</v>
      </c>
      <c r="OCA1" s="9" t="s">
        <v>10237</v>
      </c>
      <c r="OCB1" s="9" t="s">
        <v>10238</v>
      </c>
      <c r="OCC1" s="9" t="s">
        <v>10239</v>
      </c>
      <c r="OCD1" s="9" t="s">
        <v>10240</v>
      </c>
      <c r="OCE1" s="9" t="s">
        <v>10241</v>
      </c>
      <c r="OCF1" s="9" t="s">
        <v>10242</v>
      </c>
      <c r="OCG1" s="9" t="s">
        <v>10243</v>
      </c>
      <c r="OCH1" s="9" t="s">
        <v>10244</v>
      </c>
      <c r="OCI1" s="9" t="s">
        <v>10245</v>
      </c>
      <c r="OCJ1" s="9" t="s">
        <v>10246</v>
      </c>
      <c r="OCK1" s="9" t="s">
        <v>10247</v>
      </c>
      <c r="OCL1" s="9" t="s">
        <v>10248</v>
      </c>
      <c r="OCM1" s="9" t="s">
        <v>10249</v>
      </c>
      <c r="OCN1" s="9" t="s">
        <v>10250</v>
      </c>
      <c r="OCO1" s="9" t="s">
        <v>10251</v>
      </c>
      <c r="OCP1" s="9" t="s">
        <v>10252</v>
      </c>
      <c r="OCQ1" s="9" t="s">
        <v>10253</v>
      </c>
      <c r="OCR1" s="9" t="s">
        <v>10254</v>
      </c>
      <c r="OCS1" s="9" t="s">
        <v>10255</v>
      </c>
      <c r="OCT1" s="9" t="s">
        <v>10256</v>
      </c>
      <c r="OCU1" s="9" t="s">
        <v>10257</v>
      </c>
      <c r="OCV1" s="9" t="s">
        <v>10258</v>
      </c>
      <c r="OCW1" s="9" t="s">
        <v>10259</v>
      </c>
      <c r="OCX1" s="9" t="s">
        <v>10260</v>
      </c>
      <c r="OCY1" s="9" t="s">
        <v>10261</v>
      </c>
      <c r="OCZ1" s="9" t="s">
        <v>10262</v>
      </c>
      <c r="ODA1" s="9" t="s">
        <v>10263</v>
      </c>
      <c r="ODB1" s="9" t="s">
        <v>10264</v>
      </c>
      <c r="ODC1" s="9" t="s">
        <v>10265</v>
      </c>
      <c r="ODD1" s="9" t="s">
        <v>10266</v>
      </c>
      <c r="ODE1" s="9" t="s">
        <v>10267</v>
      </c>
      <c r="ODF1" s="9" t="s">
        <v>10268</v>
      </c>
      <c r="ODG1" s="9" t="s">
        <v>10269</v>
      </c>
      <c r="ODH1" s="9" t="s">
        <v>10270</v>
      </c>
      <c r="ODI1" s="9" t="s">
        <v>10271</v>
      </c>
      <c r="ODJ1" s="9" t="s">
        <v>10272</v>
      </c>
      <c r="ODK1" s="9" t="s">
        <v>10273</v>
      </c>
      <c r="ODL1" s="9" t="s">
        <v>10274</v>
      </c>
      <c r="ODM1" s="9" t="s">
        <v>10275</v>
      </c>
      <c r="ODN1" s="9" t="s">
        <v>10276</v>
      </c>
      <c r="ODO1" s="9" t="s">
        <v>10277</v>
      </c>
      <c r="ODP1" s="9" t="s">
        <v>10278</v>
      </c>
      <c r="ODQ1" s="9" t="s">
        <v>10279</v>
      </c>
      <c r="ODR1" s="9" t="s">
        <v>10280</v>
      </c>
      <c r="ODS1" s="9" t="s">
        <v>10281</v>
      </c>
      <c r="ODT1" s="9" t="s">
        <v>10282</v>
      </c>
      <c r="ODU1" s="9" t="s">
        <v>10283</v>
      </c>
      <c r="ODV1" s="9" t="s">
        <v>10284</v>
      </c>
      <c r="ODW1" s="9" t="s">
        <v>10285</v>
      </c>
      <c r="ODX1" s="9" t="s">
        <v>10286</v>
      </c>
      <c r="ODY1" s="9" t="s">
        <v>10287</v>
      </c>
      <c r="ODZ1" s="9" t="s">
        <v>10288</v>
      </c>
      <c r="OEA1" s="9" t="s">
        <v>10289</v>
      </c>
      <c r="OEB1" s="9" t="s">
        <v>10290</v>
      </c>
      <c r="OEC1" s="9" t="s">
        <v>10291</v>
      </c>
      <c r="OED1" s="9" t="s">
        <v>10292</v>
      </c>
      <c r="OEE1" s="9" t="s">
        <v>10293</v>
      </c>
      <c r="OEF1" s="9" t="s">
        <v>10294</v>
      </c>
      <c r="OEG1" s="9" t="s">
        <v>10295</v>
      </c>
      <c r="OEH1" s="9" t="s">
        <v>10296</v>
      </c>
      <c r="OEI1" s="9" t="s">
        <v>10297</v>
      </c>
      <c r="OEJ1" s="9" t="s">
        <v>10298</v>
      </c>
      <c r="OEK1" s="9" t="s">
        <v>10299</v>
      </c>
      <c r="OEL1" s="9" t="s">
        <v>10300</v>
      </c>
      <c r="OEM1" s="9" t="s">
        <v>10301</v>
      </c>
      <c r="OEN1" s="9" t="s">
        <v>10302</v>
      </c>
      <c r="OEO1" s="9" t="s">
        <v>10303</v>
      </c>
      <c r="OEP1" s="9" t="s">
        <v>10304</v>
      </c>
      <c r="OEQ1" s="9" t="s">
        <v>10305</v>
      </c>
      <c r="OER1" s="9" t="s">
        <v>10306</v>
      </c>
      <c r="OES1" s="9" t="s">
        <v>10307</v>
      </c>
      <c r="OET1" s="9" t="s">
        <v>10308</v>
      </c>
      <c r="OEU1" s="9" t="s">
        <v>10309</v>
      </c>
      <c r="OEV1" s="9" t="s">
        <v>10310</v>
      </c>
      <c r="OEW1" s="9" t="s">
        <v>10311</v>
      </c>
      <c r="OEX1" s="9" t="s">
        <v>10312</v>
      </c>
      <c r="OEY1" s="9" t="s">
        <v>10313</v>
      </c>
      <c r="OEZ1" s="9" t="s">
        <v>10314</v>
      </c>
      <c r="OFA1" s="9" t="s">
        <v>10315</v>
      </c>
      <c r="OFB1" s="9" t="s">
        <v>10316</v>
      </c>
      <c r="OFC1" s="9" t="s">
        <v>10317</v>
      </c>
      <c r="OFD1" s="9" t="s">
        <v>10318</v>
      </c>
      <c r="OFE1" s="9" t="s">
        <v>10319</v>
      </c>
      <c r="OFF1" s="9" t="s">
        <v>10320</v>
      </c>
      <c r="OFG1" s="9" t="s">
        <v>10321</v>
      </c>
      <c r="OFH1" s="9" t="s">
        <v>10322</v>
      </c>
      <c r="OFI1" s="9" t="s">
        <v>10323</v>
      </c>
      <c r="OFJ1" s="9" t="s">
        <v>10324</v>
      </c>
      <c r="OFK1" s="9" t="s">
        <v>10325</v>
      </c>
      <c r="OFL1" s="9" t="s">
        <v>10326</v>
      </c>
      <c r="OFM1" s="9" t="s">
        <v>10327</v>
      </c>
      <c r="OFN1" s="9" t="s">
        <v>10328</v>
      </c>
      <c r="OFO1" s="9" t="s">
        <v>10329</v>
      </c>
      <c r="OFP1" s="9" t="s">
        <v>10330</v>
      </c>
      <c r="OFQ1" s="9" t="s">
        <v>10331</v>
      </c>
      <c r="OFR1" s="9" t="s">
        <v>10332</v>
      </c>
      <c r="OFS1" s="9" t="s">
        <v>10333</v>
      </c>
      <c r="OFT1" s="9" t="s">
        <v>10334</v>
      </c>
      <c r="OFU1" s="9" t="s">
        <v>10335</v>
      </c>
      <c r="OFV1" s="9" t="s">
        <v>10336</v>
      </c>
      <c r="OFW1" s="9" t="s">
        <v>10337</v>
      </c>
      <c r="OFX1" s="9" t="s">
        <v>10338</v>
      </c>
      <c r="OFY1" s="9" t="s">
        <v>10339</v>
      </c>
      <c r="OFZ1" s="9" t="s">
        <v>10340</v>
      </c>
      <c r="OGA1" s="9" t="s">
        <v>10341</v>
      </c>
      <c r="OGB1" s="9" t="s">
        <v>10342</v>
      </c>
      <c r="OGC1" s="9" t="s">
        <v>10343</v>
      </c>
      <c r="OGD1" s="9" t="s">
        <v>10344</v>
      </c>
      <c r="OGE1" s="9" t="s">
        <v>10345</v>
      </c>
      <c r="OGF1" s="9" t="s">
        <v>10346</v>
      </c>
      <c r="OGG1" s="9" t="s">
        <v>10347</v>
      </c>
      <c r="OGH1" s="9" t="s">
        <v>10348</v>
      </c>
      <c r="OGI1" s="9" t="s">
        <v>10349</v>
      </c>
      <c r="OGJ1" s="9" t="s">
        <v>10350</v>
      </c>
      <c r="OGK1" s="9" t="s">
        <v>10351</v>
      </c>
      <c r="OGL1" s="9" t="s">
        <v>10352</v>
      </c>
      <c r="OGM1" s="9" t="s">
        <v>10353</v>
      </c>
      <c r="OGN1" s="9" t="s">
        <v>10354</v>
      </c>
      <c r="OGO1" s="9" t="s">
        <v>10355</v>
      </c>
      <c r="OGP1" s="9" t="s">
        <v>10356</v>
      </c>
      <c r="OGQ1" s="9" t="s">
        <v>10357</v>
      </c>
      <c r="OGR1" s="9" t="s">
        <v>10358</v>
      </c>
      <c r="OGS1" s="9" t="s">
        <v>10359</v>
      </c>
      <c r="OGT1" s="9" t="s">
        <v>10360</v>
      </c>
      <c r="OGU1" s="9" t="s">
        <v>10361</v>
      </c>
      <c r="OGV1" s="9" t="s">
        <v>10362</v>
      </c>
      <c r="OGW1" s="9" t="s">
        <v>10363</v>
      </c>
      <c r="OGX1" s="9" t="s">
        <v>10364</v>
      </c>
      <c r="OGY1" s="9" t="s">
        <v>10365</v>
      </c>
      <c r="OGZ1" s="9" t="s">
        <v>10366</v>
      </c>
      <c r="OHA1" s="9" t="s">
        <v>10367</v>
      </c>
      <c r="OHB1" s="9" t="s">
        <v>10368</v>
      </c>
      <c r="OHC1" s="9" t="s">
        <v>10369</v>
      </c>
      <c r="OHD1" s="9" t="s">
        <v>10370</v>
      </c>
      <c r="OHE1" s="9" t="s">
        <v>10371</v>
      </c>
      <c r="OHF1" s="9" t="s">
        <v>10372</v>
      </c>
      <c r="OHG1" s="9" t="s">
        <v>10373</v>
      </c>
      <c r="OHH1" s="9" t="s">
        <v>10374</v>
      </c>
      <c r="OHI1" s="9" t="s">
        <v>10375</v>
      </c>
      <c r="OHJ1" s="9" t="s">
        <v>10376</v>
      </c>
      <c r="OHK1" s="9" t="s">
        <v>10377</v>
      </c>
      <c r="OHL1" s="9" t="s">
        <v>10378</v>
      </c>
      <c r="OHM1" s="9" t="s">
        <v>10379</v>
      </c>
      <c r="OHN1" s="9" t="s">
        <v>10380</v>
      </c>
      <c r="OHO1" s="9" t="s">
        <v>10381</v>
      </c>
      <c r="OHP1" s="9" t="s">
        <v>10382</v>
      </c>
      <c r="OHQ1" s="9" t="s">
        <v>10383</v>
      </c>
      <c r="OHR1" s="9" t="s">
        <v>10384</v>
      </c>
      <c r="OHS1" s="9" t="s">
        <v>10385</v>
      </c>
      <c r="OHT1" s="9" t="s">
        <v>10386</v>
      </c>
      <c r="OHU1" s="9" t="s">
        <v>10387</v>
      </c>
      <c r="OHV1" s="9" t="s">
        <v>10388</v>
      </c>
      <c r="OHW1" s="9" t="s">
        <v>10389</v>
      </c>
      <c r="OHX1" s="9" t="s">
        <v>10390</v>
      </c>
      <c r="OHY1" s="9" t="s">
        <v>10391</v>
      </c>
      <c r="OHZ1" s="9" t="s">
        <v>10392</v>
      </c>
      <c r="OIA1" s="9" t="s">
        <v>10393</v>
      </c>
      <c r="OIB1" s="9" t="s">
        <v>10394</v>
      </c>
      <c r="OIC1" s="9" t="s">
        <v>10395</v>
      </c>
      <c r="OID1" s="9" t="s">
        <v>10396</v>
      </c>
      <c r="OIE1" s="9" t="s">
        <v>10397</v>
      </c>
      <c r="OIF1" s="9" t="s">
        <v>10398</v>
      </c>
      <c r="OIG1" s="9" t="s">
        <v>10399</v>
      </c>
      <c r="OIH1" s="9" t="s">
        <v>10400</v>
      </c>
      <c r="OII1" s="9" t="s">
        <v>10401</v>
      </c>
      <c r="OIJ1" s="9" t="s">
        <v>10402</v>
      </c>
      <c r="OIK1" s="9" t="s">
        <v>10403</v>
      </c>
      <c r="OIL1" s="9" t="s">
        <v>10404</v>
      </c>
      <c r="OIM1" s="9" t="s">
        <v>10405</v>
      </c>
      <c r="OIN1" s="9" t="s">
        <v>10406</v>
      </c>
      <c r="OIO1" s="9" t="s">
        <v>10407</v>
      </c>
      <c r="OIP1" s="9" t="s">
        <v>10408</v>
      </c>
      <c r="OIQ1" s="9" t="s">
        <v>10409</v>
      </c>
      <c r="OIR1" s="9" t="s">
        <v>10410</v>
      </c>
      <c r="OIS1" s="9" t="s">
        <v>10411</v>
      </c>
      <c r="OIT1" s="9" t="s">
        <v>10412</v>
      </c>
      <c r="OIU1" s="9" t="s">
        <v>10413</v>
      </c>
      <c r="OIV1" s="9" t="s">
        <v>10414</v>
      </c>
      <c r="OIW1" s="9" t="s">
        <v>10415</v>
      </c>
      <c r="OIX1" s="9" t="s">
        <v>10416</v>
      </c>
      <c r="OIY1" s="9" t="s">
        <v>10417</v>
      </c>
      <c r="OIZ1" s="9" t="s">
        <v>10418</v>
      </c>
      <c r="OJA1" s="9" t="s">
        <v>10419</v>
      </c>
      <c r="OJB1" s="9" t="s">
        <v>10420</v>
      </c>
      <c r="OJC1" s="9" t="s">
        <v>10421</v>
      </c>
      <c r="OJD1" s="9" t="s">
        <v>10422</v>
      </c>
      <c r="OJE1" s="9" t="s">
        <v>10423</v>
      </c>
      <c r="OJF1" s="9" t="s">
        <v>10424</v>
      </c>
      <c r="OJG1" s="9" t="s">
        <v>10425</v>
      </c>
      <c r="OJH1" s="9" t="s">
        <v>10426</v>
      </c>
      <c r="OJI1" s="9" t="s">
        <v>10427</v>
      </c>
      <c r="OJJ1" s="9" t="s">
        <v>10428</v>
      </c>
      <c r="OJK1" s="9" t="s">
        <v>10429</v>
      </c>
      <c r="OJL1" s="9" t="s">
        <v>10430</v>
      </c>
      <c r="OJM1" s="9" t="s">
        <v>10431</v>
      </c>
      <c r="OJN1" s="9" t="s">
        <v>10432</v>
      </c>
      <c r="OJO1" s="9" t="s">
        <v>10433</v>
      </c>
      <c r="OJP1" s="9" t="s">
        <v>10434</v>
      </c>
      <c r="OJQ1" s="9" t="s">
        <v>10435</v>
      </c>
      <c r="OJR1" s="9" t="s">
        <v>10436</v>
      </c>
      <c r="OJS1" s="9" t="s">
        <v>10437</v>
      </c>
      <c r="OJT1" s="9" t="s">
        <v>10438</v>
      </c>
      <c r="OJU1" s="9" t="s">
        <v>10439</v>
      </c>
      <c r="OJV1" s="9" t="s">
        <v>10440</v>
      </c>
      <c r="OJW1" s="9" t="s">
        <v>10441</v>
      </c>
      <c r="OJX1" s="9" t="s">
        <v>10442</v>
      </c>
      <c r="OJY1" s="9" t="s">
        <v>10443</v>
      </c>
      <c r="OJZ1" s="9" t="s">
        <v>10444</v>
      </c>
      <c r="OKA1" s="9" t="s">
        <v>10445</v>
      </c>
      <c r="OKB1" s="9" t="s">
        <v>10446</v>
      </c>
      <c r="OKC1" s="9" t="s">
        <v>10447</v>
      </c>
      <c r="OKD1" s="9" t="s">
        <v>10448</v>
      </c>
      <c r="OKE1" s="9" t="s">
        <v>10449</v>
      </c>
      <c r="OKF1" s="9" t="s">
        <v>10450</v>
      </c>
      <c r="OKG1" s="9" t="s">
        <v>10451</v>
      </c>
      <c r="OKH1" s="9" t="s">
        <v>10452</v>
      </c>
      <c r="OKI1" s="9" t="s">
        <v>10453</v>
      </c>
      <c r="OKJ1" s="9" t="s">
        <v>10454</v>
      </c>
      <c r="OKK1" s="9" t="s">
        <v>10455</v>
      </c>
      <c r="OKL1" s="9" t="s">
        <v>10456</v>
      </c>
      <c r="OKM1" s="9" t="s">
        <v>10457</v>
      </c>
      <c r="OKN1" s="9" t="s">
        <v>10458</v>
      </c>
      <c r="OKO1" s="9" t="s">
        <v>10459</v>
      </c>
      <c r="OKP1" s="9" t="s">
        <v>10460</v>
      </c>
      <c r="OKQ1" s="9" t="s">
        <v>10461</v>
      </c>
      <c r="OKR1" s="9" t="s">
        <v>10462</v>
      </c>
      <c r="OKS1" s="9" t="s">
        <v>10463</v>
      </c>
      <c r="OKT1" s="9" t="s">
        <v>10464</v>
      </c>
      <c r="OKU1" s="9" t="s">
        <v>10465</v>
      </c>
      <c r="OKV1" s="9" t="s">
        <v>10466</v>
      </c>
      <c r="OKW1" s="9" t="s">
        <v>10467</v>
      </c>
      <c r="OKX1" s="9" t="s">
        <v>10468</v>
      </c>
      <c r="OKY1" s="9" t="s">
        <v>10469</v>
      </c>
      <c r="OKZ1" s="9" t="s">
        <v>10470</v>
      </c>
      <c r="OLA1" s="9" t="s">
        <v>10471</v>
      </c>
      <c r="OLB1" s="9" t="s">
        <v>10472</v>
      </c>
      <c r="OLC1" s="9" t="s">
        <v>10473</v>
      </c>
      <c r="OLD1" s="9" t="s">
        <v>10474</v>
      </c>
      <c r="OLE1" s="9" t="s">
        <v>10475</v>
      </c>
      <c r="OLF1" s="9" t="s">
        <v>10476</v>
      </c>
      <c r="OLG1" s="9" t="s">
        <v>10477</v>
      </c>
      <c r="OLH1" s="9" t="s">
        <v>10478</v>
      </c>
      <c r="OLI1" s="9" t="s">
        <v>10479</v>
      </c>
      <c r="OLJ1" s="9" t="s">
        <v>10480</v>
      </c>
      <c r="OLK1" s="9" t="s">
        <v>10481</v>
      </c>
      <c r="OLL1" s="9" t="s">
        <v>10482</v>
      </c>
      <c r="OLM1" s="9" t="s">
        <v>10483</v>
      </c>
      <c r="OLN1" s="9" t="s">
        <v>10484</v>
      </c>
      <c r="OLO1" s="9" t="s">
        <v>10485</v>
      </c>
      <c r="OLP1" s="9" t="s">
        <v>10486</v>
      </c>
      <c r="OLQ1" s="9" t="s">
        <v>10487</v>
      </c>
      <c r="OLR1" s="9" t="s">
        <v>10488</v>
      </c>
      <c r="OLS1" s="9" t="s">
        <v>10489</v>
      </c>
      <c r="OLT1" s="9" t="s">
        <v>10490</v>
      </c>
      <c r="OLU1" s="9" t="s">
        <v>10491</v>
      </c>
      <c r="OLV1" s="9" t="s">
        <v>10492</v>
      </c>
      <c r="OLW1" s="9" t="s">
        <v>10493</v>
      </c>
      <c r="OLX1" s="9" t="s">
        <v>10494</v>
      </c>
      <c r="OLY1" s="9" t="s">
        <v>10495</v>
      </c>
      <c r="OLZ1" s="9" t="s">
        <v>10496</v>
      </c>
      <c r="OMA1" s="9" t="s">
        <v>10497</v>
      </c>
      <c r="OMB1" s="9" t="s">
        <v>10498</v>
      </c>
      <c r="OMC1" s="9" t="s">
        <v>10499</v>
      </c>
      <c r="OMD1" s="9" t="s">
        <v>10500</v>
      </c>
      <c r="OME1" s="9" t="s">
        <v>10501</v>
      </c>
      <c r="OMF1" s="9" t="s">
        <v>10502</v>
      </c>
      <c r="OMG1" s="9" t="s">
        <v>10503</v>
      </c>
      <c r="OMH1" s="9" t="s">
        <v>10504</v>
      </c>
      <c r="OMI1" s="9" t="s">
        <v>10505</v>
      </c>
      <c r="OMJ1" s="9" t="s">
        <v>10506</v>
      </c>
      <c r="OMK1" s="9" t="s">
        <v>10507</v>
      </c>
      <c r="OML1" s="9" t="s">
        <v>10508</v>
      </c>
      <c r="OMM1" s="9" t="s">
        <v>10509</v>
      </c>
      <c r="OMN1" s="9" t="s">
        <v>10510</v>
      </c>
      <c r="OMO1" s="9" t="s">
        <v>10511</v>
      </c>
      <c r="OMP1" s="9" t="s">
        <v>10512</v>
      </c>
      <c r="OMQ1" s="9" t="s">
        <v>10513</v>
      </c>
      <c r="OMR1" s="9" t="s">
        <v>10514</v>
      </c>
      <c r="OMS1" s="9" t="s">
        <v>10515</v>
      </c>
      <c r="OMT1" s="9" t="s">
        <v>10516</v>
      </c>
      <c r="OMU1" s="9" t="s">
        <v>10517</v>
      </c>
      <c r="OMV1" s="9" t="s">
        <v>10518</v>
      </c>
      <c r="OMW1" s="9" t="s">
        <v>10519</v>
      </c>
      <c r="OMX1" s="9" t="s">
        <v>10520</v>
      </c>
      <c r="OMY1" s="9" t="s">
        <v>10521</v>
      </c>
      <c r="OMZ1" s="9" t="s">
        <v>10522</v>
      </c>
      <c r="ONA1" s="9" t="s">
        <v>10523</v>
      </c>
      <c r="ONB1" s="9" t="s">
        <v>10524</v>
      </c>
      <c r="ONC1" s="9" t="s">
        <v>10525</v>
      </c>
      <c r="OND1" s="9" t="s">
        <v>10526</v>
      </c>
      <c r="ONE1" s="9" t="s">
        <v>10527</v>
      </c>
      <c r="ONF1" s="9" t="s">
        <v>10528</v>
      </c>
      <c r="ONG1" s="9" t="s">
        <v>10529</v>
      </c>
      <c r="ONH1" s="9" t="s">
        <v>10530</v>
      </c>
      <c r="ONI1" s="9" t="s">
        <v>10531</v>
      </c>
      <c r="ONJ1" s="9" t="s">
        <v>10532</v>
      </c>
      <c r="ONK1" s="9" t="s">
        <v>10533</v>
      </c>
      <c r="ONL1" s="9" t="s">
        <v>10534</v>
      </c>
      <c r="ONM1" s="9" t="s">
        <v>10535</v>
      </c>
      <c r="ONN1" s="9" t="s">
        <v>10536</v>
      </c>
      <c r="ONO1" s="9" t="s">
        <v>10537</v>
      </c>
      <c r="ONP1" s="9" t="s">
        <v>10538</v>
      </c>
      <c r="ONQ1" s="9" t="s">
        <v>10539</v>
      </c>
      <c r="ONR1" s="9" t="s">
        <v>10540</v>
      </c>
      <c r="ONS1" s="9" t="s">
        <v>10541</v>
      </c>
      <c r="ONT1" s="9" t="s">
        <v>10542</v>
      </c>
      <c r="ONU1" s="9" t="s">
        <v>10543</v>
      </c>
      <c r="ONV1" s="9" t="s">
        <v>10544</v>
      </c>
      <c r="ONW1" s="9" t="s">
        <v>10545</v>
      </c>
      <c r="ONX1" s="9" t="s">
        <v>10546</v>
      </c>
      <c r="ONY1" s="9" t="s">
        <v>10547</v>
      </c>
      <c r="ONZ1" s="9" t="s">
        <v>10548</v>
      </c>
      <c r="OOA1" s="9" t="s">
        <v>10549</v>
      </c>
      <c r="OOB1" s="9" t="s">
        <v>10550</v>
      </c>
      <c r="OOC1" s="9" t="s">
        <v>10551</v>
      </c>
      <c r="OOD1" s="9" t="s">
        <v>10552</v>
      </c>
      <c r="OOE1" s="9" t="s">
        <v>10553</v>
      </c>
      <c r="OOF1" s="9" t="s">
        <v>10554</v>
      </c>
      <c r="OOG1" s="9" t="s">
        <v>10555</v>
      </c>
      <c r="OOH1" s="9" t="s">
        <v>10556</v>
      </c>
      <c r="OOI1" s="9" t="s">
        <v>10557</v>
      </c>
      <c r="OOJ1" s="9" t="s">
        <v>10558</v>
      </c>
      <c r="OOK1" s="9" t="s">
        <v>10559</v>
      </c>
      <c r="OOL1" s="9" t="s">
        <v>10560</v>
      </c>
      <c r="OOM1" s="9" t="s">
        <v>10561</v>
      </c>
      <c r="OON1" s="9" t="s">
        <v>10562</v>
      </c>
      <c r="OOO1" s="9" t="s">
        <v>10563</v>
      </c>
      <c r="OOP1" s="9" t="s">
        <v>10564</v>
      </c>
      <c r="OOQ1" s="9" t="s">
        <v>10565</v>
      </c>
      <c r="OOR1" s="9" t="s">
        <v>10566</v>
      </c>
      <c r="OOS1" s="9" t="s">
        <v>10567</v>
      </c>
      <c r="OOT1" s="9" t="s">
        <v>10568</v>
      </c>
      <c r="OOU1" s="9" t="s">
        <v>10569</v>
      </c>
      <c r="OOV1" s="9" t="s">
        <v>10570</v>
      </c>
      <c r="OOW1" s="9" t="s">
        <v>10571</v>
      </c>
      <c r="OOX1" s="9" t="s">
        <v>10572</v>
      </c>
      <c r="OOY1" s="9" t="s">
        <v>10573</v>
      </c>
      <c r="OOZ1" s="9" t="s">
        <v>10574</v>
      </c>
      <c r="OPA1" s="9" t="s">
        <v>10575</v>
      </c>
      <c r="OPB1" s="9" t="s">
        <v>10576</v>
      </c>
      <c r="OPC1" s="9" t="s">
        <v>10577</v>
      </c>
      <c r="OPD1" s="9" t="s">
        <v>10578</v>
      </c>
      <c r="OPE1" s="9" t="s">
        <v>10579</v>
      </c>
      <c r="OPF1" s="9" t="s">
        <v>10580</v>
      </c>
      <c r="OPG1" s="9" t="s">
        <v>10581</v>
      </c>
      <c r="OPH1" s="9" t="s">
        <v>10582</v>
      </c>
      <c r="OPI1" s="9" t="s">
        <v>10583</v>
      </c>
      <c r="OPJ1" s="9" t="s">
        <v>10584</v>
      </c>
      <c r="OPK1" s="9" t="s">
        <v>10585</v>
      </c>
      <c r="OPL1" s="9" t="s">
        <v>10586</v>
      </c>
      <c r="OPM1" s="9" t="s">
        <v>10587</v>
      </c>
      <c r="OPN1" s="9" t="s">
        <v>10588</v>
      </c>
      <c r="OPO1" s="9" t="s">
        <v>10589</v>
      </c>
      <c r="OPP1" s="9" t="s">
        <v>10590</v>
      </c>
      <c r="OPQ1" s="9" t="s">
        <v>10591</v>
      </c>
      <c r="OPR1" s="9" t="s">
        <v>10592</v>
      </c>
      <c r="OPS1" s="9" t="s">
        <v>10593</v>
      </c>
      <c r="OPT1" s="9" t="s">
        <v>10594</v>
      </c>
      <c r="OPU1" s="9" t="s">
        <v>10595</v>
      </c>
      <c r="OPV1" s="9" t="s">
        <v>10596</v>
      </c>
      <c r="OPW1" s="9" t="s">
        <v>10597</v>
      </c>
      <c r="OPX1" s="9" t="s">
        <v>10598</v>
      </c>
      <c r="OPY1" s="9" t="s">
        <v>10599</v>
      </c>
      <c r="OPZ1" s="9" t="s">
        <v>10600</v>
      </c>
      <c r="OQA1" s="9" t="s">
        <v>10601</v>
      </c>
      <c r="OQB1" s="9" t="s">
        <v>10602</v>
      </c>
      <c r="OQC1" s="9" t="s">
        <v>10603</v>
      </c>
      <c r="OQD1" s="9" t="s">
        <v>10604</v>
      </c>
      <c r="OQE1" s="9" t="s">
        <v>10605</v>
      </c>
      <c r="OQF1" s="9" t="s">
        <v>10606</v>
      </c>
      <c r="OQG1" s="9" t="s">
        <v>10607</v>
      </c>
      <c r="OQH1" s="9" t="s">
        <v>10608</v>
      </c>
      <c r="OQI1" s="9" t="s">
        <v>10609</v>
      </c>
      <c r="OQJ1" s="9" t="s">
        <v>10610</v>
      </c>
      <c r="OQK1" s="9" t="s">
        <v>10611</v>
      </c>
      <c r="OQL1" s="9" t="s">
        <v>10612</v>
      </c>
      <c r="OQM1" s="9" t="s">
        <v>10613</v>
      </c>
      <c r="OQN1" s="9" t="s">
        <v>10614</v>
      </c>
      <c r="OQO1" s="9" t="s">
        <v>10615</v>
      </c>
      <c r="OQP1" s="9" t="s">
        <v>10616</v>
      </c>
      <c r="OQQ1" s="9" t="s">
        <v>10617</v>
      </c>
      <c r="OQR1" s="9" t="s">
        <v>10618</v>
      </c>
      <c r="OQS1" s="9" t="s">
        <v>10619</v>
      </c>
      <c r="OQT1" s="9" t="s">
        <v>10620</v>
      </c>
      <c r="OQU1" s="9" t="s">
        <v>10621</v>
      </c>
      <c r="OQV1" s="9" t="s">
        <v>10622</v>
      </c>
      <c r="OQW1" s="9" t="s">
        <v>10623</v>
      </c>
      <c r="OQX1" s="9" t="s">
        <v>10624</v>
      </c>
      <c r="OQY1" s="9" t="s">
        <v>10625</v>
      </c>
      <c r="OQZ1" s="9" t="s">
        <v>10626</v>
      </c>
      <c r="ORA1" s="9" t="s">
        <v>10627</v>
      </c>
      <c r="ORB1" s="9" t="s">
        <v>10628</v>
      </c>
      <c r="ORC1" s="9" t="s">
        <v>10629</v>
      </c>
      <c r="ORD1" s="9" t="s">
        <v>10630</v>
      </c>
      <c r="ORE1" s="9" t="s">
        <v>10631</v>
      </c>
      <c r="ORF1" s="9" t="s">
        <v>10632</v>
      </c>
      <c r="ORG1" s="9" t="s">
        <v>10633</v>
      </c>
      <c r="ORH1" s="9" t="s">
        <v>10634</v>
      </c>
      <c r="ORI1" s="9" t="s">
        <v>10635</v>
      </c>
      <c r="ORJ1" s="9" t="s">
        <v>10636</v>
      </c>
      <c r="ORK1" s="9" t="s">
        <v>10637</v>
      </c>
      <c r="ORL1" s="9" t="s">
        <v>10638</v>
      </c>
      <c r="ORM1" s="9" t="s">
        <v>10639</v>
      </c>
      <c r="ORN1" s="9" t="s">
        <v>10640</v>
      </c>
      <c r="ORO1" s="9" t="s">
        <v>10641</v>
      </c>
      <c r="ORP1" s="9" t="s">
        <v>10642</v>
      </c>
      <c r="ORQ1" s="9" t="s">
        <v>10643</v>
      </c>
      <c r="ORR1" s="9" t="s">
        <v>10644</v>
      </c>
      <c r="ORS1" s="9" t="s">
        <v>10645</v>
      </c>
      <c r="ORT1" s="9" t="s">
        <v>10646</v>
      </c>
      <c r="ORU1" s="9" t="s">
        <v>10647</v>
      </c>
      <c r="ORV1" s="9" t="s">
        <v>10648</v>
      </c>
      <c r="ORW1" s="9" t="s">
        <v>10649</v>
      </c>
      <c r="ORX1" s="9" t="s">
        <v>10650</v>
      </c>
      <c r="ORY1" s="9" t="s">
        <v>10651</v>
      </c>
      <c r="ORZ1" s="9" t="s">
        <v>10652</v>
      </c>
      <c r="OSA1" s="9" t="s">
        <v>10653</v>
      </c>
      <c r="OSB1" s="9" t="s">
        <v>10654</v>
      </c>
      <c r="OSC1" s="9" t="s">
        <v>10655</v>
      </c>
      <c r="OSD1" s="9" t="s">
        <v>10656</v>
      </c>
      <c r="OSE1" s="9" t="s">
        <v>10657</v>
      </c>
      <c r="OSF1" s="9" t="s">
        <v>10658</v>
      </c>
      <c r="OSG1" s="9" t="s">
        <v>10659</v>
      </c>
      <c r="OSH1" s="9" t="s">
        <v>10660</v>
      </c>
      <c r="OSI1" s="9" t="s">
        <v>10661</v>
      </c>
      <c r="OSJ1" s="9" t="s">
        <v>10662</v>
      </c>
      <c r="OSK1" s="9" t="s">
        <v>10663</v>
      </c>
      <c r="OSL1" s="9" t="s">
        <v>10664</v>
      </c>
      <c r="OSM1" s="9" t="s">
        <v>10665</v>
      </c>
      <c r="OSN1" s="9" t="s">
        <v>10666</v>
      </c>
      <c r="OSO1" s="9" t="s">
        <v>10667</v>
      </c>
      <c r="OSP1" s="9" t="s">
        <v>10668</v>
      </c>
      <c r="OSQ1" s="9" t="s">
        <v>10669</v>
      </c>
      <c r="OSR1" s="9" t="s">
        <v>10670</v>
      </c>
      <c r="OSS1" s="9" t="s">
        <v>10671</v>
      </c>
      <c r="OST1" s="9" t="s">
        <v>10672</v>
      </c>
      <c r="OSU1" s="9" t="s">
        <v>10673</v>
      </c>
      <c r="OSV1" s="9" t="s">
        <v>10674</v>
      </c>
      <c r="OSW1" s="9" t="s">
        <v>10675</v>
      </c>
      <c r="OSX1" s="9" t="s">
        <v>10676</v>
      </c>
      <c r="OSY1" s="9" t="s">
        <v>10677</v>
      </c>
      <c r="OSZ1" s="9" t="s">
        <v>10678</v>
      </c>
      <c r="OTA1" s="9" t="s">
        <v>10679</v>
      </c>
      <c r="OTB1" s="9" t="s">
        <v>10680</v>
      </c>
      <c r="OTC1" s="9" t="s">
        <v>10681</v>
      </c>
      <c r="OTD1" s="9" t="s">
        <v>10682</v>
      </c>
      <c r="OTE1" s="9" t="s">
        <v>10683</v>
      </c>
      <c r="OTF1" s="9" t="s">
        <v>10684</v>
      </c>
      <c r="OTG1" s="9" t="s">
        <v>10685</v>
      </c>
      <c r="OTH1" s="9" t="s">
        <v>10686</v>
      </c>
      <c r="OTI1" s="9" t="s">
        <v>10687</v>
      </c>
      <c r="OTJ1" s="9" t="s">
        <v>10688</v>
      </c>
      <c r="OTK1" s="9" t="s">
        <v>10689</v>
      </c>
      <c r="OTL1" s="9" t="s">
        <v>10690</v>
      </c>
      <c r="OTM1" s="9" t="s">
        <v>10691</v>
      </c>
      <c r="OTN1" s="9" t="s">
        <v>10692</v>
      </c>
      <c r="OTO1" s="9" t="s">
        <v>10693</v>
      </c>
      <c r="OTP1" s="9" t="s">
        <v>10694</v>
      </c>
      <c r="OTQ1" s="9" t="s">
        <v>10695</v>
      </c>
      <c r="OTR1" s="9" t="s">
        <v>10696</v>
      </c>
      <c r="OTS1" s="9" t="s">
        <v>10697</v>
      </c>
      <c r="OTT1" s="9" t="s">
        <v>10698</v>
      </c>
      <c r="OTU1" s="9" t="s">
        <v>10699</v>
      </c>
      <c r="OTV1" s="9" t="s">
        <v>10700</v>
      </c>
      <c r="OTW1" s="9" t="s">
        <v>10701</v>
      </c>
      <c r="OTX1" s="9" t="s">
        <v>10702</v>
      </c>
      <c r="OTY1" s="9" t="s">
        <v>10703</v>
      </c>
      <c r="OTZ1" s="9" t="s">
        <v>10704</v>
      </c>
      <c r="OUA1" s="9" t="s">
        <v>10705</v>
      </c>
      <c r="OUB1" s="9" t="s">
        <v>10706</v>
      </c>
      <c r="OUC1" s="9" t="s">
        <v>10707</v>
      </c>
      <c r="OUD1" s="9" t="s">
        <v>10708</v>
      </c>
      <c r="OUE1" s="9" t="s">
        <v>10709</v>
      </c>
      <c r="OUF1" s="9" t="s">
        <v>10710</v>
      </c>
      <c r="OUG1" s="9" t="s">
        <v>10711</v>
      </c>
      <c r="OUH1" s="9" t="s">
        <v>10712</v>
      </c>
      <c r="OUI1" s="9" t="s">
        <v>10713</v>
      </c>
      <c r="OUJ1" s="9" t="s">
        <v>10714</v>
      </c>
      <c r="OUK1" s="9" t="s">
        <v>10715</v>
      </c>
      <c r="OUL1" s="9" t="s">
        <v>10716</v>
      </c>
      <c r="OUM1" s="9" t="s">
        <v>10717</v>
      </c>
      <c r="OUN1" s="9" t="s">
        <v>10718</v>
      </c>
      <c r="OUO1" s="9" t="s">
        <v>10719</v>
      </c>
      <c r="OUP1" s="9" t="s">
        <v>10720</v>
      </c>
      <c r="OUQ1" s="9" t="s">
        <v>10721</v>
      </c>
      <c r="OUR1" s="9" t="s">
        <v>10722</v>
      </c>
      <c r="OUS1" s="9" t="s">
        <v>10723</v>
      </c>
      <c r="OUT1" s="9" t="s">
        <v>10724</v>
      </c>
      <c r="OUU1" s="9" t="s">
        <v>10725</v>
      </c>
      <c r="OUV1" s="9" t="s">
        <v>10726</v>
      </c>
      <c r="OUW1" s="9" t="s">
        <v>10727</v>
      </c>
      <c r="OUX1" s="9" t="s">
        <v>10728</v>
      </c>
      <c r="OUY1" s="9" t="s">
        <v>10729</v>
      </c>
      <c r="OUZ1" s="9" t="s">
        <v>10730</v>
      </c>
      <c r="OVA1" s="9" t="s">
        <v>10731</v>
      </c>
      <c r="OVB1" s="9" t="s">
        <v>10732</v>
      </c>
      <c r="OVC1" s="9" t="s">
        <v>10733</v>
      </c>
      <c r="OVD1" s="9" t="s">
        <v>10734</v>
      </c>
      <c r="OVE1" s="9" t="s">
        <v>10735</v>
      </c>
      <c r="OVF1" s="9" t="s">
        <v>10736</v>
      </c>
      <c r="OVG1" s="9" t="s">
        <v>10737</v>
      </c>
      <c r="OVH1" s="9" t="s">
        <v>10738</v>
      </c>
      <c r="OVI1" s="9" t="s">
        <v>10739</v>
      </c>
      <c r="OVJ1" s="9" t="s">
        <v>10740</v>
      </c>
      <c r="OVK1" s="9" t="s">
        <v>10741</v>
      </c>
      <c r="OVL1" s="9" t="s">
        <v>10742</v>
      </c>
      <c r="OVM1" s="9" t="s">
        <v>10743</v>
      </c>
      <c r="OVN1" s="9" t="s">
        <v>10744</v>
      </c>
      <c r="OVO1" s="9" t="s">
        <v>10745</v>
      </c>
      <c r="OVP1" s="9" t="s">
        <v>10746</v>
      </c>
      <c r="OVQ1" s="9" t="s">
        <v>10747</v>
      </c>
      <c r="OVR1" s="9" t="s">
        <v>10748</v>
      </c>
      <c r="OVS1" s="9" t="s">
        <v>10749</v>
      </c>
      <c r="OVT1" s="9" t="s">
        <v>10750</v>
      </c>
      <c r="OVU1" s="9" t="s">
        <v>10751</v>
      </c>
      <c r="OVV1" s="9" t="s">
        <v>10752</v>
      </c>
      <c r="OVW1" s="9" t="s">
        <v>10753</v>
      </c>
      <c r="OVX1" s="9" t="s">
        <v>10754</v>
      </c>
      <c r="OVY1" s="9" t="s">
        <v>10755</v>
      </c>
      <c r="OVZ1" s="9" t="s">
        <v>10756</v>
      </c>
      <c r="OWA1" s="9" t="s">
        <v>10757</v>
      </c>
      <c r="OWB1" s="9" t="s">
        <v>10758</v>
      </c>
      <c r="OWC1" s="9" t="s">
        <v>10759</v>
      </c>
      <c r="OWD1" s="9" t="s">
        <v>10760</v>
      </c>
      <c r="OWE1" s="9" t="s">
        <v>10761</v>
      </c>
      <c r="OWF1" s="9" t="s">
        <v>10762</v>
      </c>
      <c r="OWG1" s="9" t="s">
        <v>10763</v>
      </c>
      <c r="OWH1" s="9" t="s">
        <v>10764</v>
      </c>
      <c r="OWI1" s="9" t="s">
        <v>10765</v>
      </c>
      <c r="OWJ1" s="9" t="s">
        <v>10766</v>
      </c>
      <c r="OWK1" s="9" t="s">
        <v>10767</v>
      </c>
      <c r="OWL1" s="9" t="s">
        <v>10768</v>
      </c>
      <c r="OWM1" s="9" t="s">
        <v>10769</v>
      </c>
      <c r="OWN1" s="9" t="s">
        <v>10770</v>
      </c>
      <c r="OWO1" s="9" t="s">
        <v>10771</v>
      </c>
      <c r="OWP1" s="9" t="s">
        <v>10772</v>
      </c>
      <c r="OWQ1" s="9" t="s">
        <v>10773</v>
      </c>
      <c r="OWR1" s="9" t="s">
        <v>10774</v>
      </c>
      <c r="OWS1" s="9" t="s">
        <v>10775</v>
      </c>
      <c r="OWT1" s="9" t="s">
        <v>10776</v>
      </c>
      <c r="OWU1" s="9" t="s">
        <v>10777</v>
      </c>
      <c r="OWV1" s="9" t="s">
        <v>10778</v>
      </c>
      <c r="OWW1" s="9" t="s">
        <v>10779</v>
      </c>
      <c r="OWX1" s="9" t="s">
        <v>10780</v>
      </c>
      <c r="OWY1" s="9" t="s">
        <v>10781</v>
      </c>
      <c r="OWZ1" s="9" t="s">
        <v>10782</v>
      </c>
      <c r="OXA1" s="9" t="s">
        <v>10783</v>
      </c>
      <c r="OXB1" s="9" t="s">
        <v>10784</v>
      </c>
      <c r="OXC1" s="9" t="s">
        <v>10785</v>
      </c>
      <c r="OXD1" s="9" t="s">
        <v>10786</v>
      </c>
      <c r="OXE1" s="9" t="s">
        <v>10787</v>
      </c>
      <c r="OXF1" s="9" t="s">
        <v>10788</v>
      </c>
      <c r="OXG1" s="9" t="s">
        <v>10789</v>
      </c>
      <c r="OXH1" s="9" t="s">
        <v>10790</v>
      </c>
      <c r="OXI1" s="9" t="s">
        <v>10791</v>
      </c>
      <c r="OXJ1" s="9" t="s">
        <v>10792</v>
      </c>
      <c r="OXK1" s="9" t="s">
        <v>10793</v>
      </c>
      <c r="OXL1" s="9" t="s">
        <v>10794</v>
      </c>
      <c r="OXM1" s="9" t="s">
        <v>10795</v>
      </c>
      <c r="OXN1" s="9" t="s">
        <v>10796</v>
      </c>
      <c r="OXO1" s="9" t="s">
        <v>10797</v>
      </c>
      <c r="OXP1" s="9" t="s">
        <v>10798</v>
      </c>
      <c r="OXQ1" s="9" t="s">
        <v>10799</v>
      </c>
      <c r="OXR1" s="9" t="s">
        <v>10800</v>
      </c>
      <c r="OXS1" s="9" t="s">
        <v>10801</v>
      </c>
      <c r="OXT1" s="9" t="s">
        <v>10802</v>
      </c>
      <c r="OXU1" s="9" t="s">
        <v>10803</v>
      </c>
      <c r="OXV1" s="9" t="s">
        <v>10804</v>
      </c>
      <c r="OXW1" s="9" t="s">
        <v>10805</v>
      </c>
      <c r="OXX1" s="9" t="s">
        <v>10806</v>
      </c>
      <c r="OXY1" s="9" t="s">
        <v>10807</v>
      </c>
      <c r="OXZ1" s="9" t="s">
        <v>10808</v>
      </c>
      <c r="OYA1" s="9" t="s">
        <v>10809</v>
      </c>
      <c r="OYB1" s="9" t="s">
        <v>10810</v>
      </c>
      <c r="OYC1" s="9" t="s">
        <v>10811</v>
      </c>
      <c r="OYD1" s="9" t="s">
        <v>10812</v>
      </c>
      <c r="OYE1" s="9" t="s">
        <v>10813</v>
      </c>
      <c r="OYF1" s="9" t="s">
        <v>10814</v>
      </c>
      <c r="OYG1" s="9" t="s">
        <v>10815</v>
      </c>
      <c r="OYH1" s="9" t="s">
        <v>10816</v>
      </c>
      <c r="OYI1" s="9" t="s">
        <v>10817</v>
      </c>
      <c r="OYJ1" s="9" t="s">
        <v>10818</v>
      </c>
      <c r="OYK1" s="9" t="s">
        <v>10819</v>
      </c>
      <c r="OYL1" s="9" t="s">
        <v>10820</v>
      </c>
      <c r="OYM1" s="9" t="s">
        <v>10821</v>
      </c>
      <c r="OYN1" s="9" t="s">
        <v>10822</v>
      </c>
      <c r="OYO1" s="9" t="s">
        <v>10823</v>
      </c>
      <c r="OYP1" s="9" t="s">
        <v>10824</v>
      </c>
      <c r="OYQ1" s="9" t="s">
        <v>10825</v>
      </c>
      <c r="OYR1" s="9" t="s">
        <v>10826</v>
      </c>
      <c r="OYS1" s="9" t="s">
        <v>10827</v>
      </c>
      <c r="OYT1" s="9" t="s">
        <v>10828</v>
      </c>
      <c r="OYU1" s="9" t="s">
        <v>10829</v>
      </c>
      <c r="OYV1" s="9" t="s">
        <v>10830</v>
      </c>
      <c r="OYW1" s="9" t="s">
        <v>10831</v>
      </c>
      <c r="OYX1" s="9" t="s">
        <v>10832</v>
      </c>
      <c r="OYY1" s="9" t="s">
        <v>10833</v>
      </c>
      <c r="OYZ1" s="9" t="s">
        <v>10834</v>
      </c>
      <c r="OZA1" s="9" t="s">
        <v>10835</v>
      </c>
      <c r="OZB1" s="9" t="s">
        <v>10836</v>
      </c>
      <c r="OZC1" s="9" t="s">
        <v>10837</v>
      </c>
      <c r="OZD1" s="9" t="s">
        <v>10838</v>
      </c>
      <c r="OZE1" s="9" t="s">
        <v>10839</v>
      </c>
      <c r="OZF1" s="9" t="s">
        <v>10840</v>
      </c>
      <c r="OZG1" s="9" t="s">
        <v>10841</v>
      </c>
      <c r="OZH1" s="9" t="s">
        <v>10842</v>
      </c>
      <c r="OZI1" s="9" t="s">
        <v>10843</v>
      </c>
      <c r="OZJ1" s="9" t="s">
        <v>10844</v>
      </c>
      <c r="OZK1" s="9" t="s">
        <v>10845</v>
      </c>
      <c r="OZL1" s="9" t="s">
        <v>10846</v>
      </c>
      <c r="OZM1" s="9" t="s">
        <v>10847</v>
      </c>
      <c r="OZN1" s="9" t="s">
        <v>10848</v>
      </c>
      <c r="OZO1" s="9" t="s">
        <v>10849</v>
      </c>
      <c r="OZP1" s="9" t="s">
        <v>10850</v>
      </c>
      <c r="OZQ1" s="9" t="s">
        <v>10851</v>
      </c>
      <c r="OZR1" s="9" t="s">
        <v>10852</v>
      </c>
      <c r="OZS1" s="9" t="s">
        <v>10853</v>
      </c>
      <c r="OZT1" s="9" t="s">
        <v>10854</v>
      </c>
      <c r="OZU1" s="9" t="s">
        <v>10855</v>
      </c>
      <c r="OZV1" s="9" t="s">
        <v>10856</v>
      </c>
      <c r="OZW1" s="9" t="s">
        <v>10857</v>
      </c>
      <c r="OZX1" s="9" t="s">
        <v>10858</v>
      </c>
      <c r="OZY1" s="9" t="s">
        <v>10859</v>
      </c>
      <c r="OZZ1" s="9" t="s">
        <v>10860</v>
      </c>
      <c r="PAA1" s="9" t="s">
        <v>10861</v>
      </c>
      <c r="PAB1" s="9" t="s">
        <v>10862</v>
      </c>
      <c r="PAC1" s="9" t="s">
        <v>10863</v>
      </c>
      <c r="PAD1" s="9" t="s">
        <v>10864</v>
      </c>
      <c r="PAE1" s="9" t="s">
        <v>10865</v>
      </c>
      <c r="PAF1" s="9" t="s">
        <v>10866</v>
      </c>
      <c r="PAG1" s="9" t="s">
        <v>10867</v>
      </c>
      <c r="PAH1" s="9" t="s">
        <v>10868</v>
      </c>
      <c r="PAI1" s="9" t="s">
        <v>10869</v>
      </c>
      <c r="PAJ1" s="9" t="s">
        <v>10870</v>
      </c>
      <c r="PAK1" s="9" t="s">
        <v>10871</v>
      </c>
      <c r="PAL1" s="9" t="s">
        <v>10872</v>
      </c>
      <c r="PAM1" s="9" t="s">
        <v>10873</v>
      </c>
      <c r="PAN1" s="9" t="s">
        <v>10874</v>
      </c>
      <c r="PAO1" s="9" t="s">
        <v>10875</v>
      </c>
      <c r="PAP1" s="9" t="s">
        <v>10876</v>
      </c>
      <c r="PAQ1" s="9" t="s">
        <v>10877</v>
      </c>
      <c r="PAR1" s="9" t="s">
        <v>10878</v>
      </c>
      <c r="PAS1" s="9" t="s">
        <v>10879</v>
      </c>
      <c r="PAT1" s="9" t="s">
        <v>10880</v>
      </c>
      <c r="PAU1" s="9" t="s">
        <v>10881</v>
      </c>
      <c r="PAV1" s="9" t="s">
        <v>10882</v>
      </c>
      <c r="PAW1" s="9" t="s">
        <v>10883</v>
      </c>
      <c r="PAX1" s="9" t="s">
        <v>10884</v>
      </c>
      <c r="PAY1" s="9" t="s">
        <v>10885</v>
      </c>
      <c r="PAZ1" s="9" t="s">
        <v>10886</v>
      </c>
      <c r="PBA1" s="9" t="s">
        <v>10887</v>
      </c>
      <c r="PBB1" s="9" t="s">
        <v>10888</v>
      </c>
      <c r="PBC1" s="9" t="s">
        <v>10889</v>
      </c>
      <c r="PBD1" s="9" t="s">
        <v>10890</v>
      </c>
      <c r="PBE1" s="9" t="s">
        <v>10891</v>
      </c>
      <c r="PBF1" s="9" t="s">
        <v>10892</v>
      </c>
      <c r="PBG1" s="9" t="s">
        <v>10893</v>
      </c>
      <c r="PBH1" s="9" t="s">
        <v>10894</v>
      </c>
      <c r="PBI1" s="9" t="s">
        <v>10895</v>
      </c>
      <c r="PBJ1" s="9" t="s">
        <v>10896</v>
      </c>
      <c r="PBK1" s="9" t="s">
        <v>10897</v>
      </c>
      <c r="PBL1" s="9" t="s">
        <v>10898</v>
      </c>
      <c r="PBM1" s="9" t="s">
        <v>10899</v>
      </c>
      <c r="PBN1" s="9" t="s">
        <v>10900</v>
      </c>
      <c r="PBO1" s="9" t="s">
        <v>10901</v>
      </c>
      <c r="PBP1" s="9" t="s">
        <v>10902</v>
      </c>
      <c r="PBQ1" s="9" t="s">
        <v>10903</v>
      </c>
      <c r="PBR1" s="9" t="s">
        <v>10904</v>
      </c>
      <c r="PBS1" s="9" t="s">
        <v>10905</v>
      </c>
      <c r="PBT1" s="9" t="s">
        <v>10906</v>
      </c>
      <c r="PBU1" s="9" t="s">
        <v>10907</v>
      </c>
      <c r="PBV1" s="9" t="s">
        <v>10908</v>
      </c>
      <c r="PBW1" s="9" t="s">
        <v>10909</v>
      </c>
      <c r="PBX1" s="9" t="s">
        <v>10910</v>
      </c>
      <c r="PBY1" s="9" t="s">
        <v>10911</v>
      </c>
      <c r="PBZ1" s="9" t="s">
        <v>10912</v>
      </c>
      <c r="PCA1" s="9" t="s">
        <v>10913</v>
      </c>
      <c r="PCB1" s="9" t="s">
        <v>10914</v>
      </c>
      <c r="PCC1" s="9" t="s">
        <v>10915</v>
      </c>
      <c r="PCD1" s="9" t="s">
        <v>10916</v>
      </c>
      <c r="PCE1" s="9" t="s">
        <v>10917</v>
      </c>
      <c r="PCF1" s="9" t="s">
        <v>10918</v>
      </c>
      <c r="PCG1" s="9" t="s">
        <v>10919</v>
      </c>
      <c r="PCH1" s="9" t="s">
        <v>10920</v>
      </c>
      <c r="PCI1" s="9" t="s">
        <v>10921</v>
      </c>
      <c r="PCJ1" s="9" t="s">
        <v>10922</v>
      </c>
      <c r="PCK1" s="9" t="s">
        <v>10923</v>
      </c>
      <c r="PCL1" s="9" t="s">
        <v>10924</v>
      </c>
      <c r="PCM1" s="9" t="s">
        <v>10925</v>
      </c>
      <c r="PCN1" s="9" t="s">
        <v>10926</v>
      </c>
      <c r="PCO1" s="9" t="s">
        <v>10927</v>
      </c>
      <c r="PCP1" s="9" t="s">
        <v>10928</v>
      </c>
      <c r="PCQ1" s="9" t="s">
        <v>10929</v>
      </c>
      <c r="PCR1" s="9" t="s">
        <v>10930</v>
      </c>
      <c r="PCS1" s="9" t="s">
        <v>10931</v>
      </c>
      <c r="PCT1" s="9" t="s">
        <v>10932</v>
      </c>
      <c r="PCU1" s="9" t="s">
        <v>10933</v>
      </c>
      <c r="PCV1" s="9" t="s">
        <v>10934</v>
      </c>
      <c r="PCW1" s="9" t="s">
        <v>10935</v>
      </c>
      <c r="PCX1" s="9" t="s">
        <v>10936</v>
      </c>
      <c r="PCY1" s="9" t="s">
        <v>10937</v>
      </c>
      <c r="PCZ1" s="9" t="s">
        <v>10938</v>
      </c>
      <c r="PDA1" s="9" t="s">
        <v>10939</v>
      </c>
      <c r="PDB1" s="9" t="s">
        <v>10940</v>
      </c>
      <c r="PDC1" s="9" t="s">
        <v>10941</v>
      </c>
      <c r="PDD1" s="9" t="s">
        <v>10942</v>
      </c>
      <c r="PDE1" s="9" t="s">
        <v>10943</v>
      </c>
      <c r="PDF1" s="9" t="s">
        <v>10944</v>
      </c>
      <c r="PDG1" s="9" t="s">
        <v>10945</v>
      </c>
      <c r="PDH1" s="9" t="s">
        <v>10946</v>
      </c>
      <c r="PDI1" s="9" t="s">
        <v>10947</v>
      </c>
      <c r="PDJ1" s="9" t="s">
        <v>10948</v>
      </c>
      <c r="PDK1" s="9" t="s">
        <v>10949</v>
      </c>
      <c r="PDL1" s="9" t="s">
        <v>10950</v>
      </c>
      <c r="PDM1" s="9" t="s">
        <v>10951</v>
      </c>
      <c r="PDN1" s="9" t="s">
        <v>10952</v>
      </c>
      <c r="PDO1" s="9" t="s">
        <v>10953</v>
      </c>
      <c r="PDP1" s="9" t="s">
        <v>10954</v>
      </c>
      <c r="PDQ1" s="9" t="s">
        <v>10955</v>
      </c>
      <c r="PDR1" s="9" t="s">
        <v>10956</v>
      </c>
      <c r="PDS1" s="9" t="s">
        <v>10957</v>
      </c>
      <c r="PDT1" s="9" t="s">
        <v>10958</v>
      </c>
      <c r="PDU1" s="9" t="s">
        <v>10959</v>
      </c>
      <c r="PDV1" s="9" t="s">
        <v>10960</v>
      </c>
      <c r="PDW1" s="9" t="s">
        <v>10961</v>
      </c>
      <c r="PDX1" s="9" t="s">
        <v>10962</v>
      </c>
      <c r="PDY1" s="9" t="s">
        <v>10963</v>
      </c>
      <c r="PDZ1" s="9" t="s">
        <v>10964</v>
      </c>
      <c r="PEA1" s="9" t="s">
        <v>10965</v>
      </c>
      <c r="PEB1" s="9" t="s">
        <v>10966</v>
      </c>
      <c r="PEC1" s="9" t="s">
        <v>10967</v>
      </c>
      <c r="PED1" s="9" t="s">
        <v>10968</v>
      </c>
      <c r="PEE1" s="9" t="s">
        <v>10969</v>
      </c>
      <c r="PEF1" s="9" t="s">
        <v>10970</v>
      </c>
      <c r="PEG1" s="9" t="s">
        <v>10971</v>
      </c>
      <c r="PEH1" s="9" t="s">
        <v>10972</v>
      </c>
      <c r="PEI1" s="9" t="s">
        <v>10973</v>
      </c>
      <c r="PEJ1" s="9" t="s">
        <v>10974</v>
      </c>
      <c r="PEK1" s="9" t="s">
        <v>10975</v>
      </c>
      <c r="PEL1" s="9" t="s">
        <v>10976</v>
      </c>
      <c r="PEM1" s="9" t="s">
        <v>10977</v>
      </c>
      <c r="PEN1" s="9" t="s">
        <v>10978</v>
      </c>
      <c r="PEO1" s="9" t="s">
        <v>10979</v>
      </c>
      <c r="PEP1" s="9" t="s">
        <v>10980</v>
      </c>
      <c r="PEQ1" s="9" t="s">
        <v>10981</v>
      </c>
      <c r="PER1" s="9" t="s">
        <v>10982</v>
      </c>
      <c r="PES1" s="9" t="s">
        <v>10983</v>
      </c>
      <c r="PET1" s="9" t="s">
        <v>10984</v>
      </c>
      <c r="PEU1" s="9" t="s">
        <v>10985</v>
      </c>
      <c r="PEV1" s="9" t="s">
        <v>10986</v>
      </c>
      <c r="PEW1" s="9" t="s">
        <v>10987</v>
      </c>
      <c r="PEX1" s="9" t="s">
        <v>10988</v>
      </c>
      <c r="PEY1" s="9" t="s">
        <v>10989</v>
      </c>
      <c r="PEZ1" s="9" t="s">
        <v>10990</v>
      </c>
      <c r="PFA1" s="9" t="s">
        <v>10991</v>
      </c>
      <c r="PFB1" s="9" t="s">
        <v>10992</v>
      </c>
      <c r="PFC1" s="9" t="s">
        <v>10993</v>
      </c>
      <c r="PFD1" s="9" t="s">
        <v>10994</v>
      </c>
      <c r="PFE1" s="9" t="s">
        <v>10995</v>
      </c>
      <c r="PFF1" s="9" t="s">
        <v>10996</v>
      </c>
      <c r="PFG1" s="9" t="s">
        <v>10997</v>
      </c>
      <c r="PFH1" s="9" t="s">
        <v>10998</v>
      </c>
      <c r="PFI1" s="9" t="s">
        <v>10999</v>
      </c>
      <c r="PFJ1" s="9" t="s">
        <v>11000</v>
      </c>
      <c r="PFK1" s="9" t="s">
        <v>11001</v>
      </c>
      <c r="PFL1" s="9" t="s">
        <v>11002</v>
      </c>
      <c r="PFM1" s="9" t="s">
        <v>11003</v>
      </c>
      <c r="PFN1" s="9" t="s">
        <v>11004</v>
      </c>
      <c r="PFO1" s="9" t="s">
        <v>11005</v>
      </c>
      <c r="PFP1" s="9" t="s">
        <v>11006</v>
      </c>
      <c r="PFQ1" s="9" t="s">
        <v>11007</v>
      </c>
      <c r="PFR1" s="9" t="s">
        <v>11008</v>
      </c>
      <c r="PFS1" s="9" t="s">
        <v>11009</v>
      </c>
      <c r="PFT1" s="9" t="s">
        <v>11010</v>
      </c>
      <c r="PFU1" s="9" t="s">
        <v>11011</v>
      </c>
      <c r="PFV1" s="9" t="s">
        <v>11012</v>
      </c>
      <c r="PFW1" s="9" t="s">
        <v>11013</v>
      </c>
      <c r="PFX1" s="9" t="s">
        <v>11014</v>
      </c>
      <c r="PFY1" s="9" t="s">
        <v>11015</v>
      </c>
      <c r="PFZ1" s="9" t="s">
        <v>11016</v>
      </c>
      <c r="PGA1" s="9" t="s">
        <v>11017</v>
      </c>
      <c r="PGB1" s="9" t="s">
        <v>11018</v>
      </c>
      <c r="PGC1" s="9" t="s">
        <v>11019</v>
      </c>
      <c r="PGD1" s="9" t="s">
        <v>11020</v>
      </c>
      <c r="PGE1" s="9" t="s">
        <v>11021</v>
      </c>
      <c r="PGF1" s="9" t="s">
        <v>11022</v>
      </c>
      <c r="PGG1" s="9" t="s">
        <v>11023</v>
      </c>
      <c r="PGH1" s="9" t="s">
        <v>11024</v>
      </c>
      <c r="PGI1" s="9" t="s">
        <v>11025</v>
      </c>
      <c r="PGJ1" s="9" t="s">
        <v>11026</v>
      </c>
      <c r="PGK1" s="9" t="s">
        <v>11027</v>
      </c>
      <c r="PGL1" s="9" t="s">
        <v>11028</v>
      </c>
      <c r="PGM1" s="9" t="s">
        <v>11029</v>
      </c>
      <c r="PGN1" s="9" t="s">
        <v>11030</v>
      </c>
      <c r="PGO1" s="9" t="s">
        <v>11031</v>
      </c>
      <c r="PGP1" s="9" t="s">
        <v>11032</v>
      </c>
      <c r="PGQ1" s="9" t="s">
        <v>11033</v>
      </c>
      <c r="PGR1" s="9" t="s">
        <v>11034</v>
      </c>
      <c r="PGS1" s="9" t="s">
        <v>11035</v>
      </c>
      <c r="PGT1" s="9" t="s">
        <v>11036</v>
      </c>
      <c r="PGU1" s="9" t="s">
        <v>11037</v>
      </c>
      <c r="PGV1" s="9" t="s">
        <v>11038</v>
      </c>
      <c r="PGW1" s="9" t="s">
        <v>11039</v>
      </c>
      <c r="PGX1" s="9" t="s">
        <v>11040</v>
      </c>
      <c r="PGY1" s="9" t="s">
        <v>11041</v>
      </c>
      <c r="PGZ1" s="9" t="s">
        <v>11042</v>
      </c>
      <c r="PHA1" s="9" t="s">
        <v>11043</v>
      </c>
      <c r="PHB1" s="9" t="s">
        <v>11044</v>
      </c>
      <c r="PHC1" s="9" t="s">
        <v>11045</v>
      </c>
      <c r="PHD1" s="9" t="s">
        <v>11046</v>
      </c>
      <c r="PHE1" s="9" t="s">
        <v>11047</v>
      </c>
      <c r="PHF1" s="9" t="s">
        <v>11048</v>
      </c>
      <c r="PHG1" s="9" t="s">
        <v>11049</v>
      </c>
      <c r="PHH1" s="9" t="s">
        <v>11050</v>
      </c>
      <c r="PHI1" s="9" t="s">
        <v>11051</v>
      </c>
      <c r="PHJ1" s="9" t="s">
        <v>11052</v>
      </c>
      <c r="PHK1" s="9" t="s">
        <v>11053</v>
      </c>
      <c r="PHL1" s="9" t="s">
        <v>11054</v>
      </c>
      <c r="PHM1" s="9" t="s">
        <v>11055</v>
      </c>
      <c r="PHN1" s="9" t="s">
        <v>11056</v>
      </c>
      <c r="PHO1" s="9" t="s">
        <v>11057</v>
      </c>
      <c r="PHP1" s="9" t="s">
        <v>11058</v>
      </c>
      <c r="PHQ1" s="9" t="s">
        <v>11059</v>
      </c>
      <c r="PHR1" s="9" t="s">
        <v>11060</v>
      </c>
      <c r="PHS1" s="9" t="s">
        <v>11061</v>
      </c>
      <c r="PHT1" s="9" t="s">
        <v>11062</v>
      </c>
      <c r="PHU1" s="9" t="s">
        <v>11063</v>
      </c>
      <c r="PHV1" s="9" t="s">
        <v>11064</v>
      </c>
      <c r="PHW1" s="9" t="s">
        <v>11065</v>
      </c>
      <c r="PHX1" s="9" t="s">
        <v>11066</v>
      </c>
      <c r="PHY1" s="9" t="s">
        <v>11067</v>
      </c>
      <c r="PHZ1" s="9" t="s">
        <v>11068</v>
      </c>
      <c r="PIA1" s="9" t="s">
        <v>11069</v>
      </c>
      <c r="PIB1" s="9" t="s">
        <v>11070</v>
      </c>
      <c r="PIC1" s="9" t="s">
        <v>11071</v>
      </c>
      <c r="PID1" s="9" t="s">
        <v>11072</v>
      </c>
      <c r="PIE1" s="9" t="s">
        <v>11073</v>
      </c>
      <c r="PIF1" s="9" t="s">
        <v>11074</v>
      </c>
      <c r="PIG1" s="9" t="s">
        <v>11075</v>
      </c>
      <c r="PIH1" s="9" t="s">
        <v>11076</v>
      </c>
      <c r="PII1" s="9" t="s">
        <v>11077</v>
      </c>
      <c r="PIJ1" s="9" t="s">
        <v>11078</v>
      </c>
      <c r="PIK1" s="9" t="s">
        <v>11079</v>
      </c>
      <c r="PIL1" s="9" t="s">
        <v>11080</v>
      </c>
      <c r="PIM1" s="9" t="s">
        <v>11081</v>
      </c>
      <c r="PIN1" s="9" t="s">
        <v>11082</v>
      </c>
      <c r="PIO1" s="9" t="s">
        <v>11083</v>
      </c>
      <c r="PIP1" s="9" t="s">
        <v>11084</v>
      </c>
      <c r="PIQ1" s="9" t="s">
        <v>11085</v>
      </c>
      <c r="PIR1" s="9" t="s">
        <v>11086</v>
      </c>
      <c r="PIS1" s="9" t="s">
        <v>11087</v>
      </c>
      <c r="PIT1" s="9" t="s">
        <v>11088</v>
      </c>
      <c r="PIU1" s="9" t="s">
        <v>11089</v>
      </c>
      <c r="PIV1" s="9" t="s">
        <v>11090</v>
      </c>
      <c r="PIW1" s="9" t="s">
        <v>11091</v>
      </c>
      <c r="PIX1" s="9" t="s">
        <v>11092</v>
      </c>
      <c r="PIY1" s="9" t="s">
        <v>11093</v>
      </c>
      <c r="PIZ1" s="9" t="s">
        <v>11094</v>
      </c>
      <c r="PJA1" s="9" t="s">
        <v>11095</v>
      </c>
      <c r="PJB1" s="9" t="s">
        <v>11096</v>
      </c>
      <c r="PJC1" s="9" t="s">
        <v>11097</v>
      </c>
      <c r="PJD1" s="9" t="s">
        <v>11098</v>
      </c>
      <c r="PJE1" s="9" t="s">
        <v>11099</v>
      </c>
      <c r="PJF1" s="9" t="s">
        <v>11100</v>
      </c>
      <c r="PJG1" s="9" t="s">
        <v>11101</v>
      </c>
      <c r="PJH1" s="9" t="s">
        <v>11102</v>
      </c>
      <c r="PJI1" s="9" t="s">
        <v>11103</v>
      </c>
      <c r="PJJ1" s="9" t="s">
        <v>11104</v>
      </c>
      <c r="PJK1" s="9" t="s">
        <v>11105</v>
      </c>
      <c r="PJL1" s="9" t="s">
        <v>11106</v>
      </c>
      <c r="PJM1" s="9" t="s">
        <v>11107</v>
      </c>
      <c r="PJN1" s="9" t="s">
        <v>11108</v>
      </c>
      <c r="PJO1" s="9" t="s">
        <v>11109</v>
      </c>
      <c r="PJP1" s="9" t="s">
        <v>11110</v>
      </c>
      <c r="PJQ1" s="9" t="s">
        <v>11111</v>
      </c>
      <c r="PJR1" s="9" t="s">
        <v>11112</v>
      </c>
      <c r="PJS1" s="9" t="s">
        <v>11113</v>
      </c>
      <c r="PJT1" s="9" t="s">
        <v>11114</v>
      </c>
      <c r="PJU1" s="9" t="s">
        <v>11115</v>
      </c>
      <c r="PJV1" s="9" t="s">
        <v>11116</v>
      </c>
      <c r="PJW1" s="9" t="s">
        <v>11117</v>
      </c>
      <c r="PJX1" s="9" t="s">
        <v>11118</v>
      </c>
      <c r="PJY1" s="9" t="s">
        <v>11119</v>
      </c>
      <c r="PJZ1" s="9" t="s">
        <v>11120</v>
      </c>
      <c r="PKA1" s="9" t="s">
        <v>11121</v>
      </c>
      <c r="PKB1" s="9" t="s">
        <v>11122</v>
      </c>
      <c r="PKC1" s="9" t="s">
        <v>11123</v>
      </c>
      <c r="PKD1" s="9" t="s">
        <v>11124</v>
      </c>
      <c r="PKE1" s="9" t="s">
        <v>11125</v>
      </c>
      <c r="PKF1" s="9" t="s">
        <v>11126</v>
      </c>
      <c r="PKG1" s="9" t="s">
        <v>11127</v>
      </c>
      <c r="PKH1" s="9" t="s">
        <v>11128</v>
      </c>
      <c r="PKI1" s="9" t="s">
        <v>11129</v>
      </c>
      <c r="PKJ1" s="9" t="s">
        <v>11130</v>
      </c>
      <c r="PKK1" s="9" t="s">
        <v>11131</v>
      </c>
      <c r="PKL1" s="9" t="s">
        <v>11132</v>
      </c>
      <c r="PKM1" s="9" t="s">
        <v>11133</v>
      </c>
      <c r="PKN1" s="9" t="s">
        <v>11134</v>
      </c>
      <c r="PKO1" s="9" t="s">
        <v>11135</v>
      </c>
      <c r="PKP1" s="9" t="s">
        <v>11136</v>
      </c>
      <c r="PKQ1" s="9" t="s">
        <v>11137</v>
      </c>
      <c r="PKR1" s="9" t="s">
        <v>11138</v>
      </c>
      <c r="PKS1" s="9" t="s">
        <v>11139</v>
      </c>
      <c r="PKT1" s="9" t="s">
        <v>11140</v>
      </c>
      <c r="PKU1" s="9" t="s">
        <v>11141</v>
      </c>
      <c r="PKV1" s="9" t="s">
        <v>11142</v>
      </c>
      <c r="PKW1" s="9" t="s">
        <v>11143</v>
      </c>
      <c r="PKX1" s="9" t="s">
        <v>11144</v>
      </c>
      <c r="PKY1" s="9" t="s">
        <v>11145</v>
      </c>
      <c r="PKZ1" s="9" t="s">
        <v>11146</v>
      </c>
      <c r="PLA1" s="9" t="s">
        <v>11147</v>
      </c>
      <c r="PLB1" s="9" t="s">
        <v>11148</v>
      </c>
      <c r="PLC1" s="9" t="s">
        <v>11149</v>
      </c>
      <c r="PLD1" s="9" t="s">
        <v>11150</v>
      </c>
      <c r="PLE1" s="9" t="s">
        <v>11151</v>
      </c>
      <c r="PLF1" s="9" t="s">
        <v>11152</v>
      </c>
      <c r="PLG1" s="9" t="s">
        <v>11153</v>
      </c>
      <c r="PLH1" s="9" t="s">
        <v>11154</v>
      </c>
      <c r="PLI1" s="9" t="s">
        <v>11155</v>
      </c>
      <c r="PLJ1" s="9" t="s">
        <v>11156</v>
      </c>
      <c r="PLK1" s="9" t="s">
        <v>11157</v>
      </c>
      <c r="PLL1" s="9" t="s">
        <v>11158</v>
      </c>
      <c r="PLM1" s="9" t="s">
        <v>11159</v>
      </c>
      <c r="PLN1" s="9" t="s">
        <v>11160</v>
      </c>
      <c r="PLO1" s="9" t="s">
        <v>11161</v>
      </c>
      <c r="PLP1" s="9" t="s">
        <v>11162</v>
      </c>
      <c r="PLQ1" s="9" t="s">
        <v>11163</v>
      </c>
      <c r="PLR1" s="9" t="s">
        <v>11164</v>
      </c>
      <c r="PLS1" s="9" t="s">
        <v>11165</v>
      </c>
      <c r="PLT1" s="9" t="s">
        <v>11166</v>
      </c>
      <c r="PLU1" s="9" t="s">
        <v>11167</v>
      </c>
      <c r="PLV1" s="9" t="s">
        <v>11168</v>
      </c>
      <c r="PLW1" s="9" t="s">
        <v>11169</v>
      </c>
      <c r="PLX1" s="9" t="s">
        <v>11170</v>
      </c>
      <c r="PLY1" s="9" t="s">
        <v>11171</v>
      </c>
      <c r="PLZ1" s="9" t="s">
        <v>11172</v>
      </c>
      <c r="PMA1" s="9" t="s">
        <v>11173</v>
      </c>
      <c r="PMB1" s="9" t="s">
        <v>11174</v>
      </c>
      <c r="PMC1" s="9" t="s">
        <v>11175</v>
      </c>
      <c r="PMD1" s="9" t="s">
        <v>11176</v>
      </c>
      <c r="PME1" s="9" t="s">
        <v>11177</v>
      </c>
      <c r="PMF1" s="9" t="s">
        <v>11178</v>
      </c>
      <c r="PMG1" s="9" t="s">
        <v>11179</v>
      </c>
      <c r="PMH1" s="9" t="s">
        <v>11180</v>
      </c>
      <c r="PMI1" s="9" t="s">
        <v>11181</v>
      </c>
      <c r="PMJ1" s="9" t="s">
        <v>11182</v>
      </c>
      <c r="PMK1" s="9" t="s">
        <v>11183</v>
      </c>
      <c r="PML1" s="9" t="s">
        <v>11184</v>
      </c>
      <c r="PMM1" s="9" t="s">
        <v>11185</v>
      </c>
      <c r="PMN1" s="9" t="s">
        <v>11186</v>
      </c>
      <c r="PMO1" s="9" t="s">
        <v>11187</v>
      </c>
      <c r="PMP1" s="9" t="s">
        <v>11188</v>
      </c>
      <c r="PMQ1" s="9" t="s">
        <v>11189</v>
      </c>
      <c r="PMR1" s="9" t="s">
        <v>11190</v>
      </c>
      <c r="PMS1" s="9" t="s">
        <v>11191</v>
      </c>
      <c r="PMT1" s="9" t="s">
        <v>11192</v>
      </c>
      <c r="PMU1" s="9" t="s">
        <v>11193</v>
      </c>
      <c r="PMV1" s="9" t="s">
        <v>11194</v>
      </c>
      <c r="PMW1" s="9" t="s">
        <v>11195</v>
      </c>
      <c r="PMX1" s="9" t="s">
        <v>11196</v>
      </c>
      <c r="PMY1" s="9" t="s">
        <v>11197</v>
      </c>
      <c r="PMZ1" s="9" t="s">
        <v>11198</v>
      </c>
      <c r="PNA1" s="9" t="s">
        <v>11199</v>
      </c>
      <c r="PNB1" s="9" t="s">
        <v>11200</v>
      </c>
      <c r="PNC1" s="9" t="s">
        <v>11201</v>
      </c>
      <c r="PND1" s="9" t="s">
        <v>11202</v>
      </c>
      <c r="PNE1" s="9" t="s">
        <v>11203</v>
      </c>
      <c r="PNF1" s="9" t="s">
        <v>11204</v>
      </c>
      <c r="PNG1" s="9" t="s">
        <v>11205</v>
      </c>
      <c r="PNH1" s="9" t="s">
        <v>11206</v>
      </c>
      <c r="PNI1" s="9" t="s">
        <v>11207</v>
      </c>
      <c r="PNJ1" s="9" t="s">
        <v>11208</v>
      </c>
      <c r="PNK1" s="9" t="s">
        <v>11209</v>
      </c>
      <c r="PNL1" s="9" t="s">
        <v>11210</v>
      </c>
      <c r="PNM1" s="9" t="s">
        <v>11211</v>
      </c>
      <c r="PNN1" s="9" t="s">
        <v>11212</v>
      </c>
      <c r="PNO1" s="9" t="s">
        <v>11213</v>
      </c>
      <c r="PNP1" s="9" t="s">
        <v>11214</v>
      </c>
      <c r="PNQ1" s="9" t="s">
        <v>11215</v>
      </c>
      <c r="PNR1" s="9" t="s">
        <v>11216</v>
      </c>
      <c r="PNS1" s="9" t="s">
        <v>11217</v>
      </c>
      <c r="PNT1" s="9" t="s">
        <v>11218</v>
      </c>
      <c r="PNU1" s="9" t="s">
        <v>11219</v>
      </c>
      <c r="PNV1" s="9" t="s">
        <v>11220</v>
      </c>
      <c r="PNW1" s="9" t="s">
        <v>11221</v>
      </c>
      <c r="PNX1" s="9" t="s">
        <v>11222</v>
      </c>
      <c r="PNY1" s="9" t="s">
        <v>11223</v>
      </c>
      <c r="PNZ1" s="9" t="s">
        <v>11224</v>
      </c>
      <c r="POA1" s="9" t="s">
        <v>11225</v>
      </c>
      <c r="POB1" s="9" t="s">
        <v>11226</v>
      </c>
      <c r="POC1" s="9" t="s">
        <v>11227</v>
      </c>
      <c r="POD1" s="9" t="s">
        <v>11228</v>
      </c>
      <c r="POE1" s="9" t="s">
        <v>11229</v>
      </c>
      <c r="POF1" s="9" t="s">
        <v>11230</v>
      </c>
      <c r="POG1" s="9" t="s">
        <v>11231</v>
      </c>
      <c r="POH1" s="9" t="s">
        <v>11232</v>
      </c>
      <c r="POI1" s="9" t="s">
        <v>11233</v>
      </c>
      <c r="POJ1" s="9" t="s">
        <v>11234</v>
      </c>
      <c r="POK1" s="9" t="s">
        <v>11235</v>
      </c>
      <c r="POL1" s="9" t="s">
        <v>11236</v>
      </c>
      <c r="POM1" s="9" t="s">
        <v>11237</v>
      </c>
      <c r="PON1" s="9" t="s">
        <v>11238</v>
      </c>
      <c r="POO1" s="9" t="s">
        <v>11239</v>
      </c>
      <c r="POP1" s="9" t="s">
        <v>11240</v>
      </c>
      <c r="POQ1" s="9" t="s">
        <v>11241</v>
      </c>
      <c r="POR1" s="9" t="s">
        <v>11242</v>
      </c>
      <c r="POS1" s="9" t="s">
        <v>11243</v>
      </c>
      <c r="POT1" s="9" t="s">
        <v>11244</v>
      </c>
      <c r="POU1" s="9" t="s">
        <v>11245</v>
      </c>
      <c r="POV1" s="9" t="s">
        <v>11246</v>
      </c>
      <c r="POW1" s="9" t="s">
        <v>11247</v>
      </c>
      <c r="POX1" s="9" t="s">
        <v>11248</v>
      </c>
      <c r="POY1" s="9" t="s">
        <v>11249</v>
      </c>
      <c r="POZ1" s="9" t="s">
        <v>11250</v>
      </c>
      <c r="PPA1" s="9" t="s">
        <v>11251</v>
      </c>
      <c r="PPB1" s="9" t="s">
        <v>11252</v>
      </c>
      <c r="PPC1" s="9" t="s">
        <v>11253</v>
      </c>
      <c r="PPD1" s="9" t="s">
        <v>11254</v>
      </c>
      <c r="PPE1" s="9" t="s">
        <v>11255</v>
      </c>
      <c r="PPF1" s="9" t="s">
        <v>11256</v>
      </c>
      <c r="PPG1" s="9" t="s">
        <v>11257</v>
      </c>
      <c r="PPH1" s="9" t="s">
        <v>11258</v>
      </c>
      <c r="PPI1" s="9" t="s">
        <v>11259</v>
      </c>
      <c r="PPJ1" s="9" t="s">
        <v>11260</v>
      </c>
      <c r="PPK1" s="9" t="s">
        <v>11261</v>
      </c>
      <c r="PPL1" s="9" t="s">
        <v>11262</v>
      </c>
      <c r="PPM1" s="9" t="s">
        <v>11263</v>
      </c>
      <c r="PPN1" s="9" t="s">
        <v>11264</v>
      </c>
      <c r="PPO1" s="9" t="s">
        <v>11265</v>
      </c>
      <c r="PPP1" s="9" t="s">
        <v>11266</v>
      </c>
      <c r="PPQ1" s="9" t="s">
        <v>11267</v>
      </c>
      <c r="PPR1" s="9" t="s">
        <v>11268</v>
      </c>
      <c r="PPS1" s="9" t="s">
        <v>11269</v>
      </c>
      <c r="PPT1" s="9" t="s">
        <v>11270</v>
      </c>
      <c r="PPU1" s="9" t="s">
        <v>11271</v>
      </c>
      <c r="PPV1" s="9" t="s">
        <v>11272</v>
      </c>
      <c r="PPW1" s="9" t="s">
        <v>11273</v>
      </c>
      <c r="PPX1" s="9" t="s">
        <v>11274</v>
      </c>
      <c r="PPY1" s="9" t="s">
        <v>11275</v>
      </c>
      <c r="PPZ1" s="9" t="s">
        <v>11276</v>
      </c>
      <c r="PQA1" s="9" t="s">
        <v>11277</v>
      </c>
      <c r="PQB1" s="9" t="s">
        <v>11278</v>
      </c>
      <c r="PQC1" s="9" t="s">
        <v>11279</v>
      </c>
      <c r="PQD1" s="9" t="s">
        <v>11280</v>
      </c>
      <c r="PQE1" s="9" t="s">
        <v>11281</v>
      </c>
      <c r="PQF1" s="9" t="s">
        <v>11282</v>
      </c>
      <c r="PQG1" s="9" t="s">
        <v>11283</v>
      </c>
      <c r="PQH1" s="9" t="s">
        <v>11284</v>
      </c>
      <c r="PQI1" s="9" t="s">
        <v>11285</v>
      </c>
      <c r="PQJ1" s="9" t="s">
        <v>11286</v>
      </c>
      <c r="PQK1" s="9" t="s">
        <v>11287</v>
      </c>
      <c r="PQL1" s="9" t="s">
        <v>11288</v>
      </c>
      <c r="PQM1" s="9" t="s">
        <v>11289</v>
      </c>
      <c r="PQN1" s="9" t="s">
        <v>11290</v>
      </c>
      <c r="PQO1" s="9" t="s">
        <v>11291</v>
      </c>
      <c r="PQP1" s="9" t="s">
        <v>11292</v>
      </c>
      <c r="PQQ1" s="9" t="s">
        <v>11293</v>
      </c>
      <c r="PQR1" s="9" t="s">
        <v>11294</v>
      </c>
      <c r="PQS1" s="9" t="s">
        <v>11295</v>
      </c>
      <c r="PQT1" s="9" t="s">
        <v>11296</v>
      </c>
      <c r="PQU1" s="9" t="s">
        <v>11297</v>
      </c>
      <c r="PQV1" s="9" t="s">
        <v>11298</v>
      </c>
      <c r="PQW1" s="9" t="s">
        <v>11299</v>
      </c>
      <c r="PQX1" s="9" t="s">
        <v>11300</v>
      </c>
      <c r="PQY1" s="9" t="s">
        <v>11301</v>
      </c>
      <c r="PQZ1" s="9" t="s">
        <v>11302</v>
      </c>
      <c r="PRA1" s="9" t="s">
        <v>11303</v>
      </c>
      <c r="PRB1" s="9" t="s">
        <v>11304</v>
      </c>
      <c r="PRC1" s="9" t="s">
        <v>11305</v>
      </c>
      <c r="PRD1" s="9" t="s">
        <v>11306</v>
      </c>
      <c r="PRE1" s="9" t="s">
        <v>11307</v>
      </c>
      <c r="PRF1" s="9" t="s">
        <v>11308</v>
      </c>
      <c r="PRG1" s="9" t="s">
        <v>11309</v>
      </c>
      <c r="PRH1" s="9" t="s">
        <v>11310</v>
      </c>
      <c r="PRI1" s="9" t="s">
        <v>11311</v>
      </c>
      <c r="PRJ1" s="9" t="s">
        <v>11312</v>
      </c>
      <c r="PRK1" s="9" t="s">
        <v>11313</v>
      </c>
      <c r="PRL1" s="9" t="s">
        <v>11314</v>
      </c>
      <c r="PRM1" s="9" t="s">
        <v>11315</v>
      </c>
      <c r="PRN1" s="9" t="s">
        <v>11316</v>
      </c>
      <c r="PRO1" s="9" t="s">
        <v>11317</v>
      </c>
      <c r="PRP1" s="9" t="s">
        <v>11318</v>
      </c>
      <c r="PRQ1" s="9" t="s">
        <v>11319</v>
      </c>
      <c r="PRR1" s="9" t="s">
        <v>11320</v>
      </c>
      <c r="PRS1" s="9" t="s">
        <v>11321</v>
      </c>
      <c r="PRT1" s="9" t="s">
        <v>11322</v>
      </c>
      <c r="PRU1" s="9" t="s">
        <v>11323</v>
      </c>
      <c r="PRV1" s="9" t="s">
        <v>11324</v>
      </c>
      <c r="PRW1" s="9" t="s">
        <v>11325</v>
      </c>
      <c r="PRX1" s="9" t="s">
        <v>11326</v>
      </c>
      <c r="PRY1" s="9" t="s">
        <v>11327</v>
      </c>
      <c r="PRZ1" s="9" t="s">
        <v>11328</v>
      </c>
      <c r="PSA1" s="9" t="s">
        <v>11329</v>
      </c>
      <c r="PSB1" s="9" t="s">
        <v>11330</v>
      </c>
      <c r="PSC1" s="9" t="s">
        <v>11331</v>
      </c>
      <c r="PSD1" s="9" t="s">
        <v>11332</v>
      </c>
      <c r="PSE1" s="9" t="s">
        <v>11333</v>
      </c>
      <c r="PSF1" s="9" t="s">
        <v>11334</v>
      </c>
      <c r="PSG1" s="9" t="s">
        <v>11335</v>
      </c>
      <c r="PSH1" s="9" t="s">
        <v>11336</v>
      </c>
      <c r="PSI1" s="9" t="s">
        <v>11337</v>
      </c>
      <c r="PSJ1" s="9" t="s">
        <v>11338</v>
      </c>
      <c r="PSK1" s="9" t="s">
        <v>11339</v>
      </c>
      <c r="PSL1" s="9" t="s">
        <v>11340</v>
      </c>
      <c r="PSM1" s="9" t="s">
        <v>11341</v>
      </c>
      <c r="PSN1" s="9" t="s">
        <v>11342</v>
      </c>
      <c r="PSO1" s="9" t="s">
        <v>11343</v>
      </c>
      <c r="PSP1" s="9" t="s">
        <v>11344</v>
      </c>
      <c r="PSQ1" s="9" t="s">
        <v>11345</v>
      </c>
      <c r="PSR1" s="9" t="s">
        <v>11346</v>
      </c>
      <c r="PSS1" s="9" t="s">
        <v>11347</v>
      </c>
      <c r="PST1" s="9" t="s">
        <v>11348</v>
      </c>
      <c r="PSU1" s="9" t="s">
        <v>11349</v>
      </c>
      <c r="PSV1" s="9" t="s">
        <v>11350</v>
      </c>
      <c r="PSW1" s="9" t="s">
        <v>11351</v>
      </c>
      <c r="PSX1" s="9" t="s">
        <v>11352</v>
      </c>
      <c r="PSY1" s="9" t="s">
        <v>11353</v>
      </c>
      <c r="PSZ1" s="9" t="s">
        <v>11354</v>
      </c>
      <c r="PTA1" s="9" t="s">
        <v>11355</v>
      </c>
      <c r="PTB1" s="9" t="s">
        <v>11356</v>
      </c>
      <c r="PTC1" s="9" t="s">
        <v>11357</v>
      </c>
      <c r="PTD1" s="9" t="s">
        <v>11358</v>
      </c>
      <c r="PTE1" s="9" t="s">
        <v>11359</v>
      </c>
      <c r="PTF1" s="9" t="s">
        <v>11360</v>
      </c>
      <c r="PTG1" s="9" t="s">
        <v>11361</v>
      </c>
      <c r="PTH1" s="9" t="s">
        <v>11362</v>
      </c>
      <c r="PTI1" s="9" t="s">
        <v>11363</v>
      </c>
      <c r="PTJ1" s="9" t="s">
        <v>11364</v>
      </c>
      <c r="PTK1" s="9" t="s">
        <v>11365</v>
      </c>
      <c r="PTL1" s="9" t="s">
        <v>11366</v>
      </c>
      <c r="PTM1" s="9" t="s">
        <v>11367</v>
      </c>
      <c r="PTN1" s="9" t="s">
        <v>11368</v>
      </c>
      <c r="PTO1" s="9" t="s">
        <v>11369</v>
      </c>
      <c r="PTP1" s="9" t="s">
        <v>11370</v>
      </c>
      <c r="PTQ1" s="9" t="s">
        <v>11371</v>
      </c>
      <c r="PTR1" s="9" t="s">
        <v>11372</v>
      </c>
      <c r="PTS1" s="9" t="s">
        <v>11373</v>
      </c>
      <c r="PTT1" s="9" t="s">
        <v>11374</v>
      </c>
      <c r="PTU1" s="9" t="s">
        <v>11375</v>
      </c>
      <c r="PTV1" s="9" t="s">
        <v>11376</v>
      </c>
      <c r="PTW1" s="9" t="s">
        <v>11377</v>
      </c>
      <c r="PTX1" s="9" t="s">
        <v>11378</v>
      </c>
      <c r="PTY1" s="9" t="s">
        <v>11379</v>
      </c>
      <c r="PTZ1" s="9" t="s">
        <v>11380</v>
      </c>
      <c r="PUA1" s="9" t="s">
        <v>11381</v>
      </c>
      <c r="PUB1" s="9" t="s">
        <v>11382</v>
      </c>
      <c r="PUC1" s="9" t="s">
        <v>11383</v>
      </c>
      <c r="PUD1" s="9" t="s">
        <v>11384</v>
      </c>
      <c r="PUE1" s="9" t="s">
        <v>11385</v>
      </c>
      <c r="PUF1" s="9" t="s">
        <v>11386</v>
      </c>
      <c r="PUG1" s="9" t="s">
        <v>11387</v>
      </c>
      <c r="PUH1" s="9" t="s">
        <v>11388</v>
      </c>
      <c r="PUI1" s="9" t="s">
        <v>11389</v>
      </c>
      <c r="PUJ1" s="9" t="s">
        <v>11390</v>
      </c>
      <c r="PUK1" s="9" t="s">
        <v>11391</v>
      </c>
      <c r="PUL1" s="9" t="s">
        <v>11392</v>
      </c>
      <c r="PUM1" s="9" t="s">
        <v>11393</v>
      </c>
      <c r="PUN1" s="9" t="s">
        <v>11394</v>
      </c>
      <c r="PUO1" s="9" t="s">
        <v>11395</v>
      </c>
      <c r="PUP1" s="9" t="s">
        <v>11396</v>
      </c>
      <c r="PUQ1" s="9" t="s">
        <v>11397</v>
      </c>
      <c r="PUR1" s="9" t="s">
        <v>11398</v>
      </c>
      <c r="PUS1" s="9" t="s">
        <v>11399</v>
      </c>
      <c r="PUT1" s="9" t="s">
        <v>11400</v>
      </c>
      <c r="PUU1" s="9" t="s">
        <v>11401</v>
      </c>
      <c r="PUV1" s="9" t="s">
        <v>11402</v>
      </c>
      <c r="PUW1" s="9" t="s">
        <v>11403</v>
      </c>
      <c r="PUX1" s="9" t="s">
        <v>11404</v>
      </c>
      <c r="PUY1" s="9" t="s">
        <v>11405</v>
      </c>
      <c r="PUZ1" s="9" t="s">
        <v>11406</v>
      </c>
      <c r="PVA1" s="9" t="s">
        <v>11407</v>
      </c>
      <c r="PVB1" s="9" t="s">
        <v>11408</v>
      </c>
      <c r="PVC1" s="9" t="s">
        <v>11409</v>
      </c>
      <c r="PVD1" s="9" t="s">
        <v>11410</v>
      </c>
      <c r="PVE1" s="9" t="s">
        <v>11411</v>
      </c>
      <c r="PVF1" s="9" t="s">
        <v>11412</v>
      </c>
      <c r="PVG1" s="9" t="s">
        <v>11413</v>
      </c>
      <c r="PVH1" s="9" t="s">
        <v>11414</v>
      </c>
      <c r="PVI1" s="9" t="s">
        <v>11415</v>
      </c>
      <c r="PVJ1" s="9" t="s">
        <v>11416</v>
      </c>
      <c r="PVK1" s="9" t="s">
        <v>11417</v>
      </c>
      <c r="PVL1" s="9" t="s">
        <v>11418</v>
      </c>
      <c r="PVM1" s="9" t="s">
        <v>11419</v>
      </c>
      <c r="PVN1" s="9" t="s">
        <v>11420</v>
      </c>
      <c r="PVO1" s="9" t="s">
        <v>11421</v>
      </c>
      <c r="PVP1" s="9" t="s">
        <v>11422</v>
      </c>
      <c r="PVQ1" s="9" t="s">
        <v>11423</v>
      </c>
      <c r="PVR1" s="9" t="s">
        <v>11424</v>
      </c>
      <c r="PVS1" s="9" t="s">
        <v>11425</v>
      </c>
      <c r="PVT1" s="9" t="s">
        <v>11426</v>
      </c>
      <c r="PVU1" s="9" t="s">
        <v>11427</v>
      </c>
      <c r="PVV1" s="9" t="s">
        <v>11428</v>
      </c>
      <c r="PVW1" s="9" t="s">
        <v>11429</v>
      </c>
      <c r="PVX1" s="9" t="s">
        <v>11430</v>
      </c>
      <c r="PVY1" s="9" t="s">
        <v>11431</v>
      </c>
      <c r="PVZ1" s="9" t="s">
        <v>11432</v>
      </c>
      <c r="PWA1" s="9" t="s">
        <v>11433</v>
      </c>
      <c r="PWB1" s="9" t="s">
        <v>11434</v>
      </c>
      <c r="PWC1" s="9" t="s">
        <v>11435</v>
      </c>
      <c r="PWD1" s="9" t="s">
        <v>11436</v>
      </c>
      <c r="PWE1" s="9" t="s">
        <v>11437</v>
      </c>
      <c r="PWF1" s="9" t="s">
        <v>11438</v>
      </c>
      <c r="PWG1" s="9" t="s">
        <v>11439</v>
      </c>
      <c r="PWH1" s="9" t="s">
        <v>11440</v>
      </c>
      <c r="PWI1" s="9" t="s">
        <v>11441</v>
      </c>
      <c r="PWJ1" s="9" t="s">
        <v>11442</v>
      </c>
      <c r="PWK1" s="9" t="s">
        <v>11443</v>
      </c>
      <c r="PWL1" s="9" t="s">
        <v>11444</v>
      </c>
      <c r="PWM1" s="9" t="s">
        <v>11445</v>
      </c>
      <c r="PWN1" s="9" t="s">
        <v>11446</v>
      </c>
      <c r="PWO1" s="9" t="s">
        <v>11447</v>
      </c>
      <c r="PWP1" s="9" t="s">
        <v>11448</v>
      </c>
      <c r="PWQ1" s="9" t="s">
        <v>11449</v>
      </c>
      <c r="PWR1" s="9" t="s">
        <v>11450</v>
      </c>
      <c r="PWS1" s="9" t="s">
        <v>11451</v>
      </c>
      <c r="PWT1" s="9" t="s">
        <v>11452</v>
      </c>
      <c r="PWU1" s="9" t="s">
        <v>11453</v>
      </c>
      <c r="PWV1" s="9" t="s">
        <v>11454</v>
      </c>
      <c r="PWW1" s="9" t="s">
        <v>11455</v>
      </c>
      <c r="PWX1" s="9" t="s">
        <v>11456</v>
      </c>
      <c r="PWY1" s="9" t="s">
        <v>11457</v>
      </c>
      <c r="PWZ1" s="9" t="s">
        <v>11458</v>
      </c>
      <c r="PXA1" s="9" t="s">
        <v>11459</v>
      </c>
      <c r="PXB1" s="9" t="s">
        <v>11460</v>
      </c>
      <c r="PXC1" s="9" t="s">
        <v>11461</v>
      </c>
      <c r="PXD1" s="9" t="s">
        <v>11462</v>
      </c>
      <c r="PXE1" s="9" t="s">
        <v>11463</v>
      </c>
      <c r="PXF1" s="9" t="s">
        <v>11464</v>
      </c>
      <c r="PXG1" s="9" t="s">
        <v>11465</v>
      </c>
      <c r="PXH1" s="9" t="s">
        <v>11466</v>
      </c>
      <c r="PXI1" s="9" t="s">
        <v>11467</v>
      </c>
      <c r="PXJ1" s="9" t="s">
        <v>11468</v>
      </c>
      <c r="PXK1" s="9" t="s">
        <v>11469</v>
      </c>
      <c r="PXL1" s="9" t="s">
        <v>11470</v>
      </c>
      <c r="PXM1" s="9" t="s">
        <v>11471</v>
      </c>
      <c r="PXN1" s="9" t="s">
        <v>11472</v>
      </c>
      <c r="PXO1" s="9" t="s">
        <v>11473</v>
      </c>
      <c r="PXP1" s="9" t="s">
        <v>11474</v>
      </c>
      <c r="PXQ1" s="9" t="s">
        <v>11475</v>
      </c>
      <c r="PXR1" s="9" t="s">
        <v>11476</v>
      </c>
      <c r="PXS1" s="9" t="s">
        <v>11477</v>
      </c>
      <c r="PXT1" s="9" t="s">
        <v>11478</v>
      </c>
      <c r="PXU1" s="9" t="s">
        <v>11479</v>
      </c>
      <c r="PXV1" s="9" t="s">
        <v>11480</v>
      </c>
      <c r="PXW1" s="9" t="s">
        <v>11481</v>
      </c>
      <c r="PXX1" s="9" t="s">
        <v>11482</v>
      </c>
      <c r="PXY1" s="9" t="s">
        <v>11483</v>
      </c>
      <c r="PXZ1" s="9" t="s">
        <v>11484</v>
      </c>
      <c r="PYA1" s="9" t="s">
        <v>11485</v>
      </c>
      <c r="PYB1" s="9" t="s">
        <v>11486</v>
      </c>
      <c r="PYC1" s="9" t="s">
        <v>11487</v>
      </c>
      <c r="PYD1" s="9" t="s">
        <v>11488</v>
      </c>
      <c r="PYE1" s="9" t="s">
        <v>11489</v>
      </c>
      <c r="PYF1" s="9" t="s">
        <v>11490</v>
      </c>
      <c r="PYG1" s="9" t="s">
        <v>11491</v>
      </c>
      <c r="PYH1" s="9" t="s">
        <v>11492</v>
      </c>
      <c r="PYI1" s="9" t="s">
        <v>11493</v>
      </c>
      <c r="PYJ1" s="9" t="s">
        <v>11494</v>
      </c>
      <c r="PYK1" s="9" t="s">
        <v>11495</v>
      </c>
      <c r="PYL1" s="9" t="s">
        <v>11496</v>
      </c>
      <c r="PYM1" s="9" t="s">
        <v>11497</v>
      </c>
      <c r="PYN1" s="9" t="s">
        <v>11498</v>
      </c>
      <c r="PYO1" s="9" t="s">
        <v>11499</v>
      </c>
      <c r="PYP1" s="9" t="s">
        <v>11500</v>
      </c>
      <c r="PYQ1" s="9" t="s">
        <v>11501</v>
      </c>
      <c r="PYR1" s="9" t="s">
        <v>11502</v>
      </c>
      <c r="PYS1" s="9" t="s">
        <v>11503</v>
      </c>
      <c r="PYT1" s="9" t="s">
        <v>11504</v>
      </c>
      <c r="PYU1" s="9" t="s">
        <v>11505</v>
      </c>
      <c r="PYV1" s="9" t="s">
        <v>11506</v>
      </c>
      <c r="PYW1" s="9" t="s">
        <v>11507</v>
      </c>
      <c r="PYX1" s="9" t="s">
        <v>11508</v>
      </c>
      <c r="PYY1" s="9" t="s">
        <v>11509</v>
      </c>
      <c r="PYZ1" s="9" t="s">
        <v>11510</v>
      </c>
      <c r="PZA1" s="9" t="s">
        <v>11511</v>
      </c>
      <c r="PZB1" s="9" t="s">
        <v>11512</v>
      </c>
      <c r="PZC1" s="9" t="s">
        <v>11513</v>
      </c>
      <c r="PZD1" s="9" t="s">
        <v>11514</v>
      </c>
      <c r="PZE1" s="9" t="s">
        <v>11515</v>
      </c>
      <c r="PZF1" s="9" t="s">
        <v>11516</v>
      </c>
      <c r="PZG1" s="9" t="s">
        <v>11517</v>
      </c>
      <c r="PZH1" s="9" t="s">
        <v>11518</v>
      </c>
      <c r="PZI1" s="9" t="s">
        <v>11519</v>
      </c>
      <c r="PZJ1" s="9" t="s">
        <v>11520</v>
      </c>
      <c r="PZK1" s="9" t="s">
        <v>11521</v>
      </c>
      <c r="PZL1" s="9" t="s">
        <v>11522</v>
      </c>
      <c r="PZM1" s="9" t="s">
        <v>11523</v>
      </c>
      <c r="PZN1" s="9" t="s">
        <v>11524</v>
      </c>
      <c r="PZO1" s="9" t="s">
        <v>11525</v>
      </c>
      <c r="PZP1" s="9" t="s">
        <v>11526</v>
      </c>
      <c r="PZQ1" s="9" t="s">
        <v>11527</v>
      </c>
      <c r="PZR1" s="9" t="s">
        <v>11528</v>
      </c>
      <c r="PZS1" s="9" t="s">
        <v>11529</v>
      </c>
      <c r="PZT1" s="9" t="s">
        <v>11530</v>
      </c>
      <c r="PZU1" s="9" t="s">
        <v>11531</v>
      </c>
      <c r="PZV1" s="9" t="s">
        <v>11532</v>
      </c>
      <c r="PZW1" s="9" t="s">
        <v>11533</v>
      </c>
      <c r="PZX1" s="9" t="s">
        <v>11534</v>
      </c>
      <c r="PZY1" s="9" t="s">
        <v>11535</v>
      </c>
      <c r="PZZ1" s="9" t="s">
        <v>11536</v>
      </c>
      <c r="QAA1" s="9" t="s">
        <v>11537</v>
      </c>
      <c r="QAB1" s="9" t="s">
        <v>11538</v>
      </c>
      <c r="QAC1" s="9" t="s">
        <v>11539</v>
      </c>
      <c r="QAD1" s="9" t="s">
        <v>11540</v>
      </c>
      <c r="QAE1" s="9" t="s">
        <v>11541</v>
      </c>
      <c r="QAF1" s="9" t="s">
        <v>11542</v>
      </c>
      <c r="QAG1" s="9" t="s">
        <v>11543</v>
      </c>
      <c r="QAH1" s="9" t="s">
        <v>11544</v>
      </c>
      <c r="QAI1" s="9" t="s">
        <v>11545</v>
      </c>
      <c r="QAJ1" s="9" t="s">
        <v>11546</v>
      </c>
      <c r="QAK1" s="9" t="s">
        <v>11547</v>
      </c>
      <c r="QAL1" s="9" t="s">
        <v>11548</v>
      </c>
      <c r="QAM1" s="9" t="s">
        <v>11549</v>
      </c>
      <c r="QAN1" s="9" t="s">
        <v>11550</v>
      </c>
      <c r="QAO1" s="9" t="s">
        <v>11551</v>
      </c>
      <c r="QAP1" s="9" t="s">
        <v>11552</v>
      </c>
      <c r="QAQ1" s="9" t="s">
        <v>11553</v>
      </c>
      <c r="QAR1" s="9" t="s">
        <v>11554</v>
      </c>
      <c r="QAS1" s="9" t="s">
        <v>11555</v>
      </c>
      <c r="QAT1" s="9" t="s">
        <v>11556</v>
      </c>
      <c r="QAU1" s="9" t="s">
        <v>11557</v>
      </c>
      <c r="QAV1" s="9" t="s">
        <v>11558</v>
      </c>
      <c r="QAW1" s="9" t="s">
        <v>11559</v>
      </c>
      <c r="QAX1" s="9" t="s">
        <v>11560</v>
      </c>
      <c r="QAY1" s="9" t="s">
        <v>11561</v>
      </c>
      <c r="QAZ1" s="9" t="s">
        <v>11562</v>
      </c>
      <c r="QBA1" s="9" t="s">
        <v>11563</v>
      </c>
      <c r="QBB1" s="9" t="s">
        <v>11564</v>
      </c>
      <c r="QBC1" s="9" t="s">
        <v>11565</v>
      </c>
      <c r="QBD1" s="9" t="s">
        <v>11566</v>
      </c>
      <c r="QBE1" s="9" t="s">
        <v>11567</v>
      </c>
      <c r="QBF1" s="9" t="s">
        <v>11568</v>
      </c>
      <c r="QBG1" s="9" t="s">
        <v>11569</v>
      </c>
      <c r="QBH1" s="9" t="s">
        <v>11570</v>
      </c>
      <c r="QBI1" s="9" t="s">
        <v>11571</v>
      </c>
      <c r="QBJ1" s="9" t="s">
        <v>11572</v>
      </c>
      <c r="QBK1" s="9" t="s">
        <v>11573</v>
      </c>
      <c r="QBL1" s="9" t="s">
        <v>11574</v>
      </c>
      <c r="QBM1" s="9" t="s">
        <v>11575</v>
      </c>
      <c r="QBN1" s="9" t="s">
        <v>11576</v>
      </c>
      <c r="QBO1" s="9" t="s">
        <v>11577</v>
      </c>
      <c r="QBP1" s="9" t="s">
        <v>11578</v>
      </c>
      <c r="QBQ1" s="9" t="s">
        <v>11579</v>
      </c>
      <c r="QBR1" s="9" t="s">
        <v>11580</v>
      </c>
      <c r="QBS1" s="9" t="s">
        <v>11581</v>
      </c>
      <c r="QBT1" s="9" t="s">
        <v>11582</v>
      </c>
      <c r="QBU1" s="9" t="s">
        <v>11583</v>
      </c>
      <c r="QBV1" s="9" t="s">
        <v>11584</v>
      </c>
      <c r="QBW1" s="9" t="s">
        <v>11585</v>
      </c>
      <c r="QBX1" s="9" t="s">
        <v>11586</v>
      </c>
      <c r="QBY1" s="9" t="s">
        <v>11587</v>
      </c>
      <c r="QBZ1" s="9" t="s">
        <v>11588</v>
      </c>
      <c r="QCA1" s="9" t="s">
        <v>11589</v>
      </c>
      <c r="QCB1" s="9" t="s">
        <v>11590</v>
      </c>
      <c r="QCC1" s="9" t="s">
        <v>11591</v>
      </c>
      <c r="QCD1" s="9" t="s">
        <v>11592</v>
      </c>
      <c r="QCE1" s="9" t="s">
        <v>11593</v>
      </c>
      <c r="QCF1" s="9" t="s">
        <v>11594</v>
      </c>
      <c r="QCG1" s="9" t="s">
        <v>11595</v>
      </c>
      <c r="QCH1" s="9" t="s">
        <v>11596</v>
      </c>
      <c r="QCI1" s="9" t="s">
        <v>11597</v>
      </c>
      <c r="QCJ1" s="9" t="s">
        <v>11598</v>
      </c>
      <c r="QCK1" s="9" t="s">
        <v>11599</v>
      </c>
      <c r="QCL1" s="9" t="s">
        <v>11600</v>
      </c>
      <c r="QCM1" s="9" t="s">
        <v>11601</v>
      </c>
      <c r="QCN1" s="9" t="s">
        <v>11602</v>
      </c>
      <c r="QCO1" s="9" t="s">
        <v>11603</v>
      </c>
      <c r="QCP1" s="9" t="s">
        <v>11604</v>
      </c>
      <c r="QCQ1" s="9" t="s">
        <v>11605</v>
      </c>
      <c r="QCR1" s="9" t="s">
        <v>11606</v>
      </c>
      <c r="QCS1" s="9" t="s">
        <v>11607</v>
      </c>
      <c r="QCT1" s="9" t="s">
        <v>11608</v>
      </c>
      <c r="QCU1" s="9" t="s">
        <v>11609</v>
      </c>
      <c r="QCV1" s="9" t="s">
        <v>11610</v>
      </c>
      <c r="QCW1" s="9" t="s">
        <v>11611</v>
      </c>
      <c r="QCX1" s="9" t="s">
        <v>11612</v>
      </c>
      <c r="QCY1" s="9" t="s">
        <v>11613</v>
      </c>
      <c r="QCZ1" s="9" t="s">
        <v>11614</v>
      </c>
      <c r="QDA1" s="9" t="s">
        <v>11615</v>
      </c>
      <c r="QDB1" s="9" t="s">
        <v>11616</v>
      </c>
      <c r="QDC1" s="9" t="s">
        <v>11617</v>
      </c>
      <c r="QDD1" s="9" t="s">
        <v>11618</v>
      </c>
      <c r="QDE1" s="9" t="s">
        <v>11619</v>
      </c>
      <c r="QDF1" s="9" t="s">
        <v>11620</v>
      </c>
      <c r="QDG1" s="9" t="s">
        <v>11621</v>
      </c>
      <c r="QDH1" s="9" t="s">
        <v>11622</v>
      </c>
      <c r="QDI1" s="9" t="s">
        <v>11623</v>
      </c>
      <c r="QDJ1" s="9" t="s">
        <v>11624</v>
      </c>
      <c r="QDK1" s="9" t="s">
        <v>11625</v>
      </c>
      <c r="QDL1" s="9" t="s">
        <v>11626</v>
      </c>
      <c r="QDM1" s="9" t="s">
        <v>11627</v>
      </c>
      <c r="QDN1" s="9" t="s">
        <v>11628</v>
      </c>
      <c r="QDO1" s="9" t="s">
        <v>11629</v>
      </c>
      <c r="QDP1" s="9" t="s">
        <v>11630</v>
      </c>
      <c r="QDQ1" s="9" t="s">
        <v>11631</v>
      </c>
      <c r="QDR1" s="9" t="s">
        <v>11632</v>
      </c>
      <c r="QDS1" s="9" t="s">
        <v>11633</v>
      </c>
      <c r="QDT1" s="9" t="s">
        <v>11634</v>
      </c>
      <c r="QDU1" s="9" t="s">
        <v>11635</v>
      </c>
      <c r="QDV1" s="9" t="s">
        <v>11636</v>
      </c>
      <c r="QDW1" s="9" t="s">
        <v>11637</v>
      </c>
      <c r="QDX1" s="9" t="s">
        <v>11638</v>
      </c>
      <c r="QDY1" s="9" t="s">
        <v>11639</v>
      </c>
      <c r="QDZ1" s="9" t="s">
        <v>11640</v>
      </c>
      <c r="QEA1" s="9" t="s">
        <v>11641</v>
      </c>
      <c r="QEB1" s="9" t="s">
        <v>11642</v>
      </c>
      <c r="QEC1" s="9" t="s">
        <v>11643</v>
      </c>
      <c r="QED1" s="9" t="s">
        <v>11644</v>
      </c>
      <c r="QEE1" s="9" t="s">
        <v>11645</v>
      </c>
      <c r="QEF1" s="9" t="s">
        <v>11646</v>
      </c>
      <c r="QEG1" s="9" t="s">
        <v>11647</v>
      </c>
      <c r="QEH1" s="9" t="s">
        <v>11648</v>
      </c>
      <c r="QEI1" s="9" t="s">
        <v>11649</v>
      </c>
      <c r="QEJ1" s="9" t="s">
        <v>11650</v>
      </c>
      <c r="QEK1" s="9" t="s">
        <v>11651</v>
      </c>
      <c r="QEL1" s="9" t="s">
        <v>11652</v>
      </c>
      <c r="QEM1" s="9" t="s">
        <v>11653</v>
      </c>
      <c r="QEN1" s="9" t="s">
        <v>11654</v>
      </c>
      <c r="QEO1" s="9" t="s">
        <v>11655</v>
      </c>
      <c r="QEP1" s="9" t="s">
        <v>11656</v>
      </c>
      <c r="QEQ1" s="9" t="s">
        <v>11657</v>
      </c>
      <c r="QER1" s="9" t="s">
        <v>11658</v>
      </c>
      <c r="QES1" s="9" t="s">
        <v>11659</v>
      </c>
      <c r="QET1" s="9" t="s">
        <v>11660</v>
      </c>
      <c r="QEU1" s="9" t="s">
        <v>11661</v>
      </c>
      <c r="QEV1" s="9" t="s">
        <v>11662</v>
      </c>
      <c r="QEW1" s="9" t="s">
        <v>11663</v>
      </c>
      <c r="QEX1" s="9" t="s">
        <v>11664</v>
      </c>
      <c r="QEY1" s="9" t="s">
        <v>11665</v>
      </c>
      <c r="QEZ1" s="9" t="s">
        <v>11666</v>
      </c>
      <c r="QFA1" s="9" t="s">
        <v>11667</v>
      </c>
      <c r="QFB1" s="9" t="s">
        <v>11668</v>
      </c>
      <c r="QFC1" s="9" t="s">
        <v>11669</v>
      </c>
      <c r="QFD1" s="9" t="s">
        <v>11670</v>
      </c>
      <c r="QFE1" s="9" t="s">
        <v>11671</v>
      </c>
      <c r="QFF1" s="9" t="s">
        <v>11672</v>
      </c>
      <c r="QFG1" s="9" t="s">
        <v>11673</v>
      </c>
      <c r="QFH1" s="9" t="s">
        <v>11674</v>
      </c>
      <c r="QFI1" s="9" t="s">
        <v>11675</v>
      </c>
      <c r="QFJ1" s="9" t="s">
        <v>11676</v>
      </c>
      <c r="QFK1" s="9" t="s">
        <v>11677</v>
      </c>
      <c r="QFL1" s="9" t="s">
        <v>11678</v>
      </c>
      <c r="QFM1" s="9" t="s">
        <v>11679</v>
      </c>
      <c r="QFN1" s="9" t="s">
        <v>11680</v>
      </c>
      <c r="QFO1" s="9" t="s">
        <v>11681</v>
      </c>
      <c r="QFP1" s="9" t="s">
        <v>11682</v>
      </c>
      <c r="QFQ1" s="9" t="s">
        <v>11683</v>
      </c>
      <c r="QFR1" s="9" t="s">
        <v>11684</v>
      </c>
      <c r="QFS1" s="9" t="s">
        <v>11685</v>
      </c>
      <c r="QFT1" s="9" t="s">
        <v>11686</v>
      </c>
      <c r="QFU1" s="9" t="s">
        <v>11687</v>
      </c>
      <c r="QFV1" s="9" t="s">
        <v>11688</v>
      </c>
      <c r="QFW1" s="9" t="s">
        <v>11689</v>
      </c>
      <c r="QFX1" s="9" t="s">
        <v>11690</v>
      </c>
      <c r="QFY1" s="9" t="s">
        <v>11691</v>
      </c>
      <c r="QFZ1" s="9" t="s">
        <v>11692</v>
      </c>
      <c r="QGA1" s="9" t="s">
        <v>11693</v>
      </c>
      <c r="QGB1" s="9" t="s">
        <v>11694</v>
      </c>
      <c r="QGC1" s="9" t="s">
        <v>11695</v>
      </c>
      <c r="QGD1" s="9" t="s">
        <v>11696</v>
      </c>
      <c r="QGE1" s="9" t="s">
        <v>11697</v>
      </c>
      <c r="QGF1" s="9" t="s">
        <v>11698</v>
      </c>
      <c r="QGG1" s="9" t="s">
        <v>11699</v>
      </c>
      <c r="QGH1" s="9" t="s">
        <v>11700</v>
      </c>
      <c r="QGI1" s="9" t="s">
        <v>11701</v>
      </c>
      <c r="QGJ1" s="9" t="s">
        <v>11702</v>
      </c>
      <c r="QGK1" s="9" t="s">
        <v>11703</v>
      </c>
      <c r="QGL1" s="9" t="s">
        <v>11704</v>
      </c>
      <c r="QGM1" s="9" t="s">
        <v>11705</v>
      </c>
      <c r="QGN1" s="9" t="s">
        <v>11706</v>
      </c>
      <c r="QGO1" s="9" t="s">
        <v>11707</v>
      </c>
      <c r="QGP1" s="9" t="s">
        <v>11708</v>
      </c>
      <c r="QGQ1" s="9" t="s">
        <v>11709</v>
      </c>
      <c r="QGR1" s="9" t="s">
        <v>11710</v>
      </c>
      <c r="QGS1" s="9" t="s">
        <v>11711</v>
      </c>
      <c r="QGT1" s="9" t="s">
        <v>11712</v>
      </c>
      <c r="QGU1" s="9" t="s">
        <v>11713</v>
      </c>
      <c r="QGV1" s="9" t="s">
        <v>11714</v>
      </c>
      <c r="QGW1" s="9" t="s">
        <v>11715</v>
      </c>
      <c r="QGX1" s="9" t="s">
        <v>11716</v>
      </c>
      <c r="QGY1" s="9" t="s">
        <v>11717</v>
      </c>
      <c r="QGZ1" s="9" t="s">
        <v>11718</v>
      </c>
      <c r="QHA1" s="9" t="s">
        <v>11719</v>
      </c>
      <c r="QHB1" s="9" t="s">
        <v>11720</v>
      </c>
      <c r="QHC1" s="9" t="s">
        <v>11721</v>
      </c>
      <c r="QHD1" s="9" t="s">
        <v>11722</v>
      </c>
      <c r="QHE1" s="9" t="s">
        <v>11723</v>
      </c>
      <c r="QHF1" s="9" t="s">
        <v>11724</v>
      </c>
      <c r="QHG1" s="9" t="s">
        <v>11725</v>
      </c>
      <c r="QHH1" s="9" t="s">
        <v>11726</v>
      </c>
      <c r="QHI1" s="9" t="s">
        <v>11727</v>
      </c>
      <c r="QHJ1" s="9" t="s">
        <v>11728</v>
      </c>
      <c r="QHK1" s="9" t="s">
        <v>11729</v>
      </c>
      <c r="QHL1" s="9" t="s">
        <v>11730</v>
      </c>
      <c r="QHM1" s="9" t="s">
        <v>11731</v>
      </c>
      <c r="QHN1" s="9" t="s">
        <v>11732</v>
      </c>
      <c r="QHO1" s="9" t="s">
        <v>11733</v>
      </c>
      <c r="QHP1" s="9" t="s">
        <v>11734</v>
      </c>
      <c r="QHQ1" s="9" t="s">
        <v>11735</v>
      </c>
      <c r="QHR1" s="9" t="s">
        <v>11736</v>
      </c>
      <c r="QHS1" s="9" t="s">
        <v>11737</v>
      </c>
      <c r="QHT1" s="9" t="s">
        <v>11738</v>
      </c>
      <c r="QHU1" s="9" t="s">
        <v>11739</v>
      </c>
      <c r="QHV1" s="9" t="s">
        <v>11740</v>
      </c>
      <c r="QHW1" s="9" t="s">
        <v>11741</v>
      </c>
      <c r="QHX1" s="9" t="s">
        <v>11742</v>
      </c>
      <c r="QHY1" s="9" t="s">
        <v>11743</v>
      </c>
      <c r="QHZ1" s="9" t="s">
        <v>11744</v>
      </c>
      <c r="QIA1" s="9" t="s">
        <v>11745</v>
      </c>
      <c r="QIB1" s="9" t="s">
        <v>11746</v>
      </c>
      <c r="QIC1" s="9" t="s">
        <v>11747</v>
      </c>
      <c r="QID1" s="9" t="s">
        <v>11748</v>
      </c>
      <c r="QIE1" s="9" t="s">
        <v>11749</v>
      </c>
      <c r="QIF1" s="9" t="s">
        <v>11750</v>
      </c>
      <c r="QIG1" s="9" t="s">
        <v>11751</v>
      </c>
      <c r="QIH1" s="9" t="s">
        <v>11752</v>
      </c>
      <c r="QII1" s="9" t="s">
        <v>11753</v>
      </c>
      <c r="QIJ1" s="9" t="s">
        <v>11754</v>
      </c>
      <c r="QIK1" s="9" t="s">
        <v>11755</v>
      </c>
      <c r="QIL1" s="9" t="s">
        <v>11756</v>
      </c>
      <c r="QIM1" s="9" t="s">
        <v>11757</v>
      </c>
      <c r="QIN1" s="9" t="s">
        <v>11758</v>
      </c>
      <c r="QIO1" s="9" t="s">
        <v>11759</v>
      </c>
      <c r="QIP1" s="9" t="s">
        <v>11760</v>
      </c>
      <c r="QIQ1" s="9" t="s">
        <v>11761</v>
      </c>
      <c r="QIR1" s="9" t="s">
        <v>11762</v>
      </c>
      <c r="QIS1" s="9" t="s">
        <v>11763</v>
      </c>
      <c r="QIT1" s="9" t="s">
        <v>11764</v>
      </c>
      <c r="QIU1" s="9" t="s">
        <v>11765</v>
      </c>
      <c r="QIV1" s="9" t="s">
        <v>11766</v>
      </c>
      <c r="QIW1" s="9" t="s">
        <v>11767</v>
      </c>
      <c r="QIX1" s="9" t="s">
        <v>11768</v>
      </c>
      <c r="QIY1" s="9" t="s">
        <v>11769</v>
      </c>
      <c r="QIZ1" s="9" t="s">
        <v>11770</v>
      </c>
      <c r="QJA1" s="9" t="s">
        <v>11771</v>
      </c>
      <c r="QJB1" s="9" t="s">
        <v>11772</v>
      </c>
      <c r="QJC1" s="9" t="s">
        <v>11773</v>
      </c>
      <c r="QJD1" s="9" t="s">
        <v>11774</v>
      </c>
      <c r="QJE1" s="9" t="s">
        <v>11775</v>
      </c>
      <c r="QJF1" s="9" t="s">
        <v>11776</v>
      </c>
      <c r="QJG1" s="9" t="s">
        <v>11777</v>
      </c>
      <c r="QJH1" s="9" t="s">
        <v>11778</v>
      </c>
      <c r="QJI1" s="9" t="s">
        <v>11779</v>
      </c>
      <c r="QJJ1" s="9" t="s">
        <v>11780</v>
      </c>
      <c r="QJK1" s="9" t="s">
        <v>11781</v>
      </c>
      <c r="QJL1" s="9" t="s">
        <v>11782</v>
      </c>
      <c r="QJM1" s="9" t="s">
        <v>11783</v>
      </c>
      <c r="QJN1" s="9" t="s">
        <v>11784</v>
      </c>
      <c r="QJO1" s="9" t="s">
        <v>11785</v>
      </c>
      <c r="QJP1" s="9" t="s">
        <v>11786</v>
      </c>
      <c r="QJQ1" s="9" t="s">
        <v>11787</v>
      </c>
      <c r="QJR1" s="9" t="s">
        <v>11788</v>
      </c>
      <c r="QJS1" s="9" t="s">
        <v>11789</v>
      </c>
      <c r="QJT1" s="9" t="s">
        <v>11790</v>
      </c>
      <c r="QJU1" s="9" t="s">
        <v>11791</v>
      </c>
      <c r="QJV1" s="9" t="s">
        <v>11792</v>
      </c>
      <c r="QJW1" s="9" t="s">
        <v>11793</v>
      </c>
      <c r="QJX1" s="9" t="s">
        <v>11794</v>
      </c>
      <c r="QJY1" s="9" t="s">
        <v>11795</v>
      </c>
      <c r="QJZ1" s="9" t="s">
        <v>11796</v>
      </c>
      <c r="QKA1" s="9" t="s">
        <v>11797</v>
      </c>
      <c r="QKB1" s="9" t="s">
        <v>11798</v>
      </c>
      <c r="QKC1" s="9" t="s">
        <v>11799</v>
      </c>
      <c r="QKD1" s="9" t="s">
        <v>11800</v>
      </c>
      <c r="QKE1" s="9" t="s">
        <v>11801</v>
      </c>
      <c r="QKF1" s="9" t="s">
        <v>11802</v>
      </c>
      <c r="QKG1" s="9" t="s">
        <v>11803</v>
      </c>
      <c r="QKH1" s="9" t="s">
        <v>11804</v>
      </c>
      <c r="QKI1" s="9" t="s">
        <v>11805</v>
      </c>
      <c r="QKJ1" s="9" t="s">
        <v>11806</v>
      </c>
      <c r="QKK1" s="9" t="s">
        <v>11807</v>
      </c>
      <c r="QKL1" s="9" t="s">
        <v>11808</v>
      </c>
      <c r="QKM1" s="9" t="s">
        <v>11809</v>
      </c>
      <c r="QKN1" s="9" t="s">
        <v>11810</v>
      </c>
      <c r="QKO1" s="9" t="s">
        <v>11811</v>
      </c>
      <c r="QKP1" s="9" t="s">
        <v>11812</v>
      </c>
      <c r="QKQ1" s="9" t="s">
        <v>11813</v>
      </c>
      <c r="QKR1" s="9" t="s">
        <v>11814</v>
      </c>
      <c r="QKS1" s="9" t="s">
        <v>11815</v>
      </c>
      <c r="QKT1" s="9" t="s">
        <v>11816</v>
      </c>
      <c r="QKU1" s="9" t="s">
        <v>11817</v>
      </c>
      <c r="QKV1" s="9" t="s">
        <v>11818</v>
      </c>
      <c r="QKW1" s="9" t="s">
        <v>11819</v>
      </c>
      <c r="QKX1" s="9" t="s">
        <v>11820</v>
      </c>
      <c r="QKY1" s="9" t="s">
        <v>11821</v>
      </c>
      <c r="QKZ1" s="9" t="s">
        <v>11822</v>
      </c>
      <c r="QLA1" s="9" t="s">
        <v>11823</v>
      </c>
      <c r="QLB1" s="9" t="s">
        <v>11824</v>
      </c>
      <c r="QLC1" s="9" t="s">
        <v>11825</v>
      </c>
      <c r="QLD1" s="9" t="s">
        <v>11826</v>
      </c>
      <c r="QLE1" s="9" t="s">
        <v>11827</v>
      </c>
      <c r="QLF1" s="9" t="s">
        <v>11828</v>
      </c>
      <c r="QLG1" s="9" t="s">
        <v>11829</v>
      </c>
      <c r="QLH1" s="9" t="s">
        <v>11830</v>
      </c>
      <c r="QLI1" s="9" t="s">
        <v>11831</v>
      </c>
      <c r="QLJ1" s="9" t="s">
        <v>11832</v>
      </c>
      <c r="QLK1" s="9" t="s">
        <v>11833</v>
      </c>
      <c r="QLL1" s="9" t="s">
        <v>11834</v>
      </c>
      <c r="QLM1" s="9" t="s">
        <v>11835</v>
      </c>
      <c r="QLN1" s="9" t="s">
        <v>11836</v>
      </c>
      <c r="QLO1" s="9" t="s">
        <v>11837</v>
      </c>
      <c r="QLP1" s="9" t="s">
        <v>11838</v>
      </c>
      <c r="QLQ1" s="9" t="s">
        <v>11839</v>
      </c>
      <c r="QLR1" s="9" t="s">
        <v>11840</v>
      </c>
      <c r="QLS1" s="9" t="s">
        <v>11841</v>
      </c>
      <c r="QLT1" s="9" t="s">
        <v>11842</v>
      </c>
      <c r="QLU1" s="9" t="s">
        <v>11843</v>
      </c>
      <c r="QLV1" s="9" t="s">
        <v>11844</v>
      </c>
      <c r="QLW1" s="9" t="s">
        <v>11845</v>
      </c>
      <c r="QLX1" s="9" t="s">
        <v>11846</v>
      </c>
      <c r="QLY1" s="9" t="s">
        <v>11847</v>
      </c>
      <c r="QLZ1" s="9" t="s">
        <v>11848</v>
      </c>
      <c r="QMA1" s="9" t="s">
        <v>11849</v>
      </c>
      <c r="QMB1" s="9" t="s">
        <v>11850</v>
      </c>
      <c r="QMC1" s="9" t="s">
        <v>11851</v>
      </c>
      <c r="QMD1" s="9" t="s">
        <v>11852</v>
      </c>
      <c r="QME1" s="9" t="s">
        <v>11853</v>
      </c>
      <c r="QMF1" s="9" t="s">
        <v>11854</v>
      </c>
      <c r="QMG1" s="9" t="s">
        <v>11855</v>
      </c>
      <c r="QMH1" s="9" t="s">
        <v>11856</v>
      </c>
      <c r="QMI1" s="9" t="s">
        <v>11857</v>
      </c>
      <c r="QMJ1" s="9" t="s">
        <v>11858</v>
      </c>
      <c r="QMK1" s="9" t="s">
        <v>11859</v>
      </c>
      <c r="QML1" s="9" t="s">
        <v>11860</v>
      </c>
      <c r="QMM1" s="9" t="s">
        <v>11861</v>
      </c>
      <c r="QMN1" s="9" t="s">
        <v>11862</v>
      </c>
      <c r="QMO1" s="9" t="s">
        <v>11863</v>
      </c>
      <c r="QMP1" s="9" t="s">
        <v>11864</v>
      </c>
      <c r="QMQ1" s="9" t="s">
        <v>11865</v>
      </c>
      <c r="QMR1" s="9" t="s">
        <v>11866</v>
      </c>
      <c r="QMS1" s="9" t="s">
        <v>11867</v>
      </c>
      <c r="QMT1" s="9" t="s">
        <v>11868</v>
      </c>
      <c r="QMU1" s="9" t="s">
        <v>11869</v>
      </c>
      <c r="QMV1" s="9" t="s">
        <v>11870</v>
      </c>
      <c r="QMW1" s="9" t="s">
        <v>11871</v>
      </c>
      <c r="QMX1" s="9" t="s">
        <v>11872</v>
      </c>
      <c r="QMY1" s="9" t="s">
        <v>11873</v>
      </c>
      <c r="QMZ1" s="9" t="s">
        <v>11874</v>
      </c>
      <c r="QNA1" s="9" t="s">
        <v>11875</v>
      </c>
      <c r="QNB1" s="9" t="s">
        <v>11876</v>
      </c>
      <c r="QNC1" s="9" t="s">
        <v>11877</v>
      </c>
      <c r="QND1" s="9" t="s">
        <v>11878</v>
      </c>
      <c r="QNE1" s="9" t="s">
        <v>11879</v>
      </c>
      <c r="QNF1" s="9" t="s">
        <v>11880</v>
      </c>
      <c r="QNG1" s="9" t="s">
        <v>11881</v>
      </c>
      <c r="QNH1" s="9" t="s">
        <v>11882</v>
      </c>
      <c r="QNI1" s="9" t="s">
        <v>11883</v>
      </c>
      <c r="QNJ1" s="9" t="s">
        <v>11884</v>
      </c>
      <c r="QNK1" s="9" t="s">
        <v>11885</v>
      </c>
      <c r="QNL1" s="9" t="s">
        <v>11886</v>
      </c>
      <c r="QNM1" s="9" t="s">
        <v>11887</v>
      </c>
      <c r="QNN1" s="9" t="s">
        <v>11888</v>
      </c>
      <c r="QNO1" s="9" t="s">
        <v>11889</v>
      </c>
      <c r="QNP1" s="9" t="s">
        <v>11890</v>
      </c>
      <c r="QNQ1" s="9" t="s">
        <v>11891</v>
      </c>
      <c r="QNR1" s="9" t="s">
        <v>11892</v>
      </c>
      <c r="QNS1" s="9" t="s">
        <v>11893</v>
      </c>
      <c r="QNT1" s="9" t="s">
        <v>11894</v>
      </c>
      <c r="QNU1" s="9" t="s">
        <v>11895</v>
      </c>
      <c r="QNV1" s="9" t="s">
        <v>11896</v>
      </c>
      <c r="QNW1" s="9" t="s">
        <v>11897</v>
      </c>
      <c r="QNX1" s="9" t="s">
        <v>11898</v>
      </c>
      <c r="QNY1" s="9" t="s">
        <v>11899</v>
      </c>
      <c r="QNZ1" s="9" t="s">
        <v>11900</v>
      </c>
      <c r="QOA1" s="9" t="s">
        <v>11901</v>
      </c>
      <c r="QOB1" s="9" t="s">
        <v>11902</v>
      </c>
      <c r="QOC1" s="9" t="s">
        <v>11903</v>
      </c>
      <c r="QOD1" s="9" t="s">
        <v>11904</v>
      </c>
      <c r="QOE1" s="9" t="s">
        <v>11905</v>
      </c>
      <c r="QOF1" s="9" t="s">
        <v>11906</v>
      </c>
      <c r="QOG1" s="9" t="s">
        <v>11907</v>
      </c>
      <c r="QOH1" s="9" t="s">
        <v>11908</v>
      </c>
      <c r="QOI1" s="9" t="s">
        <v>11909</v>
      </c>
      <c r="QOJ1" s="9" t="s">
        <v>11910</v>
      </c>
      <c r="QOK1" s="9" t="s">
        <v>11911</v>
      </c>
      <c r="QOL1" s="9" t="s">
        <v>11912</v>
      </c>
      <c r="QOM1" s="9" t="s">
        <v>11913</v>
      </c>
      <c r="QON1" s="9" t="s">
        <v>11914</v>
      </c>
      <c r="QOO1" s="9" t="s">
        <v>11915</v>
      </c>
      <c r="QOP1" s="9" t="s">
        <v>11916</v>
      </c>
      <c r="QOQ1" s="9" t="s">
        <v>11917</v>
      </c>
      <c r="QOR1" s="9" t="s">
        <v>11918</v>
      </c>
      <c r="QOS1" s="9" t="s">
        <v>11919</v>
      </c>
      <c r="QOT1" s="9" t="s">
        <v>11920</v>
      </c>
      <c r="QOU1" s="9" t="s">
        <v>11921</v>
      </c>
      <c r="QOV1" s="9" t="s">
        <v>11922</v>
      </c>
      <c r="QOW1" s="9" t="s">
        <v>11923</v>
      </c>
      <c r="QOX1" s="9" t="s">
        <v>11924</v>
      </c>
      <c r="QOY1" s="9" t="s">
        <v>11925</v>
      </c>
      <c r="QOZ1" s="9" t="s">
        <v>11926</v>
      </c>
      <c r="QPA1" s="9" t="s">
        <v>11927</v>
      </c>
      <c r="QPB1" s="9" t="s">
        <v>11928</v>
      </c>
      <c r="QPC1" s="9" t="s">
        <v>11929</v>
      </c>
      <c r="QPD1" s="9" t="s">
        <v>11930</v>
      </c>
      <c r="QPE1" s="9" t="s">
        <v>11931</v>
      </c>
      <c r="QPF1" s="9" t="s">
        <v>11932</v>
      </c>
      <c r="QPG1" s="9" t="s">
        <v>11933</v>
      </c>
      <c r="QPH1" s="9" t="s">
        <v>11934</v>
      </c>
      <c r="QPI1" s="9" t="s">
        <v>11935</v>
      </c>
      <c r="QPJ1" s="9" t="s">
        <v>11936</v>
      </c>
      <c r="QPK1" s="9" t="s">
        <v>11937</v>
      </c>
      <c r="QPL1" s="9" t="s">
        <v>11938</v>
      </c>
      <c r="QPM1" s="9" t="s">
        <v>11939</v>
      </c>
      <c r="QPN1" s="9" t="s">
        <v>11940</v>
      </c>
      <c r="QPO1" s="9" t="s">
        <v>11941</v>
      </c>
      <c r="QPP1" s="9" t="s">
        <v>11942</v>
      </c>
      <c r="QPQ1" s="9" t="s">
        <v>11943</v>
      </c>
      <c r="QPR1" s="9" t="s">
        <v>11944</v>
      </c>
      <c r="QPS1" s="9" t="s">
        <v>11945</v>
      </c>
      <c r="QPT1" s="9" t="s">
        <v>11946</v>
      </c>
      <c r="QPU1" s="9" t="s">
        <v>11947</v>
      </c>
      <c r="QPV1" s="9" t="s">
        <v>11948</v>
      </c>
      <c r="QPW1" s="9" t="s">
        <v>11949</v>
      </c>
      <c r="QPX1" s="9" t="s">
        <v>11950</v>
      </c>
      <c r="QPY1" s="9" t="s">
        <v>11951</v>
      </c>
      <c r="QPZ1" s="9" t="s">
        <v>11952</v>
      </c>
      <c r="QQA1" s="9" t="s">
        <v>11953</v>
      </c>
      <c r="QQB1" s="9" t="s">
        <v>11954</v>
      </c>
      <c r="QQC1" s="9" t="s">
        <v>11955</v>
      </c>
      <c r="QQD1" s="9" t="s">
        <v>11956</v>
      </c>
      <c r="QQE1" s="9" t="s">
        <v>11957</v>
      </c>
      <c r="QQF1" s="9" t="s">
        <v>11958</v>
      </c>
      <c r="QQG1" s="9" t="s">
        <v>11959</v>
      </c>
      <c r="QQH1" s="9" t="s">
        <v>11960</v>
      </c>
      <c r="QQI1" s="9" t="s">
        <v>11961</v>
      </c>
      <c r="QQJ1" s="9" t="s">
        <v>11962</v>
      </c>
      <c r="QQK1" s="9" t="s">
        <v>11963</v>
      </c>
      <c r="QQL1" s="9" t="s">
        <v>11964</v>
      </c>
      <c r="QQM1" s="9" t="s">
        <v>11965</v>
      </c>
      <c r="QQN1" s="9" t="s">
        <v>11966</v>
      </c>
      <c r="QQO1" s="9" t="s">
        <v>11967</v>
      </c>
      <c r="QQP1" s="9" t="s">
        <v>11968</v>
      </c>
      <c r="QQQ1" s="9" t="s">
        <v>11969</v>
      </c>
      <c r="QQR1" s="9" t="s">
        <v>11970</v>
      </c>
      <c r="QQS1" s="9" t="s">
        <v>11971</v>
      </c>
      <c r="QQT1" s="9" t="s">
        <v>11972</v>
      </c>
      <c r="QQU1" s="9" t="s">
        <v>11973</v>
      </c>
      <c r="QQV1" s="9" t="s">
        <v>11974</v>
      </c>
      <c r="QQW1" s="9" t="s">
        <v>11975</v>
      </c>
      <c r="QQX1" s="9" t="s">
        <v>11976</v>
      </c>
      <c r="QQY1" s="9" t="s">
        <v>11977</v>
      </c>
      <c r="QQZ1" s="9" t="s">
        <v>11978</v>
      </c>
      <c r="QRA1" s="9" t="s">
        <v>11979</v>
      </c>
      <c r="QRB1" s="9" t="s">
        <v>11980</v>
      </c>
      <c r="QRC1" s="9" t="s">
        <v>11981</v>
      </c>
      <c r="QRD1" s="9" t="s">
        <v>11982</v>
      </c>
      <c r="QRE1" s="9" t="s">
        <v>11983</v>
      </c>
      <c r="QRF1" s="9" t="s">
        <v>11984</v>
      </c>
      <c r="QRG1" s="9" t="s">
        <v>11985</v>
      </c>
      <c r="QRH1" s="9" t="s">
        <v>11986</v>
      </c>
      <c r="QRI1" s="9" t="s">
        <v>11987</v>
      </c>
      <c r="QRJ1" s="9" t="s">
        <v>11988</v>
      </c>
      <c r="QRK1" s="9" t="s">
        <v>11989</v>
      </c>
      <c r="QRL1" s="9" t="s">
        <v>11990</v>
      </c>
      <c r="QRM1" s="9" t="s">
        <v>11991</v>
      </c>
      <c r="QRN1" s="9" t="s">
        <v>11992</v>
      </c>
      <c r="QRO1" s="9" t="s">
        <v>11993</v>
      </c>
      <c r="QRP1" s="9" t="s">
        <v>11994</v>
      </c>
      <c r="QRQ1" s="9" t="s">
        <v>11995</v>
      </c>
      <c r="QRR1" s="9" t="s">
        <v>11996</v>
      </c>
      <c r="QRS1" s="9" t="s">
        <v>11997</v>
      </c>
      <c r="QRT1" s="9" t="s">
        <v>11998</v>
      </c>
      <c r="QRU1" s="9" t="s">
        <v>11999</v>
      </c>
      <c r="QRV1" s="9" t="s">
        <v>12000</v>
      </c>
      <c r="QRW1" s="9" t="s">
        <v>12001</v>
      </c>
      <c r="QRX1" s="9" t="s">
        <v>12002</v>
      </c>
      <c r="QRY1" s="9" t="s">
        <v>12003</v>
      </c>
      <c r="QRZ1" s="9" t="s">
        <v>12004</v>
      </c>
      <c r="QSA1" s="9" t="s">
        <v>12005</v>
      </c>
      <c r="QSB1" s="9" t="s">
        <v>12006</v>
      </c>
      <c r="QSC1" s="9" t="s">
        <v>12007</v>
      </c>
      <c r="QSD1" s="9" t="s">
        <v>12008</v>
      </c>
      <c r="QSE1" s="9" t="s">
        <v>12009</v>
      </c>
      <c r="QSF1" s="9" t="s">
        <v>12010</v>
      </c>
      <c r="QSG1" s="9" t="s">
        <v>12011</v>
      </c>
      <c r="QSH1" s="9" t="s">
        <v>12012</v>
      </c>
      <c r="QSI1" s="9" t="s">
        <v>12013</v>
      </c>
      <c r="QSJ1" s="9" t="s">
        <v>12014</v>
      </c>
      <c r="QSK1" s="9" t="s">
        <v>12015</v>
      </c>
      <c r="QSL1" s="9" t="s">
        <v>12016</v>
      </c>
      <c r="QSM1" s="9" t="s">
        <v>12017</v>
      </c>
      <c r="QSN1" s="9" t="s">
        <v>12018</v>
      </c>
      <c r="QSO1" s="9" t="s">
        <v>12019</v>
      </c>
      <c r="QSP1" s="9" t="s">
        <v>12020</v>
      </c>
      <c r="QSQ1" s="9" t="s">
        <v>12021</v>
      </c>
      <c r="QSR1" s="9" t="s">
        <v>12022</v>
      </c>
      <c r="QSS1" s="9" t="s">
        <v>12023</v>
      </c>
      <c r="QST1" s="9" t="s">
        <v>12024</v>
      </c>
      <c r="QSU1" s="9" t="s">
        <v>12025</v>
      </c>
      <c r="QSV1" s="9" t="s">
        <v>12026</v>
      </c>
      <c r="QSW1" s="9" t="s">
        <v>12027</v>
      </c>
      <c r="QSX1" s="9" t="s">
        <v>12028</v>
      </c>
      <c r="QSY1" s="9" t="s">
        <v>12029</v>
      </c>
      <c r="QSZ1" s="9" t="s">
        <v>12030</v>
      </c>
      <c r="QTA1" s="9" t="s">
        <v>12031</v>
      </c>
      <c r="QTB1" s="9" t="s">
        <v>12032</v>
      </c>
      <c r="QTC1" s="9" t="s">
        <v>12033</v>
      </c>
      <c r="QTD1" s="9" t="s">
        <v>12034</v>
      </c>
      <c r="QTE1" s="9" t="s">
        <v>12035</v>
      </c>
      <c r="QTF1" s="9" t="s">
        <v>12036</v>
      </c>
      <c r="QTG1" s="9" t="s">
        <v>12037</v>
      </c>
      <c r="QTH1" s="9" t="s">
        <v>12038</v>
      </c>
      <c r="QTI1" s="9" t="s">
        <v>12039</v>
      </c>
      <c r="QTJ1" s="9" t="s">
        <v>12040</v>
      </c>
      <c r="QTK1" s="9" t="s">
        <v>12041</v>
      </c>
      <c r="QTL1" s="9" t="s">
        <v>12042</v>
      </c>
      <c r="QTM1" s="9" t="s">
        <v>12043</v>
      </c>
      <c r="QTN1" s="9" t="s">
        <v>12044</v>
      </c>
      <c r="QTO1" s="9" t="s">
        <v>12045</v>
      </c>
      <c r="QTP1" s="9" t="s">
        <v>12046</v>
      </c>
      <c r="QTQ1" s="9" t="s">
        <v>12047</v>
      </c>
      <c r="QTR1" s="9" t="s">
        <v>12048</v>
      </c>
      <c r="QTS1" s="9" t="s">
        <v>12049</v>
      </c>
      <c r="QTT1" s="9" t="s">
        <v>12050</v>
      </c>
      <c r="QTU1" s="9" t="s">
        <v>12051</v>
      </c>
      <c r="QTV1" s="9" t="s">
        <v>12052</v>
      </c>
      <c r="QTW1" s="9" t="s">
        <v>12053</v>
      </c>
      <c r="QTX1" s="9" t="s">
        <v>12054</v>
      </c>
      <c r="QTY1" s="9" t="s">
        <v>12055</v>
      </c>
      <c r="QTZ1" s="9" t="s">
        <v>12056</v>
      </c>
      <c r="QUA1" s="9" t="s">
        <v>12057</v>
      </c>
      <c r="QUB1" s="9" t="s">
        <v>12058</v>
      </c>
      <c r="QUC1" s="9" t="s">
        <v>12059</v>
      </c>
      <c r="QUD1" s="9" t="s">
        <v>12060</v>
      </c>
      <c r="QUE1" s="9" t="s">
        <v>12061</v>
      </c>
      <c r="QUF1" s="9" t="s">
        <v>12062</v>
      </c>
      <c r="QUG1" s="9" t="s">
        <v>12063</v>
      </c>
      <c r="QUH1" s="9" t="s">
        <v>12064</v>
      </c>
      <c r="QUI1" s="9" t="s">
        <v>12065</v>
      </c>
      <c r="QUJ1" s="9" t="s">
        <v>12066</v>
      </c>
      <c r="QUK1" s="9" t="s">
        <v>12067</v>
      </c>
      <c r="QUL1" s="9" t="s">
        <v>12068</v>
      </c>
      <c r="QUM1" s="9" t="s">
        <v>12069</v>
      </c>
      <c r="QUN1" s="9" t="s">
        <v>12070</v>
      </c>
      <c r="QUO1" s="9" t="s">
        <v>12071</v>
      </c>
      <c r="QUP1" s="9" t="s">
        <v>12072</v>
      </c>
      <c r="QUQ1" s="9" t="s">
        <v>12073</v>
      </c>
      <c r="QUR1" s="9" t="s">
        <v>12074</v>
      </c>
      <c r="QUS1" s="9" t="s">
        <v>12075</v>
      </c>
      <c r="QUT1" s="9" t="s">
        <v>12076</v>
      </c>
      <c r="QUU1" s="9" t="s">
        <v>12077</v>
      </c>
      <c r="QUV1" s="9" t="s">
        <v>12078</v>
      </c>
      <c r="QUW1" s="9" t="s">
        <v>12079</v>
      </c>
      <c r="QUX1" s="9" t="s">
        <v>12080</v>
      </c>
      <c r="QUY1" s="9" t="s">
        <v>12081</v>
      </c>
      <c r="QUZ1" s="9" t="s">
        <v>12082</v>
      </c>
      <c r="QVA1" s="9" t="s">
        <v>12083</v>
      </c>
      <c r="QVB1" s="9" t="s">
        <v>12084</v>
      </c>
      <c r="QVC1" s="9" t="s">
        <v>12085</v>
      </c>
      <c r="QVD1" s="9" t="s">
        <v>12086</v>
      </c>
      <c r="QVE1" s="9" t="s">
        <v>12087</v>
      </c>
      <c r="QVF1" s="9" t="s">
        <v>12088</v>
      </c>
      <c r="QVG1" s="9" t="s">
        <v>12089</v>
      </c>
      <c r="QVH1" s="9" t="s">
        <v>12090</v>
      </c>
      <c r="QVI1" s="9" t="s">
        <v>12091</v>
      </c>
      <c r="QVJ1" s="9" t="s">
        <v>12092</v>
      </c>
      <c r="QVK1" s="9" t="s">
        <v>12093</v>
      </c>
      <c r="QVL1" s="9" t="s">
        <v>12094</v>
      </c>
      <c r="QVM1" s="9" t="s">
        <v>12095</v>
      </c>
      <c r="QVN1" s="9" t="s">
        <v>12096</v>
      </c>
      <c r="QVO1" s="9" t="s">
        <v>12097</v>
      </c>
      <c r="QVP1" s="9" t="s">
        <v>12098</v>
      </c>
      <c r="QVQ1" s="9" t="s">
        <v>12099</v>
      </c>
      <c r="QVR1" s="9" t="s">
        <v>12100</v>
      </c>
      <c r="QVS1" s="9" t="s">
        <v>12101</v>
      </c>
      <c r="QVT1" s="9" t="s">
        <v>12102</v>
      </c>
      <c r="QVU1" s="9" t="s">
        <v>12103</v>
      </c>
      <c r="QVV1" s="9" t="s">
        <v>12104</v>
      </c>
      <c r="QVW1" s="9" t="s">
        <v>12105</v>
      </c>
      <c r="QVX1" s="9" t="s">
        <v>12106</v>
      </c>
      <c r="QVY1" s="9" t="s">
        <v>12107</v>
      </c>
      <c r="QVZ1" s="9" t="s">
        <v>12108</v>
      </c>
      <c r="QWA1" s="9" t="s">
        <v>12109</v>
      </c>
      <c r="QWB1" s="9" t="s">
        <v>12110</v>
      </c>
      <c r="QWC1" s="9" t="s">
        <v>12111</v>
      </c>
      <c r="QWD1" s="9" t="s">
        <v>12112</v>
      </c>
      <c r="QWE1" s="9" t="s">
        <v>12113</v>
      </c>
      <c r="QWF1" s="9" t="s">
        <v>12114</v>
      </c>
      <c r="QWG1" s="9" t="s">
        <v>12115</v>
      </c>
      <c r="QWH1" s="9" t="s">
        <v>12116</v>
      </c>
      <c r="QWI1" s="9" t="s">
        <v>12117</v>
      </c>
      <c r="QWJ1" s="9" t="s">
        <v>12118</v>
      </c>
      <c r="QWK1" s="9" t="s">
        <v>12119</v>
      </c>
      <c r="QWL1" s="9" t="s">
        <v>12120</v>
      </c>
      <c r="QWM1" s="9" t="s">
        <v>12121</v>
      </c>
      <c r="QWN1" s="9" t="s">
        <v>12122</v>
      </c>
      <c r="QWO1" s="9" t="s">
        <v>12123</v>
      </c>
      <c r="QWP1" s="9" t="s">
        <v>12124</v>
      </c>
      <c r="QWQ1" s="9" t="s">
        <v>12125</v>
      </c>
      <c r="QWR1" s="9" t="s">
        <v>12126</v>
      </c>
      <c r="QWS1" s="9" t="s">
        <v>12127</v>
      </c>
      <c r="QWT1" s="9" t="s">
        <v>12128</v>
      </c>
      <c r="QWU1" s="9" t="s">
        <v>12129</v>
      </c>
      <c r="QWV1" s="9" t="s">
        <v>12130</v>
      </c>
      <c r="QWW1" s="9" t="s">
        <v>12131</v>
      </c>
      <c r="QWX1" s="9" t="s">
        <v>12132</v>
      </c>
      <c r="QWY1" s="9" t="s">
        <v>12133</v>
      </c>
      <c r="QWZ1" s="9" t="s">
        <v>12134</v>
      </c>
      <c r="QXA1" s="9" t="s">
        <v>12135</v>
      </c>
      <c r="QXB1" s="9" t="s">
        <v>12136</v>
      </c>
      <c r="QXC1" s="9" t="s">
        <v>12137</v>
      </c>
      <c r="QXD1" s="9" t="s">
        <v>12138</v>
      </c>
      <c r="QXE1" s="9" t="s">
        <v>12139</v>
      </c>
      <c r="QXF1" s="9" t="s">
        <v>12140</v>
      </c>
      <c r="QXG1" s="9" t="s">
        <v>12141</v>
      </c>
      <c r="QXH1" s="9" t="s">
        <v>12142</v>
      </c>
      <c r="QXI1" s="9" t="s">
        <v>12143</v>
      </c>
      <c r="QXJ1" s="9" t="s">
        <v>12144</v>
      </c>
      <c r="QXK1" s="9" t="s">
        <v>12145</v>
      </c>
      <c r="QXL1" s="9" t="s">
        <v>12146</v>
      </c>
      <c r="QXM1" s="9" t="s">
        <v>12147</v>
      </c>
      <c r="QXN1" s="9" t="s">
        <v>12148</v>
      </c>
      <c r="QXO1" s="9" t="s">
        <v>12149</v>
      </c>
      <c r="QXP1" s="9" t="s">
        <v>12150</v>
      </c>
      <c r="QXQ1" s="9" t="s">
        <v>12151</v>
      </c>
      <c r="QXR1" s="9" t="s">
        <v>12152</v>
      </c>
      <c r="QXS1" s="9" t="s">
        <v>12153</v>
      </c>
      <c r="QXT1" s="9" t="s">
        <v>12154</v>
      </c>
      <c r="QXU1" s="9" t="s">
        <v>12155</v>
      </c>
      <c r="QXV1" s="9" t="s">
        <v>12156</v>
      </c>
      <c r="QXW1" s="9" t="s">
        <v>12157</v>
      </c>
      <c r="QXX1" s="9" t="s">
        <v>12158</v>
      </c>
      <c r="QXY1" s="9" t="s">
        <v>12159</v>
      </c>
      <c r="QXZ1" s="9" t="s">
        <v>12160</v>
      </c>
      <c r="QYA1" s="9" t="s">
        <v>12161</v>
      </c>
      <c r="QYB1" s="9" t="s">
        <v>12162</v>
      </c>
      <c r="QYC1" s="9" t="s">
        <v>12163</v>
      </c>
      <c r="QYD1" s="9" t="s">
        <v>12164</v>
      </c>
      <c r="QYE1" s="9" t="s">
        <v>12165</v>
      </c>
      <c r="QYF1" s="9" t="s">
        <v>12166</v>
      </c>
      <c r="QYG1" s="9" t="s">
        <v>12167</v>
      </c>
      <c r="QYH1" s="9" t="s">
        <v>12168</v>
      </c>
      <c r="QYI1" s="9" t="s">
        <v>12169</v>
      </c>
      <c r="QYJ1" s="9" t="s">
        <v>12170</v>
      </c>
      <c r="QYK1" s="9" t="s">
        <v>12171</v>
      </c>
      <c r="QYL1" s="9" t="s">
        <v>12172</v>
      </c>
      <c r="QYM1" s="9" t="s">
        <v>12173</v>
      </c>
      <c r="QYN1" s="9" t="s">
        <v>12174</v>
      </c>
      <c r="QYO1" s="9" t="s">
        <v>12175</v>
      </c>
      <c r="QYP1" s="9" t="s">
        <v>12176</v>
      </c>
      <c r="QYQ1" s="9" t="s">
        <v>12177</v>
      </c>
      <c r="QYR1" s="9" t="s">
        <v>12178</v>
      </c>
      <c r="QYS1" s="9" t="s">
        <v>12179</v>
      </c>
      <c r="QYT1" s="9" t="s">
        <v>12180</v>
      </c>
      <c r="QYU1" s="9" t="s">
        <v>12181</v>
      </c>
      <c r="QYV1" s="9" t="s">
        <v>12182</v>
      </c>
      <c r="QYW1" s="9" t="s">
        <v>12183</v>
      </c>
      <c r="QYX1" s="9" t="s">
        <v>12184</v>
      </c>
      <c r="QYY1" s="9" t="s">
        <v>12185</v>
      </c>
      <c r="QYZ1" s="9" t="s">
        <v>12186</v>
      </c>
      <c r="QZA1" s="9" t="s">
        <v>12187</v>
      </c>
      <c r="QZB1" s="9" t="s">
        <v>12188</v>
      </c>
      <c r="QZC1" s="9" t="s">
        <v>12189</v>
      </c>
      <c r="QZD1" s="9" t="s">
        <v>12190</v>
      </c>
      <c r="QZE1" s="9" t="s">
        <v>12191</v>
      </c>
      <c r="QZF1" s="9" t="s">
        <v>12192</v>
      </c>
      <c r="QZG1" s="9" t="s">
        <v>12193</v>
      </c>
      <c r="QZH1" s="9" t="s">
        <v>12194</v>
      </c>
      <c r="QZI1" s="9" t="s">
        <v>12195</v>
      </c>
      <c r="QZJ1" s="9" t="s">
        <v>12196</v>
      </c>
      <c r="QZK1" s="9" t="s">
        <v>12197</v>
      </c>
      <c r="QZL1" s="9" t="s">
        <v>12198</v>
      </c>
      <c r="QZM1" s="9" t="s">
        <v>12199</v>
      </c>
      <c r="QZN1" s="9" t="s">
        <v>12200</v>
      </c>
      <c r="QZO1" s="9" t="s">
        <v>12201</v>
      </c>
      <c r="QZP1" s="9" t="s">
        <v>12202</v>
      </c>
      <c r="QZQ1" s="9" t="s">
        <v>12203</v>
      </c>
      <c r="QZR1" s="9" t="s">
        <v>12204</v>
      </c>
      <c r="QZS1" s="9" t="s">
        <v>12205</v>
      </c>
      <c r="QZT1" s="9" t="s">
        <v>12206</v>
      </c>
      <c r="QZU1" s="9" t="s">
        <v>12207</v>
      </c>
      <c r="QZV1" s="9" t="s">
        <v>12208</v>
      </c>
      <c r="QZW1" s="9" t="s">
        <v>12209</v>
      </c>
      <c r="QZX1" s="9" t="s">
        <v>12210</v>
      </c>
      <c r="QZY1" s="9" t="s">
        <v>12211</v>
      </c>
      <c r="QZZ1" s="9" t="s">
        <v>12212</v>
      </c>
      <c r="RAA1" s="9" t="s">
        <v>12213</v>
      </c>
      <c r="RAB1" s="9" t="s">
        <v>12214</v>
      </c>
      <c r="RAC1" s="9" t="s">
        <v>12215</v>
      </c>
      <c r="RAD1" s="9" t="s">
        <v>12216</v>
      </c>
      <c r="RAE1" s="9" t="s">
        <v>12217</v>
      </c>
      <c r="RAF1" s="9" t="s">
        <v>12218</v>
      </c>
      <c r="RAG1" s="9" t="s">
        <v>12219</v>
      </c>
      <c r="RAH1" s="9" t="s">
        <v>12220</v>
      </c>
      <c r="RAI1" s="9" t="s">
        <v>12221</v>
      </c>
      <c r="RAJ1" s="9" t="s">
        <v>12222</v>
      </c>
      <c r="RAK1" s="9" t="s">
        <v>12223</v>
      </c>
      <c r="RAL1" s="9" t="s">
        <v>12224</v>
      </c>
      <c r="RAM1" s="9" t="s">
        <v>12225</v>
      </c>
      <c r="RAN1" s="9" t="s">
        <v>12226</v>
      </c>
      <c r="RAO1" s="9" t="s">
        <v>12227</v>
      </c>
      <c r="RAP1" s="9" t="s">
        <v>12228</v>
      </c>
      <c r="RAQ1" s="9" t="s">
        <v>12229</v>
      </c>
      <c r="RAR1" s="9" t="s">
        <v>12230</v>
      </c>
      <c r="RAS1" s="9" t="s">
        <v>12231</v>
      </c>
      <c r="RAT1" s="9" t="s">
        <v>12232</v>
      </c>
      <c r="RAU1" s="9" t="s">
        <v>12233</v>
      </c>
      <c r="RAV1" s="9" t="s">
        <v>12234</v>
      </c>
      <c r="RAW1" s="9" t="s">
        <v>12235</v>
      </c>
      <c r="RAX1" s="9" t="s">
        <v>12236</v>
      </c>
      <c r="RAY1" s="9" t="s">
        <v>12237</v>
      </c>
      <c r="RAZ1" s="9" t="s">
        <v>12238</v>
      </c>
      <c r="RBA1" s="9" t="s">
        <v>12239</v>
      </c>
      <c r="RBB1" s="9" t="s">
        <v>12240</v>
      </c>
      <c r="RBC1" s="9" t="s">
        <v>12241</v>
      </c>
      <c r="RBD1" s="9" t="s">
        <v>12242</v>
      </c>
      <c r="RBE1" s="9" t="s">
        <v>12243</v>
      </c>
      <c r="RBF1" s="9" t="s">
        <v>12244</v>
      </c>
      <c r="RBG1" s="9" t="s">
        <v>12245</v>
      </c>
      <c r="RBH1" s="9" t="s">
        <v>12246</v>
      </c>
      <c r="RBI1" s="9" t="s">
        <v>12247</v>
      </c>
      <c r="RBJ1" s="9" t="s">
        <v>12248</v>
      </c>
      <c r="RBK1" s="9" t="s">
        <v>12249</v>
      </c>
      <c r="RBL1" s="9" t="s">
        <v>12250</v>
      </c>
      <c r="RBM1" s="9" t="s">
        <v>12251</v>
      </c>
      <c r="RBN1" s="9" t="s">
        <v>12252</v>
      </c>
      <c r="RBO1" s="9" t="s">
        <v>12253</v>
      </c>
      <c r="RBP1" s="9" t="s">
        <v>12254</v>
      </c>
      <c r="RBQ1" s="9" t="s">
        <v>12255</v>
      </c>
      <c r="RBR1" s="9" t="s">
        <v>12256</v>
      </c>
      <c r="RBS1" s="9" t="s">
        <v>12257</v>
      </c>
      <c r="RBT1" s="9" t="s">
        <v>12258</v>
      </c>
      <c r="RBU1" s="9" t="s">
        <v>12259</v>
      </c>
      <c r="RBV1" s="9" t="s">
        <v>12260</v>
      </c>
      <c r="RBW1" s="9" t="s">
        <v>12261</v>
      </c>
      <c r="RBX1" s="9" t="s">
        <v>12262</v>
      </c>
      <c r="RBY1" s="9" t="s">
        <v>12263</v>
      </c>
      <c r="RBZ1" s="9" t="s">
        <v>12264</v>
      </c>
      <c r="RCA1" s="9" t="s">
        <v>12265</v>
      </c>
      <c r="RCB1" s="9" t="s">
        <v>12266</v>
      </c>
      <c r="RCC1" s="9" t="s">
        <v>12267</v>
      </c>
      <c r="RCD1" s="9" t="s">
        <v>12268</v>
      </c>
      <c r="RCE1" s="9" t="s">
        <v>12269</v>
      </c>
      <c r="RCF1" s="9" t="s">
        <v>12270</v>
      </c>
      <c r="RCG1" s="9" t="s">
        <v>12271</v>
      </c>
      <c r="RCH1" s="9" t="s">
        <v>12272</v>
      </c>
      <c r="RCI1" s="9" t="s">
        <v>12273</v>
      </c>
      <c r="RCJ1" s="9" t="s">
        <v>12274</v>
      </c>
      <c r="RCK1" s="9" t="s">
        <v>12275</v>
      </c>
      <c r="RCL1" s="9" t="s">
        <v>12276</v>
      </c>
      <c r="RCM1" s="9" t="s">
        <v>12277</v>
      </c>
      <c r="RCN1" s="9" t="s">
        <v>12278</v>
      </c>
      <c r="RCO1" s="9" t="s">
        <v>12279</v>
      </c>
      <c r="RCP1" s="9" t="s">
        <v>12280</v>
      </c>
      <c r="RCQ1" s="9" t="s">
        <v>12281</v>
      </c>
      <c r="RCR1" s="9" t="s">
        <v>12282</v>
      </c>
      <c r="RCS1" s="9" t="s">
        <v>12283</v>
      </c>
      <c r="RCT1" s="9" t="s">
        <v>12284</v>
      </c>
      <c r="RCU1" s="9" t="s">
        <v>12285</v>
      </c>
      <c r="RCV1" s="9" t="s">
        <v>12286</v>
      </c>
      <c r="RCW1" s="9" t="s">
        <v>12287</v>
      </c>
      <c r="RCX1" s="9" t="s">
        <v>12288</v>
      </c>
      <c r="RCY1" s="9" t="s">
        <v>12289</v>
      </c>
      <c r="RCZ1" s="9" t="s">
        <v>12290</v>
      </c>
      <c r="RDA1" s="9" t="s">
        <v>12291</v>
      </c>
      <c r="RDB1" s="9" t="s">
        <v>12292</v>
      </c>
      <c r="RDC1" s="9" t="s">
        <v>12293</v>
      </c>
      <c r="RDD1" s="9" t="s">
        <v>12294</v>
      </c>
      <c r="RDE1" s="9" t="s">
        <v>12295</v>
      </c>
      <c r="RDF1" s="9" t="s">
        <v>12296</v>
      </c>
      <c r="RDG1" s="9" t="s">
        <v>12297</v>
      </c>
      <c r="RDH1" s="9" t="s">
        <v>12298</v>
      </c>
      <c r="RDI1" s="9" t="s">
        <v>12299</v>
      </c>
      <c r="RDJ1" s="9" t="s">
        <v>12300</v>
      </c>
      <c r="RDK1" s="9" t="s">
        <v>12301</v>
      </c>
      <c r="RDL1" s="9" t="s">
        <v>12302</v>
      </c>
      <c r="RDM1" s="9" t="s">
        <v>12303</v>
      </c>
      <c r="RDN1" s="9" t="s">
        <v>12304</v>
      </c>
      <c r="RDO1" s="9" t="s">
        <v>12305</v>
      </c>
      <c r="RDP1" s="9" t="s">
        <v>12306</v>
      </c>
      <c r="RDQ1" s="9" t="s">
        <v>12307</v>
      </c>
      <c r="RDR1" s="9" t="s">
        <v>12308</v>
      </c>
      <c r="RDS1" s="9" t="s">
        <v>12309</v>
      </c>
      <c r="RDT1" s="9" t="s">
        <v>12310</v>
      </c>
      <c r="RDU1" s="9" t="s">
        <v>12311</v>
      </c>
      <c r="RDV1" s="9" t="s">
        <v>12312</v>
      </c>
      <c r="RDW1" s="9" t="s">
        <v>12313</v>
      </c>
      <c r="RDX1" s="9" t="s">
        <v>12314</v>
      </c>
      <c r="RDY1" s="9" t="s">
        <v>12315</v>
      </c>
      <c r="RDZ1" s="9" t="s">
        <v>12316</v>
      </c>
      <c r="REA1" s="9" t="s">
        <v>12317</v>
      </c>
      <c r="REB1" s="9" t="s">
        <v>12318</v>
      </c>
      <c r="REC1" s="9" t="s">
        <v>12319</v>
      </c>
      <c r="RED1" s="9" t="s">
        <v>12320</v>
      </c>
      <c r="REE1" s="9" t="s">
        <v>12321</v>
      </c>
      <c r="REF1" s="9" t="s">
        <v>12322</v>
      </c>
      <c r="REG1" s="9" t="s">
        <v>12323</v>
      </c>
      <c r="REH1" s="9" t="s">
        <v>12324</v>
      </c>
      <c r="REI1" s="9" t="s">
        <v>12325</v>
      </c>
      <c r="REJ1" s="9" t="s">
        <v>12326</v>
      </c>
      <c r="REK1" s="9" t="s">
        <v>12327</v>
      </c>
      <c r="REL1" s="9" t="s">
        <v>12328</v>
      </c>
      <c r="REM1" s="9" t="s">
        <v>12329</v>
      </c>
      <c r="REN1" s="9" t="s">
        <v>12330</v>
      </c>
      <c r="REO1" s="9" t="s">
        <v>12331</v>
      </c>
      <c r="REP1" s="9" t="s">
        <v>12332</v>
      </c>
      <c r="REQ1" s="9" t="s">
        <v>12333</v>
      </c>
      <c r="RER1" s="9" t="s">
        <v>12334</v>
      </c>
      <c r="RES1" s="9" t="s">
        <v>12335</v>
      </c>
      <c r="RET1" s="9" t="s">
        <v>12336</v>
      </c>
      <c r="REU1" s="9" t="s">
        <v>12337</v>
      </c>
      <c r="REV1" s="9" t="s">
        <v>12338</v>
      </c>
      <c r="REW1" s="9" t="s">
        <v>12339</v>
      </c>
      <c r="REX1" s="9" t="s">
        <v>12340</v>
      </c>
      <c r="REY1" s="9" t="s">
        <v>12341</v>
      </c>
      <c r="REZ1" s="9" t="s">
        <v>12342</v>
      </c>
      <c r="RFA1" s="9" t="s">
        <v>12343</v>
      </c>
      <c r="RFB1" s="9" t="s">
        <v>12344</v>
      </c>
      <c r="RFC1" s="9" t="s">
        <v>12345</v>
      </c>
      <c r="RFD1" s="9" t="s">
        <v>12346</v>
      </c>
      <c r="RFE1" s="9" t="s">
        <v>12347</v>
      </c>
      <c r="RFF1" s="9" t="s">
        <v>12348</v>
      </c>
      <c r="RFG1" s="9" t="s">
        <v>12349</v>
      </c>
      <c r="RFH1" s="9" t="s">
        <v>12350</v>
      </c>
      <c r="RFI1" s="9" t="s">
        <v>12351</v>
      </c>
      <c r="RFJ1" s="9" t="s">
        <v>12352</v>
      </c>
      <c r="RFK1" s="9" t="s">
        <v>12353</v>
      </c>
      <c r="RFL1" s="9" t="s">
        <v>12354</v>
      </c>
      <c r="RFM1" s="9" t="s">
        <v>12355</v>
      </c>
      <c r="RFN1" s="9" t="s">
        <v>12356</v>
      </c>
      <c r="RFO1" s="9" t="s">
        <v>12357</v>
      </c>
      <c r="RFP1" s="9" t="s">
        <v>12358</v>
      </c>
      <c r="RFQ1" s="9" t="s">
        <v>12359</v>
      </c>
      <c r="RFR1" s="9" t="s">
        <v>12360</v>
      </c>
      <c r="RFS1" s="9" t="s">
        <v>12361</v>
      </c>
      <c r="RFT1" s="9" t="s">
        <v>12362</v>
      </c>
      <c r="RFU1" s="9" t="s">
        <v>12363</v>
      </c>
      <c r="RFV1" s="9" t="s">
        <v>12364</v>
      </c>
      <c r="RFW1" s="9" t="s">
        <v>12365</v>
      </c>
      <c r="RFX1" s="9" t="s">
        <v>12366</v>
      </c>
      <c r="RFY1" s="9" t="s">
        <v>12367</v>
      </c>
      <c r="RFZ1" s="9" t="s">
        <v>12368</v>
      </c>
      <c r="RGA1" s="9" t="s">
        <v>12369</v>
      </c>
      <c r="RGB1" s="9" t="s">
        <v>12370</v>
      </c>
      <c r="RGC1" s="9" t="s">
        <v>12371</v>
      </c>
      <c r="RGD1" s="9" t="s">
        <v>12372</v>
      </c>
      <c r="RGE1" s="9" t="s">
        <v>12373</v>
      </c>
      <c r="RGF1" s="9" t="s">
        <v>12374</v>
      </c>
      <c r="RGG1" s="9" t="s">
        <v>12375</v>
      </c>
      <c r="RGH1" s="9" t="s">
        <v>12376</v>
      </c>
      <c r="RGI1" s="9" t="s">
        <v>12377</v>
      </c>
      <c r="RGJ1" s="9" t="s">
        <v>12378</v>
      </c>
      <c r="RGK1" s="9" t="s">
        <v>12379</v>
      </c>
      <c r="RGL1" s="9" t="s">
        <v>12380</v>
      </c>
      <c r="RGM1" s="9" t="s">
        <v>12381</v>
      </c>
      <c r="RGN1" s="9" t="s">
        <v>12382</v>
      </c>
      <c r="RGO1" s="9" t="s">
        <v>12383</v>
      </c>
      <c r="RGP1" s="9" t="s">
        <v>12384</v>
      </c>
      <c r="RGQ1" s="9" t="s">
        <v>12385</v>
      </c>
      <c r="RGR1" s="9" t="s">
        <v>12386</v>
      </c>
      <c r="RGS1" s="9" t="s">
        <v>12387</v>
      </c>
      <c r="RGT1" s="9" t="s">
        <v>12388</v>
      </c>
      <c r="RGU1" s="9" t="s">
        <v>12389</v>
      </c>
      <c r="RGV1" s="9" t="s">
        <v>12390</v>
      </c>
      <c r="RGW1" s="9" t="s">
        <v>12391</v>
      </c>
      <c r="RGX1" s="9" t="s">
        <v>12392</v>
      </c>
      <c r="RGY1" s="9" t="s">
        <v>12393</v>
      </c>
      <c r="RGZ1" s="9" t="s">
        <v>12394</v>
      </c>
      <c r="RHA1" s="9" t="s">
        <v>12395</v>
      </c>
      <c r="RHB1" s="9" t="s">
        <v>12396</v>
      </c>
      <c r="RHC1" s="9" t="s">
        <v>12397</v>
      </c>
      <c r="RHD1" s="9" t="s">
        <v>12398</v>
      </c>
      <c r="RHE1" s="9" t="s">
        <v>12399</v>
      </c>
      <c r="RHF1" s="9" t="s">
        <v>12400</v>
      </c>
      <c r="RHG1" s="9" t="s">
        <v>12401</v>
      </c>
      <c r="RHH1" s="9" t="s">
        <v>12402</v>
      </c>
      <c r="RHI1" s="9" t="s">
        <v>12403</v>
      </c>
      <c r="RHJ1" s="9" t="s">
        <v>12404</v>
      </c>
      <c r="RHK1" s="9" t="s">
        <v>12405</v>
      </c>
      <c r="RHL1" s="9" t="s">
        <v>12406</v>
      </c>
      <c r="RHM1" s="9" t="s">
        <v>12407</v>
      </c>
      <c r="RHN1" s="9" t="s">
        <v>12408</v>
      </c>
      <c r="RHO1" s="9" t="s">
        <v>12409</v>
      </c>
      <c r="RHP1" s="9" t="s">
        <v>12410</v>
      </c>
      <c r="RHQ1" s="9" t="s">
        <v>12411</v>
      </c>
      <c r="RHR1" s="9" t="s">
        <v>12412</v>
      </c>
      <c r="RHS1" s="9" t="s">
        <v>12413</v>
      </c>
      <c r="RHT1" s="9" t="s">
        <v>12414</v>
      </c>
      <c r="RHU1" s="9" t="s">
        <v>12415</v>
      </c>
      <c r="RHV1" s="9" t="s">
        <v>12416</v>
      </c>
      <c r="RHW1" s="9" t="s">
        <v>12417</v>
      </c>
      <c r="RHX1" s="9" t="s">
        <v>12418</v>
      </c>
      <c r="RHY1" s="9" t="s">
        <v>12419</v>
      </c>
      <c r="RHZ1" s="9" t="s">
        <v>12420</v>
      </c>
      <c r="RIA1" s="9" t="s">
        <v>12421</v>
      </c>
      <c r="RIB1" s="9" t="s">
        <v>12422</v>
      </c>
      <c r="RIC1" s="9" t="s">
        <v>12423</v>
      </c>
      <c r="RID1" s="9" t="s">
        <v>12424</v>
      </c>
      <c r="RIE1" s="9" t="s">
        <v>12425</v>
      </c>
      <c r="RIF1" s="9" t="s">
        <v>12426</v>
      </c>
      <c r="RIG1" s="9" t="s">
        <v>12427</v>
      </c>
      <c r="RIH1" s="9" t="s">
        <v>12428</v>
      </c>
      <c r="RII1" s="9" t="s">
        <v>12429</v>
      </c>
      <c r="RIJ1" s="9" t="s">
        <v>12430</v>
      </c>
      <c r="RIK1" s="9" t="s">
        <v>12431</v>
      </c>
      <c r="RIL1" s="9" t="s">
        <v>12432</v>
      </c>
      <c r="RIM1" s="9" t="s">
        <v>12433</v>
      </c>
      <c r="RIN1" s="9" t="s">
        <v>12434</v>
      </c>
      <c r="RIO1" s="9" t="s">
        <v>12435</v>
      </c>
      <c r="RIP1" s="9" t="s">
        <v>12436</v>
      </c>
      <c r="RIQ1" s="9" t="s">
        <v>12437</v>
      </c>
      <c r="RIR1" s="9" t="s">
        <v>12438</v>
      </c>
      <c r="RIS1" s="9" t="s">
        <v>12439</v>
      </c>
      <c r="RIT1" s="9" t="s">
        <v>12440</v>
      </c>
      <c r="RIU1" s="9" t="s">
        <v>12441</v>
      </c>
      <c r="RIV1" s="9" t="s">
        <v>12442</v>
      </c>
      <c r="RIW1" s="9" t="s">
        <v>12443</v>
      </c>
      <c r="RIX1" s="9" t="s">
        <v>12444</v>
      </c>
      <c r="RIY1" s="9" t="s">
        <v>12445</v>
      </c>
      <c r="RIZ1" s="9" t="s">
        <v>12446</v>
      </c>
      <c r="RJA1" s="9" t="s">
        <v>12447</v>
      </c>
      <c r="RJB1" s="9" t="s">
        <v>12448</v>
      </c>
      <c r="RJC1" s="9" t="s">
        <v>12449</v>
      </c>
      <c r="RJD1" s="9" t="s">
        <v>12450</v>
      </c>
      <c r="RJE1" s="9" t="s">
        <v>12451</v>
      </c>
      <c r="RJF1" s="9" t="s">
        <v>12452</v>
      </c>
      <c r="RJG1" s="9" t="s">
        <v>12453</v>
      </c>
      <c r="RJH1" s="9" t="s">
        <v>12454</v>
      </c>
      <c r="RJI1" s="9" t="s">
        <v>12455</v>
      </c>
      <c r="RJJ1" s="9" t="s">
        <v>12456</v>
      </c>
      <c r="RJK1" s="9" t="s">
        <v>12457</v>
      </c>
      <c r="RJL1" s="9" t="s">
        <v>12458</v>
      </c>
      <c r="RJM1" s="9" t="s">
        <v>12459</v>
      </c>
      <c r="RJN1" s="9" t="s">
        <v>12460</v>
      </c>
      <c r="RJO1" s="9" t="s">
        <v>12461</v>
      </c>
      <c r="RJP1" s="9" t="s">
        <v>12462</v>
      </c>
      <c r="RJQ1" s="9" t="s">
        <v>12463</v>
      </c>
      <c r="RJR1" s="9" t="s">
        <v>12464</v>
      </c>
      <c r="RJS1" s="9" t="s">
        <v>12465</v>
      </c>
      <c r="RJT1" s="9" t="s">
        <v>12466</v>
      </c>
      <c r="RJU1" s="9" t="s">
        <v>12467</v>
      </c>
      <c r="RJV1" s="9" t="s">
        <v>12468</v>
      </c>
      <c r="RJW1" s="9" t="s">
        <v>12469</v>
      </c>
      <c r="RJX1" s="9" t="s">
        <v>12470</v>
      </c>
      <c r="RJY1" s="9" t="s">
        <v>12471</v>
      </c>
      <c r="RJZ1" s="9" t="s">
        <v>12472</v>
      </c>
      <c r="RKA1" s="9" t="s">
        <v>12473</v>
      </c>
      <c r="RKB1" s="9" t="s">
        <v>12474</v>
      </c>
      <c r="RKC1" s="9" t="s">
        <v>12475</v>
      </c>
      <c r="RKD1" s="9" t="s">
        <v>12476</v>
      </c>
      <c r="RKE1" s="9" t="s">
        <v>12477</v>
      </c>
      <c r="RKF1" s="9" t="s">
        <v>12478</v>
      </c>
      <c r="RKG1" s="9" t="s">
        <v>12479</v>
      </c>
      <c r="RKH1" s="9" t="s">
        <v>12480</v>
      </c>
      <c r="RKI1" s="9" t="s">
        <v>12481</v>
      </c>
      <c r="RKJ1" s="9" t="s">
        <v>12482</v>
      </c>
      <c r="RKK1" s="9" t="s">
        <v>12483</v>
      </c>
      <c r="RKL1" s="9" t="s">
        <v>12484</v>
      </c>
      <c r="RKM1" s="9" t="s">
        <v>12485</v>
      </c>
      <c r="RKN1" s="9" t="s">
        <v>12486</v>
      </c>
      <c r="RKO1" s="9" t="s">
        <v>12487</v>
      </c>
      <c r="RKP1" s="9" t="s">
        <v>12488</v>
      </c>
      <c r="RKQ1" s="9" t="s">
        <v>12489</v>
      </c>
      <c r="RKR1" s="9" t="s">
        <v>12490</v>
      </c>
      <c r="RKS1" s="9" t="s">
        <v>12491</v>
      </c>
      <c r="RKT1" s="9" t="s">
        <v>12492</v>
      </c>
      <c r="RKU1" s="9" t="s">
        <v>12493</v>
      </c>
      <c r="RKV1" s="9" t="s">
        <v>12494</v>
      </c>
      <c r="RKW1" s="9" t="s">
        <v>12495</v>
      </c>
      <c r="RKX1" s="9" t="s">
        <v>12496</v>
      </c>
      <c r="RKY1" s="9" t="s">
        <v>12497</v>
      </c>
      <c r="RKZ1" s="9" t="s">
        <v>12498</v>
      </c>
      <c r="RLA1" s="9" t="s">
        <v>12499</v>
      </c>
      <c r="RLB1" s="9" t="s">
        <v>12500</v>
      </c>
      <c r="RLC1" s="9" t="s">
        <v>12501</v>
      </c>
      <c r="RLD1" s="9" t="s">
        <v>12502</v>
      </c>
      <c r="RLE1" s="9" t="s">
        <v>12503</v>
      </c>
      <c r="RLF1" s="9" t="s">
        <v>12504</v>
      </c>
      <c r="RLG1" s="9" t="s">
        <v>12505</v>
      </c>
      <c r="RLH1" s="9" t="s">
        <v>12506</v>
      </c>
      <c r="RLI1" s="9" t="s">
        <v>12507</v>
      </c>
      <c r="RLJ1" s="9" t="s">
        <v>12508</v>
      </c>
      <c r="RLK1" s="9" t="s">
        <v>12509</v>
      </c>
      <c r="RLL1" s="9" t="s">
        <v>12510</v>
      </c>
      <c r="RLM1" s="9" t="s">
        <v>12511</v>
      </c>
      <c r="RLN1" s="9" t="s">
        <v>12512</v>
      </c>
      <c r="RLO1" s="9" t="s">
        <v>12513</v>
      </c>
      <c r="RLP1" s="9" t="s">
        <v>12514</v>
      </c>
      <c r="RLQ1" s="9" t="s">
        <v>12515</v>
      </c>
      <c r="RLR1" s="9" t="s">
        <v>12516</v>
      </c>
      <c r="RLS1" s="9" t="s">
        <v>12517</v>
      </c>
      <c r="RLT1" s="9" t="s">
        <v>12518</v>
      </c>
      <c r="RLU1" s="9" t="s">
        <v>12519</v>
      </c>
      <c r="RLV1" s="9" t="s">
        <v>12520</v>
      </c>
      <c r="RLW1" s="9" t="s">
        <v>12521</v>
      </c>
      <c r="RLX1" s="9" t="s">
        <v>12522</v>
      </c>
      <c r="RLY1" s="9" t="s">
        <v>12523</v>
      </c>
      <c r="RLZ1" s="9" t="s">
        <v>12524</v>
      </c>
      <c r="RMA1" s="9" t="s">
        <v>12525</v>
      </c>
      <c r="RMB1" s="9" t="s">
        <v>12526</v>
      </c>
      <c r="RMC1" s="9" t="s">
        <v>12527</v>
      </c>
      <c r="RMD1" s="9" t="s">
        <v>12528</v>
      </c>
      <c r="RME1" s="9" t="s">
        <v>12529</v>
      </c>
      <c r="RMF1" s="9" t="s">
        <v>12530</v>
      </c>
      <c r="RMG1" s="9" t="s">
        <v>12531</v>
      </c>
      <c r="RMH1" s="9" t="s">
        <v>12532</v>
      </c>
      <c r="RMI1" s="9" t="s">
        <v>12533</v>
      </c>
      <c r="RMJ1" s="9" t="s">
        <v>12534</v>
      </c>
      <c r="RMK1" s="9" t="s">
        <v>12535</v>
      </c>
      <c r="RML1" s="9" t="s">
        <v>12536</v>
      </c>
      <c r="RMM1" s="9" t="s">
        <v>12537</v>
      </c>
      <c r="RMN1" s="9" t="s">
        <v>12538</v>
      </c>
      <c r="RMO1" s="9" t="s">
        <v>12539</v>
      </c>
      <c r="RMP1" s="9" t="s">
        <v>12540</v>
      </c>
      <c r="RMQ1" s="9" t="s">
        <v>12541</v>
      </c>
      <c r="RMR1" s="9" t="s">
        <v>12542</v>
      </c>
      <c r="RMS1" s="9" t="s">
        <v>12543</v>
      </c>
      <c r="RMT1" s="9" t="s">
        <v>12544</v>
      </c>
      <c r="RMU1" s="9" t="s">
        <v>12545</v>
      </c>
      <c r="RMV1" s="9" t="s">
        <v>12546</v>
      </c>
      <c r="RMW1" s="9" t="s">
        <v>12547</v>
      </c>
      <c r="RMX1" s="9" t="s">
        <v>12548</v>
      </c>
      <c r="RMY1" s="9" t="s">
        <v>12549</v>
      </c>
      <c r="RMZ1" s="9" t="s">
        <v>12550</v>
      </c>
      <c r="RNA1" s="9" t="s">
        <v>12551</v>
      </c>
      <c r="RNB1" s="9" t="s">
        <v>12552</v>
      </c>
      <c r="RNC1" s="9" t="s">
        <v>12553</v>
      </c>
      <c r="RND1" s="9" t="s">
        <v>12554</v>
      </c>
      <c r="RNE1" s="9" t="s">
        <v>12555</v>
      </c>
      <c r="RNF1" s="9" t="s">
        <v>12556</v>
      </c>
      <c r="RNG1" s="9" t="s">
        <v>12557</v>
      </c>
      <c r="RNH1" s="9" t="s">
        <v>12558</v>
      </c>
      <c r="RNI1" s="9" t="s">
        <v>12559</v>
      </c>
      <c r="RNJ1" s="9" t="s">
        <v>12560</v>
      </c>
      <c r="RNK1" s="9" t="s">
        <v>12561</v>
      </c>
      <c r="RNL1" s="9" t="s">
        <v>12562</v>
      </c>
      <c r="RNM1" s="9" t="s">
        <v>12563</v>
      </c>
      <c r="RNN1" s="9" t="s">
        <v>12564</v>
      </c>
      <c r="RNO1" s="9" t="s">
        <v>12565</v>
      </c>
      <c r="RNP1" s="9" t="s">
        <v>12566</v>
      </c>
      <c r="RNQ1" s="9" t="s">
        <v>12567</v>
      </c>
      <c r="RNR1" s="9" t="s">
        <v>12568</v>
      </c>
      <c r="RNS1" s="9" t="s">
        <v>12569</v>
      </c>
      <c r="RNT1" s="9" t="s">
        <v>12570</v>
      </c>
      <c r="RNU1" s="9" t="s">
        <v>12571</v>
      </c>
      <c r="RNV1" s="9" t="s">
        <v>12572</v>
      </c>
      <c r="RNW1" s="9" t="s">
        <v>12573</v>
      </c>
      <c r="RNX1" s="9" t="s">
        <v>12574</v>
      </c>
      <c r="RNY1" s="9" t="s">
        <v>12575</v>
      </c>
      <c r="RNZ1" s="9" t="s">
        <v>12576</v>
      </c>
      <c r="ROA1" s="9" t="s">
        <v>12577</v>
      </c>
      <c r="ROB1" s="9" t="s">
        <v>12578</v>
      </c>
      <c r="ROC1" s="9" t="s">
        <v>12579</v>
      </c>
      <c r="ROD1" s="9" t="s">
        <v>12580</v>
      </c>
      <c r="ROE1" s="9" t="s">
        <v>12581</v>
      </c>
      <c r="ROF1" s="9" t="s">
        <v>12582</v>
      </c>
      <c r="ROG1" s="9" t="s">
        <v>12583</v>
      </c>
      <c r="ROH1" s="9" t="s">
        <v>12584</v>
      </c>
      <c r="ROI1" s="9" t="s">
        <v>12585</v>
      </c>
      <c r="ROJ1" s="9" t="s">
        <v>12586</v>
      </c>
      <c r="ROK1" s="9" t="s">
        <v>12587</v>
      </c>
      <c r="ROL1" s="9" t="s">
        <v>12588</v>
      </c>
      <c r="ROM1" s="9" t="s">
        <v>12589</v>
      </c>
      <c r="RON1" s="9" t="s">
        <v>12590</v>
      </c>
      <c r="ROO1" s="9" t="s">
        <v>12591</v>
      </c>
      <c r="ROP1" s="9" t="s">
        <v>12592</v>
      </c>
      <c r="ROQ1" s="9" t="s">
        <v>12593</v>
      </c>
      <c r="ROR1" s="9" t="s">
        <v>12594</v>
      </c>
      <c r="ROS1" s="9" t="s">
        <v>12595</v>
      </c>
      <c r="ROT1" s="9" t="s">
        <v>12596</v>
      </c>
      <c r="ROU1" s="9" t="s">
        <v>12597</v>
      </c>
      <c r="ROV1" s="9" t="s">
        <v>12598</v>
      </c>
      <c r="ROW1" s="9" t="s">
        <v>12599</v>
      </c>
      <c r="ROX1" s="9" t="s">
        <v>12600</v>
      </c>
      <c r="ROY1" s="9" t="s">
        <v>12601</v>
      </c>
      <c r="ROZ1" s="9" t="s">
        <v>12602</v>
      </c>
      <c r="RPA1" s="9" t="s">
        <v>12603</v>
      </c>
      <c r="RPB1" s="9" t="s">
        <v>12604</v>
      </c>
      <c r="RPC1" s="9" t="s">
        <v>12605</v>
      </c>
      <c r="RPD1" s="9" t="s">
        <v>12606</v>
      </c>
      <c r="RPE1" s="9" t="s">
        <v>12607</v>
      </c>
      <c r="RPF1" s="9" t="s">
        <v>12608</v>
      </c>
      <c r="RPG1" s="9" t="s">
        <v>12609</v>
      </c>
      <c r="RPH1" s="9" t="s">
        <v>12610</v>
      </c>
      <c r="RPI1" s="9" t="s">
        <v>12611</v>
      </c>
      <c r="RPJ1" s="9" t="s">
        <v>12612</v>
      </c>
      <c r="RPK1" s="9" t="s">
        <v>12613</v>
      </c>
      <c r="RPL1" s="9" t="s">
        <v>12614</v>
      </c>
      <c r="RPM1" s="9" t="s">
        <v>12615</v>
      </c>
      <c r="RPN1" s="9" t="s">
        <v>12616</v>
      </c>
      <c r="RPO1" s="9" t="s">
        <v>12617</v>
      </c>
      <c r="RPP1" s="9" t="s">
        <v>12618</v>
      </c>
      <c r="RPQ1" s="9" t="s">
        <v>12619</v>
      </c>
      <c r="RPR1" s="9" t="s">
        <v>12620</v>
      </c>
      <c r="RPS1" s="9" t="s">
        <v>12621</v>
      </c>
      <c r="RPT1" s="9" t="s">
        <v>12622</v>
      </c>
      <c r="RPU1" s="9" t="s">
        <v>12623</v>
      </c>
      <c r="RPV1" s="9" t="s">
        <v>12624</v>
      </c>
      <c r="RPW1" s="9" t="s">
        <v>12625</v>
      </c>
      <c r="RPX1" s="9" t="s">
        <v>12626</v>
      </c>
      <c r="RPY1" s="9" t="s">
        <v>12627</v>
      </c>
      <c r="RPZ1" s="9" t="s">
        <v>12628</v>
      </c>
      <c r="RQA1" s="9" t="s">
        <v>12629</v>
      </c>
      <c r="RQB1" s="9" t="s">
        <v>12630</v>
      </c>
      <c r="RQC1" s="9" t="s">
        <v>12631</v>
      </c>
      <c r="RQD1" s="9" t="s">
        <v>12632</v>
      </c>
      <c r="RQE1" s="9" t="s">
        <v>12633</v>
      </c>
      <c r="RQF1" s="9" t="s">
        <v>12634</v>
      </c>
      <c r="RQG1" s="9" t="s">
        <v>12635</v>
      </c>
      <c r="RQH1" s="9" t="s">
        <v>12636</v>
      </c>
      <c r="RQI1" s="9" t="s">
        <v>12637</v>
      </c>
      <c r="RQJ1" s="9" t="s">
        <v>12638</v>
      </c>
      <c r="RQK1" s="9" t="s">
        <v>12639</v>
      </c>
      <c r="RQL1" s="9" t="s">
        <v>12640</v>
      </c>
      <c r="RQM1" s="9" t="s">
        <v>12641</v>
      </c>
      <c r="RQN1" s="9" t="s">
        <v>12642</v>
      </c>
      <c r="RQO1" s="9" t="s">
        <v>12643</v>
      </c>
      <c r="RQP1" s="9" t="s">
        <v>12644</v>
      </c>
      <c r="RQQ1" s="9" t="s">
        <v>12645</v>
      </c>
      <c r="RQR1" s="9" t="s">
        <v>12646</v>
      </c>
      <c r="RQS1" s="9" t="s">
        <v>12647</v>
      </c>
      <c r="RQT1" s="9" t="s">
        <v>12648</v>
      </c>
      <c r="RQU1" s="9" t="s">
        <v>12649</v>
      </c>
      <c r="RQV1" s="9" t="s">
        <v>12650</v>
      </c>
      <c r="RQW1" s="9" t="s">
        <v>12651</v>
      </c>
      <c r="RQX1" s="9" t="s">
        <v>12652</v>
      </c>
      <c r="RQY1" s="9" t="s">
        <v>12653</v>
      </c>
      <c r="RQZ1" s="9" t="s">
        <v>12654</v>
      </c>
      <c r="RRA1" s="9" t="s">
        <v>12655</v>
      </c>
      <c r="RRB1" s="9" t="s">
        <v>12656</v>
      </c>
      <c r="RRC1" s="9" t="s">
        <v>12657</v>
      </c>
      <c r="RRD1" s="9" t="s">
        <v>12658</v>
      </c>
      <c r="RRE1" s="9" t="s">
        <v>12659</v>
      </c>
      <c r="RRF1" s="9" t="s">
        <v>12660</v>
      </c>
      <c r="RRG1" s="9" t="s">
        <v>12661</v>
      </c>
      <c r="RRH1" s="9" t="s">
        <v>12662</v>
      </c>
      <c r="RRI1" s="9" t="s">
        <v>12663</v>
      </c>
      <c r="RRJ1" s="9" t="s">
        <v>12664</v>
      </c>
      <c r="RRK1" s="9" t="s">
        <v>12665</v>
      </c>
      <c r="RRL1" s="9" t="s">
        <v>12666</v>
      </c>
      <c r="RRM1" s="9" t="s">
        <v>12667</v>
      </c>
      <c r="RRN1" s="9" t="s">
        <v>12668</v>
      </c>
      <c r="RRO1" s="9" t="s">
        <v>12669</v>
      </c>
      <c r="RRP1" s="9" t="s">
        <v>12670</v>
      </c>
      <c r="RRQ1" s="9" t="s">
        <v>12671</v>
      </c>
      <c r="RRR1" s="9" t="s">
        <v>12672</v>
      </c>
      <c r="RRS1" s="9" t="s">
        <v>12673</v>
      </c>
      <c r="RRT1" s="9" t="s">
        <v>12674</v>
      </c>
      <c r="RRU1" s="9" t="s">
        <v>12675</v>
      </c>
      <c r="RRV1" s="9" t="s">
        <v>12676</v>
      </c>
      <c r="RRW1" s="9" t="s">
        <v>12677</v>
      </c>
      <c r="RRX1" s="9" t="s">
        <v>12678</v>
      </c>
      <c r="RRY1" s="9" t="s">
        <v>12679</v>
      </c>
      <c r="RRZ1" s="9" t="s">
        <v>12680</v>
      </c>
      <c r="RSA1" s="9" t="s">
        <v>12681</v>
      </c>
      <c r="RSB1" s="9" t="s">
        <v>12682</v>
      </c>
      <c r="RSC1" s="9" t="s">
        <v>12683</v>
      </c>
      <c r="RSD1" s="9" t="s">
        <v>12684</v>
      </c>
      <c r="RSE1" s="9" t="s">
        <v>12685</v>
      </c>
      <c r="RSF1" s="9" t="s">
        <v>12686</v>
      </c>
      <c r="RSG1" s="9" t="s">
        <v>12687</v>
      </c>
      <c r="RSH1" s="9" t="s">
        <v>12688</v>
      </c>
      <c r="RSI1" s="9" t="s">
        <v>12689</v>
      </c>
      <c r="RSJ1" s="9" t="s">
        <v>12690</v>
      </c>
      <c r="RSK1" s="9" t="s">
        <v>12691</v>
      </c>
      <c r="RSL1" s="9" t="s">
        <v>12692</v>
      </c>
      <c r="RSM1" s="9" t="s">
        <v>12693</v>
      </c>
      <c r="RSN1" s="9" t="s">
        <v>12694</v>
      </c>
      <c r="RSO1" s="9" t="s">
        <v>12695</v>
      </c>
      <c r="RSP1" s="9" t="s">
        <v>12696</v>
      </c>
      <c r="RSQ1" s="9" t="s">
        <v>12697</v>
      </c>
      <c r="RSR1" s="9" t="s">
        <v>12698</v>
      </c>
      <c r="RSS1" s="9" t="s">
        <v>12699</v>
      </c>
      <c r="RST1" s="9" t="s">
        <v>12700</v>
      </c>
      <c r="RSU1" s="9" t="s">
        <v>12701</v>
      </c>
      <c r="RSV1" s="9" t="s">
        <v>12702</v>
      </c>
      <c r="RSW1" s="9" t="s">
        <v>12703</v>
      </c>
      <c r="RSX1" s="9" t="s">
        <v>12704</v>
      </c>
      <c r="RSY1" s="9" t="s">
        <v>12705</v>
      </c>
      <c r="RSZ1" s="9" t="s">
        <v>12706</v>
      </c>
      <c r="RTA1" s="9" t="s">
        <v>12707</v>
      </c>
      <c r="RTB1" s="9" t="s">
        <v>12708</v>
      </c>
      <c r="RTC1" s="9" t="s">
        <v>12709</v>
      </c>
      <c r="RTD1" s="9" t="s">
        <v>12710</v>
      </c>
      <c r="RTE1" s="9" t="s">
        <v>12711</v>
      </c>
      <c r="RTF1" s="9" t="s">
        <v>12712</v>
      </c>
      <c r="RTG1" s="9" t="s">
        <v>12713</v>
      </c>
      <c r="RTH1" s="9" t="s">
        <v>12714</v>
      </c>
      <c r="RTI1" s="9" t="s">
        <v>12715</v>
      </c>
      <c r="RTJ1" s="9" t="s">
        <v>12716</v>
      </c>
      <c r="RTK1" s="9" t="s">
        <v>12717</v>
      </c>
      <c r="RTL1" s="9" t="s">
        <v>12718</v>
      </c>
      <c r="RTM1" s="9" t="s">
        <v>12719</v>
      </c>
      <c r="RTN1" s="9" t="s">
        <v>12720</v>
      </c>
      <c r="RTO1" s="9" t="s">
        <v>12721</v>
      </c>
      <c r="RTP1" s="9" t="s">
        <v>12722</v>
      </c>
      <c r="RTQ1" s="9" t="s">
        <v>12723</v>
      </c>
      <c r="RTR1" s="9" t="s">
        <v>12724</v>
      </c>
      <c r="RTS1" s="9" t="s">
        <v>12725</v>
      </c>
      <c r="RTT1" s="9" t="s">
        <v>12726</v>
      </c>
      <c r="RTU1" s="9" t="s">
        <v>12727</v>
      </c>
      <c r="RTV1" s="9" t="s">
        <v>12728</v>
      </c>
      <c r="RTW1" s="9" t="s">
        <v>12729</v>
      </c>
      <c r="RTX1" s="9" t="s">
        <v>12730</v>
      </c>
      <c r="RTY1" s="9" t="s">
        <v>12731</v>
      </c>
      <c r="RTZ1" s="9" t="s">
        <v>12732</v>
      </c>
      <c r="RUA1" s="9" t="s">
        <v>12733</v>
      </c>
      <c r="RUB1" s="9" t="s">
        <v>12734</v>
      </c>
      <c r="RUC1" s="9" t="s">
        <v>12735</v>
      </c>
      <c r="RUD1" s="9" t="s">
        <v>12736</v>
      </c>
      <c r="RUE1" s="9" t="s">
        <v>12737</v>
      </c>
      <c r="RUF1" s="9" t="s">
        <v>12738</v>
      </c>
      <c r="RUG1" s="9" t="s">
        <v>12739</v>
      </c>
      <c r="RUH1" s="9" t="s">
        <v>12740</v>
      </c>
      <c r="RUI1" s="9" t="s">
        <v>12741</v>
      </c>
      <c r="RUJ1" s="9" t="s">
        <v>12742</v>
      </c>
      <c r="RUK1" s="9" t="s">
        <v>12743</v>
      </c>
      <c r="RUL1" s="9" t="s">
        <v>12744</v>
      </c>
      <c r="RUM1" s="9" t="s">
        <v>12745</v>
      </c>
      <c r="RUN1" s="9" t="s">
        <v>12746</v>
      </c>
      <c r="RUO1" s="9" t="s">
        <v>12747</v>
      </c>
      <c r="RUP1" s="9" t="s">
        <v>12748</v>
      </c>
      <c r="RUQ1" s="9" t="s">
        <v>12749</v>
      </c>
      <c r="RUR1" s="9" t="s">
        <v>12750</v>
      </c>
      <c r="RUS1" s="9" t="s">
        <v>12751</v>
      </c>
      <c r="RUT1" s="9" t="s">
        <v>12752</v>
      </c>
      <c r="RUU1" s="9" t="s">
        <v>12753</v>
      </c>
      <c r="RUV1" s="9" t="s">
        <v>12754</v>
      </c>
      <c r="RUW1" s="9" t="s">
        <v>12755</v>
      </c>
      <c r="RUX1" s="9" t="s">
        <v>12756</v>
      </c>
      <c r="RUY1" s="9" t="s">
        <v>12757</v>
      </c>
      <c r="RUZ1" s="9" t="s">
        <v>12758</v>
      </c>
      <c r="RVA1" s="9" t="s">
        <v>12759</v>
      </c>
      <c r="RVB1" s="9" t="s">
        <v>12760</v>
      </c>
      <c r="RVC1" s="9" t="s">
        <v>12761</v>
      </c>
      <c r="RVD1" s="9" t="s">
        <v>12762</v>
      </c>
      <c r="RVE1" s="9" t="s">
        <v>12763</v>
      </c>
      <c r="RVF1" s="9" t="s">
        <v>12764</v>
      </c>
      <c r="RVG1" s="9" t="s">
        <v>12765</v>
      </c>
      <c r="RVH1" s="9" t="s">
        <v>12766</v>
      </c>
      <c r="RVI1" s="9" t="s">
        <v>12767</v>
      </c>
      <c r="RVJ1" s="9" t="s">
        <v>12768</v>
      </c>
      <c r="RVK1" s="9" t="s">
        <v>12769</v>
      </c>
      <c r="RVL1" s="9" t="s">
        <v>12770</v>
      </c>
      <c r="RVM1" s="9" t="s">
        <v>12771</v>
      </c>
      <c r="RVN1" s="9" t="s">
        <v>12772</v>
      </c>
      <c r="RVO1" s="9" t="s">
        <v>12773</v>
      </c>
      <c r="RVP1" s="9" t="s">
        <v>12774</v>
      </c>
      <c r="RVQ1" s="9" t="s">
        <v>12775</v>
      </c>
      <c r="RVR1" s="9" t="s">
        <v>12776</v>
      </c>
      <c r="RVS1" s="9" t="s">
        <v>12777</v>
      </c>
      <c r="RVT1" s="9" t="s">
        <v>12778</v>
      </c>
      <c r="RVU1" s="9" t="s">
        <v>12779</v>
      </c>
      <c r="RVV1" s="9" t="s">
        <v>12780</v>
      </c>
      <c r="RVW1" s="9" t="s">
        <v>12781</v>
      </c>
      <c r="RVX1" s="9" t="s">
        <v>12782</v>
      </c>
      <c r="RVY1" s="9" t="s">
        <v>12783</v>
      </c>
      <c r="RVZ1" s="9" t="s">
        <v>12784</v>
      </c>
      <c r="RWA1" s="9" t="s">
        <v>12785</v>
      </c>
      <c r="RWB1" s="9" t="s">
        <v>12786</v>
      </c>
      <c r="RWC1" s="9" t="s">
        <v>12787</v>
      </c>
      <c r="RWD1" s="9" t="s">
        <v>12788</v>
      </c>
      <c r="RWE1" s="9" t="s">
        <v>12789</v>
      </c>
      <c r="RWF1" s="9" t="s">
        <v>12790</v>
      </c>
      <c r="RWG1" s="9" t="s">
        <v>12791</v>
      </c>
      <c r="RWH1" s="9" t="s">
        <v>12792</v>
      </c>
      <c r="RWI1" s="9" t="s">
        <v>12793</v>
      </c>
      <c r="RWJ1" s="9" t="s">
        <v>12794</v>
      </c>
      <c r="RWK1" s="9" t="s">
        <v>12795</v>
      </c>
      <c r="RWL1" s="9" t="s">
        <v>12796</v>
      </c>
      <c r="RWM1" s="9" t="s">
        <v>12797</v>
      </c>
      <c r="RWN1" s="9" t="s">
        <v>12798</v>
      </c>
      <c r="RWO1" s="9" t="s">
        <v>12799</v>
      </c>
      <c r="RWP1" s="9" t="s">
        <v>12800</v>
      </c>
      <c r="RWQ1" s="9" t="s">
        <v>12801</v>
      </c>
      <c r="RWR1" s="9" t="s">
        <v>12802</v>
      </c>
      <c r="RWS1" s="9" t="s">
        <v>12803</v>
      </c>
      <c r="RWT1" s="9" t="s">
        <v>12804</v>
      </c>
      <c r="RWU1" s="9" t="s">
        <v>12805</v>
      </c>
      <c r="RWV1" s="9" t="s">
        <v>12806</v>
      </c>
      <c r="RWW1" s="9" t="s">
        <v>12807</v>
      </c>
      <c r="RWX1" s="9" t="s">
        <v>12808</v>
      </c>
      <c r="RWY1" s="9" t="s">
        <v>12809</v>
      </c>
      <c r="RWZ1" s="9" t="s">
        <v>12810</v>
      </c>
      <c r="RXA1" s="9" t="s">
        <v>12811</v>
      </c>
      <c r="RXB1" s="9" t="s">
        <v>12812</v>
      </c>
      <c r="RXC1" s="9" t="s">
        <v>12813</v>
      </c>
      <c r="RXD1" s="9" t="s">
        <v>12814</v>
      </c>
      <c r="RXE1" s="9" t="s">
        <v>12815</v>
      </c>
      <c r="RXF1" s="9" t="s">
        <v>12816</v>
      </c>
      <c r="RXG1" s="9" t="s">
        <v>12817</v>
      </c>
      <c r="RXH1" s="9" t="s">
        <v>12818</v>
      </c>
      <c r="RXI1" s="9" t="s">
        <v>12819</v>
      </c>
      <c r="RXJ1" s="9" t="s">
        <v>12820</v>
      </c>
      <c r="RXK1" s="9" t="s">
        <v>12821</v>
      </c>
      <c r="RXL1" s="9" t="s">
        <v>12822</v>
      </c>
      <c r="RXM1" s="9" t="s">
        <v>12823</v>
      </c>
      <c r="RXN1" s="9" t="s">
        <v>12824</v>
      </c>
      <c r="RXO1" s="9" t="s">
        <v>12825</v>
      </c>
      <c r="RXP1" s="9" t="s">
        <v>12826</v>
      </c>
      <c r="RXQ1" s="9" t="s">
        <v>12827</v>
      </c>
      <c r="RXR1" s="9" t="s">
        <v>12828</v>
      </c>
      <c r="RXS1" s="9" t="s">
        <v>12829</v>
      </c>
      <c r="RXT1" s="9" t="s">
        <v>12830</v>
      </c>
      <c r="RXU1" s="9" t="s">
        <v>12831</v>
      </c>
      <c r="RXV1" s="9" t="s">
        <v>12832</v>
      </c>
      <c r="RXW1" s="9" t="s">
        <v>12833</v>
      </c>
      <c r="RXX1" s="9" t="s">
        <v>12834</v>
      </c>
      <c r="RXY1" s="9" t="s">
        <v>12835</v>
      </c>
      <c r="RXZ1" s="9" t="s">
        <v>12836</v>
      </c>
      <c r="RYA1" s="9" t="s">
        <v>12837</v>
      </c>
      <c r="RYB1" s="9" t="s">
        <v>12838</v>
      </c>
      <c r="RYC1" s="9" t="s">
        <v>12839</v>
      </c>
      <c r="RYD1" s="9" t="s">
        <v>12840</v>
      </c>
      <c r="RYE1" s="9" t="s">
        <v>12841</v>
      </c>
      <c r="RYF1" s="9" t="s">
        <v>12842</v>
      </c>
      <c r="RYG1" s="9" t="s">
        <v>12843</v>
      </c>
      <c r="RYH1" s="9" t="s">
        <v>12844</v>
      </c>
      <c r="RYI1" s="9" t="s">
        <v>12845</v>
      </c>
      <c r="RYJ1" s="9" t="s">
        <v>12846</v>
      </c>
      <c r="RYK1" s="9" t="s">
        <v>12847</v>
      </c>
      <c r="RYL1" s="9" t="s">
        <v>12848</v>
      </c>
      <c r="RYM1" s="9" t="s">
        <v>12849</v>
      </c>
      <c r="RYN1" s="9" t="s">
        <v>12850</v>
      </c>
      <c r="RYO1" s="9" t="s">
        <v>12851</v>
      </c>
      <c r="RYP1" s="9" t="s">
        <v>12852</v>
      </c>
      <c r="RYQ1" s="9" t="s">
        <v>12853</v>
      </c>
      <c r="RYR1" s="9" t="s">
        <v>12854</v>
      </c>
      <c r="RYS1" s="9" t="s">
        <v>12855</v>
      </c>
      <c r="RYT1" s="9" t="s">
        <v>12856</v>
      </c>
      <c r="RYU1" s="9" t="s">
        <v>12857</v>
      </c>
      <c r="RYV1" s="9" t="s">
        <v>12858</v>
      </c>
      <c r="RYW1" s="9" t="s">
        <v>12859</v>
      </c>
      <c r="RYX1" s="9" t="s">
        <v>12860</v>
      </c>
      <c r="RYY1" s="9" t="s">
        <v>12861</v>
      </c>
      <c r="RYZ1" s="9" t="s">
        <v>12862</v>
      </c>
      <c r="RZA1" s="9" t="s">
        <v>12863</v>
      </c>
      <c r="RZB1" s="9" t="s">
        <v>12864</v>
      </c>
      <c r="RZC1" s="9" t="s">
        <v>12865</v>
      </c>
      <c r="RZD1" s="9" t="s">
        <v>12866</v>
      </c>
      <c r="RZE1" s="9" t="s">
        <v>12867</v>
      </c>
      <c r="RZF1" s="9" t="s">
        <v>12868</v>
      </c>
      <c r="RZG1" s="9" t="s">
        <v>12869</v>
      </c>
      <c r="RZH1" s="9" t="s">
        <v>12870</v>
      </c>
      <c r="RZI1" s="9" t="s">
        <v>12871</v>
      </c>
      <c r="RZJ1" s="9" t="s">
        <v>12872</v>
      </c>
      <c r="RZK1" s="9" t="s">
        <v>12873</v>
      </c>
      <c r="RZL1" s="9" t="s">
        <v>12874</v>
      </c>
      <c r="RZM1" s="9" t="s">
        <v>12875</v>
      </c>
      <c r="RZN1" s="9" t="s">
        <v>12876</v>
      </c>
      <c r="RZO1" s="9" t="s">
        <v>12877</v>
      </c>
      <c r="RZP1" s="9" t="s">
        <v>12878</v>
      </c>
      <c r="RZQ1" s="9" t="s">
        <v>12879</v>
      </c>
      <c r="RZR1" s="9" t="s">
        <v>12880</v>
      </c>
      <c r="RZS1" s="9" t="s">
        <v>12881</v>
      </c>
      <c r="RZT1" s="9" t="s">
        <v>12882</v>
      </c>
      <c r="RZU1" s="9" t="s">
        <v>12883</v>
      </c>
      <c r="RZV1" s="9" t="s">
        <v>12884</v>
      </c>
      <c r="RZW1" s="9" t="s">
        <v>12885</v>
      </c>
      <c r="RZX1" s="9" t="s">
        <v>12886</v>
      </c>
      <c r="RZY1" s="9" t="s">
        <v>12887</v>
      </c>
      <c r="RZZ1" s="9" t="s">
        <v>12888</v>
      </c>
      <c r="SAA1" s="9" t="s">
        <v>12889</v>
      </c>
      <c r="SAB1" s="9" t="s">
        <v>12890</v>
      </c>
      <c r="SAC1" s="9" t="s">
        <v>12891</v>
      </c>
      <c r="SAD1" s="9" t="s">
        <v>12892</v>
      </c>
      <c r="SAE1" s="9" t="s">
        <v>12893</v>
      </c>
      <c r="SAF1" s="9" t="s">
        <v>12894</v>
      </c>
      <c r="SAG1" s="9" t="s">
        <v>12895</v>
      </c>
      <c r="SAH1" s="9" t="s">
        <v>12896</v>
      </c>
      <c r="SAI1" s="9" t="s">
        <v>12897</v>
      </c>
      <c r="SAJ1" s="9" t="s">
        <v>12898</v>
      </c>
      <c r="SAK1" s="9" t="s">
        <v>12899</v>
      </c>
      <c r="SAL1" s="9" t="s">
        <v>12900</v>
      </c>
      <c r="SAM1" s="9" t="s">
        <v>12901</v>
      </c>
      <c r="SAN1" s="9" t="s">
        <v>12902</v>
      </c>
      <c r="SAO1" s="9" t="s">
        <v>12903</v>
      </c>
      <c r="SAP1" s="9" t="s">
        <v>12904</v>
      </c>
      <c r="SAQ1" s="9" t="s">
        <v>12905</v>
      </c>
      <c r="SAR1" s="9" t="s">
        <v>12906</v>
      </c>
      <c r="SAS1" s="9" t="s">
        <v>12907</v>
      </c>
      <c r="SAT1" s="9" t="s">
        <v>12908</v>
      </c>
      <c r="SAU1" s="9" t="s">
        <v>12909</v>
      </c>
      <c r="SAV1" s="9" t="s">
        <v>12910</v>
      </c>
      <c r="SAW1" s="9" t="s">
        <v>12911</v>
      </c>
      <c r="SAX1" s="9" t="s">
        <v>12912</v>
      </c>
      <c r="SAY1" s="9" t="s">
        <v>12913</v>
      </c>
      <c r="SAZ1" s="9" t="s">
        <v>12914</v>
      </c>
      <c r="SBA1" s="9" t="s">
        <v>12915</v>
      </c>
      <c r="SBB1" s="9" t="s">
        <v>12916</v>
      </c>
      <c r="SBC1" s="9" t="s">
        <v>12917</v>
      </c>
      <c r="SBD1" s="9" t="s">
        <v>12918</v>
      </c>
      <c r="SBE1" s="9" t="s">
        <v>12919</v>
      </c>
      <c r="SBF1" s="9" t="s">
        <v>12920</v>
      </c>
      <c r="SBG1" s="9" t="s">
        <v>12921</v>
      </c>
      <c r="SBH1" s="9" t="s">
        <v>12922</v>
      </c>
      <c r="SBI1" s="9" t="s">
        <v>12923</v>
      </c>
      <c r="SBJ1" s="9" t="s">
        <v>12924</v>
      </c>
      <c r="SBK1" s="9" t="s">
        <v>12925</v>
      </c>
      <c r="SBL1" s="9" t="s">
        <v>12926</v>
      </c>
      <c r="SBM1" s="9" t="s">
        <v>12927</v>
      </c>
      <c r="SBN1" s="9" t="s">
        <v>12928</v>
      </c>
      <c r="SBO1" s="9" t="s">
        <v>12929</v>
      </c>
      <c r="SBP1" s="9" t="s">
        <v>12930</v>
      </c>
      <c r="SBQ1" s="9" t="s">
        <v>12931</v>
      </c>
      <c r="SBR1" s="9" t="s">
        <v>12932</v>
      </c>
      <c r="SBS1" s="9" t="s">
        <v>12933</v>
      </c>
      <c r="SBT1" s="9" t="s">
        <v>12934</v>
      </c>
      <c r="SBU1" s="9" t="s">
        <v>12935</v>
      </c>
      <c r="SBV1" s="9" t="s">
        <v>12936</v>
      </c>
      <c r="SBW1" s="9" t="s">
        <v>12937</v>
      </c>
      <c r="SBX1" s="9" t="s">
        <v>12938</v>
      </c>
      <c r="SBY1" s="9" t="s">
        <v>12939</v>
      </c>
      <c r="SBZ1" s="9" t="s">
        <v>12940</v>
      </c>
      <c r="SCA1" s="9" t="s">
        <v>12941</v>
      </c>
      <c r="SCB1" s="9" t="s">
        <v>12942</v>
      </c>
      <c r="SCC1" s="9" t="s">
        <v>12943</v>
      </c>
      <c r="SCD1" s="9" t="s">
        <v>12944</v>
      </c>
      <c r="SCE1" s="9" t="s">
        <v>12945</v>
      </c>
      <c r="SCF1" s="9" t="s">
        <v>12946</v>
      </c>
      <c r="SCG1" s="9" t="s">
        <v>12947</v>
      </c>
      <c r="SCH1" s="9" t="s">
        <v>12948</v>
      </c>
      <c r="SCI1" s="9" t="s">
        <v>12949</v>
      </c>
      <c r="SCJ1" s="9" t="s">
        <v>12950</v>
      </c>
      <c r="SCK1" s="9" t="s">
        <v>12951</v>
      </c>
      <c r="SCL1" s="9" t="s">
        <v>12952</v>
      </c>
      <c r="SCM1" s="9" t="s">
        <v>12953</v>
      </c>
      <c r="SCN1" s="9" t="s">
        <v>12954</v>
      </c>
      <c r="SCO1" s="9" t="s">
        <v>12955</v>
      </c>
      <c r="SCP1" s="9" t="s">
        <v>12956</v>
      </c>
      <c r="SCQ1" s="9" t="s">
        <v>12957</v>
      </c>
      <c r="SCR1" s="9" t="s">
        <v>12958</v>
      </c>
      <c r="SCS1" s="9" t="s">
        <v>12959</v>
      </c>
      <c r="SCT1" s="9" t="s">
        <v>12960</v>
      </c>
      <c r="SCU1" s="9" t="s">
        <v>12961</v>
      </c>
      <c r="SCV1" s="9" t="s">
        <v>12962</v>
      </c>
      <c r="SCW1" s="9" t="s">
        <v>12963</v>
      </c>
      <c r="SCX1" s="9" t="s">
        <v>12964</v>
      </c>
      <c r="SCY1" s="9" t="s">
        <v>12965</v>
      </c>
      <c r="SCZ1" s="9" t="s">
        <v>12966</v>
      </c>
      <c r="SDA1" s="9" t="s">
        <v>12967</v>
      </c>
      <c r="SDB1" s="9" t="s">
        <v>12968</v>
      </c>
      <c r="SDC1" s="9" t="s">
        <v>12969</v>
      </c>
      <c r="SDD1" s="9" t="s">
        <v>12970</v>
      </c>
      <c r="SDE1" s="9" t="s">
        <v>12971</v>
      </c>
      <c r="SDF1" s="9" t="s">
        <v>12972</v>
      </c>
      <c r="SDG1" s="9" t="s">
        <v>12973</v>
      </c>
      <c r="SDH1" s="9" t="s">
        <v>12974</v>
      </c>
      <c r="SDI1" s="9" t="s">
        <v>12975</v>
      </c>
      <c r="SDJ1" s="9" t="s">
        <v>12976</v>
      </c>
      <c r="SDK1" s="9" t="s">
        <v>12977</v>
      </c>
      <c r="SDL1" s="9" t="s">
        <v>12978</v>
      </c>
      <c r="SDM1" s="9" t="s">
        <v>12979</v>
      </c>
      <c r="SDN1" s="9" t="s">
        <v>12980</v>
      </c>
      <c r="SDO1" s="9" t="s">
        <v>12981</v>
      </c>
      <c r="SDP1" s="9" t="s">
        <v>12982</v>
      </c>
      <c r="SDQ1" s="9" t="s">
        <v>12983</v>
      </c>
      <c r="SDR1" s="9" t="s">
        <v>12984</v>
      </c>
      <c r="SDS1" s="9" t="s">
        <v>12985</v>
      </c>
      <c r="SDT1" s="9" t="s">
        <v>12986</v>
      </c>
      <c r="SDU1" s="9" t="s">
        <v>12987</v>
      </c>
      <c r="SDV1" s="9" t="s">
        <v>12988</v>
      </c>
      <c r="SDW1" s="9" t="s">
        <v>12989</v>
      </c>
      <c r="SDX1" s="9" t="s">
        <v>12990</v>
      </c>
      <c r="SDY1" s="9" t="s">
        <v>12991</v>
      </c>
      <c r="SDZ1" s="9" t="s">
        <v>12992</v>
      </c>
      <c r="SEA1" s="9" t="s">
        <v>12993</v>
      </c>
      <c r="SEB1" s="9" t="s">
        <v>12994</v>
      </c>
      <c r="SEC1" s="9" t="s">
        <v>12995</v>
      </c>
      <c r="SED1" s="9" t="s">
        <v>12996</v>
      </c>
      <c r="SEE1" s="9" t="s">
        <v>12997</v>
      </c>
      <c r="SEF1" s="9" t="s">
        <v>12998</v>
      </c>
      <c r="SEG1" s="9" t="s">
        <v>12999</v>
      </c>
      <c r="SEH1" s="9" t="s">
        <v>13000</v>
      </c>
      <c r="SEI1" s="9" t="s">
        <v>13001</v>
      </c>
      <c r="SEJ1" s="9" t="s">
        <v>13002</v>
      </c>
      <c r="SEK1" s="9" t="s">
        <v>13003</v>
      </c>
      <c r="SEL1" s="9" t="s">
        <v>13004</v>
      </c>
      <c r="SEM1" s="9" t="s">
        <v>13005</v>
      </c>
      <c r="SEN1" s="9" t="s">
        <v>13006</v>
      </c>
      <c r="SEO1" s="9" t="s">
        <v>13007</v>
      </c>
      <c r="SEP1" s="9" t="s">
        <v>13008</v>
      </c>
      <c r="SEQ1" s="9" t="s">
        <v>13009</v>
      </c>
      <c r="SER1" s="9" t="s">
        <v>13010</v>
      </c>
      <c r="SES1" s="9" t="s">
        <v>13011</v>
      </c>
      <c r="SET1" s="9" t="s">
        <v>13012</v>
      </c>
      <c r="SEU1" s="9" t="s">
        <v>13013</v>
      </c>
      <c r="SEV1" s="9" t="s">
        <v>13014</v>
      </c>
      <c r="SEW1" s="9" t="s">
        <v>13015</v>
      </c>
      <c r="SEX1" s="9" t="s">
        <v>13016</v>
      </c>
      <c r="SEY1" s="9" t="s">
        <v>13017</v>
      </c>
      <c r="SEZ1" s="9" t="s">
        <v>13018</v>
      </c>
      <c r="SFA1" s="9" t="s">
        <v>13019</v>
      </c>
      <c r="SFB1" s="9" t="s">
        <v>13020</v>
      </c>
      <c r="SFC1" s="9" t="s">
        <v>13021</v>
      </c>
      <c r="SFD1" s="9" t="s">
        <v>13022</v>
      </c>
      <c r="SFE1" s="9" t="s">
        <v>13023</v>
      </c>
      <c r="SFF1" s="9" t="s">
        <v>13024</v>
      </c>
      <c r="SFG1" s="9" t="s">
        <v>13025</v>
      </c>
      <c r="SFH1" s="9" t="s">
        <v>13026</v>
      </c>
      <c r="SFI1" s="9" t="s">
        <v>13027</v>
      </c>
      <c r="SFJ1" s="9" t="s">
        <v>13028</v>
      </c>
      <c r="SFK1" s="9" t="s">
        <v>13029</v>
      </c>
      <c r="SFL1" s="9" t="s">
        <v>13030</v>
      </c>
      <c r="SFM1" s="9" t="s">
        <v>13031</v>
      </c>
      <c r="SFN1" s="9" t="s">
        <v>13032</v>
      </c>
      <c r="SFO1" s="9" t="s">
        <v>13033</v>
      </c>
      <c r="SFP1" s="9" t="s">
        <v>13034</v>
      </c>
      <c r="SFQ1" s="9" t="s">
        <v>13035</v>
      </c>
      <c r="SFR1" s="9" t="s">
        <v>13036</v>
      </c>
      <c r="SFS1" s="9" t="s">
        <v>13037</v>
      </c>
      <c r="SFT1" s="9" t="s">
        <v>13038</v>
      </c>
      <c r="SFU1" s="9" t="s">
        <v>13039</v>
      </c>
      <c r="SFV1" s="9" t="s">
        <v>13040</v>
      </c>
      <c r="SFW1" s="9" t="s">
        <v>13041</v>
      </c>
      <c r="SFX1" s="9" t="s">
        <v>13042</v>
      </c>
      <c r="SFY1" s="9" t="s">
        <v>13043</v>
      </c>
      <c r="SFZ1" s="9" t="s">
        <v>13044</v>
      </c>
      <c r="SGA1" s="9" t="s">
        <v>13045</v>
      </c>
      <c r="SGB1" s="9" t="s">
        <v>13046</v>
      </c>
      <c r="SGC1" s="9" t="s">
        <v>13047</v>
      </c>
      <c r="SGD1" s="9" t="s">
        <v>13048</v>
      </c>
      <c r="SGE1" s="9" t="s">
        <v>13049</v>
      </c>
      <c r="SGF1" s="9" t="s">
        <v>13050</v>
      </c>
      <c r="SGG1" s="9" t="s">
        <v>13051</v>
      </c>
      <c r="SGH1" s="9" t="s">
        <v>13052</v>
      </c>
      <c r="SGI1" s="9" t="s">
        <v>13053</v>
      </c>
      <c r="SGJ1" s="9" t="s">
        <v>13054</v>
      </c>
      <c r="SGK1" s="9" t="s">
        <v>13055</v>
      </c>
      <c r="SGL1" s="9" t="s">
        <v>13056</v>
      </c>
      <c r="SGM1" s="9" t="s">
        <v>13057</v>
      </c>
      <c r="SGN1" s="9" t="s">
        <v>13058</v>
      </c>
      <c r="SGO1" s="9" t="s">
        <v>13059</v>
      </c>
      <c r="SGP1" s="9" t="s">
        <v>13060</v>
      </c>
      <c r="SGQ1" s="9" t="s">
        <v>13061</v>
      </c>
      <c r="SGR1" s="9" t="s">
        <v>13062</v>
      </c>
      <c r="SGS1" s="9" t="s">
        <v>13063</v>
      </c>
      <c r="SGT1" s="9" t="s">
        <v>13064</v>
      </c>
      <c r="SGU1" s="9" t="s">
        <v>13065</v>
      </c>
      <c r="SGV1" s="9" t="s">
        <v>13066</v>
      </c>
      <c r="SGW1" s="9" t="s">
        <v>13067</v>
      </c>
      <c r="SGX1" s="9" t="s">
        <v>13068</v>
      </c>
      <c r="SGY1" s="9" t="s">
        <v>13069</v>
      </c>
      <c r="SGZ1" s="9" t="s">
        <v>13070</v>
      </c>
      <c r="SHA1" s="9" t="s">
        <v>13071</v>
      </c>
      <c r="SHB1" s="9" t="s">
        <v>13072</v>
      </c>
      <c r="SHC1" s="9" t="s">
        <v>13073</v>
      </c>
      <c r="SHD1" s="9" t="s">
        <v>13074</v>
      </c>
      <c r="SHE1" s="9" t="s">
        <v>13075</v>
      </c>
      <c r="SHF1" s="9" t="s">
        <v>13076</v>
      </c>
      <c r="SHG1" s="9" t="s">
        <v>13077</v>
      </c>
      <c r="SHH1" s="9" t="s">
        <v>13078</v>
      </c>
      <c r="SHI1" s="9" t="s">
        <v>13079</v>
      </c>
      <c r="SHJ1" s="9" t="s">
        <v>13080</v>
      </c>
      <c r="SHK1" s="9" t="s">
        <v>13081</v>
      </c>
      <c r="SHL1" s="9" t="s">
        <v>13082</v>
      </c>
      <c r="SHM1" s="9" t="s">
        <v>13083</v>
      </c>
      <c r="SHN1" s="9" t="s">
        <v>13084</v>
      </c>
      <c r="SHO1" s="9" t="s">
        <v>13085</v>
      </c>
      <c r="SHP1" s="9" t="s">
        <v>13086</v>
      </c>
      <c r="SHQ1" s="9" t="s">
        <v>13087</v>
      </c>
      <c r="SHR1" s="9" t="s">
        <v>13088</v>
      </c>
      <c r="SHS1" s="9" t="s">
        <v>13089</v>
      </c>
      <c r="SHT1" s="9" t="s">
        <v>13090</v>
      </c>
      <c r="SHU1" s="9" t="s">
        <v>13091</v>
      </c>
      <c r="SHV1" s="9" t="s">
        <v>13092</v>
      </c>
      <c r="SHW1" s="9" t="s">
        <v>13093</v>
      </c>
      <c r="SHX1" s="9" t="s">
        <v>13094</v>
      </c>
      <c r="SHY1" s="9" t="s">
        <v>13095</v>
      </c>
      <c r="SHZ1" s="9" t="s">
        <v>13096</v>
      </c>
      <c r="SIA1" s="9" t="s">
        <v>13097</v>
      </c>
      <c r="SIB1" s="9" t="s">
        <v>13098</v>
      </c>
      <c r="SIC1" s="9" t="s">
        <v>13099</v>
      </c>
      <c r="SID1" s="9" t="s">
        <v>13100</v>
      </c>
      <c r="SIE1" s="9" t="s">
        <v>13101</v>
      </c>
      <c r="SIF1" s="9" t="s">
        <v>13102</v>
      </c>
      <c r="SIG1" s="9" t="s">
        <v>13103</v>
      </c>
      <c r="SIH1" s="9" t="s">
        <v>13104</v>
      </c>
      <c r="SII1" s="9" t="s">
        <v>13105</v>
      </c>
      <c r="SIJ1" s="9" t="s">
        <v>13106</v>
      </c>
      <c r="SIK1" s="9" t="s">
        <v>13107</v>
      </c>
      <c r="SIL1" s="9" t="s">
        <v>13108</v>
      </c>
      <c r="SIM1" s="9" t="s">
        <v>13109</v>
      </c>
      <c r="SIN1" s="9" t="s">
        <v>13110</v>
      </c>
      <c r="SIO1" s="9" t="s">
        <v>13111</v>
      </c>
      <c r="SIP1" s="9" t="s">
        <v>13112</v>
      </c>
      <c r="SIQ1" s="9" t="s">
        <v>13113</v>
      </c>
      <c r="SIR1" s="9" t="s">
        <v>13114</v>
      </c>
      <c r="SIS1" s="9" t="s">
        <v>13115</v>
      </c>
      <c r="SIT1" s="9" t="s">
        <v>13116</v>
      </c>
      <c r="SIU1" s="9" t="s">
        <v>13117</v>
      </c>
      <c r="SIV1" s="9" t="s">
        <v>13118</v>
      </c>
      <c r="SIW1" s="9" t="s">
        <v>13119</v>
      </c>
      <c r="SIX1" s="9" t="s">
        <v>13120</v>
      </c>
      <c r="SIY1" s="9" t="s">
        <v>13121</v>
      </c>
      <c r="SIZ1" s="9" t="s">
        <v>13122</v>
      </c>
      <c r="SJA1" s="9" t="s">
        <v>13123</v>
      </c>
      <c r="SJB1" s="9" t="s">
        <v>13124</v>
      </c>
      <c r="SJC1" s="9" t="s">
        <v>13125</v>
      </c>
      <c r="SJD1" s="9" t="s">
        <v>13126</v>
      </c>
      <c r="SJE1" s="9" t="s">
        <v>13127</v>
      </c>
      <c r="SJF1" s="9" t="s">
        <v>13128</v>
      </c>
      <c r="SJG1" s="9" t="s">
        <v>13129</v>
      </c>
      <c r="SJH1" s="9" t="s">
        <v>13130</v>
      </c>
      <c r="SJI1" s="9" t="s">
        <v>13131</v>
      </c>
      <c r="SJJ1" s="9" t="s">
        <v>13132</v>
      </c>
      <c r="SJK1" s="9" t="s">
        <v>13133</v>
      </c>
      <c r="SJL1" s="9" t="s">
        <v>13134</v>
      </c>
      <c r="SJM1" s="9" t="s">
        <v>13135</v>
      </c>
      <c r="SJN1" s="9" t="s">
        <v>13136</v>
      </c>
      <c r="SJO1" s="9" t="s">
        <v>13137</v>
      </c>
      <c r="SJP1" s="9" t="s">
        <v>13138</v>
      </c>
      <c r="SJQ1" s="9" t="s">
        <v>13139</v>
      </c>
      <c r="SJR1" s="9" t="s">
        <v>13140</v>
      </c>
      <c r="SJS1" s="9" t="s">
        <v>13141</v>
      </c>
      <c r="SJT1" s="9" t="s">
        <v>13142</v>
      </c>
      <c r="SJU1" s="9" t="s">
        <v>13143</v>
      </c>
      <c r="SJV1" s="9" t="s">
        <v>13144</v>
      </c>
      <c r="SJW1" s="9" t="s">
        <v>13145</v>
      </c>
      <c r="SJX1" s="9" t="s">
        <v>13146</v>
      </c>
      <c r="SJY1" s="9" t="s">
        <v>13147</v>
      </c>
      <c r="SJZ1" s="9" t="s">
        <v>13148</v>
      </c>
      <c r="SKA1" s="9" t="s">
        <v>13149</v>
      </c>
      <c r="SKB1" s="9" t="s">
        <v>13150</v>
      </c>
      <c r="SKC1" s="9" t="s">
        <v>13151</v>
      </c>
      <c r="SKD1" s="9" t="s">
        <v>13152</v>
      </c>
      <c r="SKE1" s="9" t="s">
        <v>13153</v>
      </c>
      <c r="SKF1" s="9" t="s">
        <v>13154</v>
      </c>
      <c r="SKG1" s="9" t="s">
        <v>13155</v>
      </c>
      <c r="SKH1" s="9" t="s">
        <v>13156</v>
      </c>
      <c r="SKI1" s="9" t="s">
        <v>13157</v>
      </c>
      <c r="SKJ1" s="9" t="s">
        <v>13158</v>
      </c>
      <c r="SKK1" s="9" t="s">
        <v>13159</v>
      </c>
      <c r="SKL1" s="9" t="s">
        <v>13160</v>
      </c>
      <c r="SKM1" s="9" t="s">
        <v>13161</v>
      </c>
      <c r="SKN1" s="9" t="s">
        <v>13162</v>
      </c>
      <c r="SKO1" s="9" t="s">
        <v>13163</v>
      </c>
      <c r="SKP1" s="9" t="s">
        <v>13164</v>
      </c>
      <c r="SKQ1" s="9" t="s">
        <v>13165</v>
      </c>
      <c r="SKR1" s="9" t="s">
        <v>13166</v>
      </c>
      <c r="SKS1" s="9" t="s">
        <v>13167</v>
      </c>
      <c r="SKT1" s="9" t="s">
        <v>13168</v>
      </c>
      <c r="SKU1" s="9" t="s">
        <v>13169</v>
      </c>
      <c r="SKV1" s="9" t="s">
        <v>13170</v>
      </c>
      <c r="SKW1" s="9" t="s">
        <v>13171</v>
      </c>
      <c r="SKX1" s="9" t="s">
        <v>13172</v>
      </c>
      <c r="SKY1" s="9" t="s">
        <v>13173</v>
      </c>
      <c r="SKZ1" s="9" t="s">
        <v>13174</v>
      </c>
      <c r="SLA1" s="9" t="s">
        <v>13175</v>
      </c>
      <c r="SLB1" s="9" t="s">
        <v>13176</v>
      </c>
      <c r="SLC1" s="9" t="s">
        <v>13177</v>
      </c>
      <c r="SLD1" s="9" t="s">
        <v>13178</v>
      </c>
      <c r="SLE1" s="9" t="s">
        <v>13179</v>
      </c>
      <c r="SLF1" s="9" t="s">
        <v>13180</v>
      </c>
      <c r="SLG1" s="9" t="s">
        <v>13181</v>
      </c>
      <c r="SLH1" s="9" t="s">
        <v>13182</v>
      </c>
      <c r="SLI1" s="9" t="s">
        <v>13183</v>
      </c>
      <c r="SLJ1" s="9" t="s">
        <v>13184</v>
      </c>
      <c r="SLK1" s="9" t="s">
        <v>13185</v>
      </c>
      <c r="SLL1" s="9" t="s">
        <v>13186</v>
      </c>
      <c r="SLM1" s="9" t="s">
        <v>13187</v>
      </c>
      <c r="SLN1" s="9" t="s">
        <v>13188</v>
      </c>
      <c r="SLO1" s="9" t="s">
        <v>13189</v>
      </c>
      <c r="SLP1" s="9" t="s">
        <v>13190</v>
      </c>
      <c r="SLQ1" s="9" t="s">
        <v>13191</v>
      </c>
      <c r="SLR1" s="9" t="s">
        <v>13192</v>
      </c>
      <c r="SLS1" s="9" t="s">
        <v>13193</v>
      </c>
      <c r="SLT1" s="9" t="s">
        <v>13194</v>
      </c>
      <c r="SLU1" s="9" t="s">
        <v>13195</v>
      </c>
      <c r="SLV1" s="9" t="s">
        <v>13196</v>
      </c>
      <c r="SLW1" s="9" t="s">
        <v>13197</v>
      </c>
      <c r="SLX1" s="9" t="s">
        <v>13198</v>
      </c>
      <c r="SLY1" s="9" t="s">
        <v>13199</v>
      </c>
      <c r="SLZ1" s="9" t="s">
        <v>13200</v>
      </c>
      <c r="SMA1" s="9" t="s">
        <v>13201</v>
      </c>
      <c r="SMB1" s="9" t="s">
        <v>13202</v>
      </c>
      <c r="SMC1" s="9" t="s">
        <v>13203</v>
      </c>
      <c r="SMD1" s="9" t="s">
        <v>13204</v>
      </c>
      <c r="SME1" s="9" t="s">
        <v>13205</v>
      </c>
      <c r="SMF1" s="9" t="s">
        <v>13206</v>
      </c>
      <c r="SMG1" s="9" t="s">
        <v>13207</v>
      </c>
      <c r="SMH1" s="9" t="s">
        <v>13208</v>
      </c>
      <c r="SMI1" s="9" t="s">
        <v>13209</v>
      </c>
      <c r="SMJ1" s="9" t="s">
        <v>13210</v>
      </c>
      <c r="SMK1" s="9" t="s">
        <v>13211</v>
      </c>
      <c r="SML1" s="9" t="s">
        <v>13212</v>
      </c>
      <c r="SMM1" s="9" t="s">
        <v>13213</v>
      </c>
      <c r="SMN1" s="9" t="s">
        <v>13214</v>
      </c>
      <c r="SMO1" s="9" t="s">
        <v>13215</v>
      </c>
      <c r="SMP1" s="9" t="s">
        <v>13216</v>
      </c>
      <c r="SMQ1" s="9" t="s">
        <v>13217</v>
      </c>
      <c r="SMR1" s="9" t="s">
        <v>13218</v>
      </c>
      <c r="SMS1" s="9" t="s">
        <v>13219</v>
      </c>
      <c r="SMT1" s="9" t="s">
        <v>13220</v>
      </c>
      <c r="SMU1" s="9" t="s">
        <v>13221</v>
      </c>
      <c r="SMV1" s="9" t="s">
        <v>13222</v>
      </c>
      <c r="SMW1" s="9" t="s">
        <v>13223</v>
      </c>
      <c r="SMX1" s="9" t="s">
        <v>13224</v>
      </c>
      <c r="SMY1" s="9" t="s">
        <v>13225</v>
      </c>
      <c r="SMZ1" s="9" t="s">
        <v>13226</v>
      </c>
      <c r="SNA1" s="9" t="s">
        <v>13227</v>
      </c>
      <c r="SNB1" s="9" t="s">
        <v>13228</v>
      </c>
      <c r="SNC1" s="9" t="s">
        <v>13229</v>
      </c>
      <c r="SND1" s="9" t="s">
        <v>13230</v>
      </c>
      <c r="SNE1" s="9" t="s">
        <v>13231</v>
      </c>
      <c r="SNF1" s="9" t="s">
        <v>13232</v>
      </c>
      <c r="SNG1" s="9" t="s">
        <v>13233</v>
      </c>
      <c r="SNH1" s="9" t="s">
        <v>13234</v>
      </c>
      <c r="SNI1" s="9" t="s">
        <v>13235</v>
      </c>
      <c r="SNJ1" s="9" t="s">
        <v>13236</v>
      </c>
      <c r="SNK1" s="9" t="s">
        <v>13237</v>
      </c>
      <c r="SNL1" s="9" t="s">
        <v>13238</v>
      </c>
      <c r="SNM1" s="9" t="s">
        <v>13239</v>
      </c>
      <c r="SNN1" s="9" t="s">
        <v>13240</v>
      </c>
      <c r="SNO1" s="9" t="s">
        <v>13241</v>
      </c>
      <c r="SNP1" s="9" t="s">
        <v>13242</v>
      </c>
      <c r="SNQ1" s="9" t="s">
        <v>13243</v>
      </c>
      <c r="SNR1" s="9" t="s">
        <v>13244</v>
      </c>
      <c r="SNS1" s="9" t="s">
        <v>13245</v>
      </c>
      <c r="SNT1" s="9" t="s">
        <v>13246</v>
      </c>
      <c r="SNU1" s="9" t="s">
        <v>13247</v>
      </c>
      <c r="SNV1" s="9" t="s">
        <v>13248</v>
      </c>
      <c r="SNW1" s="9" t="s">
        <v>13249</v>
      </c>
      <c r="SNX1" s="9" t="s">
        <v>13250</v>
      </c>
      <c r="SNY1" s="9" t="s">
        <v>13251</v>
      </c>
      <c r="SNZ1" s="9" t="s">
        <v>13252</v>
      </c>
      <c r="SOA1" s="9" t="s">
        <v>13253</v>
      </c>
      <c r="SOB1" s="9" t="s">
        <v>13254</v>
      </c>
      <c r="SOC1" s="9" t="s">
        <v>13255</v>
      </c>
      <c r="SOD1" s="9" t="s">
        <v>13256</v>
      </c>
      <c r="SOE1" s="9" t="s">
        <v>13257</v>
      </c>
      <c r="SOF1" s="9" t="s">
        <v>13258</v>
      </c>
      <c r="SOG1" s="9" t="s">
        <v>13259</v>
      </c>
      <c r="SOH1" s="9" t="s">
        <v>13260</v>
      </c>
      <c r="SOI1" s="9" t="s">
        <v>13261</v>
      </c>
      <c r="SOJ1" s="9" t="s">
        <v>13262</v>
      </c>
      <c r="SOK1" s="9" t="s">
        <v>13263</v>
      </c>
      <c r="SOL1" s="9" t="s">
        <v>13264</v>
      </c>
      <c r="SOM1" s="9" t="s">
        <v>13265</v>
      </c>
      <c r="SON1" s="9" t="s">
        <v>13266</v>
      </c>
      <c r="SOO1" s="9" t="s">
        <v>13267</v>
      </c>
      <c r="SOP1" s="9" t="s">
        <v>13268</v>
      </c>
      <c r="SOQ1" s="9" t="s">
        <v>13269</v>
      </c>
      <c r="SOR1" s="9" t="s">
        <v>13270</v>
      </c>
      <c r="SOS1" s="9" t="s">
        <v>13271</v>
      </c>
      <c r="SOT1" s="9" t="s">
        <v>13272</v>
      </c>
      <c r="SOU1" s="9" t="s">
        <v>13273</v>
      </c>
      <c r="SOV1" s="9" t="s">
        <v>13274</v>
      </c>
      <c r="SOW1" s="9" t="s">
        <v>13275</v>
      </c>
      <c r="SOX1" s="9" t="s">
        <v>13276</v>
      </c>
      <c r="SOY1" s="9" t="s">
        <v>13277</v>
      </c>
      <c r="SOZ1" s="9" t="s">
        <v>13278</v>
      </c>
      <c r="SPA1" s="9" t="s">
        <v>13279</v>
      </c>
      <c r="SPB1" s="9" t="s">
        <v>13280</v>
      </c>
      <c r="SPC1" s="9" t="s">
        <v>13281</v>
      </c>
      <c r="SPD1" s="9" t="s">
        <v>13282</v>
      </c>
      <c r="SPE1" s="9" t="s">
        <v>13283</v>
      </c>
      <c r="SPF1" s="9" t="s">
        <v>13284</v>
      </c>
      <c r="SPG1" s="9" t="s">
        <v>13285</v>
      </c>
      <c r="SPH1" s="9" t="s">
        <v>13286</v>
      </c>
      <c r="SPI1" s="9" t="s">
        <v>13287</v>
      </c>
      <c r="SPJ1" s="9" t="s">
        <v>13288</v>
      </c>
      <c r="SPK1" s="9" t="s">
        <v>13289</v>
      </c>
      <c r="SPL1" s="9" t="s">
        <v>13290</v>
      </c>
      <c r="SPM1" s="9" t="s">
        <v>13291</v>
      </c>
      <c r="SPN1" s="9" t="s">
        <v>13292</v>
      </c>
      <c r="SPO1" s="9" t="s">
        <v>13293</v>
      </c>
      <c r="SPP1" s="9" t="s">
        <v>13294</v>
      </c>
      <c r="SPQ1" s="9" t="s">
        <v>13295</v>
      </c>
      <c r="SPR1" s="9" t="s">
        <v>13296</v>
      </c>
      <c r="SPS1" s="9" t="s">
        <v>13297</v>
      </c>
      <c r="SPT1" s="9" t="s">
        <v>13298</v>
      </c>
      <c r="SPU1" s="9" t="s">
        <v>13299</v>
      </c>
      <c r="SPV1" s="9" t="s">
        <v>13300</v>
      </c>
      <c r="SPW1" s="9" t="s">
        <v>13301</v>
      </c>
      <c r="SPX1" s="9" t="s">
        <v>13302</v>
      </c>
      <c r="SPY1" s="9" t="s">
        <v>13303</v>
      </c>
      <c r="SPZ1" s="9" t="s">
        <v>13304</v>
      </c>
      <c r="SQA1" s="9" t="s">
        <v>13305</v>
      </c>
      <c r="SQB1" s="9" t="s">
        <v>13306</v>
      </c>
      <c r="SQC1" s="9" t="s">
        <v>13307</v>
      </c>
      <c r="SQD1" s="9" t="s">
        <v>13308</v>
      </c>
      <c r="SQE1" s="9" t="s">
        <v>13309</v>
      </c>
      <c r="SQF1" s="9" t="s">
        <v>13310</v>
      </c>
      <c r="SQG1" s="9" t="s">
        <v>13311</v>
      </c>
      <c r="SQH1" s="9" t="s">
        <v>13312</v>
      </c>
      <c r="SQI1" s="9" t="s">
        <v>13313</v>
      </c>
      <c r="SQJ1" s="9" t="s">
        <v>13314</v>
      </c>
      <c r="SQK1" s="9" t="s">
        <v>13315</v>
      </c>
      <c r="SQL1" s="9" t="s">
        <v>13316</v>
      </c>
      <c r="SQM1" s="9" t="s">
        <v>13317</v>
      </c>
      <c r="SQN1" s="9" t="s">
        <v>13318</v>
      </c>
      <c r="SQO1" s="9" t="s">
        <v>13319</v>
      </c>
      <c r="SQP1" s="9" t="s">
        <v>13320</v>
      </c>
      <c r="SQQ1" s="9" t="s">
        <v>13321</v>
      </c>
      <c r="SQR1" s="9" t="s">
        <v>13322</v>
      </c>
      <c r="SQS1" s="9" t="s">
        <v>13323</v>
      </c>
      <c r="SQT1" s="9" t="s">
        <v>13324</v>
      </c>
      <c r="SQU1" s="9" t="s">
        <v>13325</v>
      </c>
      <c r="SQV1" s="9" t="s">
        <v>13326</v>
      </c>
      <c r="SQW1" s="9" t="s">
        <v>13327</v>
      </c>
      <c r="SQX1" s="9" t="s">
        <v>13328</v>
      </c>
      <c r="SQY1" s="9" t="s">
        <v>13329</v>
      </c>
      <c r="SQZ1" s="9" t="s">
        <v>13330</v>
      </c>
      <c r="SRA1" s="9" t="s">
        <v>13331</v>
      </c>
      <c r="SRB1" s="9" t="s">
        <v>13332</v>
      </c>
      <c r="SRC1" s="9" t="s">
        <v>13333</v>
      </c>
      <c r="SRD1" s="9" t="s">
        <v>13334</v>
      </c>
      <c r="SRE1" s="9" t="s">
        <v>13335</v>
      </c>
      <c r="SRF1" s="9" t="s">
        <v>13336</v>
      </c>
      <c r="SRG1" s="9" t="s">
        <v>13337</v>
      </c>
      <c r="SRH1" s="9" t="s">
        <v>13338</v>
      </c>
      <c r="SRI1" s="9" t="s">
        <v>13339</v>
      </c>
      <c r="SRJ1" s="9" t="s">
        <v>13340</v>
      </c>
      <c r="SRK1" s="9" t="s">
        <v>13341</v>
      </c>
      <c r="SRL1" s="9" t="s">
        <v>13342</v>
      </c>
      <c r="SRM1" s="9" t="s">
        <v>13343</v>
      </c>
      <c r="SRN1" s="9" t="s">
        <v>13344</v>
      </c>
      <c r="SRO1" s="9" t="s">
        <v>13345</v>
      </c>
      <c r="SRP1" s="9" t="s">
        <v>13346</v>
      </c>
      <c r="SRQ1" s="9" t="s">
        <v>13347</v>
      </c>
      <c r="SRR1" s="9" t="s">
        <v>13348</v>
      </c>
      <c r="SRS1" s="9" t="s">
        <v>13349</v>
      </c>
      <c r="SRT1" s="9" t="s">
        <v>13350</v>
      </c>
      <c r="SRU1" s="9" t="s">
        <v>13351</v>
      </c>
      <c r="SRV1" s="9" t="s">
        <v>13352</v>
      </c>
      <c r="SRW1" s="9" t="s">
        <v>13353</v>
      </c>
      <c r="SRX1" s="9" t="s">
        <v>13354</v>
      </c>
      <c r="SRY1" s="9" t="s">
        <v>13355</v>
      </c>
      <c r="SRZ1" s="9" t="s">
        <v>13356</v>
      </c>
      <c r="SSA1" s="9" t="s">
        <v>13357</v>
      </c>
      <c r="SSB1" s="9" t="s">
        <v>13358</v>
      </c>
      <c r="SSC1" s="9" t="s">
        <v>13359</v>
      </c>
      <c r="SSD1" s="9" t="s">
        <v>13360</v>
      </c>
      <c r="SSE1" s="9" t="s">
        <v>13361</v>
      </c>
      <c r="SSF1" s="9" t="s">
        <v>13362</v>
      </c>
      <c r="SSG1" s="9" t="s">
        <v>13363</v>
      </c>
      <c r="SSH1" s="9" t="s">
        <v>13364</v>
      </c>
      <c r="SSI1" s="9" t="s">
        <v>13365</v>
      </c>
      <c r="SSJ1" s="9" t="s">
        <v>13366</v>
      </c>
      <c r="SSK1" s="9" t="s">
        <v>13367</v>
      </c>
      <c r="SSL1" s="9" t="s">
        <v>13368</v>
      </c>
      <c r="SSM1" s="9" t="s">
        <v>13369</v>
      </c>
      <c r="SSN1" s="9" t="s">
        <v>13370</v>
      </c>
      <c r="SSO1" s="9" t="s">
        <v>13371</v>
      </c>
      <c r="SSP1" s="9" t="s">
        <v>13372</v>
      </c>
      <c r="SSQ1" s="9" t="s">
        <v>13373</v>
      </c>
      <c r="SSR1" s="9" t="s">
        <v>13374</v>
      </c>
      <c r="SSS1" s="9" t="s">
        <v>13375</v>
      </c>
      <c r="SST1" s="9" t="s">
        <v>13376</v>
      </c>
      <c r="SSU1" s="9" t="s">
        <v>13377</v>
      </c>
      <c r="SSV1" s="9" t="s">
        <v>13378</v>
      </c>
      <c r="SSW1" s="9" t="s">
        <v>13379</v>
      </c>
      <c r="SSX1" s="9" t="s">
        <v>13380</v>
      </c>
      <c r="SSY1" s="9" t="s">
        <v>13381</v>
      </c>
      <c r="SSZ1" s="9" t="s">
        <v>13382</v>
      </c>
      <c r="STA1" s="9" t="s">
        <v>13383</v>
      </c>
      <c r="STB1" s="9" t="s">
        <v>13384</v>
      </c>
      <c r="STC1" s="9" t="s">
        <v>13385</v>
      </c>
      <c r="STD1" s="9" t="s">
        <v>13386</v>
      </c>
      <c r="STE1" s="9" t="s">
        <v>13387</v>
      </c>
      <c r="STF1" s="9" t="s">
        <v>13388</v>
      </c>
      <c r="STG1" s="9" t="s">
        <v>13389</v>
      </c>
      <c r="STH1" s="9" t="s">
        <v>13390</v>
      </c>
      <c r="STI1" s="9" t="s">
        <v>13391</v>
      </c>
      <c r="STJ1" s="9" t="s">
        <v>13392</v>
      </c>
      <c r="STK1" s="9" t="s">
        <v>13393</v>
      </c>
      <c r="STL1" s="9" t="s">
        <v>13394</v>
      </c>
      <c r="STM1" s="9" t="s">
        <v>13395</v>
      </c>
      <c r="STN1" s="9" t="s">
        <v>13396</v>
      </c>
      <c r="STO1" s="9" t="s">
        <v>13397</v>
      </c>
      <c r="STP1" s="9" t="s">
        <v>13398</v>
      </c>
      <c r="STQ1" s="9" t="s">
        <v>13399</v>
      </c>
      <c r="STR1" s="9" t="s">
        <v>13400</v>
      </c>
      <c r="STS1" s="9" t="s">
        <v>13401</v>
      </c>
      <c r="STT1" s="9" t="s">
        <v>13402</v>
      </c>
      <c r="STU1" s="9" t="s">
        <v>13403</v>
      </c>
      <c r="STV1" s="9" t="s">
        <v>13404</v>
      </c>
      <c r="STW1" s="9" t="s">
        <v>13405</v>
      </c>
      <c r="STX1" s="9" t="s">
        <v>13406</v>
      </c>
      <c r="STY1" s="9" t="s">
        <v>13407</v>
      </c>
      <c r="STZ1" s="9" t="s">
        <v>13408</v>
      </c>
      <c r="SUA1" s="9" t="s">
        <v>13409</v>
      </c>
      <c r="SUB1" s="9" t="s">
        <v>13410</v>
      </c>
      <c r="SUC1" s="9" t="s">
        <v>13411</v>
      </c>
      <c r="SUD1" s="9" t="s">
        <v>13412</v>
      </c>
      <c r="SUE1" s="9" t="s">
        <v>13413</v>
      </c>
      <c r="SUF1" s="9" t="s">
        <v>13414</v>
      </c>
      <c r="SUG1" s="9" t="s">
        <v>13415</v>
      </c>
      <c r="SUH1" s="9" t="s">
        <v>13416</v>
      </c>
      <c r="SUI1" s="9" t="s">
        <v>13417</v>
      </c>
      <c r="SUJ1" s="9" t="s">
        <v>13418</v>
      </c>
      <c r="SUK1" s="9" t="s">
        <v>13419</v>
      </c>
      <c r="SUL1" s="9" t="s">
        <v>13420</v>
      </c>
      <c r="SUM1" s="9" t="s">
        <v>13421</v>
      </c>
      <c r="SUN1" s="9" t="s">
        <v>13422</v>
      </c>
      <c r="SUO1" s="9" t="s">
        <v>13423</v>
      </c>
      <c r="SUP1" s="9" t="s">
        <v>13424</v>
      </c>
      <c r="SUQ1" s="9" t="s">
        <v>13425</v>
      </c>
      <c r="SUR1" s="9" t="s">
        <v>13426</v>
      </c>
      <c r="SUS1" s="9" t="s">
        <v>13427</v>
      </c>
      <c r="SUT1" s="9" t="s">
        <v>13428</v>
      </c>
      <c r="SUU1" s="9" t="s">
        <v>13429</v>
      </c>
      <c r="SUV1" s="9" t="s">
        <v>13430</v>
      </c>
      <c r="SUW1" s="9" t="s">
        <v>13431</v>
      </c>
      <c r="SUX1" s="9" t="s">
        <v>13432</v>
      </c>
      <c r="SUY1" s="9" t="s">
        <v>13433</v>
      </c>
      <c r="SUZ1" s="9" t="s">
        <v>13434</v>
      </c>
      <c r="SVA1" s="9" t="s">
        <v>13435</v>
      </c>
      <c r="SVB1" s="9" t="s">
        <v>13436</v>
      </c>
      <c r="SVC1" s="9" t="s">
        <v>13437</v>
      </c>
      <c r="SVD1" s="9" t="s">
        <v>13438</v>
      </c>
      <c r="SVE1" s="9" t="s">
        <v>13439</v>
      </c>
      <c r="SVF1" s="9" t="s">
        <v>13440</v>
      </c>
      <c r="SVG1" s="9" t="s">
        <v>13441</v>
      </c>
      <c r="SVH1" s="9" t="s">
        <v>13442</v>
      </c>
      <c r="SVI1" s="9" t="s">
        <v>13443</v>
      </c>
      <c r="SVJ1" s="9" t="s">
        <v>13444</v>
      </c>
      <c r="SVK1" s="9" t="s">
        <v>13445</v>
      </c>
      <c r="SVL1" s="9" t="s">
        <v>13446</v>
      </c>
      <c r="SVM1" s="9" t="s">
        <v>13447</v>
      </c>
      <c r="SVN1" s="9" t="s">
        <v>13448</v>
      </c>
      <c r="SVO1" s="9" t="s">
        <v>13449</v>
      </c>
      <c r="SVP1" s="9" t="s">
        <v>13450</v>
      </c>
      <c r="SVQ1" s="9" t="s">
        <v>13451</v>
      </c>
      <c r="SVR1" s="9" t="s">
        <v>13452</v>
      </c>
      <c r="SVS1" s="9" t="s">
        <v>13453</v>
      </c>
      <c r="SVT1" s="9" t="s">
        <v>13454</v>
      </c>
      <c r="SVU1" s="9" t="s">
        <v>13455</v>
      </c>
      <c r="SVV1" s="9" t="s">
        <v>13456</v>
      </c>
      <c r="SVW1" s="9" t="s">
        <v>13457</v>
      </c>
      <c r="SVX1" s="9" t="s">
        <v>13458</v>
      </c>
      <c r="SVY1" s="9" t="s">
        <v>13459</v>
      </c>
      <c r="SVZ1" s="9" t="s">
        <v>13460</v>
      </c>
      <c r="SWA1" s="9" t="s">
        <v>13461</v>
      </c>
      <c r="SWB1" s="9" t="s">
        <v>13462</v>
      </c>
      <c r="SWC1" s="9" t="s">
        <v>13463</v>
      </c>
      <c r="SWD1" s="9" t="s">
        <v>13464</v>
      </c>
      <c r="SWE1" s="9" t="s">
        <v>13465</v>
      </c>
      <c r="SWF1" s="9" t="s">
        <v>13466</v>
      </c>
      <c r="SWG1" s="9" t="s">
        <v>13467</v>
      </c>
      <c r="SWH1" s="9" t="s">
        <v>13468</v>
      </c>
      <c r="SWI1" s="9" t="s">
        <v>13469</v>
      </c>
      <c r="SWJ1" s="9" t="s">
        <v>13470</v>
      </c>
      <c r="SWK1" s="9" t="s">
        <v>13471</v>
      </c>
      <c r="SWL1" s="9" t="s">
        <v>13472</v>
      </c>
      <c r="SWM1" s="9" t="s">
        <v>13473</v>
      </c>
      <c r="SWN1" s="9" t="s">
        <v>13474</v>
      </c>
      <c r="SWO1" s="9" t="s">
        <v>13475</v>
      </c>
      <c r="SWP1" s="9" t="s">
        <v>13476</v>
      </c>
      <c r="SWQ1" s="9" t="s">
        <v>13477</v>
      </c>
      <c r="SWR1" s="9" t="s">
        <v>13478</v>
      </c>
      <c r="SWS1" s="9" t="s">
        <v>13479</v>
      </c>
      <c r="SWT1" s="9" t="s">
        <v>13480</v>
      </c>
      <c r="SWU1" s="9" t="s">
        <v>13481</v>
      </c>
      <c r="SWV1" s="9" t="s">
        <v>13482</v>
      </c>
      <c r="SWW1" s="9" t="s">
        <v>13483</v>
      </c>
      <c r="SWX1" s="9" t="s">
        <v>13484</v>
      </c>
      <c r="SWY1" s="9" t="s">
        <v>13485</v>
      </c>
      <c r="SWZ1" s="9" t="s">
        <v>13486</v>
      </c>
      <c r="SXA1" s="9" t="s">
        <v>13487</v>
      </c>
      <c r="SXB1" s="9" t="s">
        <v>13488</v>
      </c>
      <c r="SXC1" s="9" t="s">
        <v>13489</v>
      </c>
      <c r="SXD1" s="9" t="s">
        <v>13490</v>
      </c>
      <c r="SXE1" s="9" t="s">
        <v>13491</v>
      </c>
      <c r="SXF1" s="9" t="s">
        <v>13492</v>
      </c>
      <c r="SXG1" s="9" t="s">
        <v>13493</v>
      </c>
      <c r="SXH1" s="9" t="s">
        <v>13494</v>
      </c>
      <c r="SXI1" s="9" t="s">
        <v>13495</v>
      </c>
      <c r="SXJ1" s="9" t="s">
        <v>13496</v>
      </c>
      <c r="SXK1" s="9" t="s">
        <v>13497</v>
      </c>
      <c r="SXL1" s="9" t="s">
        <v>13498</v>
      </c>
      <c r="SXM1" s="9" t="s">
        <v>13499</v>
      </c>
      <c r="SXN1" s="9" t="s">
        <v>13500</v>
      </c>
      <c r="SXO1" s="9" t="s">
        <v>13501</v>
      </c>
      <c r="SXP1" s="9" t="s">
        <v>13502</v>
      </c>
      <c r="SXQ1" s="9" t="s">
        <v>13503</v>
      </c>
      <c r="SXR1" s="9" t="s">
        <v>13504</v>
      </c>
      <c r="SXS1" s="9" t="s">
        <v>13505</v>
      </c>
      <c r="SXT1" s="9" t="s">
        <v>13506</v>
      </c>
      <c r="SXU1" s="9" t="s">
        <v>13507</v>
      </c>
      <c r="SXV1" s="9" t="s">
        <v>13508</v>
      </c>
      <c r="SXW1" s="9" t="s">
        <v>13509</v>
      </c>
      <c r="SXX1" s="9" t="s">
        <v>13510</v>
      </c>
      <c r="SXY1" s="9" t="s">
        <v>13511</v>
      </c>
      <c r="SXZ1" s="9" t="s">
        <v>13512</v>
      </c>
      <c r="SYA1" s="9" t="s">
        <v>13513</v>
      </c>
      <c r="SYB1" s="9" t="s">
        <v>13514</v>
      </c>
      <c r="SYC1" s="9" t="s">
        <v>13515</v>
      </c>
      <c r="SYD1" s="9" t="s">
        <v>13516</v>
      </c>
      <c r="SYE1" s="9" t="s">
        <v>13517</v>
      </c>
      <c r="SYF1" s="9" t="s">
        <v>13518</v>
      </c>
      <c r="SYG1" s="9" t="s">
        <v>13519</v>
      </c>
      <c r="SYH1" s="9" t="s">
        <v>13520</v>
      </c>
      <c r="SYI1" s="9" t="s">
        <v>13521</v>
      </c>
      <c r="SYJ1" s="9" t="s">
        <v>13522</v>
      </c>
      <c r="SYK1" s="9" t="s">
        <v>13523</v>
      </c>
      <c r="SYL1" s="9" t="s">
        <v>13524</v>
      </c>
      <c r="SYM1" s="9" t="s">
        <v>13525</v>
      </c>
      <c r="SYN1" s="9" t="s">
        <v>13526</v>
      </c>
      <c r="SYO1" s="9" t="s">
        <v>13527</v>
      </c>
      <c r="SYP1" s="9" t="s">
        <v>13528</v>
      </c>
      <c r="SYQ1" s="9" t="s">
        <v>13529</v>
      </c>
      <c r="SYR1" s="9" t="s">
        <v>13530</v>
      </c>
      <c r="SYS1" s="9" t="s">
        <v>13531</v>
      </c>
      <c r="SYT1" s="9" t="s">
        <v>13532</v>
      </c>
      <c r="SYU1" s="9" t="s">
        <v>13533</v>
      </c>
      <c r="SYV1" s="9" t="s">
        <v>13534</v>
      </c>
      <c r="SYW1" s="9" t="s">
        <v>13535</v>
      </c>
      <c r="SYX1" s="9" t="s">
        <v>13536</v>
      </c>
      <c r="SYY1" s="9" t="s">
        <v>13537</v>
      </c>
      <c r="SYZ1" s="9" t="s">
        <v>13538</v>
      </c>
      <c r="SZA1" s="9" t="s">
        <v>13539</v>
      </c>
      <c r="SZB1" s="9" t="s">
        <v>13540</v>
      </c>
      <c r="SZC1" s="9" t="s">
        <v>13541</v>
      </c>
      <c r="SZD1" s="9" t="s">
        <v>13542</v>
      </c>
      <c r="SZE1" s="9" t="s">
        <v>13543</v>
      </c>
      <c r="SZF1" s="9" t="s">
        <v>13544</v>
      </c>
      <c r="SZG1" s="9" t="s">
        <v>13545</v>
      </c>
      <c r="SZH1" s="9" t="s">
        <v>13546</v>
      </c>
      <c r="SZI1" s="9" t="s">
        <v>13547</v>
      </c>
      <c r="SZJ1" s="9" t="s">
        <v>13548</v>
      </c>
      <c r="SZK1" s="9" t="s">
        <v>13549</v>
      </c>
      <c r="SZL1" s="9" t="s">
        <v>13550</v>
      </c>
      <c r="SZM1" s="9" t="s">
        <v>13551</v>
      </c>
      <c r="SZN1" s="9" t="s">
        <v>13552</v>
      </c>
      <c r="SZO1" s="9" t="s">
        <v>13553</v>
      </c>
      <c r="SZP1" s="9" t="s">
        <v>13554</v>
      </c>
      <c r="SZQ1" s="9" t="s">
        <v>13555</v>
      </c>
      <c r="SZR1" s="9" t="s">
        <v>13556</v>
      </c>
      <c r="SZS1" s="9" t="s">
        <v>13557</v>
      </c>
      <c r="SZT1" s="9" t="s">
        <v>13558</v>
      </c>
      <c r="SZU1" s="9" t="s">
        <v>13559</v>
      </c>
      <c r="SZV1" s="9" t="s">
        <v>13560</v>
      </c>
      <c r="SZW1" s="9" t="s">
        <v>13561</v>
      </c>
      <c r="SZX1" s="9" t="s">
        <v>13562</v>
      </c>
      <c r="SZY1" s="9" t="s">
        <v>13563</v>
      </c>
      <c r="SZZ1" s="9" t="s">
        <v>13564</v>
      </c>
      <c r="TAA1" s="9" t="s">
        <v>13565</v>
      </c>
      <c r="TAB1" s="9" t="s">
        <v>13566</v>
      </c>
      <c r="TAC1" s="9" t="s">
        <v>13567</v>
      </c>
      <c r="TAD1" s="9" t="s">
        <v>13568</v>
      </c>
      <c r="TAE1" s="9" t="s">
        <v>13569</v>
      </c>
      <c r="TAF1" s="9" t="s">
        <v>13570</v>
      </c>
      <c r="TAG1" s="9" t="s">
        <v>13571</v>
      </c>
      <c r="TAH1" s="9" t="s">
        <v>13572</v>
      </c>
      <c r="TAI1" s="9" t="s">
        <v>13573</v>
      </c>
      <c r="TAJ1" s="9" t="s">
        <v>13574</v>
      </c>
      <c r="TAK1" s="9" t="s">
        <v>13575</v>
      </c>
      <c r="TAL1" s="9" t="s">
        <v>13576</v>
      </c>
      <c r="TAM1" s="9" t="s">
        <v>13577</v>
      </c>
      <c r="TAN1" s="9" t="s">
        <v>13578</v>
      </c>
      <c r="TAO1" s="9" t="s">
        <v>13579</v>
      </c>
      <c r="TAP1" s="9" t="s">
        <v>13580</v>
      </c>
      <c r="TAQ1" s="9" t="s">
        <v>13581</v>
      </c>
      <c r="TAR1" s="9" t="s">
        <v>13582</v>
      </c>
      <c r="TAS1" s="9" t="s">
        <v>13583</v>
      </c>
      <c r="TAT1" s="9" t="s">
        <v>13584</v>
      </c>
      <c r="TAU1" s="9" t="s">
        <v>13585</v>
      </c>
      <c r="TAV1" s="9" t="s">
        <v>13586</v>
      </c>
      <c r="TAW1" s="9" t="s">
        <v>13587</v>
      </c>
      <c r="TAX1" s="9" t="s">
        <v>13588</v>
      </c>
      <c r="TAY1" s="9" t="s">
        <v>13589</v>
      </c>
      <c r="TAZ1" s="9" t="s">
        <v>13590</v>
      </c>
      <c r="TBA1" s="9" t="s">
        <v>13591</v>
      </c>
      <c r="TBB1" s="9" t="s">
        <v>13592</v>
      </c>
      <c r="TBC1" s="9" t="s">
        <v>13593</v>
      </c>
      <c r="TBD1" s="9" t="s">
        <v>13594</v>
      </c>
      <c r="TBE1" s="9" t="s">
        <v>13595</v>
      </c>
      <c r="TBF1" s="9" t="s">
        <v>13596</v>
      </c>
      <c r="TBG1" s="9" t="s">
        <v>13597</v>
      </c>
      <c r="TBH1" s="9" t="s">
        <v>13598</v>
      </c>
      <c r="TBI1" s="9" t="s">
        <v>13599</v>
      </c>
      <c r="TBJ1" s="9" t="s">
        <v>13600</v>
      </c>
      <c r="TBK1" s="9" t="s">
        <v>13601</v>
      </c>
      <c r="TBL1" s="9" t="s">
        <v>13602</v>
      </c>
      <c r="TBM1" s="9" t="s">
        <v>13603</v>
      </c>
      <c r="TBN1" s="9" t="s">
        <v>13604</v>
      </c>
      <c r="TBO1" s="9" t="s">
        <v>13605</v>
      </c>
      <c r="TBP1" s="9" t="s">
        <v>13606</v>
      </c>
      <c r="TBQ1" s="9" t="s">
        <v>13607</v>
      </c>
      <c r="TBR1" s="9" t="s">
        <v>13608</v>
      </c>
      <c r="TBS1" s="9" t="s">
        <v>13609</v>
      </c>
      <c r="TBT1" s="9" t="s">
        <v>13610</v>
      </c>
      <c r="TBU1" s="9" t="s">
        <v>13611</v>
      </c>
      <c r="TBV1" s="9" t="s">
        <v>13612</v>
      </c>
      <c r="TBW1" s="9" t="s">
        <v>13613</v>
      </c>
      <c r="TBX1" s="9" t="s">
        <v>13614</v>
      </c>
      <c r="TBY1" s="9" t="s">
        <v>13615</v>
      </c>
      <c r="TBZ1" s="9" t="s">
        <v>13616</v>
      </c>
      <c r="TCA1" s="9" t="s">
        <v>13617</v>
      </c>
      <c r="TCB1" s="9" t="s">
        <v>13618</v>
      </c>
      <c r="TCC1" s="9" t="s">
        <v>13619</v>
      </c>
      <c r="TCD1" s="9" t="s">
        <v>13620</v>
      </c>
      <c r="TCE1" s="9" t="s">
        <v>13621</v>
      </c>
      <c r="TCF1" s="9" t="s">
        <v>13622</v>
      </c>
      <c r="TCG1" s="9" t="s">
        <v>13623</v>
      </c>
      <c r="TCH1" s="9" t="s">
        <v>13624</v>
      </c>
      <c r="TCI1" s="9" t="s">
        <v>13625</v>
      </c>
      <c r="TCJ1" s="9" t="s">
        <v>13626</v>
      </c>
      <c r="TCK1" s="9" t="s">
        <v>13627</v>
      </c>
      <c r="TCL1" s="9" t="s">
        <v>13628</v>
      </c>
      <c r="TCM1" s="9" t="s">
        <v>13629</v>
      </c>
      <c r="TCN1" s="9" t="s">
        <v>13630</v>
      </c>
      <c r="TCO1" s="9" t="s">
        <v>13631</v>
      </c>
      <c r="TCP1" s="9" t="s">
        <v>13632</v>
      </c>
      <c r="TCQ1" s="9" t="s">
        <v>13633</v>
      </c>
      <c r="TCR1" s="9" t="s">
        <v>13634</v>
      </c>
      <c r="TCS1" s="9" t="s">
        <v>13635</v>
      </c>
      <c r="TCT1" s="9" t="s">
        <v>13636</v>
      </c>
      <c r="TCU1" s="9" t="s">
        <v>13637</v>
      </c>
      <c r="TCV1" s="9" t="s">
        <v>13638</v>
      </c>
      <c r="TCW1" s="9" t="s">
        <v>13639</v>
      </c>
      <c r="TCX1" s="9" t="s">
        <v>13640</v>
      </c>
      <c r="TCY1" s="9" t="s">
        <v>13641</v>
      </c>
      <c r="TCZ1" s="9" t="s">
        <v>13642</v>
      </c>
      <c r="TDA1" s="9" t="s">
        <v>13643</v>
      </c>
      <c r="TDB1" s="9" t="s">
        <v>13644</v>
      </c>
      <c r="TDC1" s="9" t="s">
        <v>13645</v>
      </c>
      <c r="TDD1" s="9" t="s">
        <v>13646</v>
      </c>
      <c r="TDE1" s="9" t="s">
        <v>13647</v>
      </c>
      <c r="TDF1" s="9" t="s">
        <v>13648</v>
      </c>
      <c r="TDG1" s="9" t="s">
        <v>13649</v>
      </c>
      <c r="TDH1" s="9" t="s">
        <v>13650</v>
      </c>
      <c r="TDI1" s="9" t="s">
        <v>13651</v>
      </c>
      <c r="TDJ1" s="9" t="s">
        <v>13652</v>
      </c>
      <c r="TDK1" s="9" t="s">
        <v>13653</v>
      </c>
      <c r="TDL1" s="9" t="s">
        <v>13654</v>
      </c>
      <c r="TDM1" s="9" t="s">
        <v>13655</v>
      </c>
      <c r="TDN1" s="9" t="s">
        <v>13656</v>
      </c>
      <c r="TDO1" s="9" t="s">
        <v>13657</v>
      </c>
      <c r="TDP1" s="9" t="s">
        <v>13658</v>
      </c>
      <c r="TDQ1" s="9" t="s">
        <v>13659</v>
      </c>
      <c r="TDR1" s="9" t="s">
        <v>13660</v>
      </c>
      <c r="TDS1" s="9" t="s">
        <v>13661</v>
      </c>
      <c r="TDT1" s="9" t="s">
        <v>13662</v>
      </c>
      <c r="TDU1" s="9" t="s">
        <v>13663</v>
      </c>
      <c r="TDV1" s="9" t="s">
        <v>13664</v>
      </c>
      <c r="TDW1" s="9" t="s">
        <v>13665</v>
      </c>
      <c r="TDX1" s="9" t="s">
        <v>13666</v>
      </c>
      <c r="TDY1" s="9" t="s">
        <v>13667</v>
      </c>
      <c r="TDZ1" s="9" t="s">
        <v>13668</v>
      </c>
      <c r="TEA1" s="9" t="s">
        <v>13669</v>
      </c>
      <c r="TEB1" s="9" t="s">
        <v>13670</v>
      </c>
      <c r="TEC1" s="9" t="s">
        <v>13671</v>
      </c>
      <c r="TED1" s="9" t="s">
        <v>13672</v>
      </c>
      <c r="TEE1" s="9" t="s">
        <v>13673</v>
      </c>
      <c r="TEF1" s="9" t="s">
        <v>13674</v>
      </c>
      <c r="TEG1" s="9" t="s">
        <v>13675</v>
      </c>
      <c r="TEH1" s="9" t="s">
        <v>13676</v>
      </c>
      <c r="TEI1" s="9" t="s">
        <v>13677</v>
      </c>
      <c r="TEJ1" s="9" t="s">
        <v>13678</v>
      </c>
      <c r="TEK1" s="9" t="s">
        <v>13679</v>
      </c>
      <c r="TEL1" s="9" t="s">
        <v>13680</v>
      </c>
      <c r="TEM1" s="9" t="s">
        <v>13681</v>
      </c>
      <c r="TEN1" s="9" t="s">
        <v>13682</v>
      </c>
      <c r="TEO1" s="9" t="s">
        <v>13683</v>
      </c>
      <c r="TEP1" s="9" t="s">
        <v>13684</v>
      </c>
      <c r="TEQ1" s="9" t="s">
        <v>13685</v>
      </c>
      <c r="TER1" s="9" t="s">
        <v>13686</v>
      </c>
      <c r="TES1" s="9" t="s">
        <v>13687</v>
      </c>
      <c r="TET1" s="9" t="s">
        <v>13688</v>
      </c>
      <c r="TEU1" s="9" t="s">
        <v>13689</v>
      </c>
      <c r="TEV1" s="9" t="s">
        <v>13690</v>
      </c>
      <c r="TEW1" s="9" t="s">
        <v>13691</v>
      </c>
      <c r="TEX1" s="9" t="s">
        <v>13692</v>
      </c>
      <c r="TEY1" s="9" t="s">
        <v>13693</v>
      </c>
      <c r="TEZ1" s="9" t="s">
        <v>13694</v>
      </c>
      <c r="TFA1" s="9" t="s">
        <v>13695</v>
      </c>
      <c r="TFB1" s="9" t="s">
        <v>13696</v>
      </c>
      <c r="TFC1" s="9" t="s">
        <v>13697</v>
      </c>
      <c r="TFD1" s="9" t="s">
        <v>13698</v>
      </c>
      <c r="TFE1" s="9" t="s">
        <v>13699</v>
      </c>
      <c r="TFF1" s="9" t="s">
        <v>13700</v>
      </c>
      <c r="TFG1" s="9" t="s">
        <v>13701</v>
      </c>
      <c r="TFH1" s="9" t="s">
        <v>13702</v>
      </c>
      <c r="TFI1" s="9" t="s">
        <v>13703</v>
      </c>
      <c r="TFJ1" s="9" t="s">
        <v>13704</v>
      </c>
      <c r="TFK1" s="9" t="s">
        <v>13705</v>
      </c>
      <c r="TFL1" s="9" t="s">
        <v>13706</v>
      </c>
      <c r="TFM1" s="9" t="s">
        <v>13707</v>
      </c>
      <c r="TFN1" s="9" t="s">
        <v>13708</v>
      </c>
      <c r="TFO1" s="9" t="s">
        <v>13709</v>
      </c>
      <c r="TFP1" s="9" t="s">
        <v>13710</v>
      </c>
      <c r="TFQ1" s="9" t="s">
        <v>13711</v>
      </c>
      <c r="TFR1" s="9" t="s">
        <v>13712</v>
      </c>
      <c r="TFS1" s="9" t="s">
        <v>13713</v>
      </c>
      <c r="TFT1" s="9" t="s">
        <v>13714</v>
      </c>
      <c r="TFU1" s="9" t="s">
        <v>13715</v>
      </c>
      <c r="TFV1" s="9" t="s">
        <v>13716</v>
      </c>
      <c r="TFW1" s="9" t="s">
        <v>13717</v>
      </c>
      <c r="TFX1" s="9" t="s">
        <v>13718</v>
      </c>
      <c r="TFY1" s="9" t="s">
        <v>13719</v>
      </c>
      <c r="TFZ1" s="9" t="s">
        <v>13720</v>
      </c>
      <c r="TGA1" s="9" t="s">
        <v>13721</v>
      </c>
      <c r="TGB1" s="9" t="s">
        <v>13722</v>
      </c>
      <c r="TGC1" s="9" t="s">
        <v>13723</v>
      </c>
      <c r="TGD1" s="9" t="s">
        <v>13724</v>
      </c>
      <c r="TGE1" s="9" t="s">
        <v>13725</v>
      </c>
      <c r="TGF1" s="9" t="s">
        <v>13726</v>
      </c>
      <c r="TGG1" s="9" t="s">
        <v>13727</v>
      </c>
      <c r="TGH1" s="9" t="s">
        <v>13728</v>
      </c>
      <c r="TGI1" s="9" t="s">
        <v>13729</v>
      </c>
      <c r="TGJ1" s="9" t="s">
        <v>13730</v>
      </c>
      <c r="TGK1" s="9" t="s">
        <v>13731</v>
      </c>
      <c r="TGL1" s="9" t="s">
        <v>13732</v>
      </c>
      <c r="TGM1" s="9" t="s">
        <v>13733</v>
      </c>
      <c r="TGN1" s="9" t="s">
        <v>13734</v>
      </c>
      <c r="TGO1" s="9" t="s">
        <v>13735</v>
      </c>
      <c r="TGP1" s="9" t="s">
        <v>13736</v>
      </c>
      <c r="TGQ1" s="9" t="s">
        <v>13737</v>
      </c>
      <c r="TGR1" s="9" t="s">
        <v>13738</v>
      </c>
      <c r="TGS1" s="9" t="s">
        <v>13739</v>
      </c>
      <c r="TGT1" s="9" t="s">
        <v>13740</v>
      </c>
      <c r="TGU1" s="9" t="s">
        <v>13741</v>
      </c>
      <c r="TGV1" s="9" t="s">
        <v>13742</v>
      </c>
      <c r="TGW1" s="9" t="s">
        <v>13743</v>
      </c>
      <c r="TGX1" s="9" t="s">
        <v>13744</v>
      </c>
      <c r="TGY1" s="9" t="s">
        <v>13745</v>
      </c>
      <c r="TGZ1" s="9" t="s">
        <v>13746</v>
      </c>
      <c r="THA1" s="9" t="s">
        <v>13747</v>
      </c>
      <c r="THB1" s="9" t="s">
        <v>13748</v>
      </c>
      <c r="THC1" s="9" t="s">
        <v>13749</v>
      </c>
      <c r="THD1" s="9" t="s">
        <v>13750</v>
      </c>
      <c r="THE1" s="9" t="s">
        <v>13751</v>
      </c>
      <c r="THF1" s="9" t="s">
        <v>13752</v>
      </c>
      <c r="THG1" s="9" t="s">
        <v>13753</v>
      </c>
      <c r="THH1" s="9" t="s">
        <v>13754</v>
      </c>
      <c r="THI1" s="9" t="s">
        <v>13755</v>
      </c>
      <c r="THJ1" s="9" t="s">
        <v>13756</v>
      </c>
      <c r="THK1" s="9" t="s">
        <v>13757</v>
      </c>
      <c r="THL1" s="9" t="s">
        <v>13758</v>
      </c>
      <c r="THM1" s="9" t="s">
        <v>13759</v>
      </c>
      <c r="THN1" s="9" t="s">
        <v>13760</v>
      </c>
      <c r="THO1" s="9" t="s">
        <v>13761</v>
      </c>
      <c r="THP1" s="9" t="s">
        <v>13762</v>
      </c>
      <c r="THQ1" s="9" t="s">
        <v>13763</v>
      </c>
      <c r="THR1" s="9" t="s">
        <v>13764</v>
      </c>
      <c r="THS1" s="9" t="s">
        <v>13765</v>
      </c>
      <c r="THT1" s="9" t="s">
        <v>13766</v>
      </c>
      <c r="THU1" s="9" t="s">
        <v>13767</v>
      </c>
      <c r="THV1" s="9" t="s">
        <v>13768</v>
      </c>
      <c r="THW1" s="9" t="s">
        <v>13769</v>
      </c>
      <c r="THX1" s="9" t="s">
        <v>13770</v>
      </c>
      <c r="THY1" s="9" t="s">
        <v>13771</v>
      </c>
      <c r="THZ1" s="9" t="s">
        <v>13772</v>
      </c>
      <c r="TIA1" s="9" t="s">
        <v>13773</v>
      </c>
      <c r="TIB1" s="9" t="s">
        <v>13774</v>
      </c>
      <c r="TIC1" s="9" t="s">
        <v>13775</v>
      </c>
      <c r="TID1" s="9" t="s">
        <v>13776</v>
      </c>
      <c r="TIE1" s="9" t="s">
        <v>13777</v>
      </c>
      <c r="TIF1" s="9" t="s">
        <v>13778</v>
      </c>
      <c r="TIG1" s="9" t="s">
        <v>13779</v>
      </c>
      <c r="TIH1" s="9" t="s">
        <v>13780</v>
      </c>
      <c r="TII1" s="9" t="s">
        <v>13781</v>
      </c>
      <c r="TIJ1" s="9" t="s">
        <v>13782</v>
      </c>
      <c r="TIK1" s="9" t="s">
        <v>13783</v>
      </c>
      <c r="TIL1" s="9" t="s">
        <v>13784</v>
      </c>
      <c r="TIM1" s="9" t="s">
        <v>13785</v>
      </c>
      <c r="TIN1" s="9" t="s">
        <v>13786</v>
      </c>
      <c r="TIO1" s="9" t="s">
        <v>13787</v>
      </c>
      <c r="TIP1" s="9" t="s">
        <v>13788</v>
      </c>
      <c r="TIQ1" s="9" t="s">
        <v>13789</v>
      </c>
      <c r="TIR1" s="9" t="s">
        <v>13790</v>
      </c>
      <c r="TIS1" s="9" t="s">
        <v>13791</v>
      </c>
      <c r="TIT1" s="9" t="s">
        <v>13792</v>
      </c>
      <c r="TIU1" s="9" t="s">
        <v>13793</v>
      </c>
      <c r="TIV1" s="9" t="s">
        <v>13794</v>
      </c>
      <c r="TIW1" s="9" t="s">
        <v>13795</v>
      </c>
      <c r="TIX1" s="9" t="s">
        <v>13796</v>
      </c>
      <c r="TIY1" s="9" t="s">
        <v>13797</v>
      </c>
      <c r="TIZ1" s="9" t="s">
        <v>13798</v>
      </c>
      <c r="TJA1" s="9" t="s">
        <v>13799</v>
      </c>
      <c r="TJB1" s="9" t="s">
        <v>13800</v>
      </c>
      <c r="TJC1" s="9" t="s">
        <v>13801</v>
      </c>
      <c r="TJD1" s="9" t="s">
        <v>13802</v>
      </c>
      <c r="TJE1" s="9" t="s">
        <v>13803</v>
      </c>
      <c r="TJF1" s="9" t="s">
        <v>13804</v>
      </c>
      <c r="TJG1" s="9" t="s">
        <v>13805</v>
      </c>
      <c r="TJH1" s="9" t="s">
        <v>13806</v>
      </c>
      <c r="TJI1" s="9" t="s">
        <v>13807</v>
      </c>
      <c r="TJJ1" s="9" t="s">
        <v>13808</v>
      </c>
      <c r="TJK1" s="9" t="s">
        <v>13809</v>
      </c>
      <c r="TJL1" s="9" t="s">
        <v>13810</v>
      </c>
      <c r="TJM1" s="9" t="s">
        <v>13811</v>
      </c>
      <c r="TJN1" s="9" t="s">
        <v>13812</v>
      </c>
      <c r="TJO1" s="9" t="s">
        <v>13813</v>
      </c>
      <c r="TJP1" s="9" t="s">
        <v>13814</v>
      </c>
      <c r="TJQ1" s="9" t="s">
        <v>13815</v>
      </c>
      <c r="TJR1" s="9" t="s">
        <v>13816</v>
      </c>
      <c r="TJS1" s="9" t="s">
        <v>13817</v>
      </c>
      <c r="TJT1" s="9" t="s">
        <v>13818</v>
      </c>
      <c r="TJU1" s="9" t="s">
        <v>13819</v>
      </c>
      <c r="TJV1" s="9" t="s">
        <v>13820</v>
      </c>
      <c r="TJW1" s="9" t="s">
        <v>13821</v>
      </c>
      <c r="TJX1" s="9" t="s">
        <v>13822</v>
      </c>
      <c r="TJY1" s="9" t="s">
        <v>13823</v>
      </c>
      <c r="TJZ1" s="9" t="s">
        <v>13824</v>
      </c>
      <c r="TKA1" s="9" t="s">
        <v>13825</v>
      </c>
      <c r="TKB1" s="9" t="s">
        <v>13826</v>
      </c>
      <c r="TKC1" s="9" t="s">
        <v>13827</v>
      </c>
      <c r="TKD1" s="9" t="s">
        <v>13828</v>
      </c>
      <c r="TKE1" s="9" t="s">
        <v>13829</v>
      </c>
      <c r="TKF1" s="9" t="s">
        <v>13830</v>
      </c>
      <c r="TKG1" s="9" t="s">
        <v>13831</v>
      </c>
      <c r="TKH1" s="9" t="s">
        <v>13832</v>
      </c>
      <c r="TKI1" s="9" t="s">
        <v>13833</v>
      </c>
      <c r="TKJ1" s="9" t="s">
        <v>13834</v>
      </c>
      <c r="TKK1" s="9" t="s">
        <v>13835</v>
      </c>
      <c r="TKL1" s="9" t="s">
        <v>13836</v>
      </c>
      <c r="TKM1" s="9" t="s">
        <v>13837</v>
      </c>
      <c r="TKN1" s="9" t="s">
        <v>13838</v>
      </c>
      <c r="TKO1" s="9" t="s">
        <v>13839</v>
      </c>
      <c r="TKP1" s="9" t="s">
        <v>13840</v>
      </c>
      <c r="TKQ1" s="9" t="s">
        <v>13841</v>
      </c>
      <c r="TKR1" s="9" t="s">
        <v>13842</v>
      </c>
      <c r="TKS1" s="9" t="s">
        <v>13843</v>
      </c>
      <c r="TKT1" s="9" t="s">
        <v>13844</v>
      </c>
      <c r="TKU1" s="9" t="s">
        <v>13845</v>
      </c>
      <c r="TKV1" s="9" t="s">
        <v>13846</v>
      </c>
      <c r="TKW1" s="9" t="s">
        <v>13847</v>
      </c>
      <c r="TKX1" s="9" t="s">
        <v>13848</v>
      </c>
      <c r="TKY1" s="9" t="s">
        <v>13849</v>
      </c>
      <c r="TKZ1" s="9" t="s">
        <v>13850</v>
      </c>
      <c r="TLA1" s="9" t="s">
        <v>13851</v>
      </c>
      <c r="TLB1" s="9" t="s">
        <v>13852</v>
      </c>
      <c r="TLC1" s="9" t="s">
        <v>13853</v>
      </c>
      <c r="TLD1" s="9" t="s">
        <v>13854</v>
      </c>
      <c r="TLE1" s="9" t="s">
        <v>13855</v>
      </c>
      <c r="TLF1" s="9" t="s">
        <v>13856</v>
      </c>
      <c r="TLG1" s="9" t="s">
        <v>13857</v>
      </c>
      <c r="TLH1" s="9" t="s">
        <v>13858</v>
      </c>
      <c r="TLI1" s="9" t="s">
        <v>13859</v>
      </c>
      <c r="TLJ1" s="9" t="s">
        <v>13860</v>
      </c>
      <c r="TLK1" s="9" t="s">
        <v>13861</v>
      </c>
      <c r="TLL1" s="9" t="s">
        <v>13862</v>
      </c>
      <c r="TLM1" s="9" t="s">
        <v>13863</v>
      </c>
      <c r="TLN1" s="9" t="s">
        <v>13864</v>
      </c>
      <c r="TLO1" s="9" t="s">
        <v>13865</v>
      </c>
      <c r="TLP1" s="9" t="s">
        <v>13866</v>
      </c>
      <c r="TLQ1" s="9" t="s">
        <v>13867</v>
      </c>
      <c r="TLR1" s="9" t="s">
        <v>13868</v>
      </c>
      <c r="TLS1" s="9" t="s">
        <v>13869</v>
      </c>
      <c r="TLT1" s="9" t="s">
        <v>13870</v>
      </c>
      <c r="TLU1" s="9" t="s">
        <v>13871</v>
      </c>
      <c r="TLV1" s="9" t="s">
        <v>13872</v>
      </c>
      <c r="TLW1" s="9" t="s">
        <v>13873</v>
      </c>
      <c r="TLX1" s="9" t="s">
        <v>13874</v>
      </c>
      <c r="TLY1" s="9" t="s">
        <v>13875</v>
      </c>
      <c r="TLZ1" s="9" t="s">
        <v>13876</v>
      </c>
      <c r="TMA1" s="9" t="s">
        <v>13877</v>
      </c>
      <c r="TMB1" s="9" t="s">
        <v>13878</v>
      </c>
      <c r="TMC1" s="9" t="s">
        <v>13879</v>
      </c>
      <c r="TMD1" s="9" t="s">
        <v>13880</v>
      </c>
      <c r="TME1" s="9" t="s">
        <v>13881</v>
      </c>
      <c r="TMF1" s="9" t="s">
        <v>13882</v>
      </c>
      <c r="TMG1" s="9" t="s">
        <v>13883</v>
      </c>
      <c r="TMH1" s="9" t="s">
        <v>13884</v>
      </c>
      <c r="TMI1" s="9" t="s">
        <v>13885</v>
      </c>
      <c r="TMJ1" s="9" t="s">
        <v>13886</v>
      </c>
      <c r="TMK1" s="9" t="s">
        <v>13887</v>
      </c>
      <c r="TML1" s="9" t="s">
        <v>13888</v>
      </c>
      <c r="TMM1" s="9" t="s">
        <v>13889</v>
      </c>
      <c r="TMN1" s="9" t="s">
        <v>13890</v>
      </c>
      <c r="TMO1" s="9" t="s">
        <v>13891</v>
      </c>
      <c r="TMP1" s="9" t="s">
        <v>13892</v>
      </c>
      <c r="TMQ1" s="9" t="s">
        <v>13893</v>
      </c>
      <c r="TMR1" s="9" t="s">
        <v>13894</v>
      </c>
      <c r="TMS1" s="9" t="s">
        <v>13895</v>
      </c>
      <c r="TMT1" s="9" t="s">
        <v>13896</v>
      </c>
      <c r="TMU1" s="9" t="s">
        <v>13897</v>
      </c>
      <c r="TMV1" s="9" t="s">
        <v>13898</v>
      </c>
      <c r="TMW1" s="9" t="s">
        <v>13899</v>
      </c>
      <c r="TMX1" s="9" t="s">
        <v>13900</v>
      </c>
      <c r="TMY1" s="9" t="s">
        <v>13901</v>
      </c>
      <c r="TMZ1" s="9" t="s">
        <v>13902</v>
      </c>
      <c r="TNA1" s="9" t="s">
        <v>13903</v>
      </c>
      <c r="TNB1" s="9" t="s">
        <v>13904</v>
      </c>
      <c r="TNC1" s="9" t="s">
        <v>13905</v>
      </c>
      <c r="TND1" s="9" t="s">
        <v>13906</v>
      </c>
      <c r="TNE1" s="9" t="s">
        <v>13907</v>
      </c>
      <c r="TNF1" s="9" t="s">
        <v>13908</v>
      </c>
      <c r="TNG1" s="9" t="s">
        <v>13909</v>
      </c>
      <c r="TNH1" s="9" t="s">
        <v>13910</v>
      </c>
      <c r="TNI1" s="9" t="s">
        <v>13911</v>
      </c>
      <c r="TNJ1" s="9" t="s">
        <v>13912</v>
      </c>
      <c r="TNK1" s="9" t="s">
        <v>13913</v>
      </c>
      <c r="TNL1" s="9" t="s">
        <v>13914</v>
      </c>
      <c r="TNM1" s="9" t="s">
        <v>13915</v>
      </c>
      <c r="TNN1" s="9" t="s">
        <v>13916</v>
      </c>
      <c r="TNO1" s="9" t="s">
        <v>13917</v>
      </c>
      <c r="TNP1" s="9" t="s">
        <v>13918</v>
      </c>
      <c r="TNQ1" s="9" t="s">
        <v>13919</v>
      </c>
      <c r="TNR1" s="9" t="s">
        <v>13920</v>
      </c>
      <c r="TNS1" s="9" t="s">
        <v>13921</v>
      </c>
      <c r="TNT1" s="9" t="s">
        <v>13922</v>
      </c>
      <c r="TNU1" s="9" t="s">
        <v>13923</v>
      </c>
      <c r="TNV1" s="9" t="s">
        <v>13924</v>
      </c>
      <c r="TNW1" s="9" t="s">
        <v>13925</v>
      </c>
      <c r="TNX1" s="9" t="s">
        <v>13926</v>
      </c>
      <c r="TNY1" s="9" t="s">
        <v>13927</v>
      </c>
      <c r="TNZ1" s="9" t="s">
        <v>13928</v>
      </c>
      <c r="TOA1" s="9" t="s">
        <v>13929</v>
      </c>
      <c r="TOB1" s="9" t="s">
        <v>13930</v>
      </c>
      <c r="TOC1" s="9" t="s">
        <v>13931</v>
      </c>
      <c r="TOD1" s="9" t="s">
        <v>13932</v>
      </c>
      <c r="TOE1" s="9" t="s">
        <v>13933</v>
      </c>
      <c r="TOF1" s="9" t="s">
        <v>13934</v>
      </c>
      <c r="TOG1" s="9" t="s">
        <v>13935</v>
      </c>
      <c r="TOH1" s="9" t="s">
        <v>13936</v>
      </c>
      <c r="TOI1" s="9" t="s">
        <v>13937</v>
      </c>
      <c r="TOJ1" s="9" t="s">
        <v>13938</v>
      </c>
      <c r="TOK1" s="9" t="s">
        <v>13939</v>
      </c>
      <c r="TOL1" s="9" t="s">
        <v>13940</v>
      </c>
      <c r="TOM1" s="9" t="s">
        <v>13941</v>
      </c>
      <c r="TON1" s="9" t="s">
        <v>13942</v>
      </c>
      <c r="TOO1" s="9" t="s">
        <v>13943</v>
      </c>
      <c r="TOP1" s="9" t="s">
        <v>13944</v>
      </c>
      <c r="TOQ1" s="9" t="s">
        <v>13945</v>
      </c>
      <c r="TOR1" s="9" t="s">
        <v>13946</v>
      </c>
      <c r="TOS1" s="9" t="s">
        <v>13947</v>
      </c>
      <c r="TOT1" s="9" t="s">
        <v>13948</v>
      </c>
      <c r="TOU1" s="9" t="s">
        <v>13949</v>
      </c>
      <c r="TOV1" s="9" t="s">
        <v>13950</v>
      </c>
      <c r="TOW1" s="9" t="s">
        <v>13951</v>
      </c>
      <c r="TOX1" s="9" t="s">
        <v>13952</v>
      </c>
      <c r="TOY1" s="9" t="s">
        <v>13953</v>
      </c>
      <c r="TOZ1" s="9" t="s">
        <v>13954</v>
      </c>
      <c r="TPA1" s="9" t="s">
        <v>13955</v>
      </c>
      <c r="TPB1" s="9" t="s">
        <v>13956</v>
      </c>
      <c r="TPC1" s="9" t="s">
        <v>13957</v>
      </c>
      <c r="TPD1" s="9" t="s">
        <v>13958</v>
      </c>
      <c r="TPE1" s="9" t="s">
        <v>13959</v>
      </c>
      <c r="TPF1" s="9" t="s">
        <v>13960</v>
      </c>
      <c r="TPG1" s="9" t="s">
        <v>13961</v>
      </c>
      <c r="TPH1" s="9" t="s">
        <v>13962</v>
      </c>
      <c r="TPI1" s="9" t="s">
        <v>13963</v>
      </c>
      <c r="TPJ1" s="9" t="s">
        <v>13964</v>
      </c>
      <c r="TPK1" s="9" t="s">
        <v>13965</v>
      </c>
      <c r="TPL1" s="9" t="s">
        <v>13966</v>
      </c>
      <c r="TPM1" s="9" t="s">
        <v>13967</v>
      </c>
      <c r="TPN1" s="9" t="s">
        <v>13968</v>
      </c>
      <c r="TPO1" s="9" t="s">
        <v>13969</v>
      </c>
      <c r="TPP1" s="9" t="s">
        <v>13970</v>
      </c>
      <c r="TPQ1" s="9" t="s">
        <v>13971</v>
      </c>
      <c r="TPR1" s="9" t="s">
        <v>13972</v>
      </c>
      <c r="TPS1" s="9" t="s">
        <v>13973</v>
      </c>
      <c r="TPT1" s="9" t="s">
        <v>13974</v>
      </c>
      <c r="TPU1" s="9" t="s">
        <v>13975</v>
      </c>
      <c r="TPV1" s="9" t="s">
        <v>13976</v>
      </c>
      <c r="TPW1" s="9" t="s">
        <v>13977</v>
      </c>
      <c r="TPX1" s="9" t="s">
        <v>13978</v>
      </c>
      <c r="TPY1" s="9" t="s">
        <v>13979</v>
      </c>
      <c r="TPZ1" s="9" t="s">
        <v>13980</v>
      </c>
      <c r="TQA1" s="9" t="s">
        <v>13981</v>
      </c>
      <c r="TQB1" s="9" t="s">
        <v>13982</v>
      </c>
      <c r="TQC1" s="9" t="s">
        <v>13983</v>
      </c>
      <c r="TQD1" s="9" t="s">
        <v>13984</v>
      </c>
      <c r="TQE1" s="9" t="s">
        <v>13985</v>
      </c>
      <c r="TQF1" s="9" t="s">
        <v>13986</v>
      </c>
      <c r="TQG1" s="9" t="s">
        <v>13987</v>
      </c>
      <c r="TQH1" s="9" t="s">
        <v>13988</v>
      </c>
      <c r="TQI1" s="9" t="s">
        <v>13989</v>
      </c>
      <c r="TQJ1" s="9" t="s">
        <v>13990</v>
      </c>
      <c r="TQK1" s="9" t="s">
        <v>13991</v>
      </c>
      <c r="TQL1" s="9" t="s">
        <v>13992</v>
      </c>
      <c r="TQM1" s="9" t="s">
        <v>13993</v>
      </c>
      <c r="TQN1" s="9" t="s">
        <v>13994</v>
      </c>
      <c r="TQO1" s="9" t="s">
        <v>13995</v>
      </c>
      <c r="TQP1" s="9" t="s">
        <v>13996</v>
      </c>
      <c r="TQQ1" s="9" t="s">
        <v>13997</v>
      </c>
      <c r="TQR1" s="9" t="s">
        <v>13998</v>
      </c>
      <c r="TQS1" s="9" t="s">
        <v>13999</v>
      </c>
      <c r="TQT1" s="9" t="s">
        <v>14000</v>
      </c>
      <c r="TQU1" s="9" t="s">
        <v>14001</v>
      </c>
      <c r="TQV1" s="9" t="s">
        <v>14002</v>
      </c>
      <c r="TQW1" s="9" t="s">
        <v>14003</v>
      </c>
      <c r="TQX1" s="9" t="s">
        <v>14004</v>
      </c>
      <c r="TQY1" s="9" t="s">
        <v>14005</v>
      </c>
      <c r="TQZ1" s="9" t="s">
        <v>14006</v>
      </c>
      <c r="TRA1" s="9" t="s">
        <v>14007</v>
      </c>
      <c r="TRB1" s="9" t="s">
        <v>14008</v>
      </c>
      <c r="TRC1" s="9" t="s">
        <v>14009</v>
      </c>
      <c r="TRD1" s="9" t="s">
        <v>14010</v>
      </c>
      <c r="TRE1" s="9" t="s">
        <v>14011</v>
      </c>
      <c r="TRF1" s="9" t="s">
        <v>14012</v>
      </c>
      <c r="TRG1" s="9" t="s">
        <v>14013</v>
      </c>
      <c r="TRH1" s="9" t="s">
        <v>14014</v>
      </c>
      <c r="TRI1" s="9" t="s">
        <v>14015</v>
      </c>
      <c r="TRJ1" s="9" t="s">
        <v>14016</v>
      </c>
      <c r="TRK1" s="9" t="s">
        <v>14017</v>
      </c>
      <c r="TRL1" s="9" t="s">
        <v>14018</v>
      </c>
      <c r="TRM1" s="9" t="s">
        <v>14019</v>
      </c>
      <c r="TRN1" s="9" t="s">
        <v>14020</v>
      </c>
      <c r="TRO1" s="9" t="s">
        <v>14021</v>
      </c>
      <c r="TRP1" s="9" t="s">
        <v>14022</v>
      </c>
      <c r="TRQ1" s="9" t="s">
        <v>14023</v>
      </c>
      <c r="TRR1" s="9" t="s">
        <v>14024</v>
      </c>
      <c r="TRS1" s="9" t="s">
        <v>14025</v>
      </c>
      <c r="TRT1" s="9" t="s">
        <v>14026</v>
      </c>
      <c r="TRU1" s="9" t="s">
        <v>14027</v>
      </c>
      <c r="TRV1" s="9" t="s">
        <v>14028</v>
      </c>
      <c r="TRW1" s="9" t="s">
        <v>14029</v>
      </c>
      <c r="TRX1" s="9" t="s">
        <v>14030</v>
      </c>
      <c r="TRY1" s="9" t="s">
        <v>14031</v>
      </c>
      <c r="TRZ1" s="9" t="s">
        <v>14032</v>
      </c>
      <c r="TSA1" s="9" t="s">
        <v>14033</v>
      </c>
      <c r="TSB1" s="9" t="s">
        <v>14034</v>
      </c>
      <c r="TSC1" s="9" t="s">
        <v>14035</v>
      </c>
      <c r="TSD1" s="9" t="s">
        <v>14036</v>
      </c>
      <c r="TSE1" s="9" t="s">
        <v>14037</v>
      </c>
      <c r="TSF1" s="9" t="s">
        <v>14038</v>
      </c>
      <c r="TSG1" s="9" t="s">
        <v>14039</v>
      </c>
      <c r="TSH1" s="9" t="s">
        <v>14040</v>
      </c>
      <c r="TSI1" s="9" t="s">
        <v>14041</v>
      </c>
      <c r="TSJ1" s="9" t="s">
        <v>14042</v>
      </c>
      <c r="TSK1" s="9" t="s">
        <v>14043</v>
      </c>
      <c r="TSL1" s="9" t="s">
        <v>14044</v>
      </c>
      <c r="TSM1" s="9" t="s">
        <v>14045</v>
      </c>
      <c r="TSN1" s="9" t="s">
        <v>14046</v>
      </c>
      <c r="TSO1" s="9" t="s">
        <v>14047</v>
      </c>
      <c r="TSP1" s="9" t="s">
        <v>14048</v>
      </c>
      <c r="TSQ1" s="9" t="s">
        <v>14049</v>
      </c>
      <c r="TSR1" s="9" t="s">
        <v>14050</v>
      </c>
      <c r="TSS1" s="9" t="s">
        <v>14051</v>
      </c>
      <c r="TST1" s="9" t="s">
        <v>14052</v>
      </c>
      <c r="TSU1" s="9" t="s">
        <v>14053</v>
      </c>
      <c r="TSV1" s="9" t="s">
        <v>14054</v>
      </c>
      <c r="TSW1" s="9" t="s">
        <v>14055</v>
      </c>
      <c r="TSX1" s="9" t="s">
        <v>14056</v>
      </c>
      <c r="TSY1" s="9" t="s">
        <v>14057</v>
      </c>
      <c r="TSZ1" s="9" t="s">
        <v>14058</v>
      </c>
      <c r="TTA1" s="9" t="s">
        <v>14059</v>
      </c>
      <c r="TTB1" s="9" t="s">
        <v>14060</v>
      </c>
      <c r="TTC1" s="9" t="s">
        <v>14061</v>
      </c>
      <c r="TTD1" s="9" t="s">
        <v>14062</v>
      </c>
      <c r="TTE1" s="9" t="s">
        <v>14063</v>
      </c>
      <c r="TTF1" s="9" t="s">
        <v>14064</v>
      </c>
      <c r="TTG1" s="9" t="s">
        <v>14065</v>
      </c>
      <c r="TTH1" s="9" t="s">
        <v>14066</v>
      </c>
      <c r="TTI1" s="9" t="s">
        <v>14067</v>
      </c>
      <c r="TTJ1" s="9" t="s">
        <v>14068</v>
      </c>
      <c r="TTK1" s="9" t="s">
        <v>14069</v>
      </c>
      <c r="TTL1" s="9" t="s">
        <v>14070</v>
      </c>
      <c r="TTM1" s="9" t="s">
        <v>14071</v>
      </c>
      <c r="TTN1" s="9" t="s">
        <v>14072</v>
      </c>
      <c r="TTO1" s="9" t="s">
        <v>14073</v>
      </c>
      <c r="TTP1" s="9" t="s">
        <v>14074</v>
      </c>
      <c r="TTQ1" s="9" t="s">
        <v>14075</v>
      </c>
      <c r="TTR1" s="9" t="s">
        <v>14076</v>
      </c>
      <c r="TTS1" s="9" t="s">
        <v>14077</v>
      </c>
      <c r="TTT1" s="9" t="s">
        <v>14078</v>
      </c>
      <c r="TTU1" s="9" t="s">
        <v>14079</v>
      </c>
      <c r="TTV1" s="9" t="s">
        <v>14080</v>
      </c>
      <c r="TTW1" s="9" t="s">
        <v>14081</v>
      </c>
      <c r="TTX1" s="9" t="s">
        <v>14082</v>
      </c>
      <c r="TTY1" s="9" t="s">
        <v>14083</v>
      </c>
      <c r="TTZ1" s="9" t="s">
        <v>14084</v>
      </c>
      <c r="TUA1" s="9" t="s">
        <v>14085</v>
      </c>
      <c r="TUB1" s="9" t="s">
        <v>14086</v>
      </c>
      <c r="TUC1" s="9" t="s">
        <v>14087</v>
      </c>
      <c r="TUD1" s="9" t="s">
        <v>14088</v>
      </c>
      <c r="TUE1" s="9" t="s">
        <v>14089</v>
      </c>
      <c r="TUF1" s="9" t="s">
        <v>14090</v>
      </c>
      <c r="TUG1" s="9" t="s">
        <v>14091</v>
      </c>
      <c r="TUH1" s="9" t="s">
        <v>14092</v>
      </c>
      <c r="TUI1" s="9" t="s">
        <v>14093</v>
      </c>
      <c r="TUJ1" s="9" t="s">
        <v>14094</v>
      </c>
      <c r="TUK1" s="9" t="s">
        <v>14095</v>
      </c>
      <c r="TUL1" s="9" t="s">
        <v>14096</v>
      </c>
      <c r="TUM1" s="9" t="s">
        <v>14097</v>
      </c>
      <c r="TUN1" s="9" t="s">
        <v>14098</v>
      </c>
      <c r="TUO1" s="9" t="s">
        <v>14099</v>
      </c>
      <c r="TUP1" s="9" t="s">
        <v>14100</v>
      </c>
      <c r="TUQ1" s="9" t="s">
        <v>14101</v>
      </c>
      <c r="TUR1" s="9" t="s">
        <v>14102</v>
      </c>
      <c r="TUS1" s="9" t="s">
        <v>14103</v>
      </c>
      <c r="TUT1" s="9" t="s">
        <v>14104</v>
      </c>
      <c r="TUU1" s="9" t="s">
        <v>14105</v>
      </c>
      <c r="TUV1" s="9" t="s">
        <v>14106</v>
      </c>
      <c r="TUW1" s="9" t="s">
        <v>14107</v>
      </c>
      <c r="TUX1" s="9" t="s">
        <v>14108</v>
      </c>
      <c r="TUY1" s="9" t="s">
        <v>14109</v>
      </c>
      <c r="TUZ1" s="9" t="s">
        <v>14110</v>
      </c>
      <c r="TVA1" s="9" t="s">
        <v>14111</v>
      </c>
      <c r="TVB1" s="9" t="s">
        <v>14112</v>
      </c>
      <c r="TVC1" s="9" t="s">
        <v>14113</v>
      </c>
      <c r="TVD1" s="9" t="s">
        <v>14114</v>
      </c>
      <c r="TVE1" s="9" t="s">
        <v>14115</v>
      </c>
      <c r="TVF1" s="9" t="s">
        <v>14116</v>
      </c>
      <c r="TVG1" s="9" t="s">
        <v>14117</v>
      </c>
      <c r="TVH1" s="9" t="s">
        <v>14118</v>
      </c>
      <c r="TVI1" s="9" t="s">
        <v>14119</v>
      </c>
      <c r="TVJ1" s="9" t="s">
        <v>14120</v>
      </c>
      <c r="TVK1" s="9" t="s">
        <v>14121</v>
      </c>
      <c r="TVL1" s="9" t="s">
        <v>14122</v>
      </c>
      <c r="TVM1" s="9" t="s">
        <v>14123</v>
      </c>
      <c r="TVN1" s="9" t="s">
        <v>14124</v>
      </c>
      <c r="TVO1" s="9" t="s">
        <v>14125</v>
      </c>
      <c r="TVP1" s="9" t="s">
        <v>14126</v>
      </c>
      <c r="TVQ1" s="9" t="s">
        <v>14127</v>
      </c>
      <c r="TVR1" s="9" t="s">
        <v>14128</v>
      </c>
      <c r="TVS1" s="9" t="s">
        <v>14129</v>
      </c>
      <c r="TVT1" s="9" t="s">
        <v>14130</v>
      </c>
      <c r="TVU1" s="9" t="s">
        <v>14131</v>
      </c>
      <c r="TVV1" s="9" t="s">
        <v>14132</v>
      </c>
      <c r="TVW1" s="9" t="s">
        <v>14133</v>
      </c>
      <c r="TVX1" s="9" t="s">
        <v>14134</v>
      </c>
      <c r="TVY1" s="9" t="s">
        <v>14135</v>
      </c>
      <c r="TVZ1" s="9" t="s">
        <v>14136</v>
      </c>
      <c r="TWA1" s="9" t="s">
        <v>14137</v>
      </c>
      <c r="TWB1" s="9" t="s">
        <v>14138</v>
      </c>
      <c r="TWC1" s="9" t="s">
        <v>14139</v>
      </c>
      <c r="TWD1" s="9" t="s">
        <v>14140</v>
      </c>
      <c r="TWE1" s="9" t="s">
        <v>14141</v>
      </c>
      <c r="TWF1" s="9" t="s">
        <v>14142</v>
      </c>
      <c r="TWG1" s="9" t="s">
        <v>14143</v>
      </c>
      <c r="TWH1" s="9" t="s">
        <v>14144</v>
      </c>
      <c r="TWI1" s="9" t="s">
        <v>14145</v>
      </c>
      <c r="TWJ1" s="9" t="s">
        <v>14146</v>
      </c>
      <c r="TWK1" s="9" t="s">
        <v>14147</v>
      </c>
      <c r="TWL1" s="9" t="s">
        <v>14148</v>
      </c>
      <c r="TWM1" s="9" t="s">
        <v>14149</v>
      </c>
      <c r="TWN1" s="9" t="s">
        <v>14150</v>
      </c>
      <c r="TWO1" s="9" t="s">
        <v>14151</v>
      </c>
      <c r="TWP1" s="9" t="s">
        <v>14152</v>
      </c>
      <c r="TWQ1" s="9" t="s">
        <v>14153</v>
      </c>
      <c r="TWR1" s="9" t="s">
        <v>14154</v>
      </c>
      <c r="TWS1" s="9" t="s">
        <v>14155</v>
      </c>
      <c r="TWT1" s="9" t="s">
        <v>14156</v>
      </c>
      <c r="TWU1" s="9" t="s">
        <v>14157</v>
      </c>
      <c r="TWV1" s="9" t="s">
        <v>14158</v>
      </c>
      <c r="TWW1" s="9" t="s">
        <v>14159</v>
      </c>
      <c r="TWX1" s="9" t="s">
        <v>14160</v>
      </c>
      <c r="TWY1" s="9" t="s">
        <v>14161</v>
      </c>
      <c r="TWZ1" s="9" t="s">
        <v>14162</v>
      </c>
      <c r="TXA1" s="9" t="s">
        <v>14163</v>
      </c>
      <c r="TXB1" s="9" t="s">
        <v>14164</v>
      </c>
      <c r="TXC1" s="9" t="s">
        <v>14165</v>
      </c>
      <c r="TXD1" s="9" t="s">
        <v>14166</v>
      </c>
      <c r="TXE1" s="9" t="s">
        <v>14167</v>
      </c>
      <c r="TXF1" s="9" t="s">
        <v>14168</v>
      </c>
      <c r="TXG1" s="9" t="s">
        <v>14169</v>
      </c>
      <c r="TXH1" s="9" t="s">
        <v>14170</v>
      </c>
      <c r="TXI1" s="9" t="s">
        <v>14171</v>
      </c>
      <c r="TXJ1" s="9" t="s">
        <v>14172</v>
      </c>
      <c r="TXK1" s="9" t="s">
        <v>14173</v>
      </c>
      <c r="TXL1" s="9" t="s">
        <v>14174</v>
      </c>
      <c r="TXM1" s="9" t="s">
        <v>14175</v>
      </c>
      <c r="TXN1" s="9" t="s">
        <v>14176</v>
      </c>
      <c r="TXO1" s="9" t="s">
        <v>14177</v>
      </c>
      <c r="TXP1" s="9" t="s">
        <v>14178</v>
      </c>
      <c r="TXQ1" s="9" t="s">
        <v>14179</v>
      </c>
      <c r="TXR1" s="9" t="s">
        <v>14180</v>
      </c>
      <c r="TXS1" s="9" t="s">
        <v>14181</v>
      </c>
      <c r="TXT1" s="9" t="s">
        <v>14182</v>
      </c>
      <c r="TXU1" s="9" t="s">
        <v>14183</v>
      </c>
      <c r="TXV1" s="9" t="s">
        <v>14184</v>
      </c>
      <c r="TXW1" s="9" t="s">
        <v>14185</v>
      </c>
      <c r="TXX1" s="9" t="s">
        <v>14186</v>
      </c>
      <c r="TXY1" s="9" t="s">
        <v>14187</v>
      </c>
      <c r="TXZ1" s="9" t="s">
        <v>14188</v>
      </c>
      <c r="TYA1" s="9" t="s">
        <v>14189</v>
      </c>
      <c r="TYB1" s="9" t="s">
        <v>14190</v>
      </c>
      <c r="TYC1" s="9" t="s">
        <v>14191</v>
      </c>
      <c r="TYD1" s="9" t="s">
        <v>14192</v>
      </c>
      <c r="TYE1" s="9" t="s">
        <v>14193</v>
      </c>
      <c r="TYF1" s="9" t="s">
        <v>14194</v>
      </c>
      <c r="TYG1" s="9" t="s">
        <v>14195</v>
      </c>
      <c r="TYH1" s="9" t="s">
        <v>14196</v>
      </c>
      <c r="TYI1" s="9" t="s">
        <v>14197</v>
      </c>
      <c r="TYJ1" s="9" t="s">
        <v>14198</v>
      </c>
      <c r="TYK1" s="9" t="s">
        <v>14199</v>
      </c>
      <c r="TYL1" s="9" t="s">
        <v>14200</v>
      </c>
      <c r="TYM1" s="9" t="s">
        <v>14201</v>
      </c>
      <c r="TYN1" s="9" t="s">
        <v>14202</v>
      </c>
      <c r="TYO1" s="9" t="s">
        <v>14203</v>
      </c>
      <c r="TYP1" s="9" t="s">
        <v>14204</v>
      </c>
      <c r="TYQ1" s="9" t="s">
        <v>14205</v>
      </c>
      <c r="TYR1" s="9" t="s">
        <v>14206</v>
      </c>
      <c r="TYS1" s="9" t="s">
        <v>14207</v>
      </c>
      <c r="TYT1" s="9" t="s">
        <v>14208</v>
      </c>
      <c r="TYU1" s="9" t="s">
        <v>14209</v>
      </c>
      <c r="TYV1" s="9" t="s">
        <v>14210</v>
      </c>
      <c r="TYW1" s="9" t="s">
        <v>14211</v>
      </c>
      <c r="TYX1" s="9" t="s">
        <v>14212</v>
      </c>
      <c r="TYY1" s="9" t="s">
        <v>14213</v>
      </c>
      <c r="TYZ1" s="9" t="s">
        <v>14214</v>
      </c>
      <c r="TZA1" s="9" t="s">
        <v>14215</v>
      </c>
      <c r="TZB1" s="9" t="s">
        <v>14216</v>
      </c>
      <c r="TZC1" s="9" t="s">
        <v>14217</v>
      </c>
      <c r="TZD1" s="9" t="s">
        <v>14218</v>
      </c>
      <c r="TZE1" s="9" t="s">
        <v>14219</v>
      </c>
      <c r="TZF1" s="9" t="s">
        <v>14220</v>
      </c>
      <c r="TZG1" s="9" t="s">
        <v>14221</v>
      </c>
      <c r="TZH1" s="9" t="s">
        <v>14222</v>
      </c>
      <c r="TZI1" s="9" t="s">
        <v>14223</v>
      </c>
      <c r="TZJ1" s="9" t="s">
        <v>14224</v>
      </c>
      <c r="TZK1" s="9" t="s">
        <v>14225</v>
      </c>
      <c r="TZL1" s="9" t="s">
        <v>14226</v>
      </c>
      <c r="TZM1" s="9" t="s">
        <v>14227</v>
      </c>
      <c r="TZN1" s="9" t="s">
        <v>14228</v>
      </c>
      <c r="TZO1" s="9" t="s">
        <v>14229</v>
      </c>
      <c r="TZP1" s="9" t="s">
        <v>14230</v>
      </c>
      <c r="TZQ1" s="9" t="s">
        <v>14231</v>
      </c>
      <c r="TZR1" s="9" t="s">
        <v>14232</v>
      </c>
      <c r="TZS1" s="9" t="s">
        <v>14233</v>
      </c>
      <c r="TZT1" s="9" t="s">
        <v>14234</v>
      </c>
      <c r="TZU1" s="9" t="s">
        <v>14235</v>
      </c>
      <c r="TZV1" s="9" t="s">
        <v>14236</v>
      </c>
      <c r="TZW1" s="9" t="s">
        <v>14237</v>
      </c>
      <c r="TZX1" s="9" t="s">
        <v>14238</v>
      </c>
      <c r="TZY1" s="9" t="s">
        <v>14239</v>
      </c>
      <c r="TZZ1" s="9" t="s">
        <v>14240</v>
      </c>
      <c r="UAA1" s="9" t="s">
        <v>14241</v>
      </c>
      <c r="UAB1" s="9" t="s">
        <v>14242</v>
      </c>
      <c r="UAC1" s="9" t="s">
        <v>14243</v>
      </c>
      <c r="UAD1" s="9" t="s">
        <v>14244</v>
      </c>
      <c r="UAE1" s="9" t="s">
        <v>14245</v>
      </c>
      <c r="UAF1" s="9" t="s">
        <v>14246</v>
      </c>
      <c r="UAG1" s="9" t="s">
        <v>14247</v>
      </c>
      <c r="UAH1" s="9" t="s">
        <v>14248</v>
      </c>
      <c r="UAI1" s="9" t="s">
        <v>14249</v>
      </c>
      <c r="UAJ1" s="9" t="s">
        <v>14250</v>
      </c>
      <c r="UAK1" s="9" t="s">
        <v>14251</v>
      </c>
      <c r="UAL1" s="9" t="s">
        <v>14252</v>
      </c>
      <c r="UAM1" s="9" t="s">
        <v>14253</v>
      </c>
      <c r="UAN1" s="9" t="s">
        <v>14254</v>
      </c>
      <c r="UAO1" s="9" t="s">
        <v>14255</v>
      </c>
      <c r="UAP1" s="9" t="s">
        <v>14256</v>
      </c>
      <c r="UAQ1" s="9" t="s">
        <v>14257</v>
      </c>
      <c r="UAR1" s="9" t="s">
        <v>14258</v>
      </c>
      <c r="UAS1" s="9" t="s">
        <v>14259</v>
      </c>
      <c r="UAT1" s="9" t="s">
        <v>14260</v>
      </c>
      <c r="UAU1" s="9" t="s">
        <v>14261</v>
      </c>
      <c r="UAV1" s="9" t="s">
        <v>14262</v>
      </c>
      <c r="UAW1" s="9" t="s">
        <v>14263</v>
      </c>
      <c r="UAX1" s="9" t="s">
        <v>14264</v>
      </c>
      <c r="UAY1" s="9" t="s">
        <v>14265</v>
      </c>
      <c r="UAZ1" s="9" t="s">
        <v>14266</v>
      </c>
      <c r="UBA1" s="9" t="s">
        <v>14267</v>
      </c>
      <c r="UBB1" s="9" t="s">
        <v>14268</v>
      </c>
      <c r="UBC1" s="9" t="s">
        <v>14269</v>
      </c>
      <c r="UBD1" s="9" t="s">
        <v>14270</v>
      </c>
      <c r="UBE1" s="9" t="s">
        <v>14271</v>
      </c>
      <c r="UBF1" s="9" t="s">
        <v>14272</v>
      </c>
      <c r="UBG1" s="9" t="s">
        <v>14273</v>
      </c>
      <c r="UBH1" s="9" t="s">
        <v>14274</v>
      </c>
      <c r="UBI1" s="9" t="s">
        <v>14275</v>
      </c>
      <c r="UBJ1" s="9" t="s">
        <v>14276</v>
      </c>
      <c r="UBK1" s="9" t="s">
        <v>14277</v>
      </c>
      <c r="UBL1" s="9" t="s">
        <v>14278</v>
      </c>
      <c r="UBM1" s="9" t="s">
        <v>14279</v>
      </c>
      <c r="UBN1" s="9" t="s">
        <v>14280</v>
      </c>
      <c r="UBO1" s="9" t="s">
        <v>14281</v>
      </c>
      <c r="UBP1" s="9" t="s">
        <v>14282</v>
      </c>
      <c r="UBQ1" s="9" t="s">
        <v>14283</v>
      </c>
      <c r="UBR1" s="9" t="s">
        <v>14284</v>
      </c>
      <c r="UBS1" s="9" t="s">
        <v>14285</v>
      </c>
      <c r="UBT1" s="9" t="s">
        <v>14286</v>
      </c>
      <c r="UBU1" s="9" t="s">
        <v>14287</v>
      </c>
      <c r="UBV1" s="9" t="s">
        <v>14288</v>
      </c>
      <c r="UBW1" s="9" t="s">
        <v>14289</v>
      </c>
      <c r="UBX1" s="9" t="s">
        <v>14290</v>
      </c>
      <c r="UBY1" s="9" t="s">
        <v>14291</v>
      </c>
      <c r="UBZ1" s="9" t="s">
        <v>14292</v>
      </c>
      <c r="UCA1" s="9" t="s">
        <v>14293</v>
      </c>
      <c r="UCB1" s="9" t="s">
        <v>14294</v>
      </c>
      <c r="UCC1" s="9" t="s">
        <v>14295</v>
      </c>
      <c r="UCD1" s="9" t="s">
        <v>14296</v>
      </c>
      <c r="UCE1" s="9" t="s">
        <v>14297</v>
      </c>
      <c r="UCF1" s="9" t="s">
        <v>14298</v>
      </c>
      <c r="UCG1" s="9" t="s">
        <v>14299</v>
      </c>
      <c r="UCH1" s="9" t="s">
        <v>14300</v>
      </c>
      <c r="UCI1" s="9" t="s">
        <v>14301</v>
      </c>
      <c r="UCJ1" s="9" t="s">
        <v>14302</v>
      </c>
      <c r="UCK1" s="9" t="s">
        <v>14303</v>
      </c>
      <c r="UCL1" s="9" t="s">
        <v>14304</v>
      </c>
      <c r="UCM1" s="9" t="s">
        <v>14305</v>
      </c>
      <c r="UCN1" s="9" t="s">
        <v>14306</v>
      </c>
      <c r="UCO1" s="9" t="s">
        <v>14307</v>
      </c>
      <c r="UCP1" s="9" t="s">
        <v>14308</v>
      </c>
      <c r="UCQ1" s="9" t="s">
        <v>14309</v>
      </c>
      <c r="UCR1" s="9" t="s">
        <v>14310</v>
      </c>
      <c r="UCS1" s="9" t="s">
        <v>14311</v>
      </c>
      <c r="UCT1" s="9" t="s">
        <v>14312</v>
      </c>
      <c r="UCU1" s="9" t="s">
        <v>14313</v>
      </c>
      <c r="UCV1" s="9" t="s">
        <v>14314</v>
      </c>
      <c r="UCW1" s="9" t="s">
        <v>14315</v>
      </c>
      <c r="UCX1" s="9" t="s">
        <v>14316</v>
      </c>
      <c r="UCY1" s="9" t="s">
        <v>14317</v>
      </c>
      <c r="UCZ1" s="9" t="s">
        <v>14318</v>
      </c>
      <c r="UDA1" s="9" t="s">
        <v>14319</v>
      </c>
      <c r="UDB1" s="9" t="s">
        <v>14320</v>
      </c>
      <c r="UDC1" s="9" t="s">
        <v>14321</v>
      </c>
      <c r="UDD1" s="9" t="s">
        <v>14322</v>
      </c>
      <c r="UDE1" s="9" t="s">
        <v>14323</v>
      </c>
      <c r="UDF1" s="9" t="s">
        <v>14324</v>
      </c>
      <c r="UDG1" s="9" t="s">
        <v>14325</v>
      </c>
      <c r="UDH1" s="9" t="s">
        <v>14326</v>
      </c>
      <c r="UDI1" s="9" t="s">
        <v>14327</v>
      </c>
      <c r="UDJ1" s="9" t="s">
        <v>14328</v>
      </c>
      <c r="UDK1" s="9" t="s">
        <v>14329</v>
      </c>
      <c r="UDL1" s="9" t="s">
        <v>14330</v>
      </c>
      <c r="UDM1" s="9" t="s">
        <v>14331</v>
      </c>
      <c r="UDN1" s="9" t="s">
        <v>14332</v>
      </c>
      <c r="UDO1" s="9" t="s">
        <v>14333</v>
      </c>
      <c r="UDP1" s="9" t="s">
        <v>14334</v>
      </c>
      <c r="UDQ1" s="9" t="s">
        <v>14335</v>
      </c>
      <c r="UDR1" s="9" t="s">
        <v>14336</v>
      </c>
      <c r="UDS1" s="9" t="s">
        <v>14337</v>
      </c>
      <c r="UDT1" s="9" t="s">
        <v>14338</v>
      </c>
      <c r="UDU1" s="9" t="s">
        <v>14339</v>
      </c>
      <c r="UDV1" s="9" t="s">
        <v>14340</v>
      </c>
      <c r="UDW1" s="9" t="s">
        <v>14341</v>
      </c>
      <c r="UDX1" s="9" t="s">
        <v>14342</v>
      </c>
      <c r="UDY1" s="9" t="s">
        <v>14343</v>
      </c>
      <c r="UDZ1" s="9" t="s">
        <v>14344</v>
      </c>
      <c r="UEA1" s="9" t="s">
        <v>14345</v>
      </c>
      <c r="UEB1" s="9" t="s">
        <v>14346</v>
      </c>
      <c r="UEC1" s="9" t="s">
        <v>14347</v>
      </c>
      <c r="UED1" s="9" t="s">
        <v>14348</v>
      </c>
      <c r="UEE1" s="9" t="s">
        <v>14349</v>
      </c>
      <c r="UEF1" s="9" t="s">
        <v>14350</v>
      </c>
      <c r="UEG1" s="9" t="s">
        <v>14351</v>
      </c>
      <c r="UEH1" s="9" t="s">
        <v>14352</v>
      </c>
      <c r="UEI1" s="9" t="s">
        <v>14353</v>
      </c>
      <c r="UEJ1" s="9" t="s">
        <v>14354</v>
      </c>
      <c r="UEK1" s="9" t="s">
        <v>14355</v>
      </c>
      <c r="UEL1" s="9" t="s">
        <v>14356</v>
      </c>
      <c r="UEM1" s="9" t="s">
        <v>14357</v>
      </c>
      <c r="UEN1" s="9" t="s">
        <v>14358</v>
      </c>
      <c r="UEO1" s="9" t="s">
        <v>14359</v>
      </c>
      <c r="UEP1" s="9" t="s">
        <v>14360</v>
      </c>
      <c r="UEQ1" s="9" t="s">
        <v>14361</v>
      </c>
      <c r="UER1" s="9" t="s">
        <v>14362</v>
      </c>
      <c r="UES1" s="9" t="s">
        <v>14363</v>
      </c>
      <c r="UET1" s="9" t="s">
        <v>14364</v>
      </c>
      <c r="UEU1" s="9" t="s">
        <v>14365</v>
      </c>
      <c r="UEV1" s="9" t="s">
        <v>14366</v>
      </c>
      <c r="UEW1" s="9" t="s">
        <v>14367</v>
      </c>
      <c r="UEX1" s="9" t="s">
        <v>14368</v>
      </c>
      <c r="UEY1" s="9" t="s">
        <v>14369</v>
      </c>
      <c r="UEZ1" s="9" t="s">
        <v>14370</v>
      </c>
      <c r="UFA1" s="9" t="s">
        <v>14371</v>
      </c>
      <c r="UFB1" s="9" t="s">
        <v>14372</v>
      </c>
      <c r="UFC1" s="9" t="s">
        <v>14373</v>
      </c>
      <c r="UFD1" s="9" t="s">
        <v>14374</v>
      </c>
      <c r="UFE1" s="9" t="s">
        <v>14375</v>
      </c>
      <c r="UFF1" s="9" t="s">
        <v>14376</v>
      </c>
      <c r="UFG1" s="9" t="s">
        <v>14377</v>
      </c>
      <c r="UFH1" s="9" t="s">
        <v>14378</v>
      </c>
      <c r="UFI1" s="9" t="s">
        <v>14379</v>
      </c>
      <c r="UFJ1" s="9" t="s">
        <v>14380</v>
      </c>
      <c r="UFK1" s="9" t="s">
        <v>14381</v>
      </c>
      <c r="UFL1" s="9" t="s">
        <v>14382</v>
      </c>
      <c r="UFM1" s="9" t="s">
        <v>14383</v>
      </c>
      <c r="UFN1" s="9" t="s">
        <v>14384</v>
      </c>
      <c r="UFO1" s="9" t="s">
        <v>14385</v>
      </c>
      <c r="UFP1" s="9" t="s">
        <v>14386</v>
      </c>
      <c r="UFQ1" s="9" t="s">
        <v>14387</v>
      </c>
      <c r="UFR1" s="9" t="s">
        <v>14388</v>
      </c>
      <c r="UFS1" s="9" t="s">
        <v>14389</v>
      </c>
      <c r="UFT1" s="9" t="s">
        <v>14390</v>
      </c>
      <c r="UFU1" s="9" t="s">
        <v>14391</v>
      </c>
      <c r="UFV1" s="9" t="s">
        <v>14392</v>
      </c>
      <c r="UFW1" s="9" t="s">
        <v>14393</v>
      </c>
      <c r="UFX1" s="9" t="s">
        <v>14394</v>
      </c>
      <c r="UFY1" s="9" t="s">
        <v>14395</v>
      </c>
      <c r="UFZ1" s="9" t="s">
        <v>14396</v>
      </c>
      <c r="UGA1" s="9" t="s">
        <v>14397</v>
      </c>
      <c r="UGB1" s="9" t="s">
        <v>14398</v>
      </c>
      <c r="UGC1" s="9" t="s">
        <v>14399</v>
      </c>
      <c r="UGD1" s="9" t="s">
        <v>14400</v>
      </c>
      <c r="UGE1" s="9" t="s">
        <v>14401</v>
      </c>
      <c r="UGF1" s="9" t="s">
        <v>14402</v>
      </c>
      <c r="UGG1" s="9" t="s">
        <v>14403</v>
      </c>
      <c r="UGH1" s="9" t="s">
        <v>14404</v>
      </c>
      <c r="UGI1" s="9" t="s">
        <v>14405</v>
      </c>
      <c r="UGJ1" s="9" t="s">
        <v>14406</v>
      </c>
      <c r="UGK1" s="9" t="s">
        <v>14407</v>
      </c>
      <c r="UGL1" s="9" t="s">
        <v>14408</v>
      </c>
      <c r="UGM1" s="9" t="s">
        <v>14409</v>
      </c>
      <c r="UGN1" s="9" t="s">
        <v>14410</v>
      </c>
      <c r="UGO1" s="9" t="s">
        <v>14411</v>
      </c>
      <c r="UGP1" s="9" t="s">
        <v>14412</v>
      </c>
      <c r="UGQ1" s="9" t="s">
        <v>14413</v>
      </c>
      <c r="UGR1" s="9" t="s">
        <v>14414</v>
      </c>
      <c r="UGS1" s="9" t="s">
        <v>14415</v>
      </c>
      <c r="UGT1" s="9" t="s">
        <v>14416</v>
      </c>
      <c r="UGU1" s="9" t="s">
        <v>14417</v>
      </c>
      <c r="UGV1" s="9" t="s">
        <v>14418</v>
      </c>
      <c r="UGW1" s="9" t="s">
        <v>14419</v>
      </c>
      <c r="UGX1" s="9" t="s">
        <v>14420</v>
      </c>
      <c r="UGY1" s="9" t="s">
        <v>14421</v>
      </c>
      <c r="UGZ1" s="9" t="s">
        <v>14422</v>
      </c>
      <c r="UHA1" s="9" t="s">
        <v>14423</v>
      </c>
      <c r="UHB1" s="9" t="s">
        <v>14424</v>
      </c>
      <c r="UHC1" s="9" t="s">
        <v>14425</v>
      </c>
      <c r="UHD1" s="9" t="s">
        <v>14426</v>
      </c>
      <c r="UHE1" s="9" t="s">
        <v>14427</v>
      </c>
      <c r="UHF1" s="9" t="s">
        <v>14428</v>
      </c>
      <c r="UHG1" s="9" t="s">
        <v>14429</v>
      </c>
      <c r="UHH1" s="9" t="s">
        <v>14430</v>
      </c>
      <c r="UHI1" s="9" t="s">
        <v>14431</v>
      </c>
      <c r="UHJ1" s="9" t="s">
        <v>14432</v>
      </c>
      <c r="UHK1" s="9" t="s">
        <v>14433</v>
      </c>
      <c r="UHL1" s="9" t="s">
        <v>14434</v>
      </c>
      <c r="UHM1" s="9" t="s">
        <v>14435</v>
      </c>
      <c r="UHN1" s="9" t="s">
        <v>14436</v>
      </c>
      <c r="UHO1" s="9" t="s">
        <v>14437</v>
      </c>
      <c r="UHP1" s="9" t="s">
        <v>14438</v>
      </c>
      <c r="UHQ1" s="9" t="s">
        <v>14439</v>
      </c>
      <c r="UHR1" s="9" t="s">
        <v>14440</v>
      </c>
      <c r="UHS1" s="9" t="s">
        <v>14441</v>
      </c>
      <c r="UHT1" s="9" t="s">
        <v>14442</v>
      </c>
      <c r="UHU1" s="9" t="s">
        <v>14443</v>
      </c>
      <c r="UHV1" s="9" t="s">
        <v>14444</v>
      </c>
      <c r="UHW1" s="9" t="s">
        <v>14445</v>
      </c>
      <c r="UHX1" s="9" t="s">
        <v>14446</v>
      </c>
      <c r="UHY1" s="9" t="s">
        <v>14447</v>
      </c>
      <c r="UHZ1" s="9" t="s">
        <v>14448</v>
      </c>
      <c r="UIA1" s="9" t="s">
        <v>14449</v>
      </c>
      <c r="UIB1" s="9" t="s">
        <v>14450</v>
      </c>
      <c r="UIC1" s="9" t="s">
        <v>14451</v>
      </c>
      <c r="UID1" s="9" t="s">
        <v>14452</v>
      </c>
      <c r="UIE1" s="9" t="s">
        <v>14453</v>
      </c>
      <c r="UIF1" s="9" t="s">
        <v>14454</v>
      </c>
      <c r="UIG1" s="9" t="s">
        <v>14455</v>
      </c>
      <c r="UIH1" s="9" t="s">
        <v>14456</v>
      </c>
      <c r="UII1" s="9" t="s">
        <v>14457</v>
      </c>
      <c r="UIJ1" s="9" t="s">
        <v>14458</v>
      </c>
      <c r="UIK1" s="9" t="s">
        <v>14459</v>
      </c>
      <c r="UIL1" s="9" t="s">
        <v>14460</v>
      </c>
      <c r="UIM1" s="9" t="s">
        <v>14461</v>
      </c>
      <c r="UIN1" s="9" t="s">
        <v>14462</v>
      </c>
      <c r="UIO1" s="9" t="s">
        <v>14463</v>
      </c>
      <c r="UIP1" s="9" t="s">
        <v>14464</v>
      </c>
      <c r="UIQ1" s="9" t="s">
        <v>14465</v>
      </c>
      <c r="UIR1" s="9" t="s">
        <v>14466</v>
      </c>
      <c r="UIS1" s="9" t="s">
        <v>14467</v>
      </c>
      <c r="UIT1" s="9" t="s">
        <v>14468</v>
      </c>
      <c r="UIU1" s="9" t="s">
        <v>14469</v>
      </c>
      <c r="UIV1" s="9" t="s">
        <v>14470</v>
      </c>
      <c r="UIW1" s="9" t="s">
        <v>14471</v>
      </c>
      <c r="UIX1" s="9" t="s">
        <v>14472</v>
      </c>
      <c r="UIY1" s="9" t="s">
        <v>14473</v>
      </c>
      <c r="UIZ1" s="9" t="s">
        <v>14474</v>
      </c>
      <c r="UJA1" s="9" t="s">
        <v>14475</v>
      </c>
      <c r="UJB1" s="9" t="s">
        <v>14476</v>
      </c>
      <c r="UJC1" s="9" t="s">
        <v>14477</v>
      </c>
      <c r="UJD1" s="9" t="s">
        <v>14478</v>
      </c>
      <c r="UJE1" s="9" t="s">
        <v>14479</v>
      </c>
      <c r="UJF1" s="9" t="s">
        <v>14480</v>
      </c>
      <c r="UJG1" s="9" t="s">
        <v>14481</v>
      </c>
      <c r="UJH1" s="9" t="s">
        <v>14482</v>
      </c>
      <c r="UJI1" s="9" t="s">
        <v>14483</v>
      </c>
      <c r="UJJ1" s="9" t="s">
        <v>14484</v>
      </c>
      <c r="UJK1" s="9" t="s">
        <v>14485</v>
      </c>
      <c r="UJL1" s="9" t="s">
        <v>14486</v>
      </c>
      <c r="UJM1" s="9" t="s">
        <v>14487</v>
      </c>
      <c r="UJN1" s="9" t="s">
        <v>14488</v>
      </c>
      <c r="UJO1" s="9" t="s">
        <v>14489</v>
      </c>
      <c r="UJP1" s="9" t="s">
        <v>14490</v>
      </c>
      <c r="UJQ1" s="9" t="s">
        <v>14491</v>
      </c>
      <c r="UJR1" s="9" t="s">
        <v>14492</v>
      </c>
      <c r="UJS1" s="9" t="s">
        <v>14493</v>
      </c>
      <c r="UJT1" s="9" t="s">
        <v>14494</v>
      </c>
      <c r="UJU1" s="9" t="s">
        <v>14495</v>
      </c>
      <c r="UJV1" s="9" t="s">
        <v>14496</v>
      </c>
      <c r="UJW1" s="9" t="s">
        <v>14497</v>
      </c>
      <c r="UJX1" s="9" t="s">
        <v>14498</v>
      </c>
      <c r="UJY1" s="9" t="s">
        <v>14499</v>
      </c>
      <c r="UJZ1" s="9" t="s">
        <v>14500</v>
      </c>
      <c r="UKA1" s="9" t="s">
        <v>14501</v>
      </c>
      <c r="UKB1" s="9" t="s">
        <v>14502</v>
      </c>
      <c r="UKC1" s="9" t="s">
        <v>14503</v>
      </c>
      <c r="UKD1" s="9" t="s">
        <v>14504</v>
      </c>
      <c r="UKE1" s="9" t="s">
        <v>14505</v>
      </c>
      <c r="UKF1" s="9" t="s">
        <v>14506</v>
      </c>
      <c r="UKG1" s="9" t="s">
        <v>14507</v>
      </c>
      <c r="UKH1" s="9" t="s">
        <v>14508</v>
      </c>
      <c r="UKI1" s="9" t="s">
        <v>14509</v>
      </c>
      <c r="UKJ1" s="9" t="s">
        <v>14510</v>
      </c>
      <c r="UKK1" s="9" t="s">
        <v>14511</v>
      </c>
      <c r="UKL1" s="9" t="s">
        <v>14512</v>
      </c>
      <c r="UKM1" s="9" t="s">
        <v>14513</v>
      </c>
      <c r="UKN1" s="9" t="s">
        <v>14514</v>
      </c>
      <c r="UKO1" s="9" t="s">
        <v>14515</v>
      </c>
      <c r="UKP1" s="9" t="s">
        <v>14516</v>
      </c>
      <c r="UKQ1" s="9" t="s">
        <v>14517</v>
      </c>
      <c r="UKR1" s="9" t="s">
        <v>14518</v>
      </c>
      <c r="UKS1" s="9" t="s">
        <v>14519</v>
      </c>
      <c r="UKT1" s="9" t="s">
        <v>14520</v>
      </c>
      <c r="UKU1" s="9" t="s">
        <v>14521</v>
      </c>
      <c r="UKV1" s="9" t="s">
        <v>14522</v>
      </c>
      <c r="UKW1" s="9" t="s">
        <v>14523</v>
      </c>
      <c r="UKX1" s="9" t="s">
        <v>14524</v>
      </c>
      <c r="UKY1" s="9" t="s">
        <v>14525</v>
      </c>
      <c r="UKZ1" s="9" t="s">
        <v>14526</v>
      </c>
      <c r="ULA1" s="9" t="s">
        <v>14527</v>
      </c>
      <c r="ULB1" s="9" t="s">
        <v>14528</v>
      </c>
      <c r="ULC1" s="9" t="s">
        <v>14529</v>
      </c>
      <c r="ULD1" s="9" t="s">
        <v>14530</v>
      </c>
      <c r="ULE1" s="9" t="s">
        <v>14531</v>
      </c>
      <c r="ULF1" s="9" t="s">
        <v>14532</v>
      </c>
      <c r="ULG1" s="9" t="s">
        <v>14533</v>
      </c>
      <c r="ULH1" s="9" t="s">
        <v>14534</v>
      </c>
      <c r="ULI1" s="9" t="s">
        <v>14535</v>
      </c>
      <c r="ULJ1" s="9" t="s">
        <v>14536</v>
      </c>
      <c r="ULK1" s="9" t="s">
        <v>14537</v>
      </c>
      <c r="ULL1" s="9" t="s">
        <v>14538</v>
      </c>
      <c r="ULM1" s="9" t="s">
        <v>14539</v>
      </c>
      <c r="ULN1" s="9" t="s">
        <v>14540</v>
      </c>
      <c r="ULO1" s="9" t="s">
        <v>14541</v>
      </c>
      <c r="ULP1" s="9" t="s">
        <v>14542</v>
      </c>
      <c r="ULQ1" s="9" t="s">
        <v>14543</v>
      </c>
      <c r="ULR1" s="9" t="s">
        <v>14544</v>
      </c>
      <c r="ULS1" s="9" t="s">
        <v>14545</v>
      </c>
      <c r="ULT1" s="9" t="s">
        <v>14546</v>
      </c>
      <c r="ULU1" s="9" t="s">
        <v>14547</v>
      </c>
      <c r="ULV1" s="9" t="s">
        <v>14548</v>
      </c>
      <c r="ULW1" s="9" t="s">
        <v>14549</v>
      </c>
      <c r="ULX1" s="9" t="s">
        <v>14550</v>
      </c>
      <c r="ULY1" s="9" t="s">
        <v>14551</v>
      </c>
      <c r="ULZ1" s="9" t="s">
        <v>14552</v>
      </c>
      <c r="UMA1" s="9" t="s">
        <v>14553</v>
      </c>
      <c r="UMB1" s="9" t="s">
        <v>14554</v>
      </c>
      <c r="UMC1" s="9" t="s">
        <v>14555</v>
      </c>
      <c r="UMD1" s="9" t="s">
        <v>14556</v>
      </c>
      <c r="UME1" s="9" t="s">
        <v>14557</v>
      </c>
      <c r="UMF1" s="9" t="s">
        <v>14558</v>
      </c>
      <c r="UMG1" s="9" t="s">
        <v>14559</v>
      </c>
      <c r="UMH1" s="9" t="s">
        <v>14560</v>
      </c>
      <c r="UMI1" s="9" t="s">
        <v>14561</v>
      </c>
      <c r="UMJ1" s="9" t="s">
        <v>14562</v>
      </c>
      <c r="UMK1" s="9" t="s">
        <v>14563</v>
      </c>
      <c r="UML1" s="9" t="s">
        <v>14564</v>
      </c>
      <c r="UMM1" s="9" t="s">
        <v>14565</v>
      </c>
      <c r="UMN1" s="9" t="s">
        <v>14566</v>
      </c>
      <c r="UMO1" s="9" t="s">
        <v>14567</v>
      </c>
      <c r="UMP1" s="9" t="s">
        <v>14568</v>
      </c>
      <c r="UMQ1" s="9" t="s">
        <v>14569</v>
      </c>
      <c r="UMR1" s="9" t="s">
        <v>14570</v>
      </c>
      <c r="UMS1" s="9" t="s">
        <v>14571</v>
      </c>
      <c r="UMT1" s="9" t="s">
        <v>14572</v>
      </c>
      <c r="UMU1" s="9" t="s">
        <v>14573</v>
      </c>
      <c r="UMV1" s="9" t="s">
        <v>14574</v>
      </c>
      <c r="UMW1" s="9" t="s">
        <v>14575</v>
      </c>
      <c r="UMX1" s="9" t="s">
        <v>14576</v>
      </c>
      <c r="UMY1" s="9" t="s">
        <v>14577</v>
      </c>
      <c r="UMZ1" s="9" t="s">
        <v>14578</v>
      </c>
      <c r="UNA1" s="9" t="s">
        <v>14579</v>
      </c>
      <c r="UNB1" s="9" t="s">
        <v>14580</v>
      </c>
      <c r="UNC1" s="9" t="s">
        <v>14581</v>
      </c>
      <c r="UND1" s="9" t="s">
        <v>14582</v>
      </c>
      <c r="UNE1" s="9" t="s">
        <v>14583</v>
      </c>
      <c r="UNF1" s="9" t="s">
        <v>14584</v>
      </c>
      <c r="UNG1" s="9" t="s">
        <v>14585</v>
      </c>
      <c r="UNH1" s="9" t="s">
        <v>14586</v>
      </c>
      <c r="UNI1" s="9" t="s">
        <v>14587</v>
      </c>
      <c r="UNJ1" s="9" t="s">
        <v>14588</v>
      </c>
      <c r="UNK1" s="9" t="s">
        <v>14589</v>
      </c>
      <c r="UNL1" s="9" t="s">
        <v>14590</v>
      </c>
      <c r="UNM1" s="9" t="s">
        <v>14591</v>
      </c>
      <c r="UNN1" s="9" t="s">
        <v>14592</v>
      </c>
      <c r="UNO1" s="9" t="s">
        <v>14593</v>
      </c>
      <c r="UNP1" s="9" t="s">
        <v>14594</v>
      </c>
      <c r="UNQ1" s="9" t="s">
        <v>14595</v>
      </c>
      <c r="UNR1" s="9" t="s">
        <v>14596</v>
      </c>
      <c r="UNS1" s="9" t="s">
        <v>14597</v>
      </c>
      <c r="UNT1" s="9" t="s">
        <v>14598</v>
      </c>
      <c r="UNU1" s="9" t="s">
        <v>14599</v>
      </c>
      <c r="UNV1" s="9" t="s">
        <v>14600</v>
      </c>
      <c r="UNW1" s="9" t="s">
        <v>14601</v>
      </c>
      <c r="UNX1" s="9" t="s">
        <v>14602</v>
      </c>
      <c r="UNY1" s="9" t="s">
        <v>14603</v>
      </c>
      <c r="UNZ1" s="9" t="s">
        <v>14604</v>
      </c>
      <c r="UOA1" s="9" t="s">
        <v>14605</v>
      </c>
      <c r="UOB1" s="9" t="s">
        <v>14606</v>
      </c>
      <c r="UOC1" s="9" t="s">
        <v>14607</v>
      </c>
      <c r="UOD1" s="9" t="s">
        <v>14608</v>
      </c>
      <c r="UOE1" s="9" t="s">
        <v>14609</v>
      </c>
      <c r="UOF1" s="9" t="s">
        <v>14610</v>
      </c>
      <c r="UOG1" s="9" t="s">
        <v>14611</v>
      </c>
      <c r="UOH1" s="9" t="s">
        <v>14612</v>
      </c>
      <c r="UOI1" s="9" t="s">
        <v>14613</v>
      </c>
      <c r="UOJ1" s="9" t="s">
        <v>14614</v>
      </c>
      <c r="UOK1" s="9" t="s">
        <v>14615</v>
      </c>
      <c r="UOL1" s="9" t="s">
        <v>14616</v>
      </c>
      <c r="UOM1" s="9" t="s">
        <v>14617</v>
      </c>
      <c r="UON1" s="9" t="s">
        <v>14618</v>
      </c>
      <c r="UOO1" s="9" t="s">
        <v>14619</v>
      </c>
      <c r="UOP1" s="9" t="s">
        <v>14620</v>
      </c>
      <c r="UOQ1" s="9" t="s">
        <v>14621</v>
      </c>
      <c r="UOR1" s="9" t="s">
        <v>14622</v>
      </c>
      <c r="UOS1" s="9" t="s">
        <v>14623</v>
      </c>
      <c r="UOT1" s="9" t="s">
        <v>14624</v>
      </c>
      <c r="UOU1" s="9" t="s">
        <v>14625</v>
      </c>
      <c r="UOV1" s="9" t="s">
        <v>14626</v>
      </c>
      <c r="UOW1" s="9" t="s">
        <v>14627</v>
      </c>
      <c r="UOX1" s="9" t="s">
        <v>14628</v>
      </c>
      <c r="UOY1" s="9" t="s">
        <v>14629</v>
      </c>
      <c r="UOZ1" s="9" t="s">
        <v>14630</v>
      </c>
      <c r="UPA1" s="9" t="s">
        <v>14631</v>
      </c>
      <c r="UPB1" s="9" t="s">
        <v>14632</v>
      </c>
      <c r="UPC1" s="9" t="s">
        <v>14633</v>
      </c>
      <c r="UPD1" s="9" t="s">
        <v>14634</v>
      </c>
      <c r="UPE1" s="9" t="s">
        <v>14635</v>
      </c>
      <c r="UPF1" s="9" t="s">
        <v>14636</v>
      </c>
      <c r="UPG1" s="9" t="s">
        <v>14637</v>
      </c>
      <c r="UPH1" s="9" t="s">
        <v>14638</v>
      </c>
      <c r="UPI1" s="9" t="s">
        <v>14639</v>
      </c>
      <c r="UPJ1" s="9" t="s">
        <v>14640</v>
      </c>
      <c r="UPK1" s="9" t="s">
        <v>14641</v>
      </c>
      <c r="UPL1" s="9" t="s">
        <v>14642</v>
      </c>
      <c r="UPM1" s="9" t="s">
        <v>14643</v>
      </c>
      <c r="UPN1" s="9" t="s">
        <v>14644</v>
      </c>
      <c r="UPO1" s="9" t="s">
        <v>14645</v>
      </c>
      <c r="UPP1" s="9" t="s">
        <v>14646</v>
      </c>
      <c r="UPQ1" s="9" t="s">
        <v>14647</v>
      </c>
      <c r="UPR1" s="9" t="s">
        <v>14648</v>
      </c>
      <c r="UPS1" s="9" t="s">
        <v>14649</v>
      </c>
      <c r="UPT1" s="9" t="s">
        <v>14650</v>
      </c>
      <c r="UPU1" s="9" t="s">
        <v>14651</v>
      </c>
      <c r="UPV1" s="9" t="s">
        <v>14652</v>
      </c>
      <c r="UPW1" s="9" t="s">
        <v>14653</v>
      </c>
      <c r="UPX1" s="9" t="s">
        <v>14654</v>
      </c>
      <c r="UPY1" s="9" t="s">
        <v>14655</v>
      </c>
      <c r="UPZ1" s="9" t="s">
        <v>14656</v>
      </c>
      <c r="UQA1" s="9" t="s">
        <v>14657</v>
      </c>
      <c r="UQB1" s="9" t="s">
        <v>14658</v>
      </c>
      <c r="UQC1" s="9" t="s">
        <v>14659</v>
      </c>
      <c r="UQD1" s="9" t="s">
        <v>14660</v>
      </c>
      <c r="UQE1" s="9" t="s">
        <v>14661</v>
      </c>
      <c r="UQF1" s="9" t="s">
        <v>14662</v>
      </c>
      <c r="UQG1" s="9" t="s">
        <v>14663</v>
      </c>
      <c r="UQH1" s="9" t="s">
        <v>14664</v>
      </c>
      <c r="UQI1" s="9" t="s">
        <v>14665</v>
      </c>
      <c r="UQJ1" s="9" t="s">
        <v>14666</v>
      </c>
      <c r="UQK1" s="9" t="s">
        <v>14667</v>
      </c>
      <c r="UQL1" s="9" t="s">
        <v>14668</v>
      </c>
      <c r="UQM1" s="9" t="s">
        <v>14669</v>
      </c>
      <c r="UQN1" s="9" t="s">
        <v>14670</v>
      </c>
      <c r="UQO1" s="9" t="s">
        <v>14671</v>
      </c>
      <c r="UQP1" s="9" t="s">
        <v>14672</v>
      </c>
      <c r="UQQ1" s="9" t="s">
        <v>14673</v>
      </c>
      <c r="UQR1" s="9" t="s">
        <v>14674</v>
      </c>
      <c r="UQS1" s="9" t="s">
        <v>14675</v>
      </c>
      <c r="UQT1" s="9" t="s">
        <v>14676</v>
      </c>
      <c r="UQU1" s="9" t="s">
        <v>14677</v>
      </c>
      <c r="UQV1" s="9" t="s">
        <v>14678</v>
      </c>
      <c r="UQW1" s="9" t="s">
        <v>14679</v>
      </c>
      <c r="UQX1" s="9" t="s">
        <v>14680</v>
      </c>
      <c r="UQY1" s="9" t="s">
        <v>14681</v>
      </c>
      <c r="UQZ1" s="9" t="s">
        <v>14682</v>
      </c>
      <c r="URA1" s="9" t="s">
        <v>14683</v>
      </c>
      <c r="URB1" s="9" t="s">
        <v>14684</v>
      </c>
      <c r="URC1" s="9" t="s">
        <v>14685</v>
      </c>
      <c r="URD1" s="9" t="s">
        <v>14686</v>
      </c>
      <c r="URE1" s="9" t="s">
        <v>14687</v>
      </c>
      <c r="URF1" s="9" t="s">
        <v>14688</v>
      </c>
      <c r="URG1" s="9" t="s">
        <v>14689</v>
      </c>
      <c r="URH1" s="9" t="s">
        <v>14690</v>
      </c>
      <c r="URI1" s="9" t="s">
        <v>14691</v>
      </c>
      <c r="URJ1" s="9" t="s">
        <v>14692</v>
      </c>
      <c r="URK1" s="9" t="s">
        <v>14693</v>
      </c>
      <c r="URL1" s="9" t="s">
        <v>14694</v>
      </c>
      <c r="URM1" s="9" t="s">
        <v>14695</v>
      </c>
      <c r="URN1" s="9" t="s">
        <v>14696</v>
      </c>
      <c r="URO1" s="9" t="s">
        <v>14697</v>
      </c>
      <c r="URP1" s="9" t="s">
        <v>14698</v>
      </c>
      <c r="URQ1" s="9" t="s">
        <v>14699</v>
      </c>
      <c r="URR1" s="9" t="s">
        <v>14700</v>
      </c>
      <c r="URS1" s="9" t="s">
        <v>14701</v>
      </c>
      <c r="URT1" s="9" t="s">
        <v>14702</v>
      </c>
      <c r="URU1" s="9" t="s">
        <v>14703</v>
      </c>
      <c r="URV1" s="9" t="s">
        <v>14704</v>
      </c>
      <c r="URW1" s="9" t="s">
        <v>14705</v>
      </c>
      <c r="URX1" s="9" t="s">
        <v>14706</v>
      </c>
      <c r="URY1" s="9" t="s">
        <v>14707</v>
      </c>
      <c r="URZ1" s="9" t="s">
        <v>14708</v>
      </c>
      <c r="USA1" s="9" t="s">
        <v>14709</v>
      </c>
      <c r="USB1" s="9" t="s">
        <v>14710</v>
      </c>
      <c r="USC1" s="9" t="s">
        <v>14711</v>
      </c>
      <c r="USD1" s="9" t="s">
        <v>14712</v>
      </c>
      <c r="USE1" s="9" t="s">
        <v>14713</v>
      </c>
      <c r="USF1" s="9" t="s">
        <v>14714</v>
      </c>
      <c r="USG1" s="9" t="s">
        <v>14715</v>
      </c>
      <c r="USH1" s="9" t="s">
        <v>14716</v>
      </c>
      <c r="USI1" s="9" t="s">
        <v>14717</v>
      </c>
      <c r="USJ1" s="9" t="s">
        <v>14718</v>
      </c>
      <c r="USK1" s="9" t="s">
        <v>14719</v>
      </c>
      <c r="USL1" s="9" t="s">
        <v>14720</v>
      </c>
      <c r="USM1" s="9" t="s">
        <v>14721</v>
      </c>
      <c r="USN1" s="9" t="s">
        <v>14722</v>
      </c>
      <c r="USO1" s="9" t="s">
        <v>14723</v>
      </c>
      <c r="USP1" s="9" t="s">
        <v>14724</v>
      </c>
      <c r="USQ1" s="9" t="s">
        <v>14725</v>
      </c>
      <c r="USR1" s="9" t="s">
        <v>14726</v>
      </c>
      <c r="USS1" s="9" t="s">
        <v>14727</v>
      </c>
      <c r="UST1" s="9" t="s">
        <v>14728</v>
      </c>
      <c r="USU1" s="9" t="s">
        <v>14729</v>
      </c>
      <c r="USV1" s="9" t="s">
        <v>14730</v>
      </c>
      <c r="USW1" s="9" t="s">
        <v>14731</v>
      </c>
      <c r="USX1" s="9" t="s">
        <v>14732</v>
      </c>
      <c r="USY1" s="9" t="s">
        <v>14733</v>
      </c>
      <c r="USZ1" s="9" t="s">
        <v>14734</v>
      </c>
      <c r="UTA1" s="9" t="s">
        <v>14735</v>
      </c>
      <c r="UTB1" s="9" t="s">
        <v>14736</v>
      </c>
      <c r="UTC1" s="9" t="s">
        <v>14737</v>
      </c>
      <c r="UTD1" s="9" t="s">
        <v>14738</v>
      </c>
      <c r="UTE1" s="9" t="s">
        <v>14739</v>
      </c>
      <c r="UTF1" s="9" t="s">
        <v>14740</v>
      </c>
      <c r="UTG1" s="9" t="s">
        <v>14741</v>
      </c>
      <c r="UTH1" s="9" t="s">
        <v>14742</v>
      </c>
      <c r="UTI1" s="9" t="s">
        <v>14743</v>
      </c>
      <c r="UTJ1" s="9" t="s">
        <v>14744</v>
      </c>
      <c r="UTK1" s="9" t="s">
        <v>14745</v>
      </c>
      <c r="UTL1" s="9" t="s">
        <v>14746</v>
      </c>
      <c r="UTM1" s="9" t="s">
        <v>14747</v>
      </c>
      <c r="UTN1" s="9" t="s">
        <v>14748</v>
      </c>
      <c r="UTO1" s="9" t="s">
        <v>14749</v>
      </c>
      <c r="UTP1" s="9" t="s">
        <v>14750</v>
      </c>
      <c r="UTQ1" s="9" t="s">
        <v>14751</v>
      </c>
      <c r="UTR1" s="9" t="s">
        <v>14752</v>
      </c>
      <c r="UTS1" s="9" t="s">
        <v>14753</v>
      </c>
      <c r="UTT1" s="9" t="s">
        <v>14754</v>
      </c>
      <c r="UTU1" s="9" t="s">
        <v>14755</v>
      </c>
      <c r="UTV1" s="9" t="s">
        <v>14756</v>
      </c>
      <c r="UTW1" s="9" t="s">
        <v>14757</v>
      </c>
      <c r="UTX1" s="9" t="s">
        <v>14758</v>
      </c>
      <c r="UTY1" s="9" t="s">
        <v>14759</v>
      </c>
      <c r="UTZ1" s="9" t="s">
        <v>14760</v>
      </c>
      <c r="UUA1" s="9" t="s">
        <v>14761</v>
      </c>
      <c r="UUB1" s="9" t="s">
        <v>14762</v>
      </c>
      <c r="UUC1" s="9" t="s">
        <v>14763</v>
      </c>
      <c r="UUD1" s="9" t="s">
        <v>14764</v>
      </c>
      <c r="UUE1" s="9" t="s">
        <v>14765</v>
      </c>
      <c r="UUF1" s="9" t="s">
        <v>14766</v>
      </c>
      <c r="UUG1" s="9" t="s">
        <v>14767</v>
      </c>
      <c r="UUH1" s="9" t="s">
        <v>14768</v>
      </c>
      <c r="UUI1" s="9" t="s">
        <v>14769</v>
      </c>
      <c r="UUJ1" s="9" t="s">
        <v>14770</v>
      </c>
      <c r="UUK1" s="9" t="s">
        <v>14771</v>
      </c>
      <c r="UUL1" s="9" t="s">
        <v>14772</v>
      </c>
      <c r="UUM1" s="9" t="s">
        <v>14773</v>
      </c>
      <c r="UUN1" s="9" t="s">
        <v>14774</v>
      </c>
      <c r="UUO1" s="9" t="s">
        <v>14775</v>
      </c>
      <c r="UUP1" s="9" t="s">
        <v>14776</v>
      </c>
      <c r="UUQ1" s="9" t="s">
        <v>14777</v>
      </c>
      <c r="UUR1" s="9" t="s">
        <v>14778</v>
      </c>
      <c r="UUS1" s="9" t="s">
        <v>14779</v>
      </c>
      <c r="UUT1" s="9" t="s">
        <v>14780</v>
      </c>
      <c r="UUU1" s="9" t="s">
        <v>14781</v>
      </c>
      <c r="UUV1" s="9" t="s">
        <v>14782</v>
      </c>
      <c r="UUW1" s="9" t="s">
        <v>14783</v>
      </c>
      <c r="UUX1" s="9" t="s">
        <v>14784</v>
      </c>
      <c r="UUY1" s="9" t="s">
        <v>14785</v>
      </c>
      <c r="UUZ1" s="9" t="s">
        <v>14786</v>
      </c>
      <c r="UVA1" s="9" t="s">
        <v>14787</v>
      </c>
      <c r="UVB1" s="9" t="s">
        <v>14788</v>
      </c>
      <c r="UVC1" s="9" t="s">
        <v>14789</v>
      </c>
      <c r="UVD1" s="9" t="s">
        <v>14790</v>
      </c>
      <c r="UVE1" s="9" t="s">
        <v>14791</v>
      </c>
      <c r="UVF1" s="9" t="s">
        <v>14792</v>
      </c>
      <c r="UVG1" s="9" t="s">
        <v>14793</v>
      </c>
      <c r="UVH1" s="9" t="s">
        <v>14794</v>
      </c>
      <c r="UVI1" s="9" t="s">
        <v>14795</v>
      </c>
      <c r="UVJ1" s="9" t="s">
        <v>14796</v>
      </c>
      <c r="UVK1" s="9" t="s">
        <v>14797</v>
      </c>
      <c r="UVL1" s="9" t="s">
        <v>14798</v>
      </c>
      <c r="UVM1" s="9" t="s">
        <v>14799</v>
      </c>
      <c r="UVN1" s="9" t="s">
        <v>14800</v>
      </c>
      <c r="UVO1" s="9" t="s">
        <v>14801</v>
      </c>
      <c r="UVP1" s="9" t="s">
        <v>14802</v>
      </c>
      <c r="UVQ1" s="9" t="s">
        <v>14803</v>
      </c>
      <c r="UVR1" s="9" t="s">
        <v>14804</v>
      </c>
      <c r="UVS1" s="9" t="s">
        <v>14805</v>
      </c>
      <c r="UVT1" s="9" t="s">
        <v>14806</v>
      </c>
      <c r="UVU1" s="9" t="s">
        <v>14807</v>
      </c>
      <c r="UVV1" s="9" t="s">
        <v>14808</v>
      </c>
      <c r="UVW1" s="9" t="s">
        <v>14809</v>
      </c>
      <c r="UVX1" s="9" t="s">
        <v>14810</v>
      </c>
      <c r="UVY1" s="9" t="s">
        <v>14811</v>
      </c>
      <c r="UVZ1" s="9" t="s">
        <v>14812</v>
      </c>
      <c r="UWA1" s="9" t="s">
        <v>14813</v>
      </c>
      <c r="UWB1" s="9" t="s">
        <v>14814</v>
      </c>
      <c r="UWC1" s="9" t="s">
        <v>14815</v>
      </c>
      <c r="UWD1" s="9" t="s">
        <v>14816</v>
      </c>
      <c r="UWE1" s="9" t="s">
        <v>14817</v>
      </c>
      <c r="UWF1" s="9" t="s">
        <v>14818</v>
      </c>
      <c r="UWG1" s="9" t="s">
        <v>14819</v>
      </c>
      <c r="UWH1" s="9" t="s">
        <v>14820</v>
      </c>
      <c r="UWI1" s="9" t="s">
        <v>14821</v>
      </c>
      <c r="UWJ1" s="9" t="s">
        <v>14822</v>
      </c>
      <c r="UWK1" s="9" t="s">
        <v>14823</v>
      </c>
      <c r="UWL1" s="9" t="s">
        <v>14824</v>
      </c>
      <c r="UWM1" s="9" t="s">
        <v>14825</v>
      </c>
      <c r="UWN1" s="9" t="s">
        <v>14826</v>
      </c>
      <c r="UWO1" s="9" t="s">
        <v>14827</v>
      </c>
      <c r="UWP1" s="9" t="s">
        <v>14828</v>
      </c>
      <c r="UWQ1" s="9" t="s">
        <v>14829</v>
      </c>
      <c r="UWR1" s="9" t="s">
        <v>14830</v>
      </c>
      <c r="UWS1" s="9" t="s">
        <v>14831</v>
      </c>
      <c r="UWT1" s="9" t="s">
        <v>14832</v>
      </c>
      <c r="UWU1" s="9" t="s">
        <v>14833</v>
      </c>
      <c r="UWV1" s="9" t="s">
        <v>14834</v>
      </c>
      <c r="UWW1" s="9" t="s">
        <v>14835</v>
      </c>
      <c r="UWX1" s="9" t="s">
        <v>14836</v>
      </c>
      <c r="UWY1" s="9" t="s">
        <v>14837</v>
      </c>
      <c r="UWZ1" s="9" t="s">
        <v>14838</v>
      </c>
      <c r="UXA1" s="9" t="s">
        <v>14839</v>
      </c>
      <c r="UXB1" s="9" t="s">
        <v>14840</v>
      </c>
      <c r="UXC1" s="9" t="s">
        <v>14841</v>
      </c>
      <c r="UXD1" s="9" t="s">
        <v>14842</v>
      </c>
      <c r="UXE1" s="9" t="s">
        <v>14843</v>
      </c>
      <c r="UXF1" s="9" t="s">
        <v>14844</v>
      </c>
      <c r="UXG1" s="9" t="s">
        <v>14845</v>
      </c>
      <c r="UXH1" s="9" t="s">
        <v>14846</v>
      </c>
      <c r="UXI1" s="9" t="s">
        <v>14847</v>
      </c>
      <c r="UXJ1" s="9" t="s">
        <v>14848</v>
      </c>
      <c r="UXK1" s="9" t="s">
        <v>14849</v>
      </c>
      <c r="UXL1" s="9" t="s">
        <v>14850</v>
      </c>
      <c r="UXM1" s="9" t="s">
        <v>14851</v>
      </c>
      <c r="UXN1" s="9" t="s">
        <v>14852</v>
      </c>
      <c r="UXO1" s="9" t="s">
        <v>14853</v>
      </c>
      <c r="UXP1" s="9" t="s">
        <v>14854</v>
      </c>
      <c r="UXQ1" s="9" t="s">
        <v>14855</v>
      </c>
      <c r="UXR1" s="9" t="s">
        <v>14856</v>
      </c>
      <c r="UXS1" s="9" t="s">
        <v>14857</v>
      </c>
      <c r="UXT1" s="9" t="s">
        <v>14858</v>
      </c>
      <c r="UXU1" s="9" t="s">
        <v>14859</v>
      </c>
      <c r="UXV1" s="9" t="s">
        <v>14860</v>
      </c>
      <c r="UXW1" s="9" t="s">
        <v>14861</v>
      </c>
      <c r="UXX1" s="9" t="s">
        <v>14862</v>
      </c>
      <c r="UXY1" s="9" t="s">
        <v>14863</v>
      </c>
      <c r="UXZ1" s="9" t="s">
        <v>14864</v>
      </c>
      <c r="UYA1" s="9" t="s">
        <v>14865</v>
      </c>
      <c r="UYB1" s="9" t="s">
        <v>14866</v>
      </c>
      <c r="UYC1" s="9" t="s">
        <v>14867</v>
      </c>
      <c r="UYD1" s="9" t="s">
        <v>14868</v>
      </c>
      <c r="UYE1" s="9" t="s">
        <v>14869</v>
      </c>
      <c r="UYF1" s="9" t="s">
        <v>14870</v>
      </c>
      <c r="UYG1" s="9" t="s">
        <v>14871</v>
      </c>
      <c r="UYH1" s="9" t="s">
        <v>14872</v>
      </c>
      <c r="UYI1" s="9" t="s">
        <v>14873</v>
      </c>
      <c r="UYJ1" s="9" t="s">
        <v>14874</v>
      </c>
      <c r="UYK1" s="9" t="s">
        <v>14875</v>
      </c>
      <c r="UYL1" s="9" t="s">
        <v>14876</v>
      </c>
      <c r="UYM1" s="9" t="s">
        <v>14877</v>
      </c>
      <c r="UYN1" s="9" t="s">
        <v>14878</v>
      </c>
      <c r="UYO1" s="9" t="s">
        <v>14879</v>
      </c>
      <c r="UYP1" s="9" t="s">
        <v>14880</v>
      </c>
      <c r="UYQ1" s="9" t="s">
        <v>14881</v>
      </c>
      <c r="UYR1" s="9" t="s">
        <v>14882</v>
      </c>
      <c r="UYS1" s="9" t="s">
        <v>14883</v>
      </c>
      <c r="UYT1" s="9" t="s">
        <v>14884</v>
      </c>
      <c r="UYU1" s="9" t="s">
        <v>14885</v>
      </c>
      <c r="UYV1" s="9" t="s">
        <v>14886</v>
      </c>
      <c r="UYW1" s="9" t="s">
        <v>14887</v>
      </c>
      <c r="UYX1" s="9" t="s">
        <v>14888</v>
      </c>
      <c r="UYY1" s="9" t="s">
        <v>14889</v>
      </c>
      <c r="UYZ1" s="9" t="s">
        <v>14890</v>
      </c>
      <c r="UZA1" s="9" t="s">
        <v>14891</v>
      </c>
      <c r="UZB1" s="9" t="s">
        <v>14892</v>
      </c>
      <c r="UZC1" s="9" t="s">
        <v>14893</v>
      </c>
      <c r="UZD1" s="9" t="s">
        <v>14894</v>
      </c>
      <c r="UZE1" s="9" t="s">
        <v>14895</v>
      </c>
      <c r="UZF1" s="9" t="s">
        <v>14896</v>
      </c>
      <c r="UZG1" s="9" t="s">
        <v>14897</v>
      </c>
      <c r="UZH1" s="9" t="s">
        <v>14898</v>
      </c>
      <c r="UZI1" s="9" t="s">
        <v>14899</v>
      </c>
      <c r="UZJ1" s="9" t="s">
        <v>14900</v>
      </c>
      <c r="UZK1" s="9" t="s">
        <v>14901</v>
      </c>
      <c r="UZL1" s="9" t="s">
        <v>14902</v>
      </c>
      <c r="UZM1" s="9" t="s">
        <v>14903</v>
      </c>
      <c r="UZN1" s="9" t="s">
        <v>14904</v>
      </c>
      <c r="UZO1" s="9" t="s">
        <v>14905</v>
      </c>
      <c r="UZP1" s="9" t="s">
        <v>14906</v>
      </c>
      <c r="UZQ1" s="9" t="s">
        <v>14907</v>
      </c>
      <c r="UZR1" s="9" t="s">
        <v>14908</v>
      </c>
      <c r="UZS1" s="9" t="s">
        <v>14909</v>
      </c>
      <c r="UZT1" s="9" t="s">
        <v>14910</v>
      </c>
      <c r="UZU1" s="9" t="s">
        <v>14911</v>
      </c>
      <c r="UZV1" s="9" t="s">
        <v>14912</v>
      </c>
      <c r="UZW1" s="9" t="s">
        <v>14913</v>
      </c>
      <c r="UZX1" s="9" t="s">
        <v>14914</v>
      </c>
      <c r="UZY1" s="9" t="s">
        <v>14915</v>
      </c>
      <c r="UZZ1" s="9" t="s">
        <v>14916</v>
      </c>
      <c r="VAA1" s="9" t="s">
        <v>14917</v>
      </c>
      <c r="VAB1" s="9" t="s">
        <v>14918</v>
      </c>
      <c r="VAC1" s="9" t="s">
        <v>14919</v>
      </c>
      <c r="VAD1" s="9" t="s">
        <v>14920</v>
      </c>
      <c r="VAE1" s="9" t="s">
        <v>14921</v>
      </c>
      <c r="VAF1" s="9" t="s">
        <v>14922</v>
      </c>
      <c r="VAG1" s="9" t="s">
        <v>14923</v>
      </c>
      <c r="VAH1" s="9" t="s">
        <v>14924</v>
      </c>
      <c r="VAI1" s="9" t="s">
        <v>14925</v>
      </c>
      <c r="VAJ1" s="9" t="s">
        <v>14926</v>
      </c>
      <c r="VAK1" s="9" t="s">
        <v>14927</v>
      </c>
      <c r="VAL1" s="9" t="s">
        <v>14928</v>
      </c>
      <c r="VAM1" s="9" t="s">
        <v>14929</v>
      </c>
      <c r="VAN1" s="9" t="s">
        <v>14930</v>
      </c>
      <c r="VAO1" s="9" t="s">
        <v>14931</v>
      </c>
      <c r="VAP1" s="9" t="s">
        <v>14932</v>
      </c>
      <c r="VAQ1" s="9" t="s">
        <v>14933</v>
      </c>
      <c r="VAR1" s="9" t="s">
        <v>14934</v>
      </c>
      <c r="VAS1" s="9" t="s">
        <v>14935</v>
      </c>
      <c r="VAT1" s="9" t="s">
        <v>14936</v>
      </c>
      <c r="VAU1" s="9" t="s">
        <v>14937</v>
      </c>
      <c r="VAV1" s="9" t="s">
        <v>14938</v>
      </c>
      <c r="VAW1" s="9" t="s">
        <v>14939</v>
      </c>
      <c r="VAX1" s="9" t="s">
        <v>14940</v>
      </c>
      <c r="VAY1" s="9" t="s">
        <v>14941</v>
      </c>
      <c r="VAZ1" s="9" t="s">
        <v>14942</v>
      </c>
      <c r="VBA1" s="9" t="s">
        <v>14943</v>
      </c>
      <c r="VBB1" s="9" t="s">
        <v>14944</v>
      </c>
      <c r="VBC1" s="9" t="s">
        <v>14945</v>
      </c>
      <c r="VBD1" s="9" t="s">
        <v>14946</v>
      </c>
      <c r="VBE1" s="9" t="s">
        <v>14947</v>
      </c>
      <c r="VBF1" s="9" t="s">
        <v>14948</v>
      </c>
      <c r="VBG1" s="9" t="s">
        <v>14949</v>
      </c>
      <c r="VBH1" s="9" t="s">
        <v>14950</v>
      </c>
      <c r="VBI1" s="9" t="s">
        <v>14951</v>
      </c>
      <c r="VBJ1" s="9" t="s">
        <v>14952</v>
      </c>
      <c r="VBK1" s="9" t="s">
        <v>14953</v>
      </c>
      <c r="VBL1" s="9" t="s">
        <v>14954</v>
      </c>
      <c r="VBM1" s="9" t="s">
        <v>14955</v>
      </c>
      <c r="VBN1" s="9" t="s">
        <v>14956</v>
      </c>
      <c r="VBO1" s="9" t="s">
        <v>14957</v>
      </c>
      <c r="VBP1" s="9" t="s">
        <v>14958</v>
      </c>
      <c r="VBQ1" s="9" t="s">
        <v>14959</v>
      </c>
      <c r="VBR1" s="9" t="s">
        <v>14960</v>
      </c>
      <c r="VBS1" s="9" t="s">
        <v>14961</v>
      </c>
      <c r="VBT1" s="9" t="s">
        <v>14962</v>
      </c>
      <c r="VBU1" s="9" t="s">
        <v>14963</v>
      </c>
      <c r="VBV1" s="9" t="s">
        <v>14964</v>
      </c>
      <c r="VBW1" s="9" t="s">
        <v>14965</v>
      </c>
      <c r="VBX1" s="9" t="s">
        <v>14966</v>
      </c>
      <c r="VBY1" s="9" t="s">
        <v>14967</v>
      </c>
      <c r="VBZ1" s="9" t="s">
        <v>14968</v>
      </c>
      <c r="VCA1" s="9" t="s">
        <v>14969</v>
      </c>
      <c r="VCB1" s="9" t="s">
        <v>14970</v>
      </c>
      <c r="VCC1" s="9" t="s">
        <v>14971</v>
      </c>
      <c r="VCD1" s="9" t="s">
        <v>14972</v>
      </c>
      <c r="VCE1" s="9" t="s">
        <v>14973</v>
      </c>
      <c r="VCF1" s="9" t="s">
        <v>14974</v>
      </c>
      <c r="VCG1" s="9" t="s">
        <v>14975</v>
      </c>
      <c r="VCH1" s="9" t="s">
        <v>14976</v>
      </c>
      <c r="VCI1" s="9" t="s">
        <v>14977</v>
      </c>
      <c r="VCJ1" s="9" t="s">
        <v>14978</v>
      </c>
      <c r="VCK1" s="9" t="s">
        <v>14979</v>
      </c>
      <c r="VCL1" s="9" t="s">
        <v>14980</v>
      </c>
      <c r="VCM1" s="9" t="s">
        <v>14981</v>
      </c>
      <c r="VCN1" s="9" t="s">
        <v>14982</v>
      </c>
      <c r="VCO1" s="9" t="s">
        <v>14983</v>
      </c>
      <c r="VCP1" s="9" t="s">
        <v>14984</v>
      </c>
      <c r="VCQ1" s="9" t="s">
        <v>14985</v>
      </c>
      <c r="VCR1" s="9" t="s">
        <v>14986</v>
      </c>
      <c r="VCS1" s="9" t="s">
        <v>14987</v>
      </c>
      <c r="VCT1" s="9" t="s">
        <v>14988</v>
      </c>
      <c r="VCU1" s="9" t="s">
        <v>14989</v>
      </c>
      <c r="VCV1" s="9" t="s">
        <v>14990</v>
      </c>
      <c r="VCW1" s="9" t="s">
        <v>14991</v>
      </c>
      <c r="VCX1" s="9" t="s">
        <v>14992</v>
      </c>
      <c r="VCY1" s="9" t="s">
        <v>14993</v>
      </c>
      <c r="VCZ1" s="9" t="s">
        <v>14994</v>
      </c>
      <c r="VDA1" s="9" t="s">
        <v>14995</v>
      </c>
      <c r="VDB1" s="9" t="s">
        <v>14996</v>
      </c>
      <c r="VDC1" s="9" t="s">
        <v>14997</v>
      </c>
      <c r="VDD1" s="9" t="s">
        <v>14998</v>
      </c>
      <c r="VDE1" s="9" t="s">
        <v>14999</v>
      </c>
      <c r="VDF1" s="9" t="s">
        <v>15000</v>
      </c>
      <c r="VDG1" s="9" t="s">
        <v>15001</v>
      </c>
      <c r="VDH1" s="9" t="s">
        <v>15002</v>
      </c>
      <c r="VDI1" s="9" t="s">
        <v>15003</v>
      </c>
      <c r="VDJ1" s="9" t="s">
        <v>15004</v>
      </c>
      <c r="VDK1" s="9" t="s">
        <v>15005</v>
      </c>
      <c r="VDL1" s="9" t="s">
        <v>15006</v>
      </c>
      <c r="VDM1" s="9" t="s">
        <v>15007</v>
      </c>
      <c r="VDN1" s="9" t="s">
        <v>15008</v>
      </c>
      <c r="VDO1" s="9" t="s">
        <v>15009</v>
      </c>
      <c r="VDP1" s="9" t="s">
        <v>15010</v>
      </c>
      <c r="VDQ1" s="9" t="s">
        <v>15011</v>
      </c>
      <c r="VDR1" s="9" t="s">
        <v>15012</v>
      </c>
      <c r="VDS1" s="9" t="s">
        <v>15013</v>
      </c>
      <c r="VDT1" s="9" t="s">
        <v>15014</v>
      </c>
      <c r="VDU1" s="9" t="s">
        <v>15015</v>
      </c>
      <c r="VDV1" s="9" t="s">
        <v>15016</v>
      </c>
      <c r="VDW1" s="9" t="s">
        <v>15017</v>
      </c>
      <c r="VDX1" s="9" t="s">
        <v>15018</v>
      </c>
      <c r="VDY1" s="9" t="s">
        <v>15019</v>
      </c>
      <c r="VDZ1" s="9" t="s">
        <v>15020</v>
      </c>
      <c r="VEA1" s="9" t="s">
        <v>15021</v>
      </c>
      <c r="VEB1" s="9" t="s">
        <v>15022</v>
      </c>
      <c r="VEC1" s="9" t="s">
        <v>15023</v>
      </c>
      <c r="VED1" s="9" t="s">
        <v>15024</v>
      </c>
      <c r="VEE1" s="9" t="s">
        <v>15025</v>
      </c>
      <c r="VEF1" s="9" t="s">
        <v>15026</v>
      </c>
      <c r="VEG1" s="9" t="s">
        <v>15027</v>
      </c>
      <c r="VEH1" s="9" t="s">
        <v>15028</v>
      </c>
      <c r="VEI1" s="9" t="s">
        <v>15029</v>
      </c>
      <c r="VEJ1" s="9" t="s">
        <v>15030</v>
      </c>
      <c r="VEK1" s="9" t="s">
        <v>15031</v>
      </c>
      <c r="VEL1" s="9" t="s">
        <v>15032</v>
      </c>
      <c r="VEM1" s="9" t="s">
        <v>15033</v>
      </c>
      <c r="VEN1" s="9" t="s">
        <v>15034</v>
      </c>
      <c r="VEO1" s="9" t="s">
        <v>15035</v>
      </c>
      <c r="VEP1" s="9" t="s">
        <v>15036</v>
      </c>
      <c r="VEQ1" s="9" t="s">
        <v>15037</v>
      </c>
      <c r="VER1" s="9" t="s">
        <v>15038</v>
      </c>
      <c r="VES1" s="9" t="s">
        <v>15039</v>
      </c>
      <c r="VET1" s="9" t="s">
        <v>15040</v>
      </c>
      <c r="VEU1" s="9" t="s">
        <v>15041</v>
      </c>
      <c r="VEV1" s="9" t="s">
        <v>15042</v>
      </c>
      <c r="VEW1" s="9" t="s">
        <v>15043</v>
      </c>
      <c r="VEX1" s="9" t="s">
        <v>15044</v>
      </c>
      <c r="VEY1" s="9" t="s">
        <v>15045</v>
      </c>
      <c r="VEZ1" s="9" t="s">
        <v>15046</v>
      </c>
      <c r="VFA1" s="9" t="s">
        <v>15047</v>
      </c>
      <c r="VFB1" s="9" t="s">
        <v>15048</v>
      </c>
      <c r="VFC1" s="9" t="s">
        <v>15049</v>
      </c>
      <c r="VFD1" s="9" t="s">
        <v>15050</v>
      </c>
      <c r="VFE1" s="9" t="s">
        <v>15051</v>
      </c>
      <c r="VFF1" s="9" t="s">
        <v>15052</v>
      </c>
      <c r="VFG1" s="9" t="s">
        <v>15053</v>
      </c>
      <c r="VFH1" s="9" t="s">
        <v>15054</v>
      </c>
      <c r="VFI1" s="9" t="s">
        <v>15055</v>
      </c>
      <c r="VFJ1" s="9" t="s">
        <v>15056</v>
      </c>
      <c r="VFK1" s="9" t="s">
        <v>15057</v>
      </c>
      <c r="VFL1" s="9" t="s">
        <v>15058</v>
      </c>
      <c r="VFM1" s="9" t="s">
        <v>15059</v>
      </c>
      <c r="VFN1" s="9" t="s">
        <v>15060</v>
      </c>
      <c r="VFO1" s="9" t="s">
        <v>15061</v>
      </c>
      <c r="VFP1" s="9" t="s">
        <v>15062</v>
      </c>
      <c r="VFQ1" s="9" t="s">
        <v>15063</v>
      </c>
      <c r="VFR1" s="9" t="s">
        <v>15064</v>
      </c>
      <c r="VFS1" s="9" t="s">
        <v>15065</v>
      </c>
      <c r="VFT1" s="9" t="s">
        <v>15066</v>
      </c>
      <c r="VFU1" s="9" t="s">
        <v>15067</v>
      </c>
      <c r="VFV1" s="9" t="s">
        <v>15068</v>
      </c>
      <c r="VFW1" s="9" t="s">
        <v>15069</v>
      </c>
      <c r="VFX1" s="9" t="s">
        <v>15070</v>
      </c>
      <c r="VFY1" s="9" t="s">
        <v>15071</v>
      </c>
      <c r="VFZ1" s="9" t="s">
        <v>15072</v>
      </c>
      <c r="VGA1" s="9" t="s">
        <v>15073</v>
      </c>
      <c r="VGB1" s="9" t="s">
        <v>15074</v>
      </c>
      <c r="VGC1" s="9" t="s">
        <v>15075</v>
      </c>
      <c r="VGD1" s="9" t="s">
        <v>15076</v>
      </c>
      <c r="VGE1" s="9" t="s">
        <v>15077</v>
      </c>
      <c r="VGF1" s="9" t="s">
        <v>15078</v>
      </c>
      <c r="VGG1" s="9" t="s">
        <v>15079</v>
      </c>
      <c r="VGH1" s="9" t="s">
        <v>15080</v>
      </c>
      <c r="VGI1" s="9" t="s">
        <v>15081</v>
      </c>
      <c r="VGJ1" s="9" t="s">
        <v>15082</v>
      </c>
      <c r="VGK1" s="9" t="s">
        <v>15083</v>
      </c>
      <c r="VGL1" s="9" t="s">
        <v>15084</v>
      </c>
      <c r="VGM1" s="9" t="s">
        <v>15085</v>
      </c>
      <c r="VGN1" s="9" t="s">
        <v>15086</v>
      </c>
      <c r="VGO1" s="9" t="s">
        <v>15087</v>
      </c>
      <c r="VGP1" s="9" t="s">
        <v>15088</v>
      </c>
      <c r="VGQ1" s="9" t="s">
        <v>15089</v>
      </c>
      <c r="VGR1" s="9" t="s">
        <v>15090</v>
      </c>
      <c r="VGS1" s="9" t="s">
        <v>15091</v>
      </c>
      <c r="VGT1" s="9" t="s">
        <v>15092</v>
      </c>
      <c r="VGU1" s="9" t="s">
        <v>15093</v>
      </c>
      <c r="VGV1" s="9" t="s">
        <v>15094</v>
      </c>
      <c r="VGW1" s="9" t="s">
        <v>15095</v>
      </c>
      <c r="VGX1" s="9" t="s">
        <v>15096</v>
      </c>
      <c r="VGY1" s="9" t="s">
        <v>15097</v>
      </c>
      <c r="VGZ1" s="9" t="s">
        <v>15098</v>
      </c>
      <c r="VHA1" s="9" t="s">
        <v>15099</v>
      </c>
      <c r="VHB1" s="9" t="s">
        <v>15100</v>
      </c>
      <c r="VHC1" s="9" t="s">
        <v>15101</v>
      </c>
      <c r="VHD1" s="9" t="s">
        <v>15102</v>
      </c>
      <c r="VHE1" s="9" t="s">
        <v>15103</v>
      </c>
      <c r="VHF1" s="9" t="s">
        <v>15104</v>
      </c>
      <c r="VHG1" s="9" t="s">
        <v>15105</v>
      </c>
      <c r="VHH1" s="9" t="s">
        <v>15106</v>
      </c>
      <c r="VHI1" s="9" t="s">
        <v>15107</v>
      </c>
      <c r="VHJ1" s="9" t="s">
        <v>15108</v>
      </c>
      <c r="VHK1" s="9" t="s">
        <v>15109</v>
      </c>
      <c r="VHL1" s="9" t="s">
        <v>15110</v>
      </c>
      <c r="VHM1" s="9" t="s">
        <v>15111</v>
      </c>
      <c r="VHN1" s="9" t="s">
        <v>15112</v>
      </c>
      <c r="VHO1" s="9" t="s">
        <v>15113</v>
      </c>
      <c r="VHP1" s="9" t="s">
        <v>15114</v>
      </c>
      <c r="VHQ1" s="9" t="s">
        <v>15115</v>
      </c>
      <c r="VHR1" s="9" t="s">
        <v>15116</v>
      </c>
      <c r="VHS1" s="9" t="s">
        <v>15117</v>
      </c>
      <c r="VHT1" s="9" t="s">
        <v>15118</v>
      </c>
      <c r="VHU1" s="9" t="s">
        <v>15119</v>
      </c>
      <c r="VHV1" s="9" t="s">
        <v>15120</v>
      </c>
      <c r="VHW1" s="9" t="s">
        <v>15121</v>
      </c>
      <c r="VHX1" s="9" t="s">
        <v>15122</v>
      </c>
      <c r="VHY1" s="9" t="s">
        <v>15123</v>
      </c>
      <c r="VHZ1" s="9" t="s">
        <v>15124</v>
      </c>
      <c r="VIA1" s="9" t="s">
        <v>15125</v>
      </c>
      <c r="VIB1" s="9" t="s">
        <v>15126</v>
      </c>
      <c r="VIC1" s="9" t="s">
        <v>15127</v>
      </c>
      <c r="VID1" s="9" t="s">
        <v>15128</v>
      </c>
      <c r="VIE1" s="9" t="s">
        <v>15129</v>
      </c>
      <c r="VIF1" s="9" t="s">
        <v>15130</v>
      </c>
      <c r="VIG1" s="9" t="s">
        <v>15131</v>
      </c>
      <c r="VIH1" s="9" t="s">
        <v>15132</v>
      </c>
      <c r="VII1" s="9" t="s">
        <v>15133</v>
      </c>
      <c r="VIJ1" s="9" t="s">
        <v>15134</v>
      </c>
      <c r="VIK1" s="9" t="s">
        <v>15135</v>
      </c>
      <c r="VIL1" s="9" t="s">
        <v>15136</v>
      </c>
      <c r="VIM1" s="9" t="s">
        <v>15137</v>
      </c>
      <c r="VIN1" s="9" t="s">
        <v>15138</v>
      </c>
      <c r="VIO1" s="9" t="s">
        <v>15139</v>
      </c>
      <c r="VIP1" s="9" t="s">
        <v>15140</v>
      </c>
      <c r="VIQ1" s="9" t="s">
        <v>15141</v>
      </c>
      <c r="VIR1" s="9" t="s">
        <v>15142</v>
      </c>
      <c r="VIS1" s="9" t="s">
        <v>15143</v>
      </c>
      <c r="VIT1" s="9" t="s">
        <v>15144</v>
      </c>
      <c r="VIU1" s="9" t="s">
        <v>15145</v>
      </c>
      <c r="VIV1" s="9" t="s">
        <v>15146</v>
      </c>
      <c r="VIW1" s="9" t="s">
        <v>15147</v>
      </c>
      <c r="VIX1" s="9" t="s">
        <v>15148</v>
      </c>
      <c r="VIY1" s="9" t="s">
        <v>15149</v>
      </c>
      <c r="VIZ1" s="9" t="s">
        <v>15150</v>
      </c>
      <c r="VJA1" s="9" t="s">
        <v>15151</v>
      </c>
      <c r="VJB1" s="9" t="s">
        <v>15152</v>
      </c>
      <c r="VJC1" s="9" t="s">
        <v>15153</v>
      </c>
      <c r="VJD1" s="9" t="s">
        <v>15154</v>
      </c>
      <c r="VJE1" s="9" t="s">
        <v>15155</v>
      </c>
      <c r="VJF1" s="9" t="s">
        <v>15156</v>
      </c>
      <c r="VJG1" s="9" t="s">
        <v>15157</v>
      </c>
      <c r="VJH1" s="9" t="s">
        <v>15158</v>
      </c>
      <c r="VJI1" s="9" t="s">
        <v>15159</v>
      </c>
      <c r="VJJ1" s="9" t="s">
        <v>15160</v>
      </c>
      <c r="VJK1" s="9" t="s">
        <v>15161</v>
      </c>
      <c r="VJL1" s="9" t="s">
        <v>15162</v>
      </c>
      <c r="VJM1" s="9" t="s">
        <v>15163</v>
      </c>
      <c r="VJN1" s="9" t="s">
        <v>15164</v>
      </c>
      <c r="VJO1" s="9" t="s">
        <v>15165</v>
      </c>
      <c r="VJP1" s="9" t="s">
        <v>15166</v>
      </c>
      <c r="VJQ1" s="9" t="s">
        <v>15167</v>
      </c>
      <c r="VJR1" s="9" t="s">
        <v>15168</v>
      </c>
      <c r="VJS1" s="9" t="s">
        <v>15169</v>
      </c>
      <c r="VJT1" s="9" t="s">
        <v>15170</v>
      </c>
      <c r="VJU1" s="9" t="s">
        <v>15171</v>
      </c>
      <c r="VJV1" s="9" t="s">
        <v>15172</v>
      </c>
      <c r="VJW1" s="9" t="s">
        <v>15173</v>
      </c>
      <c r="VJX1" s="9" t="s">
        <v>15174</v>
      </c>
      <c r="VJY1" s="9" t="s">
        <v>15175</v>
      </c>
      <c r="VJZ1" s="9" t="s">
        <v>15176</v>
      </c>
      <c r="VKA1" s="9" t="s">
        <v>15177</v>
      </c>
      <c r="VKB1" s="9" t="s">
        <v>15178</v>
      </c>
      <c r="VKC1" s="9" t="s">
        <v>15179</v>
      </c>
      <c r="VKD1" s="9" t="s">
        <v>15180</v>
      </c>
      <c r="VKE1" s="9" t="s">
        <v>15181</v>
      </c>
      <c r="VKF1" s="9" t="s">
        <v>15182</v>
      </c>
      <c r="VKG1" s="9" t="s">
        <v>15183</v>
      </c>
      <c r="VKH1" s="9" t="s">
        <v>15184</v>
      </c>
      <c r="VKI1" s="9" t="s">
        <v>15185</v>
      </c>
      <c r="VKJ1" s="9" t="s">
        <v>15186</v>
      </c>
      <c r="VKK1" s="9" t="s">
        <v>15187</v>
      </c>
      <c r="VKL1" s="9" t="s">
        <v>15188</v>
      </c>
      <c r="VKM1" s="9" t="s">
        <v>15189</v>
      </c>
      <c r="VKN1" s="9" t="s">
        <v>15190</v>
      </c>
      <c r="VKO1" s="9" t="s">
        <v>15191</v>
      </c>
      <c r="VKP1" s="9" t="s">
        <v>15192</v>
      </c>
      <c r="VKQ1" s="9" t="s">
        <v>15193</v>
      </c>
      <c r="VKR1" s="9" t="s">
        <v>15194</v>
      </c>
      <c r="VKS1" s="9" t="s">
        <v>15195</v>
      </c>
      <c r="VKT1" s="9" t="s">
        <v>15196</v>
      </c>
      <c r="VKU1" s="9" t="s">
        <v>15197</v>
      </c>
      <c r="VKV1" s="9" t="s">
        <v>15198</v>
      </c>
      <c r="VKW1" s="9" t="s">
        <v>15199</v>
      </c>
      <c r="VKX1" s="9" t="s">
        <v>15200</v>
      </c>
      <c r="VKY1" s="9" t="s">
        <v>15201</v>
      </c>
      <c r="VKZ1" s="9" t="s">
        <v>15202</v>
      </c>
      <c r="VLA1" s="9" t="s">
        <v>15203</v>
      </c>
      <c r="VLB1" s="9" t="s">
        <v>15204</v>
      </c>
      <c r="VLC1" s="9" t="s">
        <v>15205</v>
      </c>
      <c r="VLD1" s="9" t="s">
        <v>15206</v>
      </c>
      <c r="VLE1" s="9" t="s">
        <v>15207</v>
      </c>
      <c r="VLF1" s="9" t="s">
        <v>15208</v>
      </c>
      <c r="VLG1" s="9" t="s">
        <v>15209</v>
      </c>
      <c r="VLH1" s="9" t="s">
        <v>15210</v>
      </c>
      <c r="VLI1" s="9" t="s">
        <v>15211</v>
      </c>
      <c r="VLJ1" s="9" t="s">
        <v>15212</v>
      </c>
      <c r="VLK1" s="9" t="s">
        <v>15213</v>
      </c>
      <c r="VLL1" s="9" t="s">
        <v>15214</v>
      </c>
      <c r="VLM1" s="9" t="s">
        <v>15215</v>
      </c>
      <c r="VLN1" s="9" t="s">
        <v>15216</v>
      </c>
      <c r="VLO1" s="9" t="s">
        <v>15217</v>
      </c>
      <c r="VLP1" s="9" t="s">
        <v>15218</v>
      </c>
      <c r="VLQ1" s="9" t="s">
        <v>15219</v>
      </c>
      <c r="VLR1" s="9" t="s">
        <v>15220</v>
      </c>
      <c r="VLS1" s="9" t="s">
        <v>15221</v>
      </c>
      <c r="VLT1" s="9" t="s">
        <v>15222</v>
      </c>
      <c r="VLU1" s="9" t="s">
        <v>15223</v>
      </c>
      <c r="VLV1" s="9" t="s">
        <v>15224</v>
      </c>
      <c r="VLW1" s="9" t="s">
        <v>15225</v>
      </c>
      <c r="VLX1" s="9" t="s">
        <v>15226</v>
      </c>
      <c r="VLY1" s="9" t="s">
        <v>15227</v>
      </c>
      <c r="VLZ1" s="9" t="s">
        <v>15228</v>
      </c>
      <c r="VMA1" s="9" t="s">
        <v>15229</v>
      </c>
      <c r="VMB1" s="9" t="s">
        <v>15230</v>
      </c>
      <c r="VMC1" s="9" t="s">
        <v>15231</v>
      </c>
      <c r="VMD1" s="9" t="s">
        <v>15232</v>
      </c>
      <c r="VME1" s="9" t="s">
        <v>15233</v>
      </c>
      <c r="VMF1" s="9" t="s">
        <v>15234</v>
      </c>
      <c r="VMG1" s="9" t="s">
        <v>15235</v>
      </c>
      <c r="VMH1" s="9" t="s">
        <v>15236</v>
      </c>
      <c r="VMI1" s="9" t="s">
        <v>15237</v>
      </c>
      <c r="VMJ1" s="9" t="s">
        <v>15238</v>
      </c>
      <c r="VMK1" s="9" t="s">
        <v>15239</v>
      </c>
      <c r="VML1" s="9" t="s">
        <v>15240</v>
      </c>
      <c r="VMM1" s="9" t="s">
        <v>15241</v>
      </c>
      <c r="VMN1" s="9" t="s">
        <v>15242</v>
      </c>
      <c r="VMO1" s="9" t="s">
        <v>15243</v>
      </c>
      <c r="VMP1" s="9" t="s">
        <v>15244</v>
      </c>
      <c r="VMQ1" s="9" t="s">
        <v>15245</v>
      </c>
      <c r="VMR1" s="9" t="s">
        <v>15246</v>
      </c>
      <c r="VMS1" s="9" t="s">
        <v>15247</v>
      </c>
      <c r="VMT1" s="9" t="s">
        <v>15248</v>
      </c>
      <c r="VMU1" s="9" t="s">
        <v>15249</v>
      </c>
      <c r="VMV1" s="9" t="s">
        <v>15250</v>
      </c>
      <c r="VMW1" s="9" t="s">
        <v>15251</v>
      </c>
      <c r="VMX1" s="9" t="s">
        <v>15252</v>
      </c>
      <c r="VMY1" s="9" t="s">
        <v>15253</v>
      </c>
      <c r="VMZ1" s="9" t="s">
        <v>15254</v>
      </c>
      <c r="VNA1" s="9" t="s">
        <v>15255</v>
      </c>
      <c r="VNB1" s="9" t="s">
        <v>15256</v>
      </c>
      <c r="VNC1" s="9" t="s">
        <v>15257</v>
      </c>
      <c r="VND1" s="9" t="s">
        <v>15258</v>
      </c>
      <c r="VNE1" s="9" t="s">
        <v>15259</v>
      </c>
      <c r="VNF1" s="9" t="s">
        <v>15260</v>
      </c>
      <c r="VNG1" s="9" t="s">
        <v>15261</v>
      </c>
      <c r="VNH1" s="9" t="s">
        <v>15262</v>
      </c>
      <c r="VNI1" s="9" t="s">
        <v>15263</v>
      </c>
      <c r="VNJ1" s="9" t="s">
        <v>15264</v>
      </c>
      <c r="VNK1" s="9" t="s">
        <v>15265</v>
      </c>
      <c r="VNL1" s="9" t="s">
        <v>15266</v>
      </c>
      <c r="VNM1" s="9" t="s">
        <v>15267</v>
      </c>
      <c r="VNN1" s="9" t="s">
        <v>15268</v>
      </c>
      <c r="VNO1" s="9" t="s">
        <v>15269</v>
      </c>
      <c r="VNP1" s="9" t="s">
        <v>15270</v>
      </c>
      <c r="VNQ1" s="9" t="s">
        <v>15271</v>
      </c>
      <c r="VNR1" s="9" t="s">
        <v>15272</v>
      </c>
      <c r="VNS1" s="9" t="s">
        <v>15273</v>
      </c>
      <c r="VNT1" s="9" t="s">
        <v>15274</v>
      </c>
      <c r="VNU1" s="9" t="s">
        <v>15275</v>
      </c>
      <c r="VNV1" s="9" t="s">
        <v>15276</v>
      </c>
      <c r="VNW1" s="9" t="s">
        <v>15277</v>
      </c>
      <c r="VNX1" s="9" t="s">
        <v>15278</v>
      </c>
      <c r="VNY1" s="9" t="s">
        <v>15279</v>
      </c>
      <c r="VNZ1" s="9" t="s">
        <v>15280</v>
      </c>
      <c r="VOA1" s="9" t="s">
        <v>15281</v>
      </c>
      <c r="VOB1" s="9" t="s">
        <v>15282</v>
      </c>
      <c r="VOC1" s="9" t="s">
        <v>15283</v>
      </c>
      <c r="VOD1" s="9" t="s">
        <v>15284</v>
      </c>
      <c r="VOE1" s="9" t="s">
        <v>15285</v>
      </c>
      <c r="VOF1" s="9" t="s">
        <v>15286</v>
      </c>
      <c r="VOG1" s="9" t="s">
        <v>15287</v>
      </c>
      <c r="VOH1" s="9" t="s">
        <v>15288</v>
      </c>
      <c r="VOI1" s="9" t="s">
        <v>15289</v>
      </c>
      <c r="VOJ1" s="9" t="s">
        <v>15290</v>
      </c>
      <c r="VOK1" s="9" t="s">
        <v>15291</v>
      </c>
      <c r="VOL1" s="9" t="s">
        <v>15292</v>
      </c>
      <c r="VOM1" s="9" t="s">
        <v>15293</v>
      </c>
      <c r="VON1" s="9" t="s">
        <v>15294</v>
      </c>
      <c r="VOO1" s="9" t="s">
        <v>15295</v>
      </c>
      <c r="VOP1" s="9" t="s">
        <v>15296</v>
      </c>
      <c r="VOQ1" s="9" t="s">
        <v>15297</v>
      </c>
      <c r="VOR1" s="9" t="s">
        <v>15298</v>
      </c>
      <c r="VOS1" s="9" t="s">
        <v>15299</v>
      </c>
      <c r="VOT1" s="9" t="s">
        <v>15300</v>
      </c>
      <c r="VOU1" s="9" t="s">
        <v>15301</v>
      </c>
      <c r="VOV1" s="9" t="s">
        <v>15302</v>
      </c>
      <c r="VOW1" s="9" t="s">
        <v>15303</v>
      </c>
      <c r="VOX1" s="9" t="s">
        <v>15304</v>
      </c>
      <c r="VOY1" s="9" t="s">
        <v>15305</v>
      </c>
      <c r="VOZ1" s="9" t="s">
        <v>15306</v>
      </c>
      <c r="VPA1" s="9" t="s">
        <v>15307</v>
      </c>
      <c r="VPB1" s="9" t="s">
        <v>15308</v>
      </c>
      <c r="VPC1" s="9" t="s">
        <v>15309</v>
      </c>
      <c r="VPD1" s="9" t="s">
        <v>15310</v>
      </c>
      <c r="VPE1" s="9" t="s">
        <v>15311</v>
      </c>
      <c r="VPF1" s="9" t="s">
        <v>15312</v>
      </c>
      <c r="VPG1" s="9" t="s">
        <v>15313</v>
      </c>
      <c r="VPH1" s="9" t="s">
        <v>15314</v>
      </c>
      <c r="VPI1" s="9" t="s">
        <v>15315</v>
      </c>
      <c r="VPJ1" s="9" t="s">
        <v>15316</v>
      </c>
      <c r="VPK1" s="9" t="s">
        <v>15317</v>
      </c>
      <c r="VPL1" s="9" t="s">
        <v>15318</v>
      </c>
      <c r="VPM1" s="9" t="s">
        <v>15319</v>
      </c>
      <c r="VPN1" s="9" t="s">
        <v>15320</v>
      </c>
      <c r="VPO1" s="9" t="s">
        <v>15321</v>
      </c>
      <c r="VPP1" s="9" t="s">
        <v>15322</v>
      </c>
      <c r="VPQ1" s="9" t="s">
        <v>15323</v>
      </c>
      <c r="VPR1" s="9" t="s">
        <v>15324</v>
      </c>
      <c r="VPS1" s="9" t="s">
        <v>15325</v>
      </c>
      <c r="VPT1" s="9" t="s">
        <v>15326</v>
      </c>
      <c r="VPU1" s="9" t="s">
        <v>15327</v>
      </c>
      <c r="VPV1" s="9" t="s">
        <v>15328</v>
      </c>
      <c r="VPW1" s="9" t="s">
        <v>15329</v>
      </c>
      <c r="VPX1" s="9" t="s">
        <v>15330</v>
      </c>
      <c r="VPY1" s="9" t="s">
        <v>15331</v>
      </c>
      <c r="VPZ1" s="9" t="s">
        <v>15332</v>
      </c>
      <c r="VQA1" s="9" t="s">
        <v>15333</v>
      </c>
      <c r="VQB1" s="9" t="s">
        <v>15334</v>
      </c>
      <c r="VQC1" s="9" t="s">
        <v>15335</v>
      </c>
      <c r="VQD1" s="9" t="s">
        <v>15336</v>
      </c>
      <c r="VQE1" s="9" t="s">
        <v>15337</v>
      </c>
      <c r="VQF1" s="9" t="s">
        <v>15338</v>
      </c>
      <c r="VQG1" s="9" t="s">
        <v>15339</v>
      </c>
      <c r="VQH1" s="9" t="s">
        <v>15340</v>
      </c>
      <c r="VQI1" s="9" t="s">
        <v>15341</v>
      </c>
      <c r="VQJ1" s="9" t="s">
        <v>15342</v>
      </c>
      <c r="VQK1" s="9" t="s">
        <v>15343</v>
      </c>
      <c r="VQL1" s="9" t="s">
        <v>15344</v>
      </c>
      <c r="VQM1" s="9" t="s">
        <v>15345</v>
      </c>
      <c r="VQN1" s="9" t="s">
        <v>15346</v>
      </c>
      <c r="VQO1" s="9" t="s">
        <v>15347</v>
      </c>
      <c r="VQP1" s="9" t="s">
        <v>15348</v>
      </c>
      <c r="VQQ1" s="9" t="s">
        <v>15349</v>
      </c>
      <c r="VQR1" s="9" t="s">
        <v>15350</v>
      </c>
      <c r="VQS1" s="9" t="s">
        <v>15351</v>
      </c>
      <c r="VQT1" s="9" t="s">
        <v>15352</v>
      </c>
      <c r="VQU1" s="9" t="s">
        <v>15353</v>
      </c>
      <c r="VQV1" s="9" t="s">
        <v>15354</v>
      </c>
      <c r="VQW1" s="9" t="s">
        <v>15355</v>
      </c>
      <c r="VQX1" s="9" t="s">
        <v>15356</v>
      </c>
      <c r="VQY1" s="9" t="s">
        <v>15357</v>
      </c>
      <c r="VQZ1" s="9" t="s">
        <v>15358</v>
      </c>
      <c r="VRA1" s="9" t="s">
        <v>15359</v>
      </c>
      <c r="VRB1" s="9" t="s">
        <v>15360</v>
      </c>
      <c r="VRC1" s="9" t="s">
        <v>15361</v>
      </c>
      <c r="VRD1" s="9" t="s">
        <v>15362</v>
      </c>
      <c r="VRE1" s="9" t="s">
        <v>15363</v>
      </c>
      <c r="VRF1" s="9" t="s">
        <v>15364</v>
      </c>
      <c r="VRG1" s="9" t="s">
        <v>15365</v>
      </c>
      <c r="VRH1" s="9" t="s">
        <v>15366</v>
      </c>
      <c r="VRI1" s="9" t="s">
        <v>15367</v>
      </c>
      <c r="VRJ1" s="9" t="s">
        <v>15368</v>
      </c>
      <c r="VRK1" s="9" t="s">
        <v>15369</v>
      </c>
      <c r="VRL1" s="9" t="s">
        <v>15370</v>
      </c>
      <c r="VRM1" s="9" t="s">
        <v>15371</v>
      </c>
      <c r="VRN1" s="9" t="s">
        <v>15372</v>
      </c>
      <c r="VRO1" s="9" t="s">
        <v>15373</v>
      </c>
      <c r="VRP1" s="9" t="s">
        <v>15374</v>
      </c>
      <c r="VRQ1" s="9" t="s">
        <v>15375</v>
      </c>
      <c r="VRR1" s="9" t="s">
        <v>15376</v>
      </c>
      <c r="VRS1" s="9" t="s">
        <v>15377</v>
      </c>
      <c r="VRT1" s="9" t="s">
        <v>15378</v>
      </c>
      <c r="VRU1" s="9" t="s">
        <v>15379</v>
      </c>
      <c r="VRV1" s="9" t="s">
        <v>15380</v>
      </c>
      <c r="VRW1" s="9" t="s">
        <v>15381</v>
      </c>
      <c r="VRX1" s="9" t="s">
        <v>15382</v>
      </c>
      <c r="VRY1" s="9" t="s">
        <v>15383</v>
      </c>
      <c r="VRZ1" s="9" t="s">
        <v>15384</v>
      </c>
      <c r="VSA1" s="9" t="s">
        <v>15385</v>
      </c>
      <c r="VSB1" s="9" t="s">
        <v>15386</v>
      </c>
      <c r="VSC1" s="9" t="s">
        <v>15387</v>
      </c>
      <c r="VSD1" s="9" t="s">
        <v>15388</v>
      </c>
      <c r="VSE1" s="9" t="s">
        <v>15389</v>
      </c>
      <c r="VSF1" s="9" t="s">
        <v>15390</v>
      </c>
      <c r="VSG1" s="9" t="s">
        <v>15391</v>
      </c>
      <c r="VSH1" s="9" t="s">
        <v>15392</v>
      </c>
      <c r="VSI1" s="9" t="s">
        <v>15393</v>
      </c>
      <c r="VSJ1" s="9" t="s">
        <v>15394</v>
      </c>
      <c r="VSK1" s="9" t="s">
        <v>15395</v>
      </c>
      <c r="VSL1" s="9" t="s">
        <v>15396</v>
      </c>
      <c r="VSM1" s="9" t="s">
        <v>15397</v>
      </c>
      <c r="VSN1" s="9" t="s">
        <v>15398</v>
      </c>
      <c r="VSO1" s="9" t="s">
        <v>15399</v>
      </c>
      <c r="VSP1" s="9" t="s">
        <v>15400</v>
      </c>
      <c r="VSQ1" s="9" t="s">
        <v>15401</v>
      </c>
      <c r="VSR1" s="9" t="s">
        <v>15402</v>
      </c>
      <c r="VSS1" s="9" t="s">
        <v>15403</v>
      </c>
      <c r="VST1" s="9" t="s">
        <v>15404</v>
      </c>
      <c r="VSU1" s="9" t="s">
        <v>15405</v>
      </c>
      <c r="VSV1" s="9" t="s">
        <v>15406</v>
      </c>
      <c r="VSW1" s="9" t="s">
        <v>15407</v>
      </c>
      <c r="VSX1" s="9" t="s">
        <v>15408</v>
      </c>
      <c r="VSY1" s="9" t="s">
        <v>15409</v>
      </c>
      <c r="VSZ1" s="9" t="s">
        <v>15410</v>
      </c>
      <c r="VTA1" s="9" t="s">
        <v>15411</v>
      </c>
      <c r="VTB1" s="9" t="s">
        <v>15412</v>
      </c>
      <c r="VTC1" s="9" t="s">
        <v>15413</v>
      </c>
      <c r="VTD1" s="9" t="s">
        <v>15414</v>
      </c>
      <c r="VTE1" s="9" t="s">
        <v>15415</v>
      </c>
      <c r="VTF1" s="9" t="s">
        <v>15416</v>
      </c>
      <c r="VTG1" s="9" t="s">
        <v>15417</v>
      </c>
      <c r="VTH1" s="9" t="s">
        <v>15418</v>
      </c>
      <c r="VTI1" s="9" t="s">
        <v>15419</v>
      </c>
      <c r="VTJ1" s="9" t="s">
        <v>15420</v>
      </c>
      <c r="VTK1" s="9" t="s">
        <v>15421</v>
      </c>
      <c r="VTL1" s="9" t="s">
        <v>15422</v>
      </c>
      <c r="VTM1" s="9" t="s">
        <v>15423</v>
      </c>
      <c r="VTN1" s="9" t="s">
        <v>15424</v>
      </c>
      <c r="VTO1" s="9" t="s">
        <v>15425</v>
      </c>
      <c r="VTP1" s="9" t="s">
        <v>15426</v>
      </c>
      <c r="VTQ1" s="9" t="s">
        <v>15427</v>
      </c>
      <c r="VTR1" s="9" t="s">
        <v>15428</v>
      </c>
      <c r="VTS1" s="9" t="s">
        <v>15429</v>
      </c>
      <c r="VTT1" s="9" t="s">
        <v>15430</v>
      </c>
      <c r="VTU1" s="9" t="s">
        <v>15431</v>
      </c>
      <c r="VTV1" s="9" t="s">
        <v>15432</v>
      </c>
      <c r="VTW1" s="9" t="s">
        <v>15433</v>
      </c>
      <c r="VTX1" s="9" t="s">
        <v>15434</v>
      </c>
      <c r="VTY1" s="9" t="s">
        <v>15435</v>
      </c>
      <c r="VTZ1" s="9" t="s">
        <v>15436</v>
      </c>
      <c r="VUA1" s="9" t="s">
        <v>15437</v>
      </c>
      <c r="VUB1" s="9" t="s">
        <v>15438</v>
      </c>
      <c r="VUC1" s="9" t="s">
        <v>15439</v>
      </c>
      <c r="VUD1" s="9" t="s">
        <v>15440</v>
      </c>
      <c r="VUE1" s="9" t="s">
        <v>15441</v>
      </c>
      <c r="VUF1" s="9" t="s">
        <v>15442</v>
      </c>
      <c r="VUG1" s="9" t="s">
        <v>15443</v>
      </c>
      <c r="VUH1" s="9" t="s">
        <v>15444</v>
      </c>
      <c r="VUI1" s="9" t="s">
        <v>15445</v>
      </c>
      <c r="VUJ1" s="9" t="s">
        <v>15446</v>
      </c>
      <c r="VUK1" s="9" t="s">
        <v>15447</v>
      </c>
      <c r="VUL1" s="9" t="s">
        <v>15448</v>
      </c>
      <c r="VUM1" s="9" t="s">
        <v>15449</v>
      </c>
      <c r="VUN1" s="9" t="s">
        <v>15450</v>
      </c>
      <c r="VUO1" s="9" t="s">
        <v>15451</v>
      </c>
      <c r="VUP1" s="9" t="s">
        <v>15452</v>
      </c>
      <c r="VUQ1" s="9" t="s">
        <v>15453</v>
      </c>
      <c r="VUR1" s="9" t="s">
        <v>15454</v>
      </c>
      <c r="VUS1" s="9" t="s">
        <v>15455</v>
      </c>
      <c r="VUT1" s="9" t="s">
        <v>15456</v>
      </c>
      <c r="VUU1" s="9" t="s">
        <v>15457</v>
      </c>
      <c r="VUV1" s="9" t="s">
        <v>15458</v>
      </c>
      <c r="VUW1" s="9" t="s">
        <v>15459</v>
      </c>
      <c r="VUX1" s="9" t="s">
        <v>15460</v>
      </c>
      <c r="VUY1" s="9" t="s">
        <v>15461</v>
      </c>
      <c r="VUZ1" s="9" t="s">
        <v>15462</v>
      </c>
      <c r="VVA1" s="9" t="s">
        <v>15463</v>
      </c>
      <c r="VVB1" s="9" t="s">
        <v>15464</v>
      </c>
      <c r="VVC1" s="9" t="s">
        <v>15465</v>
      </c>
      <c r="VVD1" s="9" t="s">
        <v>15466</v>
      </c>
      <c r="VVE1" s="9" t="s">
        <v>15467</v>
      </c>
      <c r="VVF1" s="9" t="s">
        <v>15468</v>
      </c>
      <c r="VVG1" s="9" t="s">
        <v>15469</v>
      </c>
      <c r="VVH1" s="9" t="s">
        <v>15470</v>
      </c>
      <c r="VVI1" s="9" t="s">
        <v>15471</v>
      </c>
      <c r="VVJ1" s="9" t="s">
        <v>15472</v>
      </c>
      <c r="VVK1" s="9" t="s">
        <v>15473</v>
      </c>
      <c r="VVL1" s="9" t="s">
        <v>15474</v>
      </c>
      <c r="VVM1" s="9" t="s">
        <v>15475</v>
      </c>
      <c r="VVN1" s="9" t="s">
        <v>15476</v>
      </c>
      <c r="VVO1" s="9" t="s">
        <v>15477</v>
      </c>
      <c r="VVP1" s="9" t="s">
        <v>15478</v>
      </c>
      <c r="VVQ1" s="9" t="s">
        <v>15479</v>
      </c>
      <c r="VVR1" s="9" t="s">
        <v>15480</v>
      </c>
      <c r="VVS1" s="9" t="s">
        <v>15481</v>
      </c>
      <c r="VVT1" s="9" t="s">
        <v>15482</v>
      </c>
      <c r="VVU1" s="9" t="s">
        <v>15483</v>
      </c>
      <c r="VVV1" s="9" t="s">
        <v>15484</v>
      </c>
      <c r="VVW1" s="9" t="s">
        <v>15485</v>
      </c>
      <c r="VVX1" s="9" t="s">
        <v>15486</v>
      </c>
      <c r="VVY1" s="9" t="s">
        <v>15487</v>
      </c>
      <c r="VVZ1" s="9" t="s">
        <v>15488</v>
      </c>
      <c r="VWA1" s="9" t="s">
        <v>15489</v>
      </c>
      <c r="VWB1" s="9" t="s">
        <v>15490</v>
      </c>
      <c r="VWC1" s="9" t="s">
        <v>15491</v>
      </c>
      <c r="VWD1" s="9" t="s">
        <v>15492</v>
      </c>
      <c r="VWE1" s="9" t="s">
        <v>15493</v>
      </c>
      <c r="VWF1" s="9" t="s">
        <v>15494</v>
      </c>
      <c r="VWG1" s="9" t="s">
        <v>15495</v>
      </c>
      <c r="VWH1" s="9" t="s">
        <v>15496</v>
      </c>
      <c r="VWI1" s="9" t="s">
        <v>15497</v>
      </c>
      <c r="VWJ1" s="9" t="s">
        <v>15498</v>
      </c>
      <c r="VWK1" s="9" t="s">
        <v>15499</v>
      </c>
      <c r="VWL1" s="9" t="s">
        <v>15500</v>
      </c>
      <c r="VWM1" s="9" t="s">
        <v>15501</v>
      </c>
      <c r="VWN1" s="9" t="s">
        <v>15502</v>
      </c>
      <c r="VWO1" s="9" t="s">
        <v>15503</v>
      </c>
      <c r="VWP1" s="9" t="s">
        <v>15504</v>
      </c>
      <c r="VWQ1" s="9" t="s">
        <v>15505</v>
      </c>
      <c r="VWR1" s="9" t="s">
        <v>15506</v>
      </c>
      <c r="VWS1" s="9" t="s">
        <v>15507</v>
      </c>
      <c r="VWT1" s="9" t="s">
        <v>15508</v>
      </c>
      <c r="VWU1" s="9" t="s">
        <v>15509</v>
      </c>
      <c r="VWV1" s="9" t="s">
        <v>15510</v>
      </c>
      <c r="VWW1" s="9" t="s">
        <v>15511</v>
      </c>
      <c r="VWX1" s="9" t="s">
        <v>15512</v>
      </c>
      <c r="VWY1" s="9" t="s">
        <v>15513</v>
      </c>
      <c r="VWZ1" s="9" t="s">
        <v>15514</v>
      </c>
      <c r="VXA1" s="9" t="s">
        <v>15515</v>
      </c>
      <c r="VXB1" s="9" t="s">
        <v>15516</v>
      </c>
      <c r="VXC1" s="9" t="s">
        <v>15517</v>
      </c>
      <c r="VXD1" s="9" t="s">
        <v>15518</v>
      </c>
      <c r="VXE1" s="9" t="s">
        <v>15519</v>
      </c>
      <c r="VXF1" s="9" t="s">
        <v>15520</v>
      </c>
      <c r="VXG1" s="9" t="s">
        <v>15521</v>
      </c>
      <c r="VXH1" s="9" t="s">
        <v>15522</v>
      </c>
      <c r="VXI1" s="9" t="s">
        <v>15523</v>
      </c>
      <c r="VXJ1" s="9" t="s">
        <v>15524</v>
      </c>
      <c r="VXK1" s="9" t="s">
        <v>15525</v>
      </c>
      <c r="VXL1" s="9" t="s">
        <v>15526</v>
      </c>
      <c r="VXM1" s="9" t="s">
        <v>15527</v>
      </c>
      <c r="VXN1" s="9" t="s">
        <v>15528</v>
      </c>
      <c r="VXO1" s="9" t="s">
        <v>15529</v>
      </c>
      <c r="VXP1" s="9" t="s">
        <v>15530</v>
      </c>
      <c r="VXQ1" s="9" t="s">
        <v>15531</v>
      </c>
      <c r="VXR1" s="9" t="s">
        <v>15532</v>
      </c>
      <c r="VXS1" s="9" t="s">
        <v>15533</v>
      </c>
      <c r="VXT1" s="9" t="s">
        <v>15534</v>
      </c>
      <c r="VXU1" s="9" t="s">
        <v>15535</v>
      </c>
      <c r="VXV1" s="9" t="s">
        <v>15536</v>
      </c>
      <c r="VXW1" s="9" t="s">
        <v>15537</v>
      </c>
      <c r="VXX1" s="9" t="s">
        <v>15538</v>
      </c>
      <c r="VXY1" s="9" t="s">
        <v>15539</v>
      </c>
      <c r="VXZ1" s="9" t="s">
        <v>15540</v>
      </c>
      <c r="VYA1" s="9" t="s">
        <v>15541</v>
      </c>
      <c r="VYB1" s="9" t="s">
        <v>15542</v>
      </c>
      <c r="VYC1" s="9" t="s">
        <v>15543</v>
      </c>
      <c r="VYD1" s="9" t="s">
        <v>15544</v>
      </c>
      <c r="VYE1" s="9" t="s">
        <v>15545</v>
      </c>
      <c r="VYF1" s="9" t="s">
        <v>15546</v>
      </c>
      <c r="VYG1" s="9" t="s">
        <v>15547</v>
      </c>
      <c r="VYH1" s="9" t="s">
        <v>15548</v>
      </c>
      <c r="VYI1" s="9" t="s">
        <v>15549</v>
      </c>
      <c r="VYJ1" s="9" t="s">
        <v>15550</v>
      </c>
      <c r="VYK1" s="9" t="s">
        <v>15551</v>
      </c>
      <c r="VYL1" s="9" t="s">
        <v>15552</v>
      </c>
      <c r="VYM1" s="9" t="s">
        <v>15553</v>
      </c>
      <c r="VYN1" s="9" t="s">
        <v>15554</v>
      </c>
      <c r="VYO1" s="9" t="s">
        <v>15555</v>
      </c>
      <c r="VYP1" s="9" t="s">
        <v>15556</v>
      </c>
      <c r="VYQ1" s="9" t="s">
        <v>15557</v>
      </c>
      <c r="VYR1" s="9" t="s">
        <v>15558</v>
      </c>
      <c r="VYS1" s="9" t="s">
        <v>15559</v>
      </c>
      <c r="VYT1" s="9" t="s">
        <v>15560</v>
      </c>
      <c r="VYU1" s="9" t="s">
        <v>15561</v>
      </c>
      <c r="VYV1" s="9" t="s">
        <v>15562</v>
      </c>
      <c r="VYW1" s="9" t="s">
        <v>15563</v>
      </c>
      <c r="VYX1" s="9" t="s">
        <v>15564</v>
      </c>
      <c r="VYY1" s="9" t="s">
        <v>15565</v>
      </c>
      <c r="VYZ1" s="9" t="s">
        <v>15566</v>
      </c>
      <c r="VZA1" s="9" t="s">
        <v>15567</v>
      </c>
      <c r="VZB1" s="9" t="s">
        <v>15568</v>
      </c>
      <c r="VZC1" s="9" t="s">
        <v>15569</v>
      </c>
      <c r="VZD1" s="9" t="s">
        <v>15570</v>
      </c>
      <c r="VZE1" s="9" t="s">
        <v>15571</v>
      </c>
      <c r="VZF1" s="9" t="s">
        <v>15572</v>
      </c>
      <c r="VZG1" s="9" t="s">
        <v>15573</v>
      </c>
      <c r="VZH1" s="9" t="s">
        <v>15574</v>
      </c>
      <c r="VZI1" s="9" t="s">
        <v>15575</v>
      </c>
      <c r="VZJ1" s="9" t="s">
        <v>15576</v>
      </c>
      <c r="VZK1" s="9" t="s">
        <v>15577</v>
      </c>
      <c r="VZL1" s="9" t="s">
        <v>15578</v>
      </c>
      <c r="VZM1" s="9" t="s">
        <v>15579</v>
      </c>
      <c r="VZN1" s="9" t="s">
        <v>15580</v>
      </c>
      <c r="VZO1" s="9" t="s">
        <v>15581</v>
      </c>
      <c r="VZP1" s="9" t="s">
        <v>15582</v>
      </c>
      <c r="VZQ1" s="9" t="s">
        <v>15583</v>
      </c>
      <c r="VZR1" s="9" t="s">
        <v>15584</v>
      </c>
      <c r="VZS1" s="9" t="s">
        <v>15585</v>
      </c>
      <c r="VZT1" s="9" t="s">
        <v>15586</v>
      </c>
      <c r="VZU1" s="9" t="s">
        <v>15587</v>
      </c>
      <c r="VZV1" s="9" t="s">
        <v>15588</v>
      </c>
      <c r="VZW1" s="9" t="s">
        <v>15589</v>
      </c>
      <c r="VZX1" s="9" t="s">
        <v>15590</v>
      </c>
      <c r="VZY1" s="9" t="s">
        <v>15591</v>
      </c>
      <c r="VZZ1" s="9" t="s">
        <v>15592</v>
      </c>
      <c r="WAA1" s="9" t="s">
        <v>15593</v>
      </c>
      <c r="WAB1" s="9" t="s">
        <v>15594</v>
      </c>
      <c r="WAC1" s="9" t="s">
        <v>15595</v>
      </c>
      <c r="WAD1" s="9" t="s">
        <v>15596</v>
      </c>
      <c r="WAE1" s="9" t="s">
        <v>15597</v>
      </c>
      <c r="WAF1" s="9" t="s">
        <v>15598</v>
      </c>
      <c r="WAG1" s="9" t="s">
        <v>15599</v>
      </c>
      <c r="WAH1" s="9" t="s">
        <v>15600</v>
      </c>
      <c r="WAI1" s="9" t="s">
        <v>15601</v>
      </c>
      <c r="WAJ1" s="9" t="s">
        <v>15602</v>
      </c>
      <c r="WAK1" s="9" t="s">
        <v>15603</v>
      </c>
      <c r="WAL1" s="9" t="s">
        <v>15604</v>
      </c>
      <c r="WAM1" s="9" t="s">
        <v>15605</v>
      </c>
      <c r="WAN1" s="9" t="s">
        <v>15606</v>
      </c>
      <c r="WAO1" s="9" t="s">
        <v>15607</v>
      </c>
      <c r="WAP1" s="9" t="s">
        <v>15608</v>
      </c>
      <c r="WAQ1" s="9" t="s">
        <v>15609</v>
      </c>
      <c r="WAR1" s="9" t="s">
        <v>15610</v>
      </c>
      <c r="WAS1" s="9" t="s">
        <v>15611</v>
      </c>
      <c r="WAT1" s="9" t="s">
        <v>15612</v>
      </c>
      <c r="WAU1" s="9" t="s">
        <v>15613</v>
      </c>
      <c r="WAV1" s="9" t="s">
        <v>15614</v>
      </c>
      <c r="WAW1" s="9" t="s">
        <v>15615</v>
      </c>
      <c r="WAX1" s="9" t="s">
        <v>15616</v>
      </c>
      <c r="WAY1" s="9" t="s">
        <v>15617</v>
      </c>
      <c r="WAZ1" s="9" t="s">
        <v>15618</v>
      </c>
      <c r="WBA1" s="9" t="s">
        <v>15619</v>
      </c>
      <c r="WBB1" s="9" t="s">
        <v>15620</v>
      </c>
      <c r="WBC1" s="9" t="s">
        <v>15621</v>
      </c>
      <c r="WBD1" s="9" t="s">
        <v>15622</v>
      </c>
      <c r="WBE1" s="9" t="s">
        <v>15623</v>
      </c>
      <c r="WBF1" s="9" t="s">
        <v>15624</v>
      </c>
      <c r="WBG1" s="9" t="s">
        <v>15625</v>
      </c>
      <c r="WBH1" s="9" t="s">
        <v>15626</v>
      </c>
      <c r="WBI1" s="9" t="s">
        <v>15627</v>
      </c>
      <c r="WBJ1" s="9" t="s">
        <v>15628</v>
      </c>
      <c r="WBK1" s="9" t="s">
        <v>15629</v>
      </c>
      <c r="WBL1" s="9" t="s">
        <v>15630</v>
      </c>
      <c r="WBM1" s="9" t="s">
        <v>15631</v>
      </c>
      <c r="WBN1" s="9" t="s">
        <v>15632</v>
      </c>
      <c r="WBO1" s="9" t="s">
        <v>15633</v>
      </c>
      <c r="WBP1" s="9" t="s">
        <v>15634</v>
      </c>
      <c r="WBQ1" s="9" t="s">
        <v>15635</v>
      </c>
      <c r="WBR1" s="9" t="s">
        <v>15636</v>
      </c>
      <c r="WBS1" s="9" t="s">
        <v>15637</v>
      </c>
      <c r="WBT1" s="9" t="s">
        <v>15638</v>
      </c>
      <c r="WBU1" s="9" t="s">
        <v>15639</v>
      </c>
      <c r="WBV1" s="9" t="s">
        <v>15640</v>
      </c>
      <c r="WBW1" s="9" t="s">
        <v>15641</v>
      </c>
      <c r="WBX1" s="9" t="s">
        <v>15642</v>
      </c>
      <c r="WBY1" s="9" t="s">
        <v>15643</v>
      </c>
      <c r="WBZ1" s="9" t="s">
        <v>15644</v>
      </c>
      <c r="WCA1" s="9" t="s">
        <v>15645</v>
      </c>
      <c r="WCB1" s="9" t="s">
        <v>15646</v>
      </c>
      <c r="WCC1" s="9" t="s">
        <v>15647</v>
      </c>
      <c r="WCD1" s="9" t="s">
        <v>15648</v>
      </c>
      <c r="WCE1" s="9" t="s">
        <v>15649</v>
      </c>
      <c r="WCF1" s="9" t="s">
        <v>15650</v>
      </c>
      <c r="WCG1" s="9" t="s">
        <v>15651</v>
      </c>
      <c r="WCH1" s="9" t="s">
        <v>15652</v>
      </c>
      <c r="WCI1" s="9" t="s">
        <v>15653</v>
      </c>
      <c r="WCJ1" s="9" t="s">
        <v>15654</v>
      </c>
      <c r="WCK1" s="9" t="s">
        <v>15655</v>
      </c>
      <c r="WCL1" s="9" t="s">
        <v>15656</v>
      </c>
      <c r="WCM1" s="9" t="s">
        <v>15657</v>
      </c>
      <c r="WCN1" s="9" t="s">
        <v>15658</v>
      </c>
      <c r="WCO1" s="9" t="s">
        <v>15659</v>
      </c>
      <c r="WCP1" s="9" t="s">
        <v>15660</v>
      </c>
      <c r="WCQ1" s="9" t="s">
        <v>15661</v>
      </c>
      <c r="WCR1" s="9" t="s">
        <v>15662</v>
      </c>
      <c r="WCS1" s="9" t="s">
        <v>15663</v>
      </c>
      <c r="WCT1" s="9" t="s">
        <v>15664</v>
      </c>
      <c r="WCU1" s="9" t="s">
        <v>15665</v>
      </c>
      <c r="WCV1" s="9" t="s">
        <v>15666</v>
      </c>
      <c r="WCW1" s="9" t="s">
        <v>15667</v>
      </c>
      <c r="WCX1" s="9" t="s">
        <v>15668</v>
      </c>
      <c r="WCY1" s="9" t="s">
        <v>15669</v>
      </c>
      <c r="WCZ1" s="9" t="s">
        <v>15670</v>
      </c>
      <c r="WDA1" s="9" t="s">
        <v>15671</v>
      </c>
      <c r="WDB1" s="9" t="s">
        <v>15672</v>
      </c>
      <c r="WDC1" s="9" t="s">
        <v>15673</v>
      </c>
      <c r="WDD1" s="9" t="s">
        <v>15674</v>
      </c>
      <c r="WDE1" s="9" t="s">
        <v>15675</v>
      </c>
      <c r="WDF1" s="9" t="s">
        <v>15676</v>
      </c>
      <c r="WDG1" s="9" t="s">
        <v>15677</v>
      </c>
      <c r="WDH1" s="9" t="s">
        <v>15678</v>
      </c>
      <c r="WDI1" s="9" t="s">
        <v>15679</v>
      </c>
      <c r="WDJ1" s="9" t="s">
        <v>15680</v>
      </c>
      <c r="WDK1" s="9" t="s">
        <v>15681</v>
      </c>
      <c r="WDL1" s="9" t="s">
        <v>15682</v>
      </c>
      <c r="WDM1" s="9" t="s">
        <v>15683</v>
      </c>
      <c r="WDN1" s="9" t="s">
        <v>15684</v>
      </c>
      <c r="WDO1" s="9" t="s">
        <v>15685</v>
      </c>
      <c r="WDP1" s="9" t="s">
        <v>15686</v>
      </c>
      <c r="WDQ1" s="9" t="s">
        <v>15687</v>
      </c>
      <c r="WDR1" s="9" t="s">
        <v>15688</v>
      </c>
      <c r="WDS1" s="9" t="s">
        <v>15689</v>
      </c>
      <c r="WDT1" s="9" t="s">
        <v>15690</v>
      </c>
      <c r="WDU1" s="9" t="s">
        <v>15691</v>
      </c>
      <c r="WDV1" s="9" t="s">
        <v>15692</v>
      </c>
      <c r="WDW1" s="9" t="s">
        <v>15693</v>
      </c>
      <c r="WDX1" s="9" t="s">
        <v>15694</v>
      </c>
      <c r="WDY1" s="9" t="s">
        <v>15695</v>
      </c>
      <c r="WDZ1" s="9" t="s">
        <v>15696</v>
      </c>
      <c r="WEA1" s="9" t="s">
        <v>15697</v>
      </c>
      <c r="WEB1" s="9" t="s">
        <v>15698</v>
      </c>
      <c r="WEC1" s="9" t="s">
        <v>15699</v>
      </c>
      <c r="WED1" s="9" t="s">
        <v>15700</v>
      </c>
      <c r="WEE1" s="9" t="s">
        <v>15701</v>
      </c>
      <c r="WEF1" s="9" t="s">
        <v>15702</v>
      </c>
      <c r="WEG1" s="9" t="s">
        <v>15703</v>
      </c>
      <c r="WEH1" s="9" t="s">
        <v>15704</v>
      </c>
      <c r="WEI1" s="9" t="s">
        <v>15705</v>
      </c>
      <c r="WEJ1" s="9" t="s">
        <v>15706</v>
      </c>
      <c r="WEK1" s="9" t="s">
        <v>15707</v>
      </c>
      <c r="WEL1" s="9" t="s">
        <v>15708</v>
      </c>
      <c r="WEM1" s="9" t="s">
        <v>15709</v>
      </c>
      <c r="WEN1" s="9" t="s">
        <v>15710</v>
      </c>
      <c r="WEO1" s="9" t="s">
        <v>15711</v>
      </c>
      <c r="WEP1" s="9" t="s">
        <v>15712</v>
      </c>
      <c r="WEQ1" s="9" t="s">
        <v>15713</v>
      </c>
      <c r="WER1" s="9" t="s">
        <v>15714</v>
      </c>
      <c r="WES1" s="9" t="s">
        <v>15715</v>
      </c>
      <c r="WET1" s="9" t="s">
        <v>15716</v>
      </c>
      <c r="WEU1" s="9" t="s">
        <v>15717</v>
      </c>
      <c r="WEV1" s="9" t="s">
        <v>15718</v>
      </c>
      <c r="WEW1" s="9" t="s">
        <v>15719</v>
      </c>
      <c r="WEX1" s="9" t="s">
        <v>15720</v>
      </c>
      <c r="WEY1" s="9" t="s">
        <v>15721</v>
      </c>
      <c r="WEZ1" s="9" t="s">
        <v>15722</v>
      </c>
      <c r="WFA1" s="9" t="s">
        <v>15723</v>
      </c>
      <c r="WFB1" s="9" t="s">
        <v>15724</v>
      </c>
      <c r="WFC1" s="9" t="s">
        <v>15725</v>
      </c>
      <c r="WFD1" s="9" t="s">
        <v>15726</v>
      </c>
      <c r="WFE1" s="9" t="s">
        <v>15727</v>
      </c>
      <c r="WFF1" s="9" t="s">
        <v>15728</v>
      </c>
      <c r="WFG1" s="9" t="s">
        <v>15729</v>
      </c>
      <c r="WFH1" s="9" t="s">
        <v>15730</v>
      </c>
      <c r="WFI1" s="9" t="s">
        <v>15731</v>
      </c>
      <c r="WFJ1" s="9" t="s">
        <v>15732</v>
      </c>
      <c r="WFK1" s="9" t="s">
        <v>15733</v>
      </c>
      <c r="WFL1" s="9" t="s">
        <v>15734</v>
      </c>
      <c r="WFM1" s="9" t="s">
        <v>15735</v>
      </c>
      <c r="WFN1" s="9" t="s">
        <v>15736</v>
      </c>
      <c r="WFO1" s="9" t="s">
        <v>15737</v>
      </c>
      <c r="WFP1" s="9" t="s">
        <v>15738</v>
      </c>
      <c r="WFQ1" s="9" t="s">
        <v>15739</v>
      </c>
      <c r="WFR1" s="9" t="s">
        <v>15740</v>
      </c>
      <c r="WFS1" s="9" t="s">
        <v>15741</v>
      </c>
      <c r="WFT1" s="9" t="s">
        <v>15742</v>
      </c>
      <c r="WFU1" s="9" t="s">
        <v>15743</v>
      </c>
      <c r="WFV1" s="9" t="s">
        <v>15744</v>
      </c>
      <c r="WFW1" s="9" t="s">
        <v>15745</v>
      </c>
      <c r="WFX1" s="9" t="s">
        <v>15746</v>
      </c>
      <c r="WFY1" s="9" t="s">
        <v>15747</v>
      </c>
      <c r="WFZ1" s="9" t="s">
        <v>15748</v>
      </c>
      <c r="WGA1" s="9" t="s">
        <v>15749</v>
      </c>
      <c r="WGB1" s="9" t="s">
        <v>15750</v>
      </c>
      <c r="WGC1" s="9" t="s">
        <v>15751</v>
      </c>
      <c r="WGD1" s="9" t="s">
        <v>15752</v>
      </c>
      <c r="WGE1" s="9" t="s">
        <v>15753</v>
      </c>
      <c r="WGF1" s="9" t="s">
        <v>15754</v>
      </c>
      <c r="WGG1" s="9" t="s">
        <v>15755</v>
      </c>
      <c r="WGH1" s="9" t="s">
        <v>15756</v>
      </c>
      <c r="WGI1" s="9" t="s">
        <v>15757</v>
      </c>
      <c r="WGJ1" s="9" t="s">
        <v>15758</v>
      </c>
      <c r="WGK1" s="9" t="s">
        <v>15759</v>
      </c>
      <c r="WGL1" s="9" t="s">
        <v>15760</v>
      </c>
      <c r="WGM1" s="9" t="s">
        <v>15761</v>
      </c>
      <c r="WGN1" s="9" t="s">
        <v>15762</v>
      </c>
      <c r="WGO1" s="9" t="s">
        <v>15763</v>
      </c>
      <c r="WGP1" s="9" t="s">
        <v>15764</v>
      </c>
      <c r="WGQ1" s="9" t="s">
        <v>15765</v>
      </c>
      <c r="WGR1" s="9" t="s">
        <v>15766</v>
      </c>
      <c r="WGS1" s="9" t="s">
        <v>15767</v>
      </c>
      <c r="WGT1" s="9" t="s">
        <v>15768</v>
      </c>
      <c r="WGU1" s="9" t="s">
        <v>15769</v>
      </c>
      <c r="WGV1" s="9" t="s">
        <v>15770</v>
      </c>
      <c r="WGW1" s="9" t="s">
        <v>15771</v>
      </c>
      <c r="WGX1" s="9" t="s">
        <v>15772</v>
      </c>
      <c r="WGY1" s="9" t="s">
        <v>15773</v>
      </c>
      <c r="WGZ1" s="9" t="s">
        <v>15774</v>
      </c>
      <c r="WHA1" s="9" t="s">
        <v>15775</v>
      </c>
      <c r="WHB1" s="9" t="s">
        <v>15776</v>
      </c>
      <c r="WHC1" s="9" t="s">
        <v>15777</v>
      </c>
      <c r="WHD1" s="9" t="s">
        <v>15778</v>
      </c>
      <c r="WHE1" s="9" t="s">
        <v>15779</v>
      </c>
      <c r="WHF1" s="9" t="s">
        <v>15780</v>
      </c>
      <c r="WHG1" s="9" t="s">
        <v>15781</v>
      </c>
      <c r="WHH1" s="9" t="s">
        <v>15782</v>
      </c>
      <c r="WHI1" s="9" t="s">
        <v>15783</v>
      </c>
      <c r="WHJ1" s="9" t="s">
        <v>15784</v>
      </c>
      <c r="WHK1" s="9" t="s">
        <v>15785</v>
      </c>
      <c r="WHL1" s="9" t="s">
        <v>15786</v>
      </c>
      <c r="WHM1" s="9" t="s">
        <v>15787</v>
      </c>
      <c r="WHN1" s="9" t="s">
        <v>15788</v>
      </c>
      <c r="WHO1" s="9" t="s">
        <v>15789</v>
      </c>
      <c r="WHP1" s="9" t="s">
        <v>15790</v>
      </c>
      <c r="WHQ1" s="9" t="s">
        <v>15791</v>
      </c>
      <c r="WHR1" s="9" t="s">
        <v>15792</v>
      </c>
      <c r="WHS1" s="9" t="s">
        <v>15793</v>
      </c>
      <c r="WHT1" s="9" t="s">
        <v>15794</v>
      </c>
      <c r="WHU1" s="9" t="s">
        <v>15795</v>
      </c>
      <c r="WHV1" s="9" t="s">
        <v>15796</v>
      </c>
      <c r="WHW1" s="9" t="s">
        <v>15797</v>
      </c>
      <c r="WHX1" s="9" t="s">
        <v>15798</v>
      </c>
      <c r="WHY1" s="9" t="s">
        <v>15799</v>
      </c>
      <c r="WHZ1" s="9" t="s">
        <v>15800</v>
      </c>
      <c r="WIA1" s="9" t="s">
        <v>15801</v>
      </c>
      <c r="WIB1" s="9" t="s">
        <v>15802</v>
      </c>
      <c r="WIC1" s="9" t="s">
        <v>15803</v>
      </c>
      <c r="WID1" s="9" t="s">
        <v>15804</v>
      </c>
      <c r="WIE1" s="9" t="s">
        <v>15805</v>
      </c>
      <c r="WIF1" s="9" t="s">
        <v>15806</v>
      </c>
      <c r="WIG1" s="9" t="s">
        <v>15807</v>
      </c>
      <c r="WIH1" s="9" t="s">
        <v>15808</v>
      </c>
      <c r="WII1" s="9" t="s">
        <v>15809</v>
      </c>
      <c r="WIJ1" s="9" t="s">
        <v>15810</v>
      </c>
      <c r="WIK1" s="9" t="s">
        <v>15811</v>
      </c>
      <c r="WIL1" s="9" t="s">
        <v>15812</v>
      </c>
      <c r="WIM1" s="9" t="s">
        <v>15813</v>
      </c>
      <c r="WIN1" s="9" t="s">
        <v>15814</v>
      </c>
      <c r="WIO1" s="9" t="s">
        <v>15815</v>
      </c>
      <c r="WIP1" s="9" t="s">
        <v>15816</v>
      </c>
      <c r="WIQ1" s="9" t="s">
        <v>15817</v>
      </c>
      <c r="WIR1" s="9" t="s">
        <v>15818</v>
      </c>
      <c r="WIS1" s="9" t="s">
        <v>15819</v>
      </c>
      <c r="WIT1" s="9" t="s">
        <v>15820</v>
      </c>
      <c r="WIU1" s="9" t="s">
        <v>15821</v>
      </c>
      <c r="WIV1" s="9" t="s">
        <v>15822</v>
      </c>
      <c r="WIW1" s="9" t="s">
        <v>15823</v>
      </c>
      <c r="WIX1" s="9" t="s">
        <v>15824</v>
      </c>
      <c r="WIY1" s="9" t="s">
        <v>15825</v>
      </c>
      <c r="WIZ1" s="9" t="s">
        <v>15826</v>
      </c>
      <c r="WJA1" s="9" t="s">
        <v>15827</v>
      </c>
      <c r="WJB1" s="9" t="s">
        <v>15828</v>
      </c>
      <c r="WJC1" s="9" t="s">
        <v>15829</v>
      </c>
      <c r="WJD1" s="9" t="s">
        <v>15830</v>
      </c>
      <c r="WJE1" s="9" t="s">
        <v>15831</v>
      </c>
      <c r="WJF1" s="9" t="s">
        <v>15832</v>
      </c>
      <c r="WJG1" s="9" t="s">
        <v>15833</v>
      </c>
      <c r="WJH1" s="9" t="s">
        <v>15834</v>
      </c>
      <c r="WJI1" s="9" t="s">
        <v>15835</v>
      </c>
      <c r="WJJ1" s="9" t="s">
        <v>15836</v>
      </c>
      <c r="WJK1" s="9" t="s">
        <v>15837</v>
      </c>
      <c r="WJL1" s="9" t="s">
        <v>15838</v>
      </c>
      <c r="WJM1" s="9" t="s">
        <v>15839</v>
      </c>
      <c r="WJN1" s="9" t="s">
        <v>15840</v>
      </c>
      <c r="WJO1" s="9" t="s">
        <v>15841</v>
      </c>
      <c r="WJP1" s="9" t="s">
        <v>15842</v>
      </c>
      <c r="WJQ1" s="9" t="s">
        <v>15843</v>
      </c>
      <c r="WJR1" s="9" t="s">
        <v>15844</v>
      </c>
      <c r="WJS1" s="9" t="s">
        <v>15845</v>
      </c>
      <c r="WJT1" s="9" t="s">
        <v>15846</v>
      </c>
      <c r="WJU1" s="9" t="s">
        <v>15847</v>
      </c>
      <c r="WJV1" s="9" t="s">
        <v>15848</v>
      </c>
      <c r="WJW1" s="9" t="s">
        <v>15849</v>
      </c>
      <c r="WJX1" s="9" t="s">
        <v>15850</v>
      </c>
      <c r="WJY1" s="9" t="s">
        <v>15851</v>
      </c>
      <c r="WJZ1" s="9" t="s">
        <v>15852</v>
      </c>
      <c r="WKA1" s="9" t="s">
        <v>15853</v>
      </c>
      <c r="WKB1" s="9" t="s">
        <v>15854</v>
      </c>
      <c r="WKC1" s="9" t="s">
        <v>15855</v>
      </c>
      <c r="WKD1" s="9" t="s">
        <v>15856</v>
      </c>
      <c r="WKE1" s="9" t="s">
        <v>15857</v>
      </c>
      <c r="WKF1" s="9" t="s">
        <v>15858</v>
      </c>
      <c r="WKG1" s="9" t="s">
        <v>15859</v>
      </c>
      <c r="WKH1" s="9" t="s">
        <v>15860</v>
      </c>
      <c r="WKI1" s="9" t="s">
        <v>15861</v>
      </c>
      <c r="WKJ1" s="9" t="s">
        <v>15862</v>
      </c>
      <c r="WKK1" s="9" t="s">
        <v>15863</v>
      </c>
      <c r="WKL1" s="9" t="s">
        <v>15864</v>
      </c>
      <c r="WKM1" s="9" t="s">
        <v>15865</v>
      </c>
      <c r="WKN1" s="9" t="s">
        <v>15866</v>
      </c>
      <c r="WKO1" s="9" t="s">
        <v>15867</v>
      </c>
      <c r="WKP1" s="9" t="s">
        <v>15868</v>
      </c>
      <c r="WKQ1" s="9" t="s">
        <v>15869</v>
      </c>
      <c r="WKR1" s="9" t="s">
        <v>15870</v>
      </c>
      <c r="WKS1" s="9" t="s">
        <v>15871</v>
      </c>
      <c r="WKT1" s="9" t="s">
        <v>15872</v>
      </c>
      <c r="WKU1" s="9" t="s">
        <v>15873</v>
      </c>
      <c r="WKV1" s="9" t="s">
        <v>15874</v>
      </c>
      <c r="WKW1" s="9" t="s">
        <v>15875</v>
      </c>
      <c r="WKX1" s="9" t="s">
        <v>15876</v>
      </c>
      <c r="WKY1" s="9" t="s">
        <v>15877</v>
      </c>
      <c r="WKZ1" s="9" t="s">
        <v>15878</v>
      </c>
      <c r="WLA1" s="9" t="s">
        <v>15879</v>
      </c>
      <c r="WLB1" s="9" t="s">
        <v>15880</v>
      </c>
      <c r="WLC1" s="9" t="s">
        <v>15881</v>
      </c>
      <c r="WLD1" s="9" t="s">
        <v>15882</v>
      </c>
      <c r="WLE1" s="9" t="s">
        <v>15883</v>
      </c>
      <c r="WLF1" s="9" t="s">
        <v>15884</v>
      </c>
      <c r="WLG1" s="9" t="s">
        <v>15885</v>
      </c>
      <c r="WLH1" s="9" t="s">
        <v>15886</v>
      </c>
      <c r="WLI1" s="9" t="s">
        <v>15887</v>
      </c>
      <c r="WLJ1" s="9" t="s">
        <v>15888</v>
      </c>
      <c r="WLK1" s="9" t="s">
        <v>15889</v>
      </c>
      <c r="WLL1" s="9" t="s">
        <v>15890</v>
      </c>
      <c r="WLM1" s="9" t="s">
        <v>15891</v>
      </c>
      <c r="WLN1" s="9" t="s">
        <v>15892</v>
      </c>
      <c r="WLO1" s="9" t="s">
        <v>15893</v>
      </c>
      <c r="WLP1" s="9" t="s">
        <v>15894</v>
      </c>
      <c r="WLQ1" s="9" t="s">
        <v>15895</v>
      </c>
      <c r="WLR1" s="9" t="s">
        <v>15896</v>
      </c>
      <c r="WLS1" s="9" t="s">
        <v>15897</v>
      </c>
      <c r="WLT1" s="9" t="s">
        <v>15898</v>
      </c>
      <c r="WLU1" s="9" t="s">
        <v>15899</v>
      </c>
      <c r="WLV1" s="9" t="s">
        <v>15900</v>
      </c>
      <c r="WLW1" s="9" t="s">
        <v>15901</v>
      </c>
      <c r="WLX1" s="9" t="s">
        <v>15902</v>
      </c>
      <c r="WLY1" s="9" t="s">
        <v>15903</v>
      </c>
      <c r="WLZ1" s="9" t="s">
        <v>15904</v>
      </c>
      <c r="WMA1" s="9" t="s">
        <v>15905</v>
      </c>
      <c r="WMB1" s="9" t="s">
        <v>15906</v>
      </c>
      <c r="WMC1" s="9" t="s">
        <v>15907</v>
      </c>
      <c r="WMD1" s="9" t="s">
        <v>15908</v>
      </c>
      <c r="WME1" s="9" t="s">
        <v>15909</v>
      </c>
      <c r="WMF1" s="9" t="s">
        <v>15910</v>
      </c>
      <c r="WMG1" s="9" t="s">
        <v>15911</v>
      </c>
      <c r="WMH1" s="9" t="s">
        <v>15912</v>
      </c>
      <c r="WMI1" s="9" t="s">
        <v>15913</v>
      </c>
      <c r="WMJ1" s="9" t="s">
        <v>15914</v>
      </c>
      <c r="WMK1" s="9" t="s">
        <v>15915</v>
      </c>
      <c r="WML1" s="9" t="s">
        <v>15916</v>
      </c>
      <c r="WMM1" s="9" t="s">
        <v>15917</v>
      </c>
      <c r="WMN1" s="9" t="s">
        <v>15918</v>
      </c>
      <c r="WMO1" s="9" t="s">
        <v>15919</v>
      </c>
      <c r="WMP1" s="9" t="s">
        <v>15920</v>
      </c>
      <c r="WMQ1" s="9" t="s">
        <v>15921</v>
      </c>
      <c r="WMR1" s="9" t="s">
        <v>15922</v>
      </c>
      <c r="WMS1" s="9" t="s">
        <v>15923</v>
      </c>
      <c r="WMT1" s="9" t="s">
        <v>15924</v>
      </c>
      <c r="WMU1" s="9" t="s">
        <v>15925</v>
      </c>
      <c r="WMV1" s="9" t="s">
        <v>15926</v>
      </c>
      <c r="WMW1" s="9" t="s">
        <v>15927</v>
      </c>
      <c r="WMX1" s="9" t="s">
        <v>15928</v>
      </c>
      <c r="WMY1" s="9" t="s">
        <v>15929</v>
      </c>
      <c r="WMZ1" s="9" t="s">
        <v>15930</v>
      </c>
      <c r="WNA1" s="9" t="s">
        <v>15931</v>
      </c>
      <c r="WNB1" s="9" t="s">
        <v>15932</v>
      </c>
      <c r="WNC1" s="9" t="s">
        <v>15933</v>
      </c>
      <c r="WND1" s="9" t="s">
        <v>15934</v>
      </c>
      <c r="WNE1" s="9" t="s">
        <v>15935</v>
      </c>
      <c r="WNF1" s="9" t="s">
        <v>15936</v>
      </c>
      <c r="WNG1" s="9" t="s">
        <v>15937</v>
      </c>
      <c r="WNH1" s="9" t="s">
        <v>15938</v>
      </c>
      <c r="WNI1" s="9" t="s">
        <v>15939</v>
      </c>
      <c r="WNJ1" s="9" t="s">
        <v>15940</v>
      </c>
      <c r="WNK1" s="9" t="s">
        <v>15941</v>
      </c>
      <c r="WNL1" s="9" t="s">
        <v>15942</v>
      </c>
      <c r="WNM1" s="9" t="s">
        <v>15943</v>
      </c>
      <c r="WNN1" s="9" t="s">
        <v>15944</v>
      </c>
      <c r="WNO1" s="9" t="s">
        <v>15945</v>
      </c>
      <c r="WNP1" s="9" t="s">
        <v>15946</v>
      </c>
      <c r="WNQ1" s="9" t="s">
        <v>15947</v>
      </c>
      <c r="WNR1" s="9" t="s">
        <v>15948</v>
      </c>
      <c r="WNS1" s="9" t="s">
        <v>15949</v>
      </c>
      <c r="WNT1" s="9" t="s">
        <v>15950</v>
      </c>
      <c r="WNU1" s="9" t="s">
        <v>15951</v>
      </c>
      <c r="WNV1" s="9" t="s">
        <v>15952</v>
      </c>
      <c r="WNW1" s="9" t="s">
        <v>15953</v>
      </c>
      <c r="WNX1" s="9" t="s">
        <v>15954</v>
      </c>
      <c r="WNY1" s="9" t="s">
        <v>15955</v>
      </c>
      <c r="WNZ1" s="9" t="s">
        <v>15956</v>
      </c>
      <c r="WOA1" s="9" t="s">
        <v>15957</v>
      </c>
      <c r="WOB1" s="9" t="s">
        <v>15958</v>
      </c>
      <c r="WOC1" s="9" t="s">
        <v>15959</v>
      </c>
      <c r="WOD1" s="9" t="s">
        <v>15960</v>
      </c>
      <c r="WOE1" s="9" t="s">
        <v>15961</v>
      </c>
      <c r="WOF1" s="9" t="s">
        <v>15962</v>
      </c>
      <c r="WOG1" s="9" t="s">
        <v>15963</v>
      </c>
      <c r="WOH1" s="9" t="s">
        <v>15964</v>
      </c>
      <c r="WOI1" s="9" t="s">
        <v>15965</v>
      </c>
      <c r="WOJ1" s="9" t="s">
        <v>15966</v>
      </c>
      <c r="WOK1" s="9" t="s">
        <v>15967</v>
      </c>
      <c r="WOL1" s="9" t="s">
        <v>15968</v>
      </c>
      <c r="WOM1" s="9" t="s">
        <v>15969</v>
      </c>
      <c r="WON1" s="9" t="s">
        <v>15970</v>
      </c>
      <c r="WOO1" s="9" t="s">
        <v>15971</v>
      </c>
      <c r="WOP1" s="9" t="s">
        <v>15972</v>
      </c>
      <c r="WOQ1" s="9" t="s">
        <v>15973</v>
      </c>
      <c r="WOR1" s="9" t="s">
        <v>15974</v>
      </c>
      <c r="WOS1" s="9" t="s">
        <v>15975</v>
      </c>
      <c r="WOT1" s="9" t="s">
        <v>15976</v>
      </c>
      <c r="WOU1" s="9" t="s">
        <v>15977</v>
      </c>
      <c r="WOV1" s="9" t="s">
        <v>15978</v>
      </c>
      <c r="WOW1" s="9" t="s">
        <v>15979</v>
      </c>
      <c r="WOX1" s="9" t="s">
        <v>15980</v>
      </c>
      <c r="WOY1" s="9" t="s">
        <v>15981</v>
      </c>
      <c r="WOZ1" s="9" t="s">
        <v>15982</v>
      </c>
      <c r="WPA1" s="9" t="s">
        <v>15983</v>
      </c>
      <c r="WPB1" s="9" t="s">
        <v>15984</v>
      </c>
      <c r="WPC1" s="9" t="s">
        <v>15985</v>
      </c>
      <c r="WPD1" s="9" t="s">
        <v>15986</v>
      </c>
      <c r="WPE1" s="9" t="s">
        <v>15987</v>
      </c>
      <c r="WPF1" s="9" t="s">
        <v>15988</v>
      </c>
      <c r="WPG1" s="9" t="s">
        <v>15989</v>
      </c>
      <c r="WPH1" s="9" t="s">
        <v>15990</v>
      </c>
      <c r="WPI1" s="9" t="s">
        <v>15991</v>
      </c>
      <c r="WPJ1" s="9" t="s">
        <v>15992</v>
      </c>
      <c r="WPK1" s="9" t="s">
        <v>15993</v>
      </c>
      <c r="WPL1" s="9" t="s">
        <v>15994</v>
      </c>
      <c r="WPM1" s="9" t="s">
        <v>15995</v>
      </c>
      <c r="WPN1" s="9" t="s">
        <v>15996</v>
      </c>
      <c r="WPO1" s="9" t="s">
        <v>15997</v>
      </c>
      <c r="WPP1" s="9" t="s">
        <v>15998</v>
      </c>
      <c r="WPQ1" s="9" t="s">
        <v>15999</v>
      </c>
      <c r="WPR1" s="9" t="s">
        <v>16000</v>
      </c>
      <c r="WPS1" s="9" t="s">
        <v>16001</v>
      </c>
      <c r="WPT1" s="9" t="s">
        <v>16002</v>
      </c>
      <c r="WPU1" s="9" t="s">
        <v>16003</v>
      </c>
      <c r="WPV1" s="9" t="s">
        <v>16004</v>
      </c>
      <c r="WPW1" s="9" t="s">
        <v>16005</v>
      </c>
      <c r="WPX1" s="9" t="s">
        <v>16006</v>
      </c>
      <c r="WPY1" s="9" t="s">
        <v>16007</v>
      </c>
      <c r="WPZ1" s="9" t="s">
        <v>16008</v>
      </c>
      <c r="WQA1" s="9" t="s">
        <v>16009</v>
      </c>
      <c r="WQB1" s="9" t="s">
        <v>16010</v>
      </c>
      <c r="WQC1" s="9" t="s">
        <v>16011</v>
      </c>
      <c r="WQD1" s="9" t="s">
        <v>16012</v>
      </c>
      <c r="WQE1" s="9" t="s">
        <v>16013</v>
      </c>
      <c r="WQF1" s="9" t="s">
        <v>16014</v>
      </c>
      <c r="WQG1" s="9" t="s">
        <v>16015</v>
      </c>
      <c r="WQH1" s="9" t="s">
        <v>16016</v>
      </c>
      <c r="WQI1" s="9" t="s">
        <v>16017</v>
      </c>
      <c r="WQJ1" s="9" t="s">
        <v>16018</v>
      </c>
      <c r="WQK1" s="9" t="s">
        <v>16019</v>
      </c>
      <c r="WQL1" s="9" t="s">
        <v>16020</v>
      </c>
      <c r="WQM1" s="9" t="s">
        <v>16021</v>
      </c>
      <c r="WQN1" s="9" t="s">
        <v>16022</v>
      </c>
      <c r="WQO1" s="9" t="s">
        <v>16023</v>
      </c>
      <c r="WQP1" s="9" t="s">
        <v>16024</v>
      </c>
      <c r="WQQ1" s="9" t="s">
        <v>16025</v>
      </c>
      <c r="WQR1" s="9" t="s">
        <v>16026</v>
      </c>
      <c r="WQS1" s="9" t="s">
        <v>16027</v>
      </c>
      <c r="WQT1" s="9" t="s">
        <v>16028</v>
      </c>
      <c r="WQU1" s="9" t="s">
        <v>16029</v>
      </c>
      <c r="WQV1" s="9" t="s">
        <v>16030</v>
      </c>
      <c r="WQW1" s="9" t="s">
        <v>16031</v>
      </c>
      <c r="WQX1" s="9" t="s">
        <v>16032</v>
      </c>
      <c r="WQY1" s="9" t="s">
        <v>16033</v>
      </c>
      <c r="WQZ1" s="9" t="s">
        <v>16034</v>
      </c>
      <c r="WRA1" s="9" t="s">
        <v>16035</v>
      </c>
      <c r="WRB1" s="9" t="s">
        <v>16036</v>
      </c>
      <c r="WRC1" s="9" t="s">
        <v>16037</v>
      </c>
      <c r="WRD1" s="9" t="s">
        <v>16038</v>
      </c>
      <c r="WRE1" s="9" t="s">
        <v>16039</v>
      </c>
      <c r="WRF1" s="9" t="s">
        <v>16040</v>
      </c>
      <c r="WRG1" s="9" t="s">
        <v>16041</v>
      </c>
      <c r="WRH1" s="9" t="s">
        <v>16042</v>
      </c>
      <c r="WRI1" s="9" t="s">
        <v>16043</v>
      </c>
      <c r="WRJ1" s="9" t="s">
        <v>16044</v>
      </c>
      <c r="WRK1" s="9" t="s">
        <v>16045</v>
      </c>
      <c r="WRL1" s="9" t="s">
        <v>16046</v>
      </c>
      <c r="WRM1" s="9" t="s">
        <v>16047</v>
      </c>
      <c r="WRN1" s="9" t="s">
        <v>16048</v>
      </c>
      <c r="WRO1" s="9" t="s">
        <v>16049</v>
      </c>
      <c r="WRP1" s="9" t="s">
        <v>16050</v>
      </c>
      <c r="WRQ1" s="9" t="s">
        <v>16051</v>
      </c>
      <c r="WRR1" s="9" t="s">
        <v>16052</v>
      </c>
      <c r="WRS1" s="9" t="s">
        <v>16053</v>
      </c>
      <c r="WRT1" s="9" t="s">
        <v>16054</v>
      </c>
      <c r="WRU1" s="9" t="s">
        <v>16055</v>
      </c>
      <c r="WRV1" s="9" t="s">
        <v>16056</v>
      </c>
      <c r="WRW1" s="9" t="s">
        <v>16057</v>
      </c>
      <c r="WRX1" s="9" t="s">
        <v>16058</v>
      </c>
      <c r="WRY1" s="9" t="s">
        <v>16059</v>
      </c>
      <c r="WRZ1" s="9" t="s">
        <v>16060</v>
      </c>
      <c r="WSA1" s="9" t="s">
        <v>16061</v>
      </c>
      <c r="WSB1" s="9" t="s">
        <v>16062</v>
      </c>
      <c r="WSC1" s="9" t="s">
        <v>16063</v>
      </c>
      <c r="WSD1" s="9" t="s">
        <v>16064</v>
      </c>
      <c r="WSE1" s="9" t="s">
        <v>16065</v>
      </c>
      <c r="WSF1" s="9" t="s">
        <v>16066</v>
      </c>
      <c r="WSG1" s="9" t="s">
        <v>16067</v>
      </c>
      <c r="WSH1" s="9" t="s">
        <v>16068</v>
      </c>
      <c r="WSI1" s="9" t="s">
        <v>16069</v>
      </c>
      <c r="WSJ1" s="9" t="s">
        <v>16070</v>
      </c>
      <c r="WSK1" s="9" t="s">
        <v>16071</v>
      </c>
      <c r="WSL1" s="9" t="s">
        <v>16072</v>
      </c>
      <c r="WSM1" s="9" t="s">
        <v>16073</v>
      </c>
      <c r="WSN1" s="9" t="s">
        <v>16074</v>
      </c>
      <c r="WSO1" s="9" t="s">
        <v>16075</v>
      </c>
      <c r="WSP1" s="9" t="s">
        <v>16076</v>
      </c>
      <c r="WSQ1" s="9" t="s">
        <v>16077</v>
      </c>
      <c r="WSR1" s="9" t="s">
        <v>16078</v>
      </c>
      <c r="WSS1" s="9" t="s">
        <v>16079</v>
      </c>
      <c r="WST1" s="9" t="s">
        <v>16080</v>
      </c>
      <c r="WSU1" s="9" t="s">
        <v>16081</v>
      </c>
      <c r="WSV1" s="9" t="s">
        <v>16082</v>
      </c>
      <c r="WSW1" s="9" t="s">
        <v>16083</v>
      </c>
      <c r="WSX1" s="9" t="s">
        <v>16084</v>
      </c>
      <c r="WSY1" s="9" t="s">
        <v>16085</v>
      </c>
      <c r="WSZ1" s="9" t="s">
        <v>16086</v>
      </c>
      <c r="WTA1" s="9" t="s">
        <v>16087</v>
      </c>
      <c r="WTB1" s="9" t="s">
        <v>16088</v>
      </c>
      <c r="WTC1" s="9" t="s">
        <v>16089</v>
      </c>
      <c r="WTD1" s="9" t="s">
        <v>16090</v>
      </c>
      <c r="WTE1" s="9" t="s">
        <v>16091</v>
      </c>
      <c r="WTF1" s="9" t="s">
        <v>16092</v>
      </c>
      <c r="WTG1" s="9" t="s">
        <v>16093</v>
      </c>
      <c r="WTH1" s="9" t="s">
        <v>16094</v>
      </c>
      <c r="WTI1" s="9" t="s">
        <v>16095</v>
      </c>
      <c r="WTJ1" s="9" t="s">
        <v>16096</v>
      </c>
      <c r="WTK1" s="9" t="s">
        <v>16097</v>
      </c>
      <c r="WTL1" s="9" t="s">
        <v>16098</v>
      </c>
      <c r="WTM1" s="9" t="s">
        <v>16099</v>
      </c>
      <c r="WTN1" s="9" t="s">
        <v>16100</v>
      </c>
      <c r="WTO1" s="9" t="s">
        <v>16101</v>
      </c>
      <c r="WTP1" s="9" t="s">
        <v>16102</v>
      </c>
      <c r="WTQ1" s="9" t="s">
        <v>16103</v>
      </c>
      <c r="WTR1" s="9" t="s">
        <v>16104</v>
      </c>
      <c r="WTS1" s="9" t="s">
        <v>16105</v>
      </c>
      <c r="WTT1" s="9" t="s">
        <v>16106</v>
      </c>
      <c r="WTU1" s="9" t="s">
        <v>16107</v>
      </c>
      <c r="WTV1" s="9" t="s">
        <v>16108</v>
      </c>
      <c r="WTW1" s="9" t="s">
        <v>16109</v>
      </c>
      <c r="WTX1" s="9" t="s">
        <v>16110</v>
      </c>
      <c r="WTY1" s="9" t="s">
        <v>16111</v>
      </c>
      <c r="WTZ1" s="9" t="s">
        <v>16112</v>
      </c>
      <c r="WUA1" s="9" t="s">
        <v>16113</v>
      </c>
      <c r="WUB1" s="9" t="s">
        <v>16114</v>
      </c>
      <c r="WUC1" s="9" t="s">
        <v>16115</v>
      </c>
      <c r="WUD1" s="9" t="s">
        <v>16116</v>
      </c>
      <c r="WUE1" s="9" t="s">
        <v>16117</v>
      </c>
      <c r="WUF1" s="9" t="s">
        <v>16118</v>
      </c>
      <c r="WUG1" s="9" t="s">
        <v>16119</v>
      </c>
      <c r="WUH1" s="9" t="s">
        <v>16120</v>
      </c>
      <c r="WUI1" s="9" t="s">
        <v>16121</v>
      </c>
      <c r="WUJ1" s="9" t="s">
        <v>16122</v>
      </c>
      <c r="WUK1" s="9" t="s">
        <v>16123</v>
      </c>
      <c r="WUL1" s="9" t="s">
        <v>16124</v>
      </c>
      <c r="WUM1" s="9" t="s">
        <v>16125</v>
      </c>
      <c r="WUN1" s="9" t="s">
        <v>16126</v>
      </c>
      <c r="WUO1" s="9" t="s">
        <v>16127</v>
      </c>
      <c r="WUP1" s="9" t="s">
        <v>16128</v>
      </c>
      <c r="WUQ1" s="9" t="s">
        <v>16129</v>
      </c>
      <c r="WUR1" s="9" t="s">
        <v>16130</v>
      </c>
      <c r="WUS1" s="9" t="s">
        <v>16131</v>
      </c>
      <c r="WUT1" s="9" t="s">
        <v>16132</v>
      </c>
      <c r="WUU1" s="9" t="s">
        <v>16133</v>
      </c>
      <c r="WUV1" s="9" t="s">
        <v>16134</v>
      </c>
      <c r="WUW1" s="9" t="s">
        <v>16135</v>
      </c>
      <c r="WUX1" s="9" t="s">
        <v>16136</v>
      </c>
      <c r="WUY1" s="9" t="s">
        <v>16137</v>
      </c>
      <c r="WUZ1" s="9" t="s">
        <v>16138</v>
      </c>
      <c r="WVA1" s="9" t="s">
        <v>16139</v>
      </c>
      <c r="WVB1" s="9" t="s">
        <v>16140</v>
      </c>
      <c r="WVC1" s="9" t="s">
        <v>16141</v>
      </c>
      <c r="WVD1" s="9" t="s">
        <v>16142</v>
      </c>
      <c r="WVE1" s="9" t="s">
        <v>16143</v>
      </c>
      <c r="WVF1" s="9" t="s">
        <v>16144</v>
      </c>
      <c r="WVG1" s="9" t="s">
        <v>16145</v>
      </c>
      <c r="WVH1" s="9" t="s">
        <v>16146</v>
      </c>
      <c r="WVI1" s="9" t="s">
        <v>16147</v>
      </c>
      <c r="WVJ1" s="9" t="s">
        <v>16148</v>
      </c>
      <c r="WVK1" s="9" t="s">
        <v>16149</v>
      </c>
      <c r="WVL1" s="9" t="s">
        <v>16150</v>
      </c>
      <c r="WVM1" s="9" t="s">
        <v>16151</v>
      </c>
      <c r="WVN1" s="9" t="s">
        <v>16152</v>
      </c>
      <c r="WVO1" s="9" t="s">
        <v>16153</v>
      </c>
      <c r="WVP1" s="9" t="s">
        <v>16154</v>
      </c>
      <c r="WVQ1" s="9" t="s">
        <v>16155</v>
      </c>
      <c r="WVR1" s="9" t="s">
        <v>16156</v>
      </c>
      <c r="WVS1" s="9" t="s">
        <v>16157</v>
      </c>
      <c r="WVT1" s="9" t="s">
        <v>16158</v>
      </c>
      <c r="WVU1" s="9" t="s">
        <v>16159</v>
      </c>
      <c r="WVV1" s="9" t="s">
        <v>16160</v>
      </c>
      <c r="WVW1" s="9" t="s">
        <v>16161</v>
      </c>
      <c r="WVX1" s="9" t="s">
        <v>16162</v>
      </c>
      <c r="WVY1" s="9" t="s">
        <v>16163</v>
      </c>
      <c r="WVZ1" s="9" t="s">
        <v>16164</v>
      </c>
      <c r="WWA1" s="9" t="s">
        <v>16165</v>
      </c>
      <c r="WWB1" s="9" t="s">
        <v>16166</v>
      </c>
      <c r="WWC1" s="9" t="s">
        <v>16167</v>
      </c>
      <c r="WWD1" s="9" t="s">
        <v>16168</v>
      </c>
      <c r="WWE1" s="9" t="s">
        <v>16169</v>
      </c>
      <c r="WWF1" s="9" t="s">
        <v>16170</v>
      </c>
      <c r="WWG1" s="9" t="s">
        <v>16171</v>
      </c>
      <c r="WWH1" s="9" t="s">
        <v>16172</v>
      </c>
      <c r="WWI1" s="9" t="s">
        <v>16173</v>
      </c>
      <c r="WWJ1" s="9" t="s">
        <v>16174</v>
      </c>
      <c r="WWK1" s="9" t="s">
        <v>16175</v>
      </c>
      <c r="WWL1" s="9" t="s">
        <v>16176</v>
      </c>
      <c r="WWM1" s="9" t="s">
        <v>16177</v>
      </c>
      <c r="WWN1" s="9" t="s">
        <v>16178</v>
      </c>
      <c r="WWO1" s="9" t="s">
        <v>16179</v>
      </c>
      <c r="WWP1" s="9" t="s">
        <v>16180</v>
      </c>
      <c r="WWQ1" s="9" t="s">
        <v>16181</v>
      </c>
      <c r="WWR1" s="9" t="s">
        <v>16182</v>
      </c>
      <c r="WWS1" s="9" t="s">
        <v>16183</v>
      </c>
      <c r="WWT1" s="9" t="s">
        <v>16184</v>
      </c>
      <c r="WWU1" s="9" t="s">
        <v>16185</v>
      </c>
      <c r="WWV1" s="9" t="s">
        <v>16186</v>
      </c>
      <c r="WWW1" s="9" t="s">
        <v>16187</v>
      </c>
      <c r="WWX1" s="9" t="s">
        <v>16188</v>
      </c>
      <c r="WWY1" s="9" t="s">
        <v>16189</v>
      </c>
      <c r="WWZ1" s="9" t="s">
        <v>16190</v>
      </c>
      <c r="WXA1" s="9" t="s">
        <v>16191</v>
      </c>
      <c r="WXB1" s="9" t="s">
        <v>16192</v>
      </c>
      <c r="WXC1" s="9" t="s">
        <v>16193</v>
      </c>
      <c r="WXD1" s="9" t="s">
        <v>16194</v>
      </c>
      <c r="WXE1" s="9" t="s">
        <v>16195</v>
      </c>
      <c r="WXF1" s="9" t="s">
        <v>16196</v>
      </c>
      <c r="WXG1" s="9" t="s">
        <v>16197</v>
      </c>
      <c r="WXH1" s="9" t="s">
        <v>16198</v>
      </c>
      <c r="WXI1" s="9" t="s">
        <v>16199</v>
      </c>
      <c r="WXJ1" s="9" t="s">
        <v>16200</v>
      </c>
      <c r="WXK1" s="9" t="s">
        <v>16201</v>
      </c>
      <c r="WXL1" s="9" t="s">
        <v>16202</v>
      </c>
      <c r="WXM1" s="9" t="s">
        <v>16203</v>
      </c>
      <c r="WXN1" s="9" t="s">
        <v>16204</v>
      </c>
      <c r="WXO1" s="9" t="s">
        <v>16205</v>
      </c>
      <c r="WXP1" s="9" t="s">
        <v>16206</v>
      </c>
      <c r="WXQ1" s="9" t="s">
        <v>16207</v>
      </c>
      <c r="WXR1" s="9" t="s">
        <v>16208</v>
      </c>
      <c r="WXS1" s="9" t="s">
        <v>16209</v>
      </c>
      <c r="WXT1" s="9" t="s">
        <v>16210</v>
      </c>
      <c r="WXU1" s="9" t="s">
        <v>16211</v>
      </c>
      <c r="WXV1" s="9" t="s">
        <v>16212</v>
      </c>
      <c r="WXW1" s="9" t="s">
        <v>16213</v>
      </c>
      <c r="WXX1" s="9" t="s">
        <v>16214</v>
      </c>
      <c r="WXY1" s="9" t="s">
        <v>16215</v>
      </c>
      <c r="WXZ1" s="9" t="s">
        <v>16216</v>
      </c>
      <c r="WYA1" s="9" t="s">
        <v>16217</v>
      </c>
      <c r="WYB1" s="9" t="s">
        <v>16218</v>
      </c>
      <c r="WYC1" s="9" t="s">
        <v>16219</v>
      </c>
      <c r="WYD1" s="9" t="s">
        <v>16220</v>
      </c>
      <c r="WYE1" s="9" t="s">
        <v>16221</v>
      </c>
      <c r="WYF1" s="9" t="s">
        <v>16222</v>
      </c>
      <c r="WYG1" s="9" t="s">
        <v>16223</v>
      </c>
      <c r="WYH1" s="9" t="s">
        <v>16224</v>
      </c>
      <c r="WYI1" s="9" t="s">
        <v>16225</v>
      </c>
      <c r="WYJ1" s="9" t="s">
        <v>16226</v>
      </c>
      <c r="WYK1" s="9" t="s">
        <v>16227</v>
      </c>
      <c r="WYL1" s="9" t="s">
        <v>16228</v>
      </c>
      <c r="WYM1" s="9" t="s">
        <v>16229</v>
      </c>
      <c r="WYN1" s="9" t="s">
        <v>16230</v>
      </c>
      <c r="WYO1" s="9" t="s">
        <v>16231</v>
      </c>
      <c r="WYP1" s="9" t="s">
        <v>16232</v>
      </c>
      <c r="WYQ1" s="9" t="s">
        <v>16233</v>
      </c>
      <c r="WYR1" s="9" t="s">
        <v>16234</v>
      </c>
      <c r="WYS1" s="9" t="s">
        <v>16235</v>
      </c>
      <c r="WYT1" s="9" t="s">
        <v>16236</v>
      </c>
      <c r="WYU1" s="9" t="s">
        <v>16237</v>
      </c>
      <c r="WYV1" s="9" t="s">
        <v>16238</v>
      </c>
      <c r="WYW1" s="9" t="s">
        <v>16239</v>
      </c>
      <c r="WYX1" s="9" t="s">
        <v>16240</v>
      </c>
      <c r="WYY1" s="9" t="s">
        <v>16241</v>
      </c>
      <c r="WYZ1" s="9" t="s">
        <v>16242</v>
      </c>
      <c r="WZA1" s="9" t="s">
        <v>16243</v>
      </c>
      <c r="WZB1" s="9" t="s">
        <v>16244</v>
      </c>
      <c r="WZC1" s="9" t="s">
        <v>16245</v>
      </c>
      <c r="WZD1" s="9" t="s">
        <v>16246</v>
      </c>
      <c r="WZE1" s="9" t="s">
        <v>16247</v>
      </c>
      <c r="WZF1" s="9" t="s">
        <v>16248</v>
      </c>
      <c r="WZG1" s="9" t="s">
        <v>16249</v>
      </c>
      <c r="WZH1" s="9" t="s">
        <v>16250</v>
      </c>
      <c r="WZI1" s="9" t="s">
        <v>16251</v>
      </c>
      <c r="WZJ1" s="9" t="s">
        <v>16252</v>
      </c>
      <c r="WZK1" s="9" t="s">
        <v>16253</v>
      </c>
      <c r="WZL1" s="9" t="s">
        <v>16254</v>
      </c>
      <c r="WZM1" s="9" t="s">
        <v>16255</v>
      </c>
      <c r="WZN1" s="9" t="s">
        <v>16256</v>
      </c>
      <c r="WZO1" s="9" t="s">
        <v>16257</v>
      </c>
      <c r="WZP1" s="9" t="s">
        <v>16258</v>
      </c>
      <c r="WZQ1" s="9" t="s">
        <v>16259</v>
      </c>
      <c r="WZR1" s="9" t="s">
        <v>16260</v>
      </c>
      <c r="WZS1" s="9" t="s">
        <v>16261</v>
      </c>
      <c r="WZT1" s="9" t="s">
        <v>16262</v>
      </c>
      <c r="WZU1" s="9" t="s">
        <v>16263</v>
      </c>
      <c r="WZV1" s="9" t="s">
        <v>16264</v>
      </c>
      <c r="WZW1" s="9" t="s">
        <v>16265</v>
      </c>
      <c r="WZX1" s="9" t="s">
        <v>16266</v>
      </c>
      <c r="WZY1" s="9" t="s">
        <v>16267</v>
      </c>
      <c r="WZZ1" s="9" t="s">
        <v>16268</v>
      </c>
      <c r="XAA1" s="9" t="s">
        <v>16269</v>
      </c>
      <c r="XAB1" s="9" t="s">
        <v>16270</v>
      </c>
      <c r="XAC1" s="9" t="s">
        <v>16271</v>
      </c>
      <c r="XAD1" s="9" t="s">
        <v>16272</v>
      </c>
      <c r="XAE1" s="9" t="s">
        <v>16273</v>
      </c>
      <c r="XAF1" s="9" t="s">
        <v>16274</v>
      </c>
      <c r="XAG1" s="9" t="s">
        <v>16275</v>
      </c>
      <c r="XAH1" s="9" t="s">
        <v>16276</v>
      </c>
      <c r="XAI1" s="9" t="s">
        <v>16277</v>
      </c>
      <c r="XAJ1" s="9" t="s">
        <v>16278</v>
      </c>
      <c r="XAK1" s="9" t="s">
        <v>16279</v>
      </c>
      <c r="XAL1" s="9" t="s">
        <v>16280</v>
      </c>
      <c r="XAM1" s="9" t="s">
        <v>16281</v>
      </c>
      <c r="XAN1" s="9" t="s">
        <v>16282</v>
      </c>
      <c r="XAO1" s="9" t="s">
        <v>16283</v>
      </c>
      <c r="XAP1" s="9" t="s">
        <v>16284</v>
      </c>
      <c r="XAQ1" s="9" t="s">
        <v>16285</v>
      </c>
      <c r="XAR1" s="9" t="s">
        <v>16286</v>
      </c>
      <c r="XAS1" s="9" t="s">
        <v>16287</v>
      </c>
      <c r="XAT1" s="9" t="s">
        <v>16288</v>
      </c>
      <c r="XAU1" s="9" t="s">
        <v>16289</v>
      </c>
      <c r="XAV1" s="9" t="s">
        <v>16290</v>
      </c>
      <c r="XAW1" s="9" t="s">
        <v>16291</v>
      </c>
      <c r="XAX1" s="9" t="s">
        <v>16292</v>
      </c>
      <c r="XAY1" s="9" t="s">
        <v>16293</v>
      </c>
      <c r="XAZ1" s="9" t="s">
        <v>16294</v>
      </c>
      <c r="XBA1" s="9" t="s">
        <v>16295</v>
      </c>
      <c r="XBB1" s="9" t="s">
        <v>16296</v>
      </c>
      <c r="XBC1" s="9" t="s">
        <v>16297</v>
      </c>
      <c r="XBD1" s="9" t="s">
        <v>16298</v>
      </c>
      <c r="XBE1" s="9" t="s">
        <v>16299</v>
      </c>
      <c r="XBF1" s="9" t="s">
        <v>16300</v>
      </c>
      <c r="XBG1" s="9" t="s">
        <v>16301</v>
      </c>
      <c r="XBH1" s="9" t="s">
        <v>16302</v>
      </c>
      <c r="XBI1" s="9" t="s">
        <v>16303</v>
      </c>
      <c r="XBJ1" s="9" t="s">
        <v>16304</v>
      </c>
      <c r="XBK1" s="9" t="s">
        <v>16305</v>
      </c>
      <c r="XBL1" s="9" t="s">
        <v>16306</v>
      </c>
      <c r="XBM1" s="9" t="s">
        <v>16307</v>
      </c>
      <c r="XBN1" s="9" t="s">
        <v>16308</v>
      </c>
      <c r="XBO1" s="9" t="s">
        <v>16309</v>
      </c>
      <c r="XBP1" s="9" t="s">
        <v>16310</v>
      </c>
      <c r="XBQ1" s="9" t="s">
        <v>16311</v>
      </c>
      <c r="XBR1" s="9" t="s">
        <v>16312</v>
      </c>
      <c r="XBS1" s="9" t="s">
        <v>16313</v>
      </c>
      <c r="XBT1" s="9" t="s">
        <v>16314</v>
      </c>
      <c r="XBU1" s="9" t="s">
        <v>16315</v>
      </c>
      <c r="XBV1" s="9" t="s">
        <v>16316</v>
      </c>
      <c r="XBW1" s="9" t="s">
        <v>16317</v>
      </c>
      <c r="XBX1" s="9" t="s">
        <v>16318</v>
      </c>
      <c r="XBY1" s="9" t="s">
        <v>16319</v>
      </c>
      <c r="XBZ1" s="9" t="s">
        <v>16320</v>
      </c>
      <c r="XCA1" s="9" t="s">
        <v>16321</v>
      </c>
      <c r="XCB1" s="9" t="s">
        <v>16322</v>
      </c>
      <c r="XCC1" s="9" t="s">
        <v>16323</v>
      </c>
      <c r="XCD1" s="9" t="s">
        <v>16324</v>
      </c>
      <c r="XCE1" s="9" t="s">
        <v>16325</v>
      </c>
      <c r="XCF1" s="9" t="s">
        <v>16326</v>
      </c>
      <c r="XCG1" s="9" t="s">
        <v>16327</v>
      </c>
      <c r="XCH1" s="9" t="s">
        <v>16328</v>
      </c>
      <c r="XCI1" s="9" t="s">
        <v>16329</v>
      </c>
      <c r="XCJ1" s="9" t="s">
        <v>16330</v>
      </c>
      <c r="XCK1" s="9" t="s">
        <v>16331</v>
      </c>
      <c r="XCL1" s="9" t="s">
        <v>16332</v>
      </c>
      <c r="XCM1" s="9" t="s">
        <v>16333</v>
      </c>
      <c r="XCN1" s="9" t="s">
        <v>16334</v>
      </c>
      <c r="XCO1" s="9" t="s">
        <v>16335</v>
      </c>
      <c r="XCP1" s="9" t="s">
        <v>16336</v>
      </c>
      <c r="XCQ1" s="9" t="s">
        <v>16337</v>
      </c>
      <c r="XCR1" s="9" t="s">
        <v>16338</v>
      </c>
      <c r="XCS1" s="9" t="s">
        <v>16339</v>
      </c>
      <c r="XCT1" s="9" t="s">
        <v>16340</v>
      </c>
      <c r="XCU1" s="9" t="s">
        <v>16341</v>
      </c>
      <c r="XCV1" s="9" t="s">
        <v>16342</v>
      </c>
      <c r="XCW1" s="9" t="s">
        <v>16343</v>
      </c>
      <c r="XCX1" s="9" t="s">
        <v>16344</v>
      </c>
      <c r="XCY1" s="9" t="s">
        <v>16345</v>
      </c>
      <c r="XCZ1" s="9" t="s">
        <v>16346</v>
      </c>
      <c r="XDA1" s="9" t="s">
        <v>16347</v>
      </c>
      <c r="XDB1" s="9" t="s">
        <v>16348</v>
      </c>
      <c r="XDC1" s="9" t="s">
        <v>16349</v>
      </c>
      <c r="XDD1" s="9" t="s">
        <v>16350</v>
      </c>
      <c r="XDE1" s="9" t="s">
        <v>16351</v>
      </c>
      <c r="XDF1" s="9" t="s">
        <v>16352</v>
      </c>
      <c r="XDG1" s="9" t="s">
        <v>16353</v>
      </c>
      <c r="XDH1" s="9" t="s">
        <v>16354</v>
      </c>
      <c r="XDI1" s="9" t="s">
        <v>16355</v>
      </c>
      <c r="XDJ1" s="9" t="s">
        <v>16356</v>
      </c>
      <c r="XDK1" s="9" t="s">
        <v>16357</v>
      </c>
      <c r="XDL1" s="9" t="s">
        <v>16358</v>
      </c>
      <c r="XDM1" s="9" t="s">
        <v>16359</v>
      </c>
      <c r="XDN1" s="9" t="s">
        <v>16360</v>
      </c>
      <c r="XDO1" s="9" t="s">
        <v>16361</v>
      </c>
      <c r="XDP1" s="9" t="s">
        <v>16362</v>
      </c>
      <c r="XDQ1" s="9" t="s">
        <v>16363</v>
      </c>
      <c r="XDR1" s="9" t="s">
        <v>16364</v>
      </c>
      <c r="XDS1" s="9" t="s">
        <v>16365</v>
      </c>
      <c r="XDT1" s="9" t="s">
        <v>16366</v>
      </c>
      <c r="XDU1" s="9" t="s">
        <v>16367</v>
      </c>
      <c r="XDV1" s="9" t="s">
        <v>16368</v>
      </c>
      <c r="XDW1" s="9" t="s">
        <v>16369</v>
      </c>
      <c r="XDX1" s="9" t="s">
        <v>16370</v>
      </c>
      <c r="XDY1" s="9" t="s">
        <v>16371</v>
      </c>
      <c r="XDZ1" s="9" t="s">
        <v>16372</v>
      </c>
      <c r="XEA1" s="9" t="s">
        <v>16373</v>
      </c>
      <c r="XEB1" s="9" t="s">
        <v>16374</v>
      </c>
      <c r="XEC1" s="9" t="s">
        <v>16375</v>
      </c>
      <c r="XED1" s="9" t="s">
        <v>16376</v>
      </c>
      <c r="XEE1" s="9" t="s">
        <v>16377</v>
      </c>
      <c r="XEF1" s="9" t="s">
        <v>16378</v>
      </c>
      <c r="XEG1" s="9" t="s">
        <v>16379</v>
      </c>
      <c r="XEH1" s="9" t="s">
        <v>16380</v>
      </c>
      <c r="XEI1" s="9" t="s">
        <v>16381</v>
      </c>
      <c r="XEJ1" s="9" t="s">
        <v>16382</v>
      </c>
      <c r="XEK1" s="9" t="s">
        <v>16383</v>
      </c>
      <c r="XEL1" s="9" t="s">
        <v>16384</v>
      </c>
      <c r="XEM1" s="9" t="s">
        <v>16385</v>
      </c>
      <c r="XEN1" s="9" t="s">
        <v>16386</v>
      </c>
      <c r="XEO1" s="9" t="s">
        <v>16387</v>
      </c>
      <c r="XEP1" s="9" t="s">
        <v>16388</v>
      </c>
      <c r="XEQ1" s="9" t="s">
        <v>16389</v>
      </c>
      <c r="XER1" s="9" t="s">
        <v>16390</v>
      </c>
      <c r="XES1" s="9" t="s">
        <v>16391</v>
      </c>
      <c r="XET1" s="9" t="s">
        <v>16392</v>
      </c>
      <c r="XEU1" s="9" t="s">
        <v>16393</v>
      </c>
      <c r="XEV1" s="9" t="s">
        <v>16394</v>
      </c>
      <c r="XEW1" s="9" t="s">
        <v>16395</v>
      </c>
      <c r="XEX1" s="9" t="s">
        <v>16396</v>
      </c>
      <c r="XEY1" s="9" t="s">
        <v>16397</v>
      </c>
      <c r="XEZ1" s="9" t="s">
        <v>16398</v>
      </c>
      <c r="XFA1" s="9" t="s">
        <v>16399</v>
      </c>
      <c r="XFB1" s="9" t="s">
        <v>16400</v>
      </c>
      <c r="XFC1" s="9" t="s">
        <v>16401</v>
      </c>
      <c r="XFD1" s="9" t="s">
        <v>16402</v>
      </c>
    </row>
    <row r="2" spans="1:16384" s="11" customFormat="1" x14ac:dyDescent="0.2">
      <c r="A2" s="11">
        <v>1</v>
      </c>
      <c r="F2" s="11" t="s">
        <v>16403</v>
      </c>
      <c r="G2" s="11" t="s">
        <v>16403</v>
      </c>
      <c r="H2" s="12">
        <v>0.6</v>
      </c>
      <c r="I2" s="11" t="s">
        <v>16404</v>
      </c>
      <c r="L2" s="11">
        <v>51.930999999999997</v>
      </c>
      <c r="M2" s="11">
        <v>37.984000000000002</v>
      </c>
      <c r="N2" s="11">
        <v>90.058000000000007</v>
      </c>
      <c r="O2" s="11">
        <v>90.396000000000001</v>
      </c>
      <c r="P2" s="11">
        <v>70.447999999999993</v>
      </c>
      <c r="Q2" s="11">
        <v>69.894999999999996</v>
      </c>
      <c r="R2" s="11">
        <v>93.656999999999996</v>
      </c>
      <c r="S2" s="11">
        <v>95.17</v>
      </c>
      <c r="T2" s="11">
        <v>68.73</v>
      </c>
      <c r="U2" s="11">
        <v>63.081000000000003</v>
      </c>
      <c r="V2" s="11">
        <v>31.27</v>
      </c>
      <c r="W2" s="11">
        <v>36.918999999999997</v>
      </c>
      <c r="X2" s="11">
        <v>15.206</v>
      </c>
      <c r="Y2" s="11">
        <v>14.516999999999999</v>
      </c>
      <c r="Z2" s="11">
        <v>36.918999999999997</v>
      </c>
      <c r="AA2" s="11">
        <v>31.27</v>
      </c>
      <c r="AB2" s="11">
        <v>14.804</v>
      </c>
      <c r="AC2" s="11">
        <v>12</v>
      </c>
      <c r="AD2" s="11">
        <v>11</v>
      </c>
      <c r="AE2" s="11">
        <v>11</v>
      </c>
      <c r="AF2" s="11">
        <v>11</v>
      </c>
    </row>
    <row r="3" spans="1:16384" s="11" customFormat="1" x14ac:dyDescent="0.2">
      <c r="A3" s="11">
        <v>2</v>
      </c>
      <c r="F3" s="11" t="s">
        <v>16403</v>
      </c>
      <c r="G3" s="11" t="s">
        <v>16403</v>
      </c>
      <c r="H3" s="12">
        <v>66.5</v>
      </c>
      <c r="I3" s="11" t="s">
        <v>16404</v>
      </c>
      <c r="L3" s="11">
        <v>51.930999999999997</v>
      </c>
      <c r="M3" s="11">
        <v>37.984000000000002</v>
      </c>
      <c r="N3" s="11">
        <v>90.058000000000007</v>
      </c>
      <c r="O3" s="11">
        <v>90.396000000000001</v>
      </c>
      <c r="P3" s="11">
        <v>70.447999999999993</v>
      </c>
      <c r="Q3" s="11">
        <v>69.894999999999996</v>
      </c>
      <c r="R3" s="11">
        <v>93.656999999999996</v>
      </c>
      <c r="S3" s="11">
        <v>95.17</v>
      </c>
      <c r="T3" s="11">
        <v>68.73</v>
      </c>
      <c r="U3" s="11">
        <v>63.081000000000003</v>
      </c>
      <c r="V3" s="11">
        <v>31.27</v>
      </c>
      <c r="W3" s="11">
        <v>36.918999999999997</v>
      </c>
      <c r="X3" s="11">
        <v>15.206</v>
      </c>
      <c r="Y3" s="11">
        <v>14.516999999999999</v>
      </c>
      <c r="Z3" s="11">
        <v>36.918999999999997</v>
      </c>
      <c r="AA3" s="11">
        <v>31.27</v>
      </c>
      <c r="AB3" s="11">
        <v>14.804</v>
      </c>
      <c r="AC3" s="11">
        <v>12</v>
      </c>
      <c r="AD3" s="11">
        <v>11</v>
      </c>
      <c r="AE3" s="11">
        <v>11</v>
      </c>
      <c r="AF3" s="11">
        <v>11</v>
      </c>
    </row>
    <row r="4" spans="1:16384" s="11" customFormat="1" x14ac:dyDescent="0.2">
      <c r="A4" s="11">
        <v>100</v>
      </c>
      <c r="F4" s="11">
        <v>332</v>
      </c>
      <c r="G4" s="11" t="s">
        <v>16405</v>
      </c>
      <c r="H4" s="12">
        <v>64.3</v>
      </c>
      <c r="I4" s="11" t="s">
        <v>16404</v>
      </c>
      <c r="L4" s="11">
        <v>45.006</v>
      </c>
      <c r="M4" s="11">
        <v>58.814</v>
      </c>
      <c r="N4" s="11">
        <v>103.438</v>
      </c>
      <c r="O4" s="11">
        <v>103.899</v>
      </c>
      <c r="P4" s="11">
        <v>100.863</v>
      </c>
      <c r="Q4" s="11">
        <v>101.235</v>
      </c>
      <c r="R4" s="11">
        <v>118.98699999999999</v>
      </c>
      <c r="S4" s="11">
        <v>116.429</v>
      </c>
      <c r="T4" s="11">
        <v>61.444000000000003</v>
      </c>
      <c r="U4" s="11">
        <v>63.558</v>
      </c>
      <c r="V4" s="11">
        <v>38.555999999999997</v>
      </c>
      <c r="W4" s="11">
        <v>36.442</v>
      </c>
      <c r="X4" s="11">
        <v>12.574</v>
      </c>
      <c r="Y4" s="11">
        <v>12.725</v>
      </c>
      <c r="Z4" s="11">
        <v>36.442</v>
      </c>
      <c r="AA4" s="11">
        <v>38.555999999999997</v>
      </c>
      <c r="AB4" s="11">
        <v>17.196999999999999</v>
      </c>
      <c r="AC4" s="11">
        <v>11</v>
      </c>
      <c r="AD4" s="11">
        <v>9</v>
      </c>
      <c r="AE4" s="11">
        <v>9</v>
      </c>
      <c r="AF4" s="11">
        <v>9</v>
      </c>
    </row>
    <row r="5" spans="1:16384" s="11" customFormat="1" x14ac:dyDescent="0.2">
      <c r="A5" s="11">
        <v>101</v>
      </c>
      <c r="F5" s="11">
        <v>333.1</v>
      </c>
      <c r="G5" s="11" t="s">
        <v>16406</v>
      </c>
      <c r="H5" s="12">
        <v>70.2</v>
      </c>
      <c r="I5" s="11" t="s">
        <v>16404</v>
      </c>
      <c r="L5" s="11">
        <v>60.595999999999997</v>
      </c>
      <c r="M5" s="11">
        <v>63.677999999999997</v>
      </c>
      <c r="N5" s="11">
        <v>124.71599999999999</v>
      </c>
      <c r="O5" s="11">
        <v>124.991</v>
      </c>
      <c r="P5" s="11">
        <v>109.952</v>
      </c>
      <c r="Q5" s="11">
        <v>110.011</v>
      </c>
      <c r="R5" s="11">
        <v>106.251</v>
      </c>
      <c r="S5" s="11">
        <v>105.694</v>
      </c>
      <c r="T5" s="11">
        <v>63.624000000000002</v>
      </c>
      <c r="U5" s="11">
        <v>63.762999999999998</v>
      </c>
      <c r="V5" s="11">
        <v>36.375999999999998</v>
      </c>
      <c r="W5" s="11">
        <v>36.237000000000002</v>
      </c>
      <c r="X5" s="11">
        <v>13.943</v>
      </c>
      <c r="Y5" s="11">
        <v>13.683</v>
      </c>
      <c r="Z5" s="11">
        <v>36.237000000000002</v>
      </c>
      <c r="AA5" s="11">
        <v>36.375999999999998</v>
      </c>
      <c r="AB5" s="11">
        <v>13.364000000000001</v>
      </c>
      <c r="AC5" s="11">
        <v>12</v>
      </c>
      <c r="AD5" s="11">
        <v>12</v>
      </c>
      <c r="AE5" s="11">
        <v>12</v>
      </c>
      <c r="AF5" s="11">
        <v>12</v>
      </c>
    </row>
    <row r="6" spans="1:16384" s="11" customFormat="1" x14ac:dyDescent="0.2">
      <c r="A6" s="11">
        <v>102</v>
      </c>
      <c r="F6" s="11">
        <v>333.1</v>
      </c>
      <c r="G6" s="11" t="s">
        <v>16406</v>
      </c>
      <c r="H6" s="12">
        <v>75.3</v>
      </c>
      <c r="I6" s="11" t="s">
        <v>16404</v>
      </c>
      <c r="L6" s="11">
        <v>62.112000000000002</v>
      </c>
      <c r="M6" s="11">
        <v>61.255000000000003</v>
      </c>
      <c r="N6" s="11">
        <v>123.01900000000001</v>
      </c>
      <c r="O6" s="11">
        <v>123.639</v>
      </c>
      <c r="P6" s="11">
        <v>113.806</v>
      </c>
      <c r="Q6" s="11">
        <v>114.884</v>
      </c>
      <c r="R6" s="11">
        <v>111.241</v>
      </c>
      <c r="S6" s="11">
        <v>110.96</v>
      </c>
      <c r="T6" s="11">
        <v>62.024000000000001</v>
      </c>
      <c r="U6" s="11">
        <v>61.332000000000001</v>
      </c>
      <c r="V6" s="11">
        <v>37.975999999999999</v>
      </c>
      <c r="W6" s="11">
        <v>38.667999999999999</v>
      </c>
      <c r="X6" s="11">
        <v>11.321</v>
      </c>
      <c r="Y6" s="11">
        <v>12.936999999999999</v>
      </c>
      <c r="Z6" s="11">
        <v>38.667999999999999</v>
      </c>
      <c r="AA6" s="11">
        <v>37.975999999999999</v>
      </c>
      <c r="AB6" s="11">
        <v>10.92</v>
      </c>
      <c r="AC6" s="11">
        <v>6</v>
      </c>
      <c r="AD6" s="11">
        <v>5</v>
      </c>
      <c r="AE6" s="11">
        <v>5</v>
      </c>
      <c r="AF6" s="11">
        <v>5</v>
      </c>
    </row>
    <row r="7" spans="1:16384" s="11" customFormat="1" x14ac:dyDescent="0.2">
      <c r="A7" s="11">
        <v>103</v>
      </c>
      <c r="F7" s="11">
        <v>332</v>
      </c>
      <c r="G7" s="11" t="s">
        <v>16405</v>
      </c>
      <c r="H7" s="12">
        <v>59.5</v>
      </c>
      <c r="I7" s="11" t="s">
        <v>16407</v>
      </c>
      <c r="L7" s="11">
        <v>43.561999999999998</v>
      </c>
      <c r="M7" s="11">
        <v>49.287999999999997</v>
      </c>
      <c r="N7" s="11">
        <v>93.16</v>
      </c>
      <c r="O7" s="11">
        <v>92.283000000000001</v>
      </c>
      <c r="P7" s="11">
        <v>83.733999999999995</v>
      </c>
      <c r="Q7" s="11">
        <v>82.768000000000001</v>
      </c>
      <c r="R7" s="11">
        <v>107.72</v>
      </c>
      <c r="S7" s="11">
        <v>107.31</v>
      </c>
      <c r="T7" s="11">
        <v>63.116</v>
      </c>
      <c r="U7" s="11">
        <v>63.244</v>
      </c>
      <c r="V7" s="11">
        <v>36.884</v>
      </c>
      <c r="W7" s="11">
        <v>36.756</v>
      </c>
      <c r="X7" s="11">
        <v>14.772</v>
      </c>
      <c r="Y7" s="11">
        <v>11.582000000000001</v>
      </c>
      <c r="Z7" s="11">
        <v>36.756</v>
      </c>
      <c r="AA7" s="11">
        <v>36.884</v>
      </c>
      <c r="AB7" s="11">
        <v>10.452</v>
      </c>
      <c r="AC7" s="11">
        <v>14</v>
      </c>
      <c r="AD7" s="11">
        <v>14</v>
      </c>
      <c r="AE7" s="11">
        <v>14</v>
      </c>
      <c r="AF7" s="11">
        <v>14</v>
      </c>
    </row>
    <row r="8" spans="1:16384" s="11" customFormat="1" x14ac:dyDescent="0.2">
      <c r="A8" s="11">
        <v>104</v>
      </c>
      <c r="F8" s="11">
        <v>333.89</v>
      </c>
      <c r="G8" s="11" t="s">
        <v>16408</v>
      </c>
      <c r="H8" s="12">
        <v>70.599999999999994</v>
      </c>
      <c r="I8" s="11" t="s">
        <v>16407</v>
      </c>
      <c r="L8" s="11">
        <v>38.603000000000002</v>
      </c>
      <c r="M8" s="11">
        <v>42.033999999999999</v>
      </c>
      <c r="N8" s="11">
        <v>80.977999999999994</v>
      </c>
      <c r="O8" s="11">
        <v>79.698999999999998</v>
      </c>
      <c r="P8" s="11">
        <v>58.076999999999998</v>
      </c>
      <c r="Q8" s="11">
        <v>59.277000000000001</v>
      </c>
      <c r="R8" s="11">
        <v>88.346000000000004</v>
      </c>
      <c r="S8" s="11">
        <v>89.012</v>
      </c>
      <c r="T8" s="11">
        <v>69.787999999999997</v>
      </c>
      <c r="U8" s="11">
        <v>68.756</v>
      </c>
      <c r="V8" s="11">
        <v>30.212</v>
      </c>
      <c r="W8" s="11">
        <v>31.244</v>
      </c>
      <c r="X8" s="11">
        <v>20.158999999999999</v>
      </c>
      <c r="Y8" s="11">
        <v>18.084</v>
      </c>
      <c r="Z8" s="11">
        <v>31.244</v>
      </c>
      <c r="AA8" s="11">
        <v>30.212</v>
      </c>
      <c r="AB8" s="11">
        <v>14.108000000000001</v>
      </c>
      <c r="AC8" s="11">
        <v>16</v>
      </c>
      <c r="AD8" s="11">
        <v>14</v>
      </c>
      <c r="AE8" s="11">
        <v>14</v>
      </c>
      <c r="AF8" s="11">
        <v>14</v>
      </c>
    </row>
    <row r="9" spans="1:16384" s="11" customFormat="1" x14ac:dyDescent="0.2">
      <c r="A9" s="11">
        <v>105</v>
      </c>
      <c r="F9" s="11">
        <v>332</v>
      </c>
      <c r="G9" s="11" t="s">
        <v>16405</v>
      </c>
      <c r="H9" s="12">
        <v>63.2</v>
      </c>
      <c r="I9" s="11" t="s">
        <v>16404</v>
      </c>
      <c r="L9" s="11">
        <v>59.383000000000003</v>
      </c>
      <c r="M9" s="11">
        <v>59.351999999999997</v>
      </c>
      <c r="N9" s="11">
        <v>118.407</v>
      </c>
      <c r="O9" s="11">
        <v>119.18300000000001</v>
      </c>
      <c r="P9" s="11">
        <v>116.79900000000001</v>
      </c>
      <c r="Q9" s="11">
        <v>119.557</v>
      </c>
      <c r="R9" s="11">
        <v>118.348</v>
      </c>
      <c r="S9" s="11">
        <v>119.58199999999999</v>
      </c>
      <c r="T9" s="11">
        <v>64.87</v>
      </c>
      <c r="U9" s="11">
        <v>65.290999999999997</v>
      </c>
      <c r="V9" s="11">
        <v>35.128999999999998</v>
      </c>
      <c r="W9" s="11">
        <v>34.709000000000003</v>
      </c>
      <c r="X9" s="11">
        <v>14.724</v>
      </c>
      <c r="Y9" s="11">
        <v>15.632</v>
      </c>
      <c r="Z9" s="11">
        <v>34.709000000000003</v>
      </c>
      <c r="AA9" s="11">
        <v>35.128999999999998</v>
      </c>
      <c r="AB9" s="11">
        <v>12.680999999999999</v>
      </c>
      <c r="AC9" s="11">
        <v>12</v>
      </c>
      <c r="AD9" s="11">
        <v>12</v>
      </c>
      <c r="AE9" s="11">
        <v>12</v>
      </c>
      <c r="AF9" s="11">
        <v>12</v>
      </c>
    </row>
    <row r="10" spans="1:16384" s="11" customFormat="1" x14ac:dyDescent="0.2">
      <c r="A10" s="11">
        <v>106</v>
      </c>
      <c r="F10" s="11" t="s">
        <v>16403</v>
      </c>
      <c r="G10" s="11" t="s">
        <v>16403</v>
      </c>
      <c r="H10" s="12">
        <v>70.3</v>
      </c>
      <c r="I10" s="11" t="s">
        <v>16404</v>
      </c>
      <c r="L10" s="11" t="s">
        <v>16403</v>
      </c>
      <c r="M10" s="11" t="s">
        <v>16403</v>
      </c>
      <c r="N10" s="11" t="s">
        <v>16403</v>
      </c>
      <c r="O10" s="11" t="s">
        <v>16403</v>
      </c>
      <c r="P10" s="11" t="s">
        <v>16403</v>
      </c>
      <c r="Q10" s="11" t="s">
        <v>16403</v>
      </c>
      <c r="R10" s="11" t="s">
        <v>16403</v>
      </c>
      <c r="S10" s="11" t="s">
        <v>16403</v>
      </c>
      <c r="T10" s="11" t="s">
        <v>16403</v>
      </c>
      <c r="U10" s="11" t="s">
        <v>16403</v>
      </c>
      <c r="V10" s="11" t="s">
        <v>16403</v>
      </c>
      <c r="W10" s="11" t="s">
        <v>16403</v>
      </c>
      <c r="X10" s="11" t="s">
        <v>16403</v>
      </c>
      <c r="Y10" s="11" t="s">
        <v>16403</v>
      </c>
      <c r="Z10" s="11" t="s">
        <v>16403</v>
      </c>
      <c r="AA10" s="11" t="s">
        <v>16403</v>
      </c>
      <c r="AB10" s="11" t="s">
        <v>16403</v>
      </c>
      <c r="AC10" s="11" t="s">
        <v>16403</v>
      </c>
      <c r="AD10" s="11" t="s">
        <v>16403</v>
      </c>
      <c r="AE10" s="11" t="s">
        <v>16403</v>
      </c>
      <c r="AF10" s="11" t="s">
        <v>16403</v>
      </c>
    </row>
    <row r="11" spans="1:16384" s="11" customFormat="1" x14ac:dyDescent="0.2">
      <c r="A11" s="11">
        <v>107</v>
      </c>
      <c r="F11" s="11">
        <v>333.89</v>
      </c>
      <c r="G11" s="11" t="s">
        <v>16408</v>
      </c>
      <c r="H11" s="12">
        <v>66</v>
      </c>
      <c r="I11" s="11" t="s">
        <v>16407</v>
      </c>
      <c r="L11" s="11">
        <v>61.043999999999997</v>
      </c>
      <c r="M11" s="11">
        <v>61.673999999999999</v>
      </c>
      <c r="N11" s="11">
        <v>122.32</v>
      </c>
      <c r="O11" s="11">
        <v>123.408</v>
      </c>
      <c r="P11" s="11">
        <v>120.995</v>
      </c>
      <c r="Q11" s="11">
        <v>122.938</v>
      </c>
      <c r="R11" s="11">
        <v>119.791</v>
      </c>
      <c r="S11" s="11">
        <v>120.435</v>
      </c>
      <c r="T11" s="11">
        <v>60.366999999999997</v>
      </c>
      <c r="U11" s="11">
        <v>59.564</v>
      </c>
      <c r="V11" s="11">
        <v>39.633000000000003</v>
      </c>
      <c r="W11" s="11">
        <v>40.436</v>
      </c>
      <c r="X11" s="11">
        <v>10.388999999999999</v>
      </c>
      <c r="Y11" s="11">
        <v>9.9049999999999994</v>
      </c>
      <c r="Z11" s="11">
        <v>40.436</v>
      </c>
      <c r="AA11" s="11">
        <v>39.633000000000003</v>
      </c>
      <c r="AB11" s="11">
        <v>10.728999999999999</v>
      </c>
      <c r="AC11" s="11">
        <v>15</v>
      </c>
      <c r="AD11" s="11">
        <v>13</v>
      </c>
      <c r="AE11" s="11">
        <v>13</v>
      </c>
      <c r="AF11" s="11">
        <v>13</v>
      </c>
    </row>
    <row r="12" spans="1:16384" s="11" customFormat="1" x14ac:dyDescent="0.2">
      <c r="A12" s="11">
        <v>108</v>
      </c>
      <c r="F12" s="11">
        <v>333.1</v>
      </c>
      <c r="G12" s="11" t="s">
        <v>16406</v>
      </c>
      <c r="H12" s="12">
        <v>63.2</v>
      </c>
      <c r="I12" s="11" t="s">
        <v>16404</v>
      </c>
      <c r="L12" s="11">
        <v>32.179000000000002</v>
      </c>
      <c r="M12" s="11">
        <v>34.744999999999997</v>
      </c>
      <c r="N12" s="11">
        <v>67.171999999999997</v>
      </c>
      <c r="O12" s="11">
        <v>66.525999999999996</v>
      </c>
      <c r="P12" s="11">
        <v>35.664000000000001</v>
      </c>
      <c r="Q12" s="11">
        <v>35.975999999999999</v>
      </c>
      <c r="R12" s="11">
        <v>63.924999999999997</v>
      </c>
      <c r="S12" s="11">
        <v>64.108999999999995</v>
      </c>
      <c r="T12" s="11">
        <v>69.382000000000005</v>
      </c>
      <c r="U12" s="11">
        <v>70.652000000000001</v>
      </c>
      <c r="V12" s="11">
        <v>30.617999999999999</v>
      </c>
      <c r="W12" s="11">
        <v>29.347999999999999</v>
      </c>
      <c r="X12" s="11">
        <v>20.738</v>
      </c>
      <c r="Y12" s="11">
        <v>19.038</v>
      </c>
      <c r="Z12" s="11">
        <v>29.347999999999999</v>
      </c>
      <c r="AA12" s="11">
        <v>30.617999999999999</v>
      </c>
      <c r="AB12" s="11">
        <v>24.03</v>
      </c>
      <c r="AC12" s="11">
        <v>6</v>
      </c>
      <c r="AD12" s="11">
        <v>6</v>
      </c>
      <c r="AE12" s="11">
        <v>6</v>
      </c>
      <c r="AF12" s="11">
        <v>6</v>
      </c>
    </row>
    <row r="13" spans="1:16384" s="11" customFormat="1" x14ac:dyDescent="0.2">
      <c r="A13" s="11">
        <v>109</v>
      </c>
      <c r="F13" s="11">
        <v>332</v>
      </c>
      <c r="G13" s="11" t="s">
        <v>16405</v>
      </c>
      <c r="H13" s="12">
        <v>86</v>
      </c>
      <c r="I13" s="11" t="s">
        <v>16404</v>
      </c>
      <c r="L13" s="11">
        <v>48.478000000000002</v>
      </c>
      <c r="M13" s="11">
        <v>48.902000000000001</v>
      </c>
      <c r="N13" s="11">
        <v>96.64</v>
      </c>
      <c r="O13" s="11">
        <v>96.933999999999997</v>
      </c>
      <c r="P13" s="11">
        <v>89.289000000000001</v>
      </c>
      <c r="Q13" s="11">
        <v>90.173000000000002</v>
      </c>
      <c r="R13" s="11">
        <v>111.339</v>
      </c>
      <c r="S13" s="11">
        <v>110.875</v>
      </c>
      <c r="T13" s="11">
        <v>62.606999999999999</v>
      </c>
      <c r="U13" s="11">
        <v>62.893000000000001</v>
      </c>
      <c r="V13" s="11">
        <v>37.393000000000001</v>
      </c>
      <c r="W13" s="11">
        <v>37.106999999999999</v>
      </c>
      <c r="X13" s="11">
        <v>12.911</v>
      </c>
      <c r="Y13" s="11">
        <v>12.499000000000001</v>
      </c>
      <c r="Z13" s="11">
        <v>37.106999999999999</v>
      </c>
      <c r="AA13" s="11">
        <v>37.393000000000001</v>
      </c>
      <c r="AB13" s="11">
        <v>14.026999999999999</v>
      </c>
      <c r="AC13" s="11">
        <v>7</v>
      </c>
      <c r="AD13" s="11">
        <v>8</v>
      </c>
      <c r="AE13" s="11">
        <v>7</v>
      </c>
      <c r="AF13" s="11">
        <v>7</v>
      </c>
    </row>
    <row r="14" spans="1:16384" s="11" customFormat="1" x14ac:dyDescent="0.2">
      <c r="A14" s="11">
        <v>110</v>
      </c>
      <c r="F14" s="11">
        <v>332</v>
      </c>
      <c r="G14" s="11" t="s">
        <v>16405</v>
      </c>
      <c r="H14" s="12">
        <v>65.5</v>
      </c>
      <c r="I14" s="11" t="s">
        <v>16404</v>
      </c>
      <c r="L14" s="11">
        <v>66.605000000000004</v>
      </c>
      <c r="M14" s="11">
        <v>62.741999999999997</v>
      </c>
      <c r="N14" s="11">
        <v>128.55799999999999</v>
      </c>
      <c r="O14" s="11">
        <v>130.35900000000001</v>
      </c>
      <c r="P14" s="11">
        <v>156.27500000000001</v>
      </c>
      <c r="Q14" s="11">
        <v>157.953</v>
      </c>
      <c r="R14" s="11">
        <v>146.703</v>
      </c>
      <c r="S14" s="11">
        <v>145.65199999999999</v>
      </c>
      <c r="T14" s="11">
        <v>60.811</v>
      </c>
      <c r="U14" s="11">
        <v>60.31</v>
      </c>
      <c r="V14" s="11">
        <v>39.189</v>
      </c>
      <c r="W14" s="11">
        <v>39.69</v>
      </c>
      <c r="X14" s="11">
        <v>9.7279999999999998</v>
      </c>
      <c r="Y14" s="11">
        <v>11.401999999999999</v>
      </c>
      <c r="Z14" s="11">
        <v>39.69</v>
      </c>
      <c r="AA14" s="11">
        <v>39.189</v>
      </c>
      <c r="AB14" s="11">
        <v>7.6120000000000001</v>
      </c>
      <c r="AC14" s="11">
        <v>10</v>
      </c>
      <c r="AD14" s="11">
        <v>11</v>
      </c>
      <c r="AE14" s="11">
        <v>10</v>
      </c>
      <c r="AF14" s="11">
        <v>10</v>
      </c>
    </row>
    <row r="15" spans="1:16384" s="11" customFormat="1" x14ac:dyDescent="0.2">
      <c r="A15" s="11">
        <v>111</v>
      </c>
      <c r="F15" s="11">
        <v>333</v>
      </c>
      <c r="G15" s="11" t="s">
        <v>16409</v>
      </c>
      <c r="H15" s="12">
        <v>72.2</v>
      </c>
      <c r="I15" s="11" t="s">
        <v>16407</v>
      </c>
      <c r="L15" s="11">
        <v>31.9</v>
      </c>
      <c r="M15" s="11">
        <v>24.724</v>
      </c>
      <c r="N15" s="11">
        <v>58.162999999999997</v>
      </c>
      <c r="O15" s="11">
        <v>58.923999999999999</v>
      </c>
      <c r="P15" s="11">
        <v>33.738</v>
      </c>
      <c r="Q15" s="11">
        <v>33.722000000000001</v>
      </c>
      <c r="R15" s="11">
        <v>69.387</v>
      </c>
      <c r="S15" s="11">
        <v>66.528999999999996</v>
      </c>
      <c r="T15" s="11">
        <v>69.397999999999996</v>
      </c>
      <c r="U15" s="11">
        <v>69.094999999999999</v>
      </c>
      <c r="V15" s="11">
        <v>30.602</v>
      </c>
      <c r="W15" s="11">
        <v>30.905000000000001</v>
      </c>
      <c r="X15" s="11">
        <v>20.882999999999999</v>
      </c>
      <c r="Y15" s="11">
        <v>18.574999999999999</v>
      </c>
      <c r="Z15" s="11">
        <v>30.905000000000001</v>
      </c>
      <c r="AA15" s="11">
        <v>30.602</v>
      </c>
      <c r="AB15" s="11">
        <v>11.93</v>
      </c>
      <c r="AC15" s="11">
        <v>15</v>
      </c>
      <c r="AD15" s="11">
        <v>12</v>
      </c>
      <c r="AE15" s="11">
        <v>12</v>
      </c>
      <c r="AF15" s="11">
        <v>12</v>
      </c>
    </row>
    <row r="16" spans="1:16384" s="11" customFormat="1" x14ac:dyDescent="0.2">
      <c r="A16" s="11">
        <v>113</v>
      </c>
      <c r="F16" s="11">
        <v>333.1</v>
      </c>
      <c r="G16" s="11" t="s">
        <v>16406</v>
      </c>
      <c r="H16" s="12">
        <v>64.099999999999994</v>
      </c>
      <c r="I16" s="11" t="s">
        <v>16404</v>
      </c>
      <c r="L16" s="11">
        <v>64.789000000000001</v>
      </c>
      <c r="M16" s="11">
        <v>67.117000000000004</v>
      </c>
      <c r="N16" s="11">
        <v>131.76900000000001</v>
      </c>
      <c r="O16" s="11">
        <v>132.17599999999999</v>
      </c>
      <c r="P16" s="11">
        <v>129.56399999999999</v>
      </c>
      <c r="Q16" s="11">
        <v>130.01300000000001</v>
      </c>
      <c r="R16" s="11">
        <v>117.92400000000001</v>
      </c>
      <c r="S16" s="11">
        <v>117.54300000000001</v>
      </c>
      <c r="T16" s="11">
        <v>60.868000000000002</v>
      </c>
      <c r="U16" s="11">
        <v>60.121000000000002</v>
      </c>
      <c r="V16" s="11">
        <v>39.131999999999998</v>
      </c>
      <c r="W16" s="11">
        <v>39.878999999999998</v>
      </c>
      <c r="X16" s="11">
        <v>10.27</v>
      </c>
      <c r="Y16" s="11">
        <v>11.153</v>
      </c>
      <c r="Z16" s="11">
        <v>39.878999999999998</v>
      </c>
      <c r="AA16" s="11">
        <v>39.131999999999998</v>
      </c>
      <c r="AB16" s="11">
        <v>8.5459999999999994</v>
      </c>
      <c r="AC16" s="11">
        <v>20</v>
      </c>
      <c r="AD16" s="11">
        <v>15</v>
      </c>
      <c r="AE16" s="11">
        <v>15</v>
      </c>
      <c r="AF16" s="11">
        <v>15</v>
      </c>
    </row>
    <row r="17" spans="1:32" s="11" customFormat="1" x14ac:dyDescent="0.2">
      <c r="A17" s="11">
        <v>114</v>
      </c>
      <c r="F17" s="11">
        <v>781.2</v>
      </c>
      <c r="G17" s="11" t="s">
        <v>16410</v>
      </c>
      <c r="H17" s="12">
        <v>79.900000000000006</v>
      </c>
      <c r="I17" s="11" t="s">
        <v>16404</v>
      </c>
      <c r="L17" s="11">
        <v>9.7609999999999992</v>
      </c>
      <c r="M17" s="11">
        <v>32.265000000000001</v>
      </c>
      <c r="N17" s="11">
        <v>42.308</v>
      </c>
      <c r="O17" s="11">
        <v>42.48</v>
      </c>
      <c r="P17" s="11">
        <v>33.091000000000001</v>
      </c>
      <c r="Q17" s="11">
        <v>33.304000000000002</v>
      </c>
      <c r="R17" s="11">
        <v>95.953000000000003</v>
      </c>
      <c r="S17" s="11">
        <v>96.912999999999997</v>
      </c>
      <c r="T17" s="11">
        <v>72.399000000000001</v>
      </c>
      <c r="U17" s="11">
        <v>69.141000000000005</v>
      </c>
      <c r="V17" s="11">
        <v>27.600999999999999</v>
      </c>
      <c r="W17" s="11">
        <v>30.859000000000002</v>
      </c>
      <c r="X17" s="11">
        <v>19.538</v>
      </c>
      <c r="Y17" s="11">
        <v>21.811</v>
      </c>
      <c r="Z17" s="11">
        <v>30.859000000000002</v>
      </c>
      <c r="AA17" s="11">
        <v>27.600999999999999</v>
      </c>
      <c r="AB17" s="11">
        <v>19.405000000000001</v>
      </c>
      <c r="AC17" s="11">
        <v>24</v>
      </c>
      <c r="AD17" s="11">
        <v>23</v>
      </c>
      <c r="AE17" s="11">
        <v>23</v>
      </c>
      <c r="AF17" s="11">
        <v>23</v>
      </c>
    </row>
    <row r="18" spans="1:32" s="11" customFormat="1" x14ac:dyDescent="0.2">
      <c r="A18" s="11">
        <v>115</v>
      </c>
      <c r="F18" s="11">
        <v>781</v>
      </c>
      <c r="G18" s="11" t="s">
        <v>16411</v>
      </c>
      <c r="H18" s="12">
        <v>47.3</v>
      </c>
      <c r="I18" s="11" t="s">
        <v>16407</v>
      </c>
      <c r="L18" s="11">
        <v>29.140999999999998</v>
      </c>
      <c r="M18" s="11">
        <v>26.29</v>
      </c>
      <c r="N18" s="11">
        <v>57.536000000000001</v>
      </c>
      <c r="O18" s="11">
        <v>55.432000000000002</v>
      </c>
      <c r="P18" s="11">
        <v>23.244</v>
      </c>
      <c r="Q18" s="11">
        <v>23.314</v>
      </c>
      <c r="R18" s="11">
        <v>49.628999999999998</v>
      </c>
      <c r="S18" s="11">
        <v>49.573</v>
      </c>
      <c r="T18" s="11">
        <v>73.914000000000001</v>
      </c>
      <c r="U18" s="11">
        <v>75.349000000000004</v>
      </c>
      <c r="V18" s="11">
        <v>26.085999999999999</v>
      </c>
      <c r="W18" s="11">
        <v>24.651</v>
      </c>
      <c r="X18" s="11">
        <v>25.896999999999998</v>
      </c>
      <c r="Y18" s="11">
        <v>24.597999999999999</v>
      </c>
      <c r="Z18" s="11">
        <v>24.651</v>
      </c>
      <c r="AA18" s="11">
        <v>26.085999999999999</v>
      </c>
      <c r="AB18" s="11">
        <v>25.38</v>
      </c>
      <c r="AC18" s="11">
        <v>7</v>
      </c>
      <c r="AD18" s="11">
        <v>8</v>
      </c>
      <c r="AE18" s="11">
        <v>7</v>
      </c>
      <c r="AF18" s="11">
        <v>7</v>
      </c>
    </row>
    <row r="19" spans="1:32" s="11" customFormat="1" x14ac:dyDescent="0.2">
      <c r="A19" s="11">
        <v>116</v>
      </c>
      <c r="F19" s="11">
        <v>332</v>
      </c>
      <c r="G19" s="11" t="s">
        <v>16405</v>
      </c>
      <c r="H19" s="12">
        <v>65.7</v>
      </c>
      <c r="I19" s="11" t="s">
        <v>16404</v>
      </c>
      <c r="L19" s="11">
        <v>44.043999999999997</v>
      </c>
      <c r="M19" s="11">
        <v>40.771000000000001</v>
      </c>
      <c r="N19" s="11">
        <v>85.947000000000003</v>
      </c>
      <c r="O19" s="11">
        <v>84.981999999999999</v>
      </c>
      <c r="P19" s="11">
        <v>55.643999999999998</v>
      </c>
      <c r="Q19" s="11">
        <v>56.616</v>
      </c>
      <c r="R19" s="11">
        <v>78.168999999999997</v>
      </c>
      <c r="S19" s="11">
        <v>79.582999999999998</v>
      </c>
      <c r="T19" s="11">
        <v>65.301000000000002</v>
      </c>
      <c r="U19" s="11">
        <v>66.626999999999995</v>
      </c>
      <c r="V19" s="11">
        <v>34.698999999999998</v>
      </c>
      <c r="W19" s="11">
        <v>33.372999999999998</v>
      </c>
      <c r="X19" s="11">
        <v>16.190999999999999</v>
      </c>
      <c r="Y19" s="11">
        <v>15.813000000000001</v>
      </c>
      <c r="Z19" s="11">
        <v>33.372999999999998</v>
      </c>
      <c r="AA19" s="11">
        <v>34.698999999999998</v>
      </c>
      <c r="AB19" s="11">
        <v>10.762</v>
      </c>
      <c r="AC19" s="11">
        <v>11</v>
      </c>
      <c r="AD19" s="11">
        <v>11</v>
      </c>
      <c r="AE19" s="11">
        <v>11</v>
      </c>
      <c r="AF19" s="11">
        <v>11</v>
      </c>
    </row>
    <row r="20" spans="1:32" s="11" customFormat="1" x14ac:dyDescent="0.2">
      <c r="A20" s="11">
        <v>117</v>
      </c>
      <c r="F20" s="11">
        <v>333.1</v>
      </c>
      <c r="G20" s="11" t="s">
        <v>16406</v>
      </c>
      <c r="H20" s="12">
        <v>79.3</v>
      </c>
      <c r="I20" s="11" t="s">
        <v>16404</v>
      </c>
      <c r="L20" s="11">
        <v>63.366</v>
      </c>
      <c r="M20" s="11">
        <v>64.718999999999994</v>
      </c>
      <c r="N20" s="11">
        <v>126.759</v>
      </c>
      <c r="O20" s="11">
        <v>128.542</v>
      </c>
      <c r="P20" s="11">
        <v>104.42700000000001</v>
      </c>
      <c r="Q20" s="11">
        <v>103.974</v>
      </c>
      <c r="R20" s="11">
        <v>99.994</v>
      </c>
      <c r="S20" s="11">
        <v>98.236999999999995</v>
      </c>
      <c r="T20" s="11">
        <v>62.496000000000002</v>
      </c>
      <c r="U20" s="11">
        <v>62.863</v>
      </c>
      <c r="V20" s="11">
        <v>37.503999999999998</v>
      </c>
      <c r="W20" s="11">
        <v>37.137</v>
      </c>
      <c r="X20" s="11">
        <v>12.779</v>
      </c>
      <c r="Y20" s="11">
        <v>13.028</v>
      </c>
      <c r="Z20" s="11">
        <v>37.137</v>
      </c>
      <c r="AA20" s="11">
        <v>37.503999999999998</v>
      </c>
      <c r="AB20" s="11">
        <v>12.702999999999999</v>
      </c>
      <c r="AC20" s="11">
        <v>9</v>
      </c>
      <c r="AD20" s="11">
        <v>10</v>
      </c>
      <c r="AE20" s="11">
        <v>9</v>
      </c>
      <c r="AF20" s="11">
        <v>9</v>
      </c>
    </row>
    <row r="21" spans="1:32" s="11" customFormat="1" x14ac:dyDescent="0.2">
      <c r="A21" s="11">
        <v>118</v>
      </c>
      <c r="F21" s="11">
        <v>332</v>
      </c>
      <c r="G21" s="11" t="s">
        <v>16405</v>
      </c>
      <c r="H21" s="12">
        <v>72.599999999999994</v>
      </c>
      <c r="I21" s="11" t="s">
        <v>16407</v>
      </c>
      <c r="L21" s="11" t="s">
        <v>16403</v>
      </c>
      <c r="M21" s="11" t="s">
        <v>16403</v>
      </c>
      <c r="N21" s="11" t="s">
        <v>16403</v>
      </c>
      <c r="O21" s="11" t="s">
        <v>16403</v>
      </c>
      <c r="P21" s="11" t="s">
        <v>16403</v>
      </c>
      <c r="Q21" s="11" t="s">
        <v>16403</v>
      </c>
      <c r="R21" s="11" t="s">
        <v>16403</v>
      </c>
      <c r="S21" s="11" t="s">
        <v>16403</v>
      </c>
      <c r="T21" s="11" t="s">
        <v>16403</v>
      </c>
      <c r="U21" s="11" t="s">
        <v>16403</v>
      </c>
      <c r="V21" s="11" t="s">
        <v>16403</v>
      </c>
      <c r="W21" s="11" t="s">
        <v>16403</v>
      </c>
      <c r="X21" s="11" t="s">
        <v>16403</v>
      </c>
      <c r="Y21" s="11" t="s">
        <v>16403</v>
      </c>
      <c r="Z21" s="11" t="s">
        <v>16403</v>
      </c>
      <c r="AA21" s="11" t="s">
        <v>16403</v>
      </c>
      <c r="AB21" s="11" t="s">
        <v>16403</v>
      </c>
      <c r="AC21" s="11" t="s">
        <v>16403</v>
      </c>
      <c r="AD21" s="11" t="s">
        <v>16403</v>
      </c>
      <c r="AE21" s="11" t="s">
        <v>16403</v>
      </c>
      <c r="AF21" s="11" t="s">
        <v>16403</v>
      </c>
    </row>
    <row r="22" spans="1:32" s="11" customFormat="1" x14ac:dyDescent="0.2">
      <c r="A22" s="11">
        <v>119</v>
      </c>
      <c r="F22" s="11">
        <v>333.1</v>
      </c>
      <c r="G22" s="11" t="s">
        <v>16406</v>
      </c>
      <c r="H22" s="12">
        <v>61</v>
      </c>
      <c r="I22" s="11" t="s">
        <v>16407</v>
      </c>
      <c r="L22" s="11">
        <v>52.430999999999997</v>
      </c>
      <c r="M22" s="11">
        <v>48.420999999999999</v>
      </c>
      <c r="N22" s="11">
        <v>100.926</v>
      </c>
      <c r="O22" s="11">
        <v>101.01300000000001</v>
      </c>
      <c r="P22" s="11">
        <v>96.497</v>
      </c>
      <c r="Q22" s="11">
        <v>96.465999999999994</v>
      </c>
      <c r="R22" s="11">
        <v>115.069</v>
      </c>
      <c r="S22" s="11">
        <v>114.95099999999999</v>
      </c>
      <c r="T22" s="11">
        <v>63.997999999999998</v>
      </c>
      <c r="U22" s="11">
        <v>62.74</v>
      </c>
      <c r="V22" s="11">
        <v>36.002000000000002</v>
      </c>
      <c r="W22" s="11">
        <v>37.26</v>
      </c>
      <c r="X22" s="11">
        <v>13.073</v>
      </c>
      <c r="Y22" s="11">
        <v>13.443</v>
      </c>
      <c r="Z22" s="11">
        <v>37.26</v>
      </c>
      <c r="AA22" s="11">
        <v>36.002000000000002</v>
      </c>
      <c r="AB22" s="11">
        <v>16.416</v>
      </c>
      <c r="AC22" s="11">
        <v>16</v>
      </c>
      <c r="AD22" s="11">
        <v>19</v>
      </c>
      <c r="AE22" s="11">
        <v>16</v>
      </c>
      <c r="AF22" s="11">
        <v>16</v>
      </c>
    </row>
    <row r="23" spans="1:32" s="11" customFormat="1" x14ac:dyDescent="0.2">
      <c r="A23" s="11">
        <v>120</v>
      </c>
      <c r="F23" s="11">
        <v>332</v>
      </c>
      <c r="G23" s="11" t="s">
        <v>16405</v>
      </c>
      <c r="H23" s="12">
        <v>52.2</v>
      </c>
      <c r="I23" s="11" t="s">
        <v>16404</v>
      </c>
      <c r="L23" s="11">
        <v>46.432000000000002</v>
      </c>
      <c r="M23" s="11">
        <v>48.204000000000001</v>
      </c>
      <c r="N23" s="11">
        <v>95.602000000000004</v>
      </c>
      <c r="O23" s="11">
        <v>93.545000000000002</v>
      </c>
      <c r="P23" s="11">
        <v>73.513999999999996</v>
      </c>
      <c r="Q23" s="11">
        <v>71.869</v>
      </c>
      <c r="R23" s="11">
        <v>93.356999999999999</v>
      </c>
      <c r="S23" s="11">
        <v>92.415999999999997</v>
      </c>
      <c r="T23" s="11">
        <v>64.406000000000006</v>
      </c>
      <c r="U23" s="11">
        <v>63.927999999999997</v>
      </c>
      <c r="V23" s="11">
        <v>35.594000000000001</v>
      </c>
      <c r="W23" s="11">
        <v>36.072000000000003</v>
      </c>
      <c r="X23" s="11">
        <v>14.339</v>
      </c>
      <c r="Y23" s="11">
        <v>13.667999999999999</v>
      </c>
      <c r="Z23" s="11">
        <v>36.072000000000003</v>
      </c>
      <c r="AA23" s="11">
        <v>35.594000000000001</v>
      </c>
      <c r="AB23" s="11">
        <v>18.166</v>
      </c>
      <c r="AC23" s="11">
        <v>12</v>
      </c>
      <c r="AD23" s="11">
        <v>10</v>
      </c>
      <c r="AE23" s="11">
        <v>10</v>
      </c>
      <c r="AF23" s="11">
        <v>10</v>
      </c>
    </row>
    <row r="24" spans="1:32" s="11" customFormat="1" x14ac:dyDescent="0.2">
      <c r="A24" s="11">
        <v>121</v>
      </c>
      <c r="F24" s="11">
        <v>333.79</v>
      </c>
      <c r="G24" s="11" t="s">
        <v>16412</v>
      </c>
      <c r="H24" s="12">
        <v>55.9</v>
      </c>
      <c r="I24" s="11" t="s">
        <v>16407</v>
      </c>
      <c r="L24" s="11">
        <v>18.007000000000001</v>
      </c>
      <c r="M24" s="11">
        <v>19.535</v>
      </c>
      <c r="N24" s="11">
        <v>37.863999999999997</v>
      </c>
      <c r="O24" s="11">
        <v>39.500999999999998</v>
      </c>
      <c r="P24" s="11">
        <v>20.027999999999999</v>
      </c>
      <c r="Q24" s="11">
        <v>20.49</v>
      </c>
      <c r="R24" s="11">
        <v>63.396999999999998</v>
      </c>
      <c r="S24" s="11">
        <v>62.878999999999998</v>
      </c>
      <c r="T24" s="11">
        <v>64.838999999999999</v>
      </c>
      <c r="U24" s="11">
        <v>74.968999999999994</v>
      </c>
      <c r="V24" s="11">
        <v>35.161000000000001</v>
      </c>
      <c r="W24" s="11">
        <v>25.030999999999999</v>
      </c>
      <c r="X24" s="11">
        <v>16.073</v>
      </c>
      <c r="Y24" s="11">
        <v>23.292999999999999</v>
      </c>
      <c r="Z24" s="11">
        <v>25.030999999999999</v>
      </c>
      <c r="AA24" s="11">
        <v>35.161000000000001</v>
      </c>
      <c r="AB24" s="11">
        <v>15.744999999999999</v>
      </c>
      <c r="AC24" s="11">
        <v>13</v>
      </c>
      <c r="AD24" s="11">
        <v>11</v>
      </c>
      <c r="AE24" s="11">
        <v>11</v>
      </c>
      <c r="AF24" s="11">
        <v>11</v>
      </c>
    </row>
    <row r="25" spans="1:32" s="11" customFormat="1" x14ac:dyDescent="0.2">
      <c r="A25" s="11">
        <v>122</v>
      </c>
      <c r="F25" s="11">
        <v>333.1</v>
      </c>
      <c r="G25" s="11" t="s">
        <v>16406</v>
      </c>
      <c r="H25" s="12">
        <v>69.099999999999994</v>
      </c>
      <c r="I25" s="11" t="s">
        <v>16407</v>
      </c>
      <c r="L25" s="11">
        <v>24.87</v>
      </c>
      <c r="M25" s="11">
        <v>20.613</v>
      </c>
      <c r="N25" s="11">
        <v>45.637999999999998</v>
      </c>
      <c r="O25" s="11">
        <v>45.832000000000001</v>
      </c>
      <c r="P25" s="11">
        <v>49.89</v>
      </c>
      <c r="Q25" s="11">
        <v>49.802</v>
      </c>
      <c r="R25" s="11">
        <v>131.05099999999999</v>
      </c>
      <c r="S25" s="11">
        <v>130.78700000000001</v>
      </c>
      <c r="T25" s="11">
        <v>66.465000000000003</v>
      </c>
      <c r="U25" s="11">
        <v>67.724000000000004</v>
      </c>
      <c r="V25" s="11">
        <v>33.534999999999997</v>
      </c>
      <c r="W25" s="11">
        <v>32.276000000000003</v>
      </c>
      <c r="X25" s="11">
        <v>17.047999999999998</v>
      </c>
      <c r="Y25" s="11">
        <v>16.728000000000002</v>
      </c>
      <c r="Z25" s="11">
        <v>32.276000000000003</v>
      </c>
      <c r="AA25" s="11">
        <v>33.534999999999997</v>
      </c>
      <c r="AB25" s="11">
        <v>15.394</v>
      </c>
      <c r="AC25" s="11">
        <v>23</v>
      </c>
      <c r="AD25" s="11">
        <v>22</v>
      </c>
      <c r="AE25" s="11">
        <v>22</v>
      </c>
      <c r="AF25" s="11">
        <v>22</v>
      </c>
    </row>
    <row r="26" spans="1:32" s="11" customFormat="1" x14ac:dyDescent="0.2">
      <c r="A26" s="11">
        <v>123</v>
      </c>
      <c r="F26" s="11">
        <v>333.1</v>
      </c>
      <c r="G26" s="11" t="s">
        <v>16406</v>
      </c>
      <c r="H26" s="12">
        <v>77.2</v>
      </c>
      <c r="I26" s="11" t="s">
        <v>16404</v>
      </c>
      <c r="L26" s="11">
        <v>56.674999999999997</v>
      </c>
      <c r="M26" s="11">
        <v>58.353000000000002</v>
      </c>
      <c r="N26" s="11">
        <v>114.931</v>
      </c>
      <c r="O26" s="11">
        <v>115.378</v>
      </c>
      <c r="P26" s="11">
        <v>118.818</v>
      </c>
      <c r="Q26" s="11">
        <v>119.626</v>
      </c>
      <c r="R26" s="11">
        <v>122.90900000000001</v>
      </c>
      <c r="S26" s="11">
        <v>124.021</v>
      </c>
      <c r="T26" s="11">
        <v>62.540999999999997</v>
      </c>
      <c r="U26" s="11">
        <v>61.347999999999999</v>
      </c>
      <c r="V26" s="11">
        <v>37.459000000000003</v>
      </c>
      <c r="W26" s="11">
        <v>38.652000000000001</v>
      </c>
      <c r="X26" s="11">
        <v>12.509</v>
      </c>
      <c r="Y26" s="11">
        <v>11.327</v>
      </c>
      <c r="Z26" s="11">
        <v>38.652000000000001</v>
      </c>
      <c r="AA26" s="11">
        <v>37.459000000000003</v>
      </c>
      <c r="AB26" s="11">
        <v>12.135</v>
      </c>
      <c r="AC26" s="11">
        <v>12</v>
      </c>
      <c r="AD26" s="11">
        <v>12</v>
      </c>
      <c r="AE26" s="11">
        <v>12</v>
      </c>
      <c r="AF26" s="11">
        <v>12</v>
      </c>
    </row>
    <row r="27" spans="1:32" s="11" customFormat="1" x14ac:dyDescent="0.2">
      <c r="A27" s="11">
        <v>124</v>
      </c>
      <c r="F27" s="11">
        <v>333.89</v>
      </c>
      <c r="G27" s="11" t="s">
        <v>16408</v>
      </c>
      <c r="H27" s="12">
        <v>48.5</v>
      </c>
      <c r="I27" s="11" t="s">
        <v>16407</v>
      </c>
      <c r="L27" s="11">
        <v>65.841999999999999</v>
      </c>
      <c r="M27" s="11">
        <v>66.930999999999997</v>
      </c>
      <c r="N27" s="11">
        <v>133.16200000000001</v>
      </c>
      <c r="O27" s="11">
        <v>132.399</v>
      </c>
      <c r="P27" s="11">
        <v>129.34899999999999</v>
      </c>
      <c r="Q27" s="11">
        <v>128.71600000000001</v>
      </c>
      <c r="R27" s="11">
        <v>116.27500000000001</v>
      </c>
      <c r="S27" s="11">
        <v>116.736</v>
      </c>
      <c r="T27" s="11">
        <v>61.133000000000003</v>
      </c>
      <c r="U27" s="11">
        <v>60.686999999999998</v>
      </c>
      <c r="V27" s="11">
        <v>38.866999999999997</v>
      </c>
      <c r="W27" s="11">
        <v>39.313000000000002</v>
      </c>
      <c r="X27" s="11">
        <v>10.956</v>
      </c>
      <c r="Y27" s="11">
        <v>10.739000000000001</v>
      </c>
      <c r="Z27" s="11">
        <v>39.313000000000002</v>
      </c>
      <c r="AA27" s="11">
        <v>38.866999999999997</v>
      </c>
      <c r="AB27" s="11">
        <v>10.686999999999999</v>
      </c>
      <c r="AC27" s="11">
        <v>7</v>
      </c>
      <c r="AD27" s="11">
        <v>8</v>
      </c>
      <c r="AE27" s="11">
        <v>7</v>
      </c>
      <c r="AF27" s="11">
        <v>7</v>
      </c>
    </row>
    <row r="28" spans="1:32" s="11" customFormat="1" x14ac:dyDescent="0.2">
      <c r="A28" s="11">
        <v>125</v>
      </c>
      <c r="F28" s="11">
        <v>332</v>
      </c>
      <c r="G28" s="11" t="s">
        <v>16405</v>
      </c>
      <c r="H28" s="12">
        <v>72.5</v>
      </c>
      <c r="I28" s="11" t="s">
        <v>16404</v>
      </c>
      <c r="L28" s="11">
        <v>61.658000000000001</v>
      </c>
      <c r="M28" s="11">
        <v>63.280999999999999</v>
      </c>
      <c r="N28" s="11">
        <v>124.479</v>
      </c>
      <c r="O28" s="11">
        <v>125.029</v>
      </c>
      <c r="P28" s="11">
        <v>101.66</v>
      </c>
      <c r="Q28" s="11">
        <v>101.93600000000001</v>
      </c>
      <c r="R28" s="11">
        <v>97.825999999999993</v>
      </c>
      <c r="S28" s="11">
        <v>97.89</v>
      </c>
      <c r="T28" s="11">
        <v>61.543999999999997</v>
      </c>
      <c r="U28" s="11">
        <v>64.417000000000002</v>
      </c>
      <c r="V28" s="11">
        <v>38.456000000000003</v>
      </c>
      <c r="W28" s="11">
        <v>35.582999999999998</v>
      </c>
      <c r="X28" s="11">
        <v>12.065</v>
      </c>
      <c r="Y28" s="11">
        <v>14.122</v>
      </c>
      <c r="Z28" s="11">
        <v>35.582999999999998</v>
      </c>
      <c r="AA28" s="11">
        <v>38.456000000000003</v>
      </c>
      <c r="AB28" s="11">
        <v>8.9280000000000008</v>
      </c>
      <c r="AC28" s="11">
        <v>13</v>
      </c>
      <c r="AD28" s="11">
        <v>14</v>
      </c>
      <c r="AE28" s="11">
        <v>13</v>
      </c>
      <c r="AF28" s="11">
        <v>13</v>
      </c>
    </row>
    <row r="29" spans="1:32" s="11" customFormat="1" x14ac:dyDescent="0.2">
      <c r="A29" s="11">
        <v>126</v>
      </c>
      <c r="F29" s="11">
        <v>332</v>
      </c>
      <c r="G29" s="11" t="s">
        <v>16405</v>
      </c>
      <c r="H29" s="12">
        <v>71.8</v>
      </c>
      <c r="I29" s="11" t="s">
        <v>16404</v>
      </c>
      <c r="L29" s="11">
        <v>87.433000000000007</v>
      </c>
      <c r="M29" s="11">
        <v>87.200999999999993</v>
      </c>
      <c r="N29" s="11">
        <v>175.59200000000001</v>
      </c>
      <c r="O29" s="11">
        <v>174.38200000000001</v>
      </c>
      <c r="P29" s="11">
        <v>165.626</v>
      </c>
      <c r="Q29" s="11">
        <v>163.53899999999999</v>
      </c>
      <c r="R29" s="11">
        <v>112.654</v>
      </c>
      <c r="S29" s="11">
        <v>111.749</v>
      </c>
      <c r="T29" s="11">
        <v>59.915999999999997</v>
      </c>
      <c r="U29" s="11">
        <v>58.29</v>
      </c>
      <c r="V29" s="11">
        <v>40.084000000000003</v>
      </c>
      <c r="W29" s="11">
        <v>41.71</v>
      </c>
      <c r="X29" s="11">
        <v>9.6669999999999998</v>
      </c>
      <c r="Y29" s="11">
        <v>8.923</v>
      </c>
      <c r="Z29" s="11">
        <v>41.71</v>
      </c>
      <c r="AA29" s="11">
        <v>40.084000000000003</v>
      </c>
      <c r="AB29" s="11">
        <v>8.9570000000000007</v>
      </c>
      <c r="AC29" s="11">
        <v>8</v>
      </c>
      <c r="AD29" s="11">
        <v>8</v>
      </c>
      <c r="AE29" s="11">
        <v>8</v>
      </c>
      <c r="AF29" s="11">
        <v>8</v>
      </c>
    </row>
    <row r="30" spans="1:32" s="11" customFormat="1" x14ac:dyDescent="0.2">
      <c r="A30" s="11">
        <v>127</v>
      </c>
      <c r="F30" s="11">
        <v>332</v>
      </c>
      <c r="G30" s="11" t="s">
        <v>16405</v>
      </c>
      <c r="H30" s="12">
        <v>66.5</v>
      </c>
      <c r="I30" s="11" t="s">
        <v>16404</v>
      </c>
      <c r="L30" s="11">
        <v>10.477</v>
      </c>
      <c r="M30" s="11">
        <v>6.97</v>
      </c>
      <c r="N30" s="11">
        <v>19.994</v>
      </c>
      <c r="O30" s="11">
        <v>17.446999999999999</v>
      </c>
      <c r="P30" s="11">
        <v>5.4649999999999999</v>
      </c>
      <c r="Q30" s="11">
        <v>5.0970000000000004</v>
      </c>
      <c r="R30" s="11">
        <v>39.216999999999999</v>
      </c>
      <c r="S30" s="11">
        <v>33.412999999999997</v>
      </c>
      <c r="T30" s="11">
        <v>78.293000000000006</v>
      </c>
      <c r="U30" s="11">
        <v>83.215999999999994</v>
      </c>
      <c r="V30" s="11">
        <v>21.707000000000001</v>
      </c>
      <c r="W30" s="11">
        <v>16.783999999999999</v>
      </c>
      <c r="X30" s="11">
        <v>21.527000000000001</v>
      </c>
      <c r="Y30" s="11">
        <v>43.360999999999997</v>
      </c>
      <c r="Z30" s="11">
        <v>16.783999999999999</v>
      </c>
      <c r="AA30" s="11">
        <v>21.707000000000001</v>
      </c>
      <c r="AB30" s="11">
        <v>9.57</v>
      </c>
      <c r="AC30" s="11">
        <v>6</v>
      </c>
      <c r="AD30" s="11">
        <v>9</v>
      </c>
      <c r="AE30" s="11">
        <v>6</v>
      </c>
      <c r="AF30" s="11">
        <v>6</v>
      </c>
    </row>
    <row r="31" spans="1:32" s="11" customFormat="1" x14ac:dyDescent="0.2">
      <c r="A31" s="11">
        <v>128</v>
      </c>
      <c r="F31" s="11">
        <v>332</v>
      </c>
      <c r="G31" s="11" t="s">
        <v>16405</v>
      </c>
      <c r="H31" s="12">
        <v>74.8</v>
      </c>
      <c r="I31" s="11" t="s">
        <v>16404</v>
      </c>
      <c r="L31" s="11">
        <v>15.749000000000001</v>
      </c>
      <c r="M31" s="11">
        <v>19.478000000000002</v>
      </c>
      <c r="N31" s="11">
        <v>35.454000000000001</v>
      </c>
      <c r="O31" s="11">
        <v>35.677999999999997</v>
      </c>
      <c r="P31" s="11">
        <v>22.163</v>
      </c>
      <c r="Q31" s="11">
        <v>22.279</v>
      </c>
      <c r="R31" s="11">
        <v>76.012</v>
      </c>
      <c r="S31" s="11">
        <v>75.212000000000003</v>
      </c>
      <c r="T31" s="11">
        <v>72.316000000000003</v>
      </c>
      <c r="U31" s="11">
        <v>70.84</v>
      </c>
      <c r="V31" s="11">
        <v>27.684000000000001</v>
      </c>
      <c r="W31" s="11">
        <v>29.16</v>
      </c>
      <c r="X31" s="11">
        <v>22.658000000000001</v>
      </c>
      <c r="Y31" s="11">
        <v>20.677</v>
      </c>
      <c r="Z31" s="11">
        <v>29.16</v>
      </c>
      <c r="AA31" s="11">
        <v>27.684000000000001</v>
      </c>
      <c r="AB31" s="11">
        <v>8.99</v>
      </c>
      <c r="AC31" s="11">
        <v>23</v>
      </c>
      <c r="AD31" s="11">
        <v>22</v>
      </c>
      <c r="AE31" s="11">
        <v>22</v>
      </c>
      <c r="AF31" s="11">
        <v>22</v>
      </c>
    </row>
    <row r="32" spans="1:32" s="11" customFormat="1" x14ac:dyDescent="0.2">
      <c r="A32" s="11">
        <v>129</v>
      </c>
      <c r="F32" s="11">
        <v>332</v>
      </c>
      <c r="G32" s="11" t="s">
        <v>16405</v>
      </c>
      <c r="H32" s="12">
        <v>56.5</v>
      </c>
      <c r="I32" s="11" t="s">
        <v>16404</v>
      </c>
      <c r="L32" s="11">
        <v>80.497</v>
      </c>
      <c r="M32" s="11">
        <v>75.915999999999997</v>
      </c>
      <c r="N32" s="11">
        <v>156.44499999999999</v>
      </c>
      <c r="O32" s="11">
        <v>156.745</v>
      </c>
      <c r="P32" s="11">
        <v>141.97</v>
      </c>
      <c r="Q32" s="11">
        <v>142.523</v>
      </c>
      <c r="R32" s="11">
        <v>108.36199999999999</v>
      </c>
      <c r="S32" s="11">
        <v>108.58</v>
      </c>
      <c r="T32" s="11">
        <v>58.960999999999999</v>
      </c>
      <c r="U32" s="11">
        <v>60.539000000000001</v>
      </c>
      <c r="V32" s="11">
        <v>41.039000000000001</v>
      </c>
      <c r="W32" s="11">
        <v>39.460999999999999</v>
      </c>
      <c r="X32" s="11">
        <v>11.279</v>
      </c>
      <c r="Y32" s="11">
        <v>8.6649999999999991</v>
      </c>
      <c r="Z32" s="11">
        <v>39.460999999999999</v>
      </c>
      <c r="AA32" s="11">
        <v>41.039000000000001</v>
      </c>
      <c r="AB32" s="11">
        <v>8.0500000000000007</v>
      </c>
      <c r="AC32" s="11">
        <v>10</v>
      </c>
      <c r="AD32" s="11">
        <v>8</v>
      </c>
      <c r="AE32" s="11">
        <v>8</v>
      </c>
      <c r="AF32" s="11">
        <v>8</v>
      </c>
    </row>
    <row r="33" spans="1:32" s="11" customFormat="1" x14ac:dyDescent="0.2">
      <c r="A33" s="11">
        <v>130</v>
      </c>
      <c r="F33" s="11">
        <v>332</v>
      </c>
      <c r="G33" s="11" t="s">
        <v>16405</v>
      </c>
      <c r="H33" s="12">
        <v>62.8</v>
      </c>
      <c r="I33" s="11" t="s">
        <v>16404</v>
      </c>
      <c r="L33" s="11" t="s">
        <v>16403</v>
      </c>
      <c r="M33" s="11" t="s">
        <v>16403</v>
      </c>
      <c r="N33" s="11" t="s">
        <v>16403</v>
      </c>
      <c r="O33" s="11" t="s">
        <v>16403</v>
      </c>
      <c r="P33" s="11" t="s">
        <v>16403</v>
      </c>
      <c r="Q33" s="11" t="s">
        <v>16403</v>
      </c>
      <c r="R33" s="11" t="s">
        <v>16403</v>
      </c>
      <c r="S33" s="11" t="s">
        <v>16403</v>
      </c>
      <c r="T33" s="11" t="s">
        <v>16403</v>
      </c>
      <c r="U33" s="11" t="s">
        <v>16403</v>
      </c>
      <c r="V33" s="11" t="s">
        <v>16403</v>
      </c>
      <c r="W33" s="11" t="s">
        <v>16403</v>
      </c>
      <c r="X33" s="11" t="s">
        <v>16403</v>
      </c>
      <c r="Y33" s="11" t="s">
        <v>16403</v>
      </c>
      <c r="Z33" s="11" t="s">
        <v>16403</v>
      </c>
      <c r="AA33" s="11" t="s">
        <v>16403</v>
      </c>
      <c r="AB33" s="11" t="s">
        <v>16403</v>
      </c>
      <c r="AC33" s="11" t="s">
        <v>16403</v>
      </c>
      <c r="AD33" s="11" t="s">
        <v>16403</v>
      </c>
      <c r="AE33" s="11" t="s">
        <v>16403</v>
      </c>
      <c r="AF33" s="11" t="s">
        <v>16403</v>
      </c>
    </row>
    <row r="34" spans="1:32" s="11" customFormat="1" x14ac:dyDescent="0.2">
      <c r="A34" s="11">
        <v>131</v>
      </c>
      <c r="F34" s="11">
        <v>332</v>
      </c>
      <c r="G34" s="11" t="s">
        <v>16405</v>
      </c>
      <c r="H34" s="12">
        <v>78</v>
      </c>
      <c r="I34" s="11" t="s">
        <v>16404</v>
      </c>
      <c r="L34" s="11">
        <v>37.607999999999997</v>
      </c>
      <c r="M34" s="11">
        <v>28.353999999999999</v>
      </c>
      <c r="N34" s="11">
        <v>67.266999999999996</v>
      </c>
      <c r="O34" s="11">
        <v>66.585999999999999</v>
      </c>
      <c r="P34" s="11">
        <v>60.182000000000002</v>
      </c>
      <c r="Q34" s="11">
        <v>59.530999999999999</v>
      </c>
      <c r="R34" s="11">
        <v>108.363</v>
      </c>
      <c r="S34" s="11">
        <v>105.623</v>
      </c>
      <c r="T34" s="11">
        <v>65.867000000000004</v>
      </c>
      <c r="U34" s="11">
        <v>63.134999999999998</v>
      </c>
      <c r="V34" s="11">
        <v>34.133000000000003</v>
      </c>
      <c r="W34" s="11">
        <v>36.865000000000002</v>
      </c>
      <c r="X34" s="11">
        <v>13.804</v>
      </c>
      <c r="Y34" s="11">
        <v>16.152000000000001</v>
      </c>
      <c r="Z34" s="11">
        <v>36.865000000000002</v>
      </c>
      <c r="AA34" s="11">
        <v>34.133000000000003</v>
      </c>
      <c r="AB34" s="11">
        <v>17.908000000000001</v>
      </c>
      <c r="AC34" s="11">
        <v>10</v>
      </c>
      <c r="AD34" s="11">
        <v>11</v>
      </c>
      <c r="AE34" s="11">
        <v>10</v>
      </c>
      <c r="AF34" s="11">
        <v>10</v>
      </c>
    </row>
    <row r="35" spans="1:32" s="11" customFormat="1" x14ac:dyDescent="0.2">
      <c r="A35" s="11">
        <v>132</v>
      </c>
      <c r="F35" s="11">
        <v>333.89</v>
      </c>
      <c r="G35" s="11" t="s">
        <v>16408</v>
      </c>
      <c r="H35" s="12">
        <v>66.8</v>
      </c>
      <c r="I35" s="11" t="s">
        <v>16407</v>
      </c>
      <c r="L35" s="11">
        <v>17.164999999999999</v>
      </c>
      <c r="M35" s="11">
        <v>35.774999999999999</v>
      </c>
      <c r="N35" s="11">
        <v>52.91</v>
      </c>
      <c r="O35" s="11">
        <v>53.35</v>
      </c>
      <c r="P35" s="11">
        <v>32.258000000000003</v>
      </c>
      <c r="Q35" s="11">
        <v>32.853999999999999</v>
      </c>
      <c r="R35" s="11">
        <v>72.915999999999997</v>
      </c>
      <c r="S35" s="11">
        <v>74.137</v>
      </c>
      <c r="T35" s="11">
        <v>68.518000000000001</v>
      </c>
      <c r="U35" s="11">
        <v>73.165000000000006</v>
      </c>
      <c r="V35" s="11">
        <v>31.481999999999999</v>
      </c>
      <c r="W35" s="11">
        <v>26.835000000000001</v>
      </c>
      <c r="X35" s="11">
        <v>21.591000000000001</v>
      </c>
      <c r="Y35" s="11">
        <v>20.373999999999999</v>
      </c>
      <c r="Z35" s="11">
        <v>26.835000000000001</v>
      </c>
      <c r="AA35" s="11">
        <v>31.481999999999999</v>
      </c>
      <c r="AB35" s="11">
        <v>13.452999999999999</v>
      </c>
      <c r="AC35" s="11">
        <v>20</v>
      </c>
      <c r="AD35" s="11">
        <v>17</v>
      </c>
      <c r="AE35" s="11">
        <v>17</v>
      </c>
      <c r="AF35" s="11">
        <v>17</v>
      </c>
    </row>
    <row r="36" spans="1:32" s="11" customFormat="1" x14ac:dyDescent="0.2">
      <c r="A36" s="11">
        <v>133</v>
      </c>
      <c r="F36" s="11">
        <v>333.71</v>
      </c>
      <c r="G36" s="11" t="s">
        <v>16413</v>
      </c>
      <c r="H36" s="12">
        <v>63.3</v>
      </c>
      <c r="I36" s="11" t="s">
        <v>16407</v>
      </c>
      <c r="L36" s="11">
        <v>49.424999999999997</v>
      </c>
      <c r="M36" s="11">
        <v>38.064999999999998</v>
      </c>
      <c r="N36" s="11">
        <v>92.025000000000006</v>
      </c>
      <c r="O36" s="11">
        <v>85.103999999999999</v>
      </c>
      <c r="P36" s="11">
        <v>71.387</v>
      </c>
      <c r="Q36" s="11">
        <v>71.66</v>
      </c>
      <c r="R36" s="11">
        <v>93.069000000000003</v>
      </c>
      <c r="S36" s="11">
        <v>95.039000000000001</v>
      </c>
      <c r="T36" s="11">
        <v>69.512</v>
      </c>
      <c r="U36" s="11">
        <v>55.155000000000001</v>
      </c>
      <c r="V36" s="11">
        <v>30.488</v>
      </c>
      <c r="W36" s="11">
        <v>44.844999999999999</v>
      </c>
      <c r="X36" s="11">
        <v>12.676</v>
      </c>
      <c r="Y36" s="11">
        <v>12.426</v>
      </c>
      <c r="Z36" s="11">
        <v>44.844999999999999</v>
      </c>
      <c r="AA36" s="11">
        <v>30.488</v>
      </c>
      <c r="AB36" s="11">
        <v>18.416</v>
      </c>
      <c r="AC36" s="11">
        <v>10</v>
      </c>
      <c r="AD36" s="11">
        <v>9</v>
      </c>
      <c r="AE36" s="11">
        <v>9</v>
      </c>
      <c r="AF36" s="11">
        <v>9</v>
      </c>
    </row>
    <row r="37" spans="1:32" s="11" customFormat="1" x14ac:dyDescent="0.2">
      <c r="A37" s="11">
        <v>134</v>
      </c>
      <c r="F37" s="11" t="s">
        <v>16414</v>
      </c>
      <c r="G37" s="11" t="s">
        <v>16415</v>
      </c>
      <c r="H37" s="12">
        <v>48.2</v>
      </c>
      <c r="I37" s="11" t="s">
        <v>16407</v>
      </c>
      <c r="L37" s="11">
        <v>55.652000000000001</v>
      </c>
      <c r="M37" s="11">
        <v>57.079000000000001</v>
      </c>
      <c r="N37" s="11">
        <v>112.605</v>
      </c>
      <c r="O37" s="11">
        <v>113.85599999999999</v>
      </c>
      <c r="P37" s="11">
        <v>102.40600000000001</v>
      </c>
      <c r="Q37" s="11">
        <v>104.00700000000001</v>
      </c>
      <c r="R37" s="11">
        <v>109.02800000000001</v>
      </c>
      <c r="S37" s="11">
        <v>109.60599999999999</v>
      </c>
      <c r="T37" s="11">
        <v>63.185000000000002</v>
      </c>
      <c r="U37" s="11">
        <v>63.537999999999997</v>
      </c>
      <c r="V37" s="11">
        <v>36.814999999999998</v>
      </c>
      <c r="W37" s="11">
        <v>36.462000000000003</v>
      </c>
      <c r="X37" s="11">
        <v>13.081</v>
      </c>
      <c r="Y37" s="11">
        <v>13.69</v>
      </c>
      <c r="Z37" s="11">
        <v>36.462000000000003</v>
      </c>
      <c r="AA37" s="11">
        <v>36.814999999999998</v>
      </c>
      <c r="AB37" s="11">
        <v>7.9749999999999996</v>
      </c>
      <c r="AC37" s="11">
        <v>14</v>
      </c>
      <c r="AD37" s="11">
        <v>12</v>
      </c>
      <c r="AE37" s="11">
        <v>12</v>
      </c>
      <c r="AF37" s="11">
        <v>12</v>
      </c>
    </row>
    <row r="38" spans="1:32" s="11" customFormat="1" x14ac:dyDescent="0.2">
      <c r="A38" s="11">
        <v>135</v>
      </c>
      <c r="F38" s="11" t="s">
        <v>16416</v>
      </c>
      <c r="G38" s="11" t="s">
        <v>16417</v>
      </c>
      <c r="H38" s="12">
        <v>74.3</v>
      </c>
      <c r="I38" s="11" t="s">
        <v>16407</v>
      </c>
      <c r="L38" s="11">
        <v>38.896000000000001</v>
      </c>
      <c r="M38" s="11">
        <v>35.543999999999997</v>
      </c>
      <c r="N38" s="11">
        <v>74.733000000000004</v>
      </c>
      <c r="O38" s="11">
        <v>73.887</v>
      </c>
      <c r="P38" s="11">
        <v>57.313000000000002</v>
      </c>
      <c r="Q38" s="11">
        <v>57.344999999999999</v>
      </c>
      <c r="R38" s="11">
        <v>92.86</v>
      </c>
      <c r="S38" s="11">
        <v>93.51</v>
      </c>
      <c r="T38" s="11">
        <v>66.644999999999996</v>
      </c>
      <c r="U38" s="11">
        <v>66.116</v>
      </c>
      <c r="V38" s="11">
        <v>33.354999999999997</v>
      </c>
      <c r="W38" s="11">
        <v>33.884</v>
      </c>
      <c r="X38" s="11">
        <v>15.01</v>
      </c>
      <c r="Y38" s="11">
        <v>18.277999999999999</v>
      </c>
      <c r="Z38" s="11">
        <v>33.884</v>
      </c>
      <c r="AA38" s="11">
        <v>33.354999999999997</v>
      </c>
      <c r="AB38" s="11">
        <v>9.9870000000000001</v>
      </c>
      <c r="AC38" s="11">
        <v>15</v>
      </c>
      <c r="AD38" s="11">
        <v>14</v>
      </c>
      <c r="AE38" s="11">
        <v>14</v>
      </c>
      <c r="AF38" s="11">
        <v>14</v>
      </c>
    </row>
    <row r="39" spans="1:32" s="11" customFormat="1" x14ac:dyDescent="0.2">
      <c r="A39" s="11">
        <v>136</v>
      </c>
      <c r="F39" s="11" t="s">
        <v>16403</v>
      </c>
      <c r="G39" s="11" t="s">
        <v>16403</v>
      </c>
      <c r="H39" s="12">
        <v>999</v>
      </c>
      <c r="I39" s="11" t="s">
        <v>16403</v>
      </c>
      <c r="L39" s="11" t="s">
        <v>16403</v>
      </c>
      <c r="M39" s="11" t="s">
        <v>16403</v>
      </c>
      <c r="N39" s="11" t="s">
        <v>16403</v>
      </c>
      <c r="O39" s="11" t="s">
        <v>16403</v>
      </c>
      <c r="P39" s="11" t="s">
        <v>16403</v>
      </c>
      <c r="Q39" s="11" t="s">
        <v>16403</v>
      </c>
      <c r="R39" s="11" t="s">
        <v>16403</v>
      </c>
      <c r="S39" s="11" t="s">
        <v>16403</v>
      </c>
      <c r="T39" s="11" t="s">
        <v>16403</v>
      </c>
      <c r="U39" s="11" t="s">
        <v>16403</v>
      </c>
      <c r="V39" s="11" t="s">
        <v>16403</v>
      </c>
      <c r="W39" s="11" t="s">
        <v>16403</v>
      </c>
      <c r="X39" s="11" t="s">
        <v>16403</v>
      </c>
      <c r="Y39" s="11" t="s">
        <v>16403</v>
      </c>
      <c r="Z39" s="11" t="s">
        <v>16403</v>
      </c>
      <c r="AA39" s="11" t="s">
        <v>16403</v>
      </c>
      <c r="AB39" s="11" t="s">
        <v>16403</v>
      </c>
      <c r="AC39" s="11" t="s">
        <v>16403</v>
      </c>
      <c r="AD39" s="11" t="s">
        <v>16403</v>
      </c>
      <c r="AE39" s="11" t="s">
        <v>16403</v>
      </c>
      <c r="AF39" s="11" t="s">
        <v>16403</v>
      </c>
    </row>
    <row r="40" spans="1:32" s="11" customFormat="1" x14ac:dyDescent="0.2">
      <c r="A40" s="11">
        <v>138</v>
      </c>
      <c r="F40" s="11" t="s">
        <v>16418</v>
      </c>
      <c r="G40" s="11" t="s">
        <v>16419</v>
      </c>
      <c r="H40" s="12">
        <v>35.799999999999997</v>
      </c>
      <c r="I40" s="11" t="s">
        <v>16404</v>
      </c>
      <c r="L40" s="11">
        <v>22.646000000000001</v>
      </c>
      <c r="M40" s="11">
        <v>34.863999999999997</v>
      </c>
      <c r="N40" s="11">
        <v>55.917000000000002</v>
      </c>
      <c r="O40" s="11">
        <v>60.287999999999997</v>
      </c>
      <c r="P40" s="11">
        <v>26.251000000000001</v>
      </c>
      <c r="Q40" s="11">
        <v>26.088000000000001</v>
      </c>
      <c r="R40" s="11">
        <v>55.387999999999998</v>
      </c>
      <c r="S40" s="11">
        <v>53.146000000000001</v>
      </c>
      <c r="T40" s="11">
        <v>80.091999999999999</v>
      </c>
      <c r="U40" s="11">
        <v>66.754000000000005</v>
      </c>
      <c r="V40" s="11">
        <v>19.908000000000001</v>
      </c>
      <c r="W40" s="11">
        <v>33.246000000000002</v>
      </c>
      <c r="X40" s="11">
        <v>20.683</v>
      </c>
      <c r="Y40" s="11">
        <v>22.32</v>
      </c>
      <c r="Z40" s="11">
        <v>33.246000000000002</v>
      </c>
      <c r="AA40" s="11">
        <v>19.908000000000001</v>
      </c>
      <c r="AB40" s="11">
        <v>18.742000000000001</v>
      </c>
      <c r="AC40" s="11">
        <v>8</v>
      </c>
      <c r="AD40" s="11">
        <v>7</v>
      </c>
      <c r="AE40" s="11">
        <v>7</v>
      </c>
      <c r="AF40" s="11">
        <v>7</v>
      </c>
    </row>
    <row r="41" spans="1:32" s="11" customFormat="1" x14ac:dyDescent="0.2">
      <c r="A41" s="11">
        <v>140</v>
      </c>
      <c r="F41" s="11" t="s">
        <v>16414</v>
      </c>
      <c r="G41" s="11" t="s">
        <v>16415</v>
      </c>
      <c r="H41" s="12">
        <v>67.3</v>
      </c>
      <c r="I41" s="11" t="s">
        <v>16404</v>
      </c>
      <c r="L41" s="11" t="s">
        <v>16403</v>
      </c>
      <c r="M41" s="11" t="s">
        <v>16403</v>
      </c>
      <c r="N41" s="11" t="s">
        <v>16403</v>
      </c>
      <c r="O41" s="11" t="s">
        <v>16403</v>
      </c>
      <c r="P41" s="11" t="s">
        <v>16403</v>
      </c>
      <c r="Q41" s="11" t="s">
        <v>16403</v>
      </c>
      <c r="R41" s="11" t="s">
        <v>16403</v>
      </c>
      <c r="S41" s="11" t="s">
        <v>16403</v>
      </c>
      <c r="T41" s="11" t="s">
        <v>16403</v>
      </c>
      <c r="U41" s="11" t="s">
        <v>16403</v>
      </c>
      <c r="V41" s="11" t="s">
        <v>16403</v>
      </c>
      <c r="W41" s="11" t="s">
        <v>16403</v>
      </c>
      <c r="X41" s="11" t="s">
        <v>16403</v>
      </c>
      <c r="Y41" s="11" t="s">
        <v>16403</v>
      </c>
      <c r="Z41" s="11" t="s">
        <v>16403</v>
      </c>
      <c r="AA41" s="11" t="s">
        <v>16403</v>
      </c>
      <c r="AB41" s="11" t="s">
        <v>16403</v>
      </c>
      <c r="AC41" s="11" t="s">
        <v>16403</v>
      </c>
      <c r="AD41" s="11" t="s">
        <v>16403</v>
      </c>
      <c r="AE41" s="11" t="s">
        <v>16403</v>
      </c>
      <c r="AF41" s="11" t="s">
        <v>16403</v>
      </c>
    </row>
    <row r="42" spans="1:32" s="11" customFormat="1" x14ac:dyDescent="0.2">
      <c r="A42" s="11">
        <v>141</v>
      </c>
      <c r="F42" s="11" t="s">
        <v>16420</v>
      </c>
      <c r="G42" s="11" t="s">
        <v>16421</v>
      </c>
      <c r="H42" s="12">
        <v>74.3</v>
      </c>
      <c r="I42" s="11" t="s">
        <v>16407</v>
      </c>
      <c r="L42" s="11">
        <v>43.27</v>
      </c>
      <c r="M42" s="11">
        <v>41.354999999999997</v>
      </c>
      <c r="N42" s="11">
        <v>84.438000000000002</v>
      </c>
      <c r="O42" s="11">
        <v>84.912000000000006</v>
      </c>
      <c r="P42" s="11">
        <v>65.198999999999998</v>
      </c>
      <c r="Q42" s="11">
        <v>65.867999999999995</v>
      </c>
      <c r="R42" s="11">
        <v>91.972999999999999</v>
      </c>
      <c r="S42" s="11">
        <v>92.91</v>
      </c>
      <c r="T42" s="11">
        <v>63.911000000000001</v>
      </c>
      <c r="U42" s="11">
        <v>65.031000000000006</v>
      </c>
      <c r="V42" s="11">
        <v>36.088999999999999</v>
      </c>
      <c r="W42" s="11">
        <v>34.969000000000001</v>
      </c>
      <c r="X42" s="11">
        <v>14.766999999999999</v>
      </c>
      <c r="Y42" s="11">
        <v>14.047000000000001</v>
      </c>
      <c r="Z42" s="11">
        <v>34.969000000000001</v>
      </c>
      <c r="AA42" s="11">
        <v>36.088999999999999</v>
      </c>
      <c r="AB42" s="11">
        <v>12.167</v>
      </c>
      <c r="AC42" s="11">
        <v>13</v>
      </c>
      <c r="AD42" s="11">
        <v>11</v>
      </c>
      <c r="AE42" s="11">
        <v>11</v>
      </c>
      <c r="AF42" s="11">
        <v>11</v>
      </c>
    </row>
    <row r="43" spans="1:32" s="11" customFormat="1" x14ac:dyDescent="0.2">
      <c r="A43" s="11">
        <v>142</v>
      </c>
      <c r="F43" s="11" t="s">
        <v>16420</v>
      </c>
      <c r="G43" s="11" t="s">
        <v>16421</v>
      </c>
      <c r="H43" s="12">
        <v>58.9</v>
      </c>
      <c r="I43" s="11" t="s">
        <v>16407</v>
      </c>
      <c r="L43" s="11">
        <v>58.587000000000003</v>
      </c>
      <c r="M43" s="11">
        <v>57.454999999999998</v>
      </c>
      <c r="N43" s="11">
        <v>116.788</v>
      </c>
      <c r="O43" s="11">
        <v>116.39100000000001</v>
      </c>
      <c r="P43" s="11">
        <v>102.57</v>
      </c>
      <c r="Q43" s="11">
        <v>102.92700000000001</v>
      </c>
      <c r="R43" s="11">
        <v>105.239</v>
      </c>
      <c r="S43" s="11">
        <v>105.726</v>
      </c>
      <c r="T43" s="11">
        <v>64.293999999999997</v>
      </c>
      <c r="U43" s="11">
        <v>63.863999999999997</v>
      </c>
      <c r="V43" s="11">
        <v>35.706000000000003</v>
      </c>
      <c r="W43" s="11">
        <v>36.136000000000003</v>
      </c>
      <c r="X43" s="11">
        <v>14.429</v>
      </c>
      <c r="Y43" s="11">
        <v>14.131</v>
      </c>
      <c r="Z43" s="11">
        <v>36.136000000000003</v>
      </c>
      <c r="AA43" s="11">
        <v>35.706000000000003</v>
      </c>
      <c r="AB43" s="11">
        <v>9.9169999999999998</v>
      </c>
      <c r="AC43" s="11">
        <v>9</v>
      </c>
      <c r="AD43" s="11">
        <v>8</v>
      </c>
      <c r="AE43" s="11">
        <v>8</v>
      </c>
      <c r="AF43" s="11">
        <v>8</v>
      </c>
    </row>
    <row r="44" spans="1:32" s="11" customFormat="1" x14ac:dyDescent="0.2">
      <c r="A44" s="11">
        <v>144</v>
      </c>
      <c r="F44" s="11" t="s">
        <v>16414</v>
      </c>
      <c r="G44" s="11" t="s">
        <v>16415</v>
      </c>
      <c r="H44" s="12">
        <v>69.3</v>
      </c>
      <c r="I44" s="11" t="s">
        <v>16404</v>
      </c>
      <c r="L44" s="11">
        <v>52.252000000000002</v>
      </c>
      <c r="M44" s="11">
        <v>58.106999999999999</v>
      </c>
      <c r="N44" s="11">
        <v>110.41</v>
      </c>
      <c r="O44" s="11">
        <v>111.68899999999999</v>
      </c>
      <c r="P44" s="11">
        <v>91.613</v>
      </c>
      <c r="Q44" s="11">
        <v>91.909000000000006</v>
      </c>
      <c r="R44" s="11">
        <v>98.936999999999998</v>
      </c>
      <c r="S44" s="11">
        <v>98.632999999999996</v>
      </c>
      <c r="T44" s="11">
        <v>63.369</v>
      </c>
      <c r="U44" s="11">
        <v>63.506</v>
      </c>
      <c r="V44" s="11">
        <v>36.631</v>
      </c>
      <c r="W44" s="11">
        <v>36.494</v>
      </c>
      <c r="X44" s="11">
        <v>14.089</v>
      </c>
      <c r="Y44" s="11">
        <v>13.03</v>
      </c>
      <c r="Z44" s="11">
        <v>36.494</v>
      </c>
      <c r="AA44" s="11">
        <v>36.631</v>
      </c>
      <c r="AB44" s="11">
        <v>8.4139999999999997</v>
      </c>
      <c r="AC44" s="11">
        <v>14</v>
      </c>
      <c r="AD44" s="11">
        <v>13</v>
      </c>
      <c r="AE44" s="11">
        <v>13</v>
      </c>
      <c r="AF44" s="11">
        <v>13</v>
      </c>
    </row>
    <row r="45" spans="1:32" s="11" customFormat="1" x14ac:dyDescent="0.2">
      <c r="A45" s="11">
        <v>145</v>
      </c>
      <c r="F45" s="11" t="s">
        <v>16420</v>
      </c>
      <c r="G45" s="11" t="s">
        <v>16421</v>
      </c>
      <c r="H45" s="12">
        <v>70</v>
      </c>
      <c r="I45" s="11" t="s">
        <v>16407</v>
      </c>
      <c r="L45" s="11">
        <v>49.241</v>
      </c>
      <c r="M45" s="11">
        <v>52.231999999999999</v>
      </c>
      <c r="N45" s="11">
        <v>101.136</v>
      </c>
      <c r="O45" s="11">
        <v>101.479</v>
      </c>
      <c r="P45" s="11">
        <v>90.807000000000002</v>
      </c>
      <c r="Q45" s="11">
        <v>90.835999999999999</v>
      </c>
      <c r="R45" s="11">
        <v>108.285</v>
      </c>
      <c r="S45" s="11">
        <v>107.886</v>
      </c>
      <c r="T45" s="11">
        <v>62.945999999999998</v>
      </c>
      <c r="U45" s="11">
        <v>62.930999999999997</v>
      </c>
      <c r="V45" s="11">
        <v>37.054000000000002</v>
      </c>
      <c r="W45" s="11">
        <v>37.069000000000003</v>
      </c>
      <c r="X45" s="11">
        <v>14.016999999999999</v>
      </c>
      <c r="Y45" s="11">
        <v>12.134</v>
      </c>
      <c r="Z45" s="11">
        <v>37.069000000000003</v>
      </c>
      <c r="AA45" s="11">
        <v>37.054000000000002</v>
      </c>
      <c r="AB45" s="11">
        <v>11.456</v>
      </c>
      <c r="AC45" s="11">
        <v>17</v>
      </c>
      <c r="AD45" s="11">
        <v>18</v>
      </c>
      <c r="AE45" s="11">
        <v>17</v>
      </c>
      <c r="AF45" s="11">
        <v>17</v>
      </c>
    </row>
    <row r="46" spans="1:32" s="11" customFormat="1" x14ac:dyDescent="0.2">
      <c r="A46" s="11">
        <v>146</v>
      </c>
      <c r="F46" s="11" t="s">
        <v>16422</v>
      </c>
      <c r="G46" s="11" t="s">
        <v>16423</v>
      </c>
      <c r="H46" s="12">
        <v>63.8</v>
      </c>
      <c r="I46" s="11" t="s">
        <v>16404</v>
      </c>
      <c r="L46" s="11">
        <v>61.249000000000002</v>
      </c>
      <c r="M46" s="11">
        <v>57.04</v>
      </c>
      <c r="N46" s="11">
        <v>117.809</v>
      </c>
      <c r="O46" s="11">
        <v>118.282</v>
      </c>
      <c r="P46" s="11">
        <v>85.016999999999996</v>
      </c>
      <c r="Q46" s="11">
        <v>85.971000000000004</v>
      </c>
      <c r="R46" s="11">
        <v>86.947999999999993</v>
      </c>
      <c r="S46" s="11">
        <v>87.227000000000004</v>
      </c>
      <c r="T46" s="11">
        <v>64.504999999999995</v>
      </c>
      <c r="U46" s="11">
        <v>65.043999999999997</v>
      </c>
      <c r="V46" s="11">
        <v>35.494</v>
      </c>
      <c r="W46" s="11">
        <v>34.956000000000003</v>
      </c>
      <c r="X46" s="11">
        <v>15.441000000000001</v>
      </c>
      <c r="Y46" s="11">
        <v>14.536</v>
      </c>
      <c r="Z46" s="11">
        <v>34.956000000000003</v>
      </c>
      <c r="AA46" s="11">
        <v>35.494</v>
      </c>
      <c r="AB46" s="11">
        <v>9.5299999999999994</v>
      </c>
      <c r="AC46" s="11">
        <v>16</v>
      </c>
      <c r="AD46" s="11">
        <v>16</v>
      </c>
      <c r="AE46" s="11">
        <v>16</v>
      </c>
      <c r="AF46" s="11">
        <v>16</v>
      </c>
    </row>
    <row r="47" spans="1:32" s="11" customFormat="1" x14ac:dyDescent="0.2">
      <c r="A47" s="11">
        <v>147</v>
      </c>
      <c r="F47" s="11" t="s">
        <v>16414</v>
      </c>
      <c r="G47" s="11" t="s">
        <v>16415</v>
      </c>
      <c r="H47" s="12">
        <v>51.4</v>
      </c>
      <c r="I47" s="11" t="s">
        <v>16404</v>
      </c>
      <c r="L47" s="11">
        <v>62.695999999999998</v>
      </c>
      <c r="M47" s="11">
        <v>64.414000000000001</v>
      </c>
      <c r="N47" s="11">
        <v>127.107</v>
      </c>
      <c r="O47" s="11">
        <v>127.57299999999999</v>
      </c>
      <c r="P47" s="11">
        <v>127.015</v>
      </c>
      <c r="Q47" s="11">
        <v>128.28100000000001</v>
      </c>
      <c r="R47" s="11">
        <v>119.626</v>
      </c>
      <c r="S47" s="11">
        <v>120.473</v>
      </c>
      <c r="T47" s="11">
        <v>61.768000000000001</v>
      </c>
      <c r="U47" s="11">
        <v>64.096999999999994</v>
      </c>
      <c r="V47" s="11">
        <v>38.231999999999999</v>
      </c>
      <c r="W47" s="11">
        <v>35.902999999999999</v>
      </c>
      <c r="X47" s="11">
        <v>12.865</v>
      </c>
      <c r="Y47" s="11">
        <v>13.055999999999999</v>
      </c>
      <c r="Z47" s="11">
        <v>35.902999999999999</v>
      </c>
      <c r="AA47" s="11">
        <v>38.231999999999999</v>
      </c>
      <c r="AB47" s="11">
        <v>10.653</v>
      </c>
      <c r="AC47" s="11">
        <v>18</v>
      </c>
      <c r="AD47" s="11">
        <v>21</v>
      </c>
      <c r="AE47" s="11">
        <v>18</v>
      </c>
      <c r="AF47" s="11">
        <v>18</v>
      </c>
    </row>
    <row r="48" spans="1:32" s="11" customFormat="1" x14ac:dyDescent="0.2">
      <c r="A48" s="11">
        <v>148</v>
      </c>
      <c r="F48" s="11" t="s">
        <v>16414</v>
      </c>
      <c r="G48" s="11" t="s">
        <v>16415</v>
      </c>
      <c r="H48" s="12">
        <v>63.7</v>
      </c>
      <c r="I48" s="11" t="s">
        <v>16404</v>
      </c>
      <c r="L48" s="11">
        <v>22.573</v>
      </c>
      <c r="M48" s="11">
        <v>21.818000000000001</v>
      </c>
      <c r="N48" s="11">
        <v>44.475000000000001</v>
      </c>
      <c r="O48" s="11">
        <v>44.548000000000002</v>
      </c>
      <c r="P48" s="11">
        <v>35.439</v>
      </c>
      <c r="Q48" s="11">
        <v>35.470999999999997</v>
      </c>
      <c r="R48" s="11">
        <v>96.341999999999999</v>
      </c>
      <c r="S48" s="11">
        <v>96.798000000000002</v>
      </c>
      <c r="T48" s="11">
        <v>69.828999999999994</v>
      </c>
      <c r="U48" s="11">
        <v>66.918999999999997</v>
      </c>
      <c r="V48" s="11">
        <v>30.170999999999999</v>
      </c>
      <c r="W48" s="11">
        <v>33.081000000000003</v>
      </c>
      <c r="X48" s="11">
        <v>20.302</v>
      </c>
      <c r="Y48" s="11">
        <v>15.903</v>
      </c>
      <c r="Z48" s="11">
        <v>33.081000000000003</v>
      </c>
      <c r="AA48" s="11">
        <v>30.170999999999999</v>
      </c>
      <c r="AB48" s="11">
        <v>13.115</v>
      </c>
      <c r="AC48" s="11">
        <v>14</v>
      </c>
      <c r="AD48" s="11">
        <v>15</v>
      </c>
      <c r="AE48" s="11">
        <v>14</v>
      </c>
      <c r="AF48" s="11">
        <v>14</v>
      </c>
    </row>
    <row r="49" spans="1:32" s="11" customFormat="1" x14ac:dyDescent="0.2">
      <c r="A49" s="11">
        <v>150</v>
      </c>
      <c r="F49" s="11" t="s">
        <v>16414</v>
      </c>
      <c r="G49" s="11" t="s">
        <v>16415</v>
      </c>
      <c r="H49" s="12">
        <v>44.5</v>
      </c>
      <c r="I49" s="11" t="s">
        <v>16404</v>
      </c>
      <c r="L49" s="11">
        <v>50.844999999999999</v>
      </c>
      <c r="M49" s="11">
        <v>46.811</v>
      </c>
      <c r="N49" s="11">
        <v>98.406999999999996</v>
      </c>
      <c r="O49" s="11">
        <v>97.738</v>
      </c>
      <c r="P49" s="11">
        <v>74.753</v>
      </c>
      <c r="Q49" s="11">
        <v>74.656000000000006</v>
      </c>
      <c r="R49" s="11">
        <v>91.888999999999996</v>
      </c>
      <c r="S49" s="11">
        <v>91.653000000000006</v>
      </c>
      <c r="T49" s="11">
        <v>63.277999999999999</v>
      </c>
      <c r="U49" s="11">
        <v>65.096999999999994</v>
      </c>
      <c r="V49" s="11">
        <v>36.722000000000001</v>
      </c>
      <c r="W49" s="11">
        <v>34.902999999999999</v>
      </c>
      <c r="X49" s="11">
        <v>13.731</v>
      </c>
      <c r="Y49" s="11">
        <v>15.226000000000001</v>
      </c>
      <c r="Z49" s="11">
        <v>34.902999999999999</v>
      </c>
      <c r="AA49" s="11">
        <v>36.722000000000001</v>
      </c>
      <c r="AB49" s="11">
        <v>10.496</v>
      </c>
      <c r="AC49" s="11">
        <v>20</v>
      </c>
      <c r="AD49" s="11">
        <v>21</v>
      </c>
      <c r="AE49" s="11">
        <v>20</v>
      </c>
      <c r="AF49" s="11">
        <v>20</v>
      </c>
    </row>
    <row r="50" spans="1:32" s="11" customFormat="1" x14ac:dyDescent="0.2">
      <c r="A50" s="11">
        <v>151</v>
      </c>
      <c r="F50" s="11" t="s">
        <v>16414</v>
      </c>
      <c r="G50" s="11" t="s">
        <v>16415</v>
      </c>
      <c r="H50" s="12">
        <v>57.7</v>
      </c>
      <c r="I50" s="11" t="s">
        <v>16407</v>
      </c>
      <c r="L50" s="11">
        <v>64.686999999999998</v>
      </c>
      <c r="M50" s="11">
        <v>65.594999999999999</v>
      </c>
      <c r="N50" s="11">
        <v>130.315</v>
      </c>
      <c r="O50" s="11">
        <v>130.501</v>
      </c>
      <c r="P50" s="11">
        <v>132.149</v>
      </c>
      <c r="Q50" s="11">
        <v>132.31899999999999</v>
      </c>
      <c r="R50" s="11">
        <v>122.238</v>
      </c>
      <c r="S50" s="11">
        <v>121.857</v>
      </c>
      <c r="T50" s="11">
        <v>59.476999999999997</v>
      </c>
      <c r="U50" s="11">
        <v>59.683999999999997</v>
      </c>
      <c r="V50" s="11">
        <v>40.523000000000003</v>
      </c>
      <c r="W50" s="11">
        <v>40.316000000000003</v>
      </c>
      <c r="X50" s="11">
        <v>9.01</v>
      </c>
      <c r="Y50" s="11">
        <v>10.691000000000001</v>
      </c>
      <c r="Z50" s="11">
        <v>40.316000000000003</v>
      </c>
      <c r="AA50" s="11">
        <v>40.523000000000003</v>
      </c>
      <c r="AB50" s="11">
        <v>12.624000000000001</v>
      </c>
      <c r="AC50" s="11">
        <v>24</v>
      </c>
      <c r="AD50" s="11">
        <v>20</v>
      </c>
      <c r="AE50" s="11">
        <v>20</v>
      </c>
      <c r="AF50" s="11">
        <v>20</v>
      </c>
    </row>
    <row r="51" spans="1:32" s="11" customFormat="1" x14ac:dyDescent="0.2">
      <c r="A51" s="11">
        <v>153</v>
      </c>
      <c r="F51" s="11" t="s">
        <v>16414</v>
      </c>
      <c r="G51" s="11" t="s">
        <v>16415</v>
      </c>
      <c r="H51" s="12">
        <v>56.1</v>
      </c>
      <c r="I51" s="11" t="s">
        <v>16404</v>
      </c>
      <c r="L51" s="11">
        <v>41.514000000000003</v>
      </c>
      <c r="M51" s="11">
        <v>57.027999999999999</v>
      </c>
      <c r="N51" s="11">
        <v>98.135000000000005</v>
      </c>
      <c r="O51" s="11">
        <v>98.733000000000004</v>
      </c>
      <c r="P51" s="11">
        <v>91.361999999999995</v>
      </c>
      <c r="Q51" s="11">
        <v>91.147999999999996</v>
      </c>
      <c r="R51" s="11">
        <v>111.254</v>
      </c>
      <c r="S51" s="11">
        <v>111.139</v>
      </c>
      <c r="T51" s="11">
        <v>63.682000000000002</v>
      </c>
      <c r="U51" s="11">
        <v>66.56</v>
      </c>
      <c r="V51" s="11">
        <v>36.317999999999998</v>
      </c>
      <c r="W51" s="11">
        <v>33.44</v>
      </c>
      <c r="X51" s="11">
        <v>11.827999999999999</v>
      </c>
      <c r="Y51" s="11">
        <v>18.454000000000001</v>
      </c>
      <c r="Z51" s="11">
        <v>33.44</v>
      </c>
      <c r="AA51" s="11">
        <v>36.317999999999998</v>
      </c>
      <c r="AB51" s="11">
        <v>11.76</v>
      </c>
      <c r="AC51" s="11">
        <v>18</v>
      </c>
      <c r="AD51" s="11">
        <v>20</v>
      </c>
      <c r="AE51" s="11">
        <v>18</v>
      </c>
      <c r="AF51" s="11">
        <v>18</v>
      </c>
    </row>
    <row r="52" spans="1:32" s="11" customFormat="1" x14ac:dyDescent="0.2">
      <c r="A52" s="11">
        <v>155</v>
      </c>
      <c r="F52" s="11" t="s">
        <v>16414</v>
      </c>
      <c r="G52" s="11" t="s">
        <v>16415</v>
      </c>
      <c r="H52" s="12">
        <v>52</v>
      </c>
      <c r="I52" s="11" t="s">
        <v>16404</v>
      </c>
      <c r="L52" s="11">
        <v>68.343000000000004</v>
      </c>
      <c r="M52" s="11">
        <v>60.993000000000002</v>
      </c>
      <c r="N52" s="11">
        <v>129.99799999999999</v>
      </c>
      <c r="O52" s="11">
        <v>129.47999999999999</v>
      </c>
      <c r="P52" s="11">
        <v>113.04</v>
      </c>
      <c r="Q52" s="11">
        <v>112.723</v>
      </c>
      <c r="R52" s="11">
        <v>104.575</v>
      </c>
      <c r="S52" s="11">
        <v>104.678</v>
      </c>
      <c r="T52" s="11">
        <v>63.771000000000001</v>
      </c>
      <c r="U52" s="11">
        <v>66.043999999999997</v>
      </c>
      <c r="V52" s="11">
        <v>36.228999999999999</v>
      </c>
      <c r="W52" s="11">
        <v>33.956000000000003</v>
      </c>
      <c r="X52" s="11">
        <v>13.7</v>
      </c>
      <c r="Y52" s="11">
        <v>16.321999999999999</v>
      </c>
      <c r="Z52" s="11">
        <v>33.956000000000003</v>
      </c>
      <c r="AA52" s="11">
        <v>36.228999999999999</v>
      </c>
      <c r="AB52" s="11">
        <v>12.321999999999999</v>
      </c>
      <c r="AC52" s="11">
        <v>17</v>
      </c>
      <c r="AD52" s="11">
        <v>15</v>
      </c>
      <c r="AE52" s="11">
        <v>15</v>
      </c>
      <c r="AF52" s="11">
        <v>15</v>
      </c>
    </row>
    <row r="53" spans="1:32" s="11" customFormat="1" x14ac:dyDescent="0.2">
      <c r="A53" s="11">
        <v>156</v>
      </c>
      <c r="F53" s="11" t="s">
        <v>16424</v>
      </c>
      <c r="G53" s="11" t="s">
        <v>16425</v>
      </c>
      <c r="H53" s="12">
        <v>54.1</v>
      </c>
      <c r="I53" s="11" t="s">
        <v>16404</v>
      </c>
      <c r="L53" s="11">
        <v>16.209</v>
      </c>
      <c r="M53" s="11">
        <v>3.468</v>
      </c>
      <c r="N53" s="11">
        <v>19.513999999999999</v>
      </c>
      <c r="O53" s="11">
        <v>19.158999999999999</v>
      </c>
      <c r="P53" s="11">
        <v>4.1989999999999998</v>
      </c>
      <c r="Q53" s="11">
        <v>4.2380000000000004</v>
      </c>
      <c r="R53" s="11">
        <v>26.378</v>
      </c>
      <c r="S53" s="11">
        <v>25.66</v>
      </c>
      <c r="T53" s="11">
        <v>87.064999999999998</v>
      </c>
      <c r="U53" s="11">
        <v>89.93</v>
      </c>
      <c r="V53" s="11">
        <v>12.935</v>
      </c>
      <c r="W53" s="11">
        <v>10.07</v>
      </c>
      <c r="X53" s="11">
        <v>39.591000000000001</v>
      </c>
      <c r="Y53" s="11">
        <v>37.018999999999998</v>
      </c>
      <c r="Z53" s="11">
        <v>10.07</v>
      </c>
      <c r="AA53" s="11">
        <v>12.935</v>
      </c>
      <c r="AB53" s="11">
        <v>19.945</v>
      </c>
      <c r="AC53" s="11">
        <v>10</v>
      </c>
      <c r="AD53" s="11">
        <v>11</v>
      </c>
      <c r="AE53" s="11">
        <v>10</v>
      </c>
      <c r="AF53" s="11">
        <v>10</v>
      </c>
    </row>
    <row r="54" spans="1:32" s="11" customFormat="1" x14ac:dyDescent="0.2">
      <c r="A54" s="11">
        <v>157</v>
      </c>
      <c r="F54" s="11" t="s">
        <v>16414</v>
      </c>
      <c r="G54" s="11" t="s">
        <v>16415</v>
      </c>
      <c r="H54" s="12">
        <v>42.3</v>
      </c>
      <c r="I54" s="11" t="s">
        <v>16407</v>
      </c>
      <c r="L54" s="11">
        <v>49.853000000000002</v>
      </c>
      <c r="M54" s="11">
        <v>49.133000000000003</v>
      </c>
      <c r="N54" s="11">
        <v>99.718999999999994</v>
      </c>
      <c r="O54" s="11">
        <v>99.143000000000001</v>
      </c>
      <c r="P54" s="11">
        <v>87.602999999999994</v>
      </c>
      <c r="Q54" s="11">
        <v>87.239000000000004</v>
      </c>
      <c r="R54" s="11">
        <v>105.375</v>
      </c>
      <c r="S54" s="11">
        <v>105.30500000000001</v>
      </c>
      <c r="T54" s="11">
        <v>62.326000000000001</v>
      </c>
      <c r="U54" s="11">
        <v>63.262999999999998</v>
      </c>
      <c r="V54" s="11">
        <v>37.673999999999999</v>
      </c>
      <c r="W54" s="11">
        <v>36.737000000000002</v>
      </c>
      <c r="X54" s="11">
        <v>14.196</v>
      </c>
      <c r="Y54" s="11">
        <v>11.667</v>
      </c>
      <c r="Z54" s="11">
        <v>36.737000000000002</v>
      </c>
      <c r="AA54" s="11">
        <v>37.673999999999999</v>
      </c>
      <c r="AB54" s="11">
        <v>10.393000000000001</v>
      </c>
      <c r="AC54" s="11">
        <v>14</v>
      </c>
      <c r="AD54" s="11">
        <v>15</v>
      </c>
      <c r="AE54" s="11">
        <v>14</v>
      </c>
      <c r="AF54" s="11">
        <v>14</v>
      </c>
    </row>
    <row r="55" spans="1:32" s="11" customFormat="1" x14ac:dyDescent="0.2">
      <c r="A55" s="11">
        <v>158</v>
      </c>
      <c r="F55" s="11" t="s">
        <v>16420</v>
      </c>
      <c r="G55" s="11" t="s">
        <v>16421</v>
      </c>
      <c r="H55" s="12">
        <v>74</v>
      </c>
      <c r="I55" s="11" t="s">
        <v>16404</v>
      </c>
      <c r="L55" s="11">
        <v>58.195999999999998</v>
      </c>
      <c r="M55" s="11">
        <v>58.847000000000001</v>
      </c>
      <c r="N55" s="11">
        <v>117.017</v>
      </c>
      <c r="O55" s="11">
        <v>117.09</v>
      </c>
      <c r="P55" s="11">
        <v>96.016999999999996</v>
      </c>
      <c r="Q55" s="11">
        <v>96.096000000000004</v>
      </c>
      <c r="R55" s="11">
        <v>98.216999999999999</v>
      </c>
      <c r="S55" s="11">
        <v>98.486000000000004</v>
      </c>
      <c r="T55" s="11">
        <v>63.228000000000002</v>
      </c>
      <c r="U55" s="11">
        <v>64.088999999999999</v>
      </c>
      <c r="V55" s="11">
        <v>36.771999999999998</v>
      </c>
      <c r="W55" s="11">
        <v>35.911000000000001</v>
      </c>
      <c r="X55" s="11">
        <v>14.179</v>
      </c>
      <c r="Y55" s="11">
        <v>13.451000000000001</v>
      </c>
      <c r="Z55" s="11">
        <v>35.911000000000001</v>
      </c>
      <c r="AA55" s="11">
        <v>36.771999999999998</v>
      </c>
      <c r="AB55" s="11">
        <v>9.48</v>
      </c>
      <c r="AC55" s="11">
        <v>15</v>
      </c>
      <c r="AD55" s="11">
        <v>15</v>
      </c>
      <c r="AE55" s="11">
        <v>15</v>
      </c>
      <c r="AF55" s="11">
        <v>15</v>
      </c>
    </row>
    <row r="56" spans="1:32" s="11" customFormat="1" x14ac:dyDescent="0.2">
      <c r="A56" s="11">
        <v>161</v>
      </c>
      <c r="F56" s="11" t="s">
        <v>16424</v>
      </c>
      <c r="G56" s="11" t="s">
        <v>16425</v>
      </c>
      <c r="H56" s="12">
        <v>81.099999999999994</v>
      </c>
      <c r="I56" s="11" t="s">
        <v>16404</v>
      </c>
      <c r="L56" s="11" t="s">
        <v>16403</v>
      </c>
      <c r="M56" s="11" t="s">
        <v>16403</v>
      </c>
      <c r="N56" s="11" t="s">
        <v>16403</v>
      </c>
      <c r="O56" s="11" t="s">
        <v>16403</v>
      </c>
      <c r="P56" s="11" t="s">
        <v>16403</v>
      </c>
      <c r="Q56" s="11" t="s">
        <v>16403</v>
      </c>
      <c r="R56" s="11" t="s">
        <v>16403</v>
      </c>
      <c r="S56" s="11" t="s">
        <v>16403</v>
      </c>
      <c r="T56" s="11" t="s">
        <v>16403</v>
      </c>
      <c r="U56" s="11" t="s">
        <v>16403</v>
      </c>
      <c r="V56" s="11" t="s">
        <v>16403</v>
      </c>
      <c r="W56" s="11" t="s">
        <v>16403</v>
      </c>
      <c r="X56" s="11" t="s">
        <v>16403</v>
      </c>
      <c r="Y56" s="11" t="s">
        <v>16403</v>
      </c>
      <c r="Z56" s="11" t="s">
        <v>16403</v>
      </c>
      <c r="AA56" s="11" t="s">
        <v>16403</v>
      </c>
      <c r="AB56" s="11" t="s">
        <v>16403</v>
      </c>
      <c r="AC56" s="11" t="s">
        <v>16403</v>
      </c>
      <c r="AD56" s="11" t="s">
        <v>16403</v>
      </c>
      <c r="AE56" s="11" t="s">
        <v>16403</v>
      </c>
      <c r="AF56" s="11" t="s">
        <v>16403</v>
      </c>
    </row>
    <row r="57" spans="1:32" s="11" customFormat="1" x14ac:dyDescent="0.2">
      <c r="A57" s="11">
        <v>162</v>
      </c>
      <c r="F57" s="11" t="s">
        <v>16403</v>
      </c>
      <c r="G57" s="11" t="s">
        <v>16403</v>
      </c>
      <c r="H57" s="12">
        <v>999</v>
      </c>
      <c r="I57" s="11" t="s">
        <v>16403</v>
      </c>
      <c r="L57" s="11">
        <v>52.616999999999997</v>
      </c>
      <c r="M57" s="11">
        <v>54.167999999999999</v>
      </c>
      <c r="N57" s="11">
        <v>106.77</v>
      </c>
      <c r="O57" s="11">
        <v>107.068</v>
      </c>
      <c r="P57" s="11">
        <v>97.239000000000004</v>
      </c>
      <c r="Q57" s="11">
        <v>97.801000000000002</v>
      </c>
      <c r="R57" s="11">
        <v>109.297</v>
      </c>
      <c r="S57" s="11">
        <v>109.505</v>
      </c>
      <c r="T57" s="11">
        <v>64.242999999999995</v>
      </c>
      <c r="U57" s="11">
        <v>64.328999999999994</v>
      </c>
      <c r="V57" s="11">
        <v>35.756999999999998</v>
      </c>
      <c r="W57" s="11">
        <v>35.670999999999999</v>
      </c>
      <c r="X57" s="11">
        <v>14.178000000000001</v>
      </c>
      <c r="Y57" s="11">
        <v>14.417999999999999</v>
      </c>
      <c r="Z57" s="11">
        <v>35.670999999999999</v>
      </c>
      <c r="AA57" s="11">
        <v>35.756999999999998</v>
      </c>
      <c r="AB57" s="11">
        <v>9.51</v>
      </c>
      <c r="AC57" s="11">
        <v>28</v>
      </c>
      <c r="AD57" s="11">
        <v>29</v>
      </c>
      <c r="AE57" s="11">
        <v>28</v>
      </c>
      <c r="AF57" s="11">
        <v>28</v>
      </c>
    </row>
    <row r="58" spans="1:32" s="11" customFormat="1" x14ac:dyDescent="0.2">
      <c r="A58" s="11">
        <v>164</v>
      </c>
      <c r="F58" s="11" t="s">
        <v>16414</v>
      </c>
      <c r="G58" s="11" t="s">
        <v>16415</v>
      </c>
      <c r="H58" s="12">
        <v>67.8</v>
      </c>
      <c r="I58" s="11" t="s">
        <v>16404</v>
      </c>
      <c r="L58" s="11">
        <v>61.332000000000001</v>
      </c>
      <c r="M58" s="11">
        <v>61.148000000000003</v>
      </c>
      <c r="N58" s="11">
        <v>122.66</v>
      </c>
      <c r="O58" s="11">
        <v>122.02</v>
      </c>
      <c r="P58" s="11">
        <v>106.07899999999999</v>
      </c>
      <c r="Q58" s="11">
        <v>106.07599999999999</v>
      </c>
      <c r="R58" s="11">
        <v>103.974</v>
      </c>
      <c r="S58" s="11">
        <v>104.247</v>
      </c>
      <c r="T58" s="11">
        <v>62.975000000000001</v>
      </c>
      <c r="U58" s="11">
        <v>64.408000000000001</v>
      </c>
      <c r="V58" s="11">
        <v>37.024999999999999</v>
      </c>
      <c r="W58" s="11">
        <v>35.591999999999999</v>
      </c>
      <c r="X58" s="11">
        <v>14.925000000000001</v>
      </c>
      <c r="Y58" s="11">
        <v>12.708</v>
      </c>
      <c r="Z58" s="11">
        <v>35.591999999999999</v>
      </c>
      <c r="AA58" s="11">
        <v>37.024999999999999</v>
      </c>
      <c r="AB58" s="11">
        <v>11.151999999999999</v>
      </c>
      <c r="AC58" s="11">
        <v>16</v>
      </c>
      <c r="AD58" s="11">
        <v>16</v>
      </c>
      <c r="AE58" s="11">
        <v>16</v>
      </c>
      <c r="AF58" s="11">
        <v>16</v>
      </c>
    </row>
    <row r="59" spans="1:32" s="11" customFormat="1" x14ac:dyDescent="0.2">
      <c r="A59" s="11">
        <v>167</v>
      </c>
      <c r="F59" s="11" t="s">
        <v>16424</v>
      </c>
      <c r="G59" s="11" t="s">
        <v>16425</v>
      </c>
      <c r="H59" s="12">
        <v>68.400000000000006</v>
      </c>
      <c r="I59" s="11" t="s">
        <v>16407</v>
      </c>
      <c r="L59" s="11">
        <v>60.006</v>
      </c>
      <c r="M59" s="11">
        <v>60.750999999999998</v>
      </c>
      <c r="N59" s="11">
        <v>120.81699999999999</v>
      </c>
      <c r="O59" s="11">
        <v>121.581</v>
      </c>
      <c r="P59" s="11">
        <v>116.843</v>
      </c>
      <c r="Q59" s="11">
        <v>116.917</v>
      </c>
      <c r="R59" s="11">
        <v>115.89700000000001</v>
      </c>
      <c r="S59" s="11">
        <v>115.283</v>
      </c>
      <c r="T59" s="11">
        <v>60.566000000000003</v>
      </c>
      <c r="U59" s="11">
        <v>62.435000000000002</v>
      </c>
      <c r="V59" s="11">
        <v>39.433999999999997</v>
      </c>
      <c r="W59" s="11">
        <v>37.564999999999998</v>
      </c>
      <c r="X59" s="11">
        <v>11.531000000000001</v>
      </c>
      <c r="Y59" s="11">
        <v>11.999000000000001</v>
      </c>
      <c r="Z59" s="11">
        <v>37.564999999999998</v>
      </c>
      <c r="AA59" s="11">
        <v>39.433999999999997</v>
      </c>
      <c r="AB59" s="11">
        <v>8.3859999999999992</v>
      </c>
      <c r="AC59" s="11">
        <v>15</v>
      </c>
      <c r="AD59" s="11">
        <v>15</v>
      </c>
      <c r="AE59" s="11">
        <v>15</v>
      </c>
      <c r="AF59" s="11">
        <v>15</v>
      </c>
    </row>
    <row r="60" spans="1:32" s="11" customFormat="1" x14ac:dyDescent="0.2">
      <c r="A60" s="11">
        <v>168</v>
      </c>
      <c r="F60" s="11" t="s">
        <v>16426</v>
      </c>
      <c r="G60" s="11" t="s">
        <v>16427</v>
      </c>
      <c r="H60" s="12">
        <v>73.5</v>
      </c>
      <c r="I60" s="11" t="s">
        <v>16404</v>
      </c>
      <c r="L60" s="11">
        <v>22.172000000000001</v>
      </c>
      <c r="M60" s="11">
        <v>25.260999999999999</v>
      </c>
      <c r="N60" s="11">
        <v>47.448</v>
      </c>
      <c r="O60" s="11">
        <v>47.258000000000003</v>
      </c>
      <c r="P60" s="11">
        <v>49.710999999999999</v>
      </c>
      <c r="Q60" s="11">
        <v>48.933999999999997</v>
      </c>
      <c r="R60" s="11">
        <v>127.126</v>
      </c>
      <c r="S60" s="11">
        <v>125.21899999999999</v>
      </c>
      <c r="T60" s="11">
        <v>68.491</v>
      </c>
      <c r="U60" s="11">
        <v>68.721999999999994</v>
      </c>
      <c r="V60" s="11">
        <v>31.509</v>
      </c>
      <c r="W60" s="11">
        <v>31.277999999999999</v>
      </c>
      <c r="X60" s="11">
        <v>19.783999999999999</v>
      </c>
      <c r="Y60" s="11">
        <v>17.353999999999999</v>
      </c>
      <c r="Z60" s="11">
        <v>31.277999999999999</v>
      </c>
      <c r="AA60" s="11">
        <v>31.509</v>
      </c>
      <c r="AB60" s="11">
        <v>21.414999999999999</v>
      </c>
      <c r="AC60" s="11">
        <v>26</v>
      </c>
      <c r="AD60" s="11">
        <v>26</v>
      </c>
      <c r="AE60" s="11">
        <v>26</v>
      </c>
      <c r="AF60" s="11">
        <v>26</v>
      </c>
    </row>
    <row r="61" spans="1:32" s="11" customFormat="1" x14ac:dyDescent="0.2">
      <c r="A61" s="11">
        <v>169</v>
      </c>
      <c r="F61" s="11" t="s">
        <v>16414</v>
      </c>
      <c r="G61" s="11" t="s">
        <v>16415</v>
      </c>
      <c r="H61" s="12">
        <v>75.3</v>
      </c>
      <c r="I61" s="11" t="s">
        <v>16404</v>
      </c>
      <c r="L61" s="11">
        <v>47.466000000000001</v>
      </c>
      <c r="M61" s="11">
        <v>50.695999999999998</v>
      </c>
      <c r="N61" s="11">
        <v>98.055999999999997</v>
      </c>
      <c r="O61" s="11">
        <v>98.105999999999995</v>
      </c>
      <c r="P61" s="11">
        <v>100.851</v>
      </c>
      <c r="Q61" s="11">
        <v>101.05800000000001</v>
      </c>
      <c r="R61" s="11">
        <v>123.398</v>
      </c>
      <c r="S61" s="11">
        <v>122.999</v>
      </c>
      <c r="T61" s="11">
        <v>63.978000000000002</v>
      </c>
      <c r="U61" s="11">
        <v>66.263999999999996</v>
      </c>
      <c r="V61" s="11">
        <v>36.021999999999998</v>
      </c>
      <c r="W61" s="11">
        <v>33.735999999999997</v>
      </c>
      <c r="X61" s="11">
        <v>15.334</v>
      </c>
      <c r="Y61" s="11">
        <v>15.317</v>
      </c>
      <c r="Z61" s="11">
        <v>33.735999999999997</v>
      </c>
      <c r="AA61" s="11">
        <v>36.021999999999998</v>
      </c>
      <c r="AB61" s="11">
        <v>11.757999999999999</v>
      </c>
      <c r="AC61" s="11">
        <v>22</v>
      </c>
      <c r="AD61" s="11">
        <v>18</v>
      </c>
      <c r="AE61" s="11">
        <v>18</v>
      </c>
      <c r="AF61" s="11">
        <v>18</v>
      </c>
    </row>
    <row r="62" spans="1:32" s="11" customFormat="1" x14ac:dyDescent="0.2">
      <c r="A62" s="11">
        <v>170</v>
      </c>
      <c r="F62" s="11" t="s">
        <v>16424</v>
      </c>
      <c r="G62" s="11" t="s">
        <v>16425</v>
      </c>
      <c r="H62" s="12">
        <v>61.9</v>
      </c>
      <c r="I62" s="11" t="s">
        <v>16407</v>
      </c>
      <c r="L62" s="11">
        <v>51.488999999999997</v>
      </c>
      <c r="M62" s="11">
        <v>51.576000000000001</v>
      </c>
      <c r="N62" s="11">
        <v>102.955</v>
      </c>
      <c r="O62" s="11">
        <v>103.636</v>
      </c>
      <c r="P62" s="11">
        <v>95.415000000000006</v>
      </c>
      <c r="Q62" s="11">
        <v>95.8</v>
      </c>
      <c r="R62" s="11">
        <v>110.91200000000001</v>
      </c>
      <c r="S62" s="11">
        <v>111.069</v>
      </c>
      <c r="T62" s="11">
        <v>62.295999999999999</v>
      </c>
      <c r="U62" s="11">
        <v>61.683</v>
      </c>
      <c r="V62" s="11">
        <v>37.704000000000001</v>
      </c>
      <c r="W62" s="11">
        <v>38.317</v>
      </c>
      <c r="X62" s="11">
        <v>12.672000000000001</v>
      </c>
      <c r="Y62" s="11">
        <v>11.789</v>
      </c>
      <c r="Z62" s="11">
        <v>38.317</v>
      </c>
      <c r="AA62" s="11">
        <v>37.704000000000001</v>
      </c>
      <c r="AB62" s="11">
        <v>7.9880000000000004</v>
      </c>
      <c r="AC62" s="11">
        <v>19</v>
      </c>
      <c r="AD62" s="11">
        <v>17</v>
      </c>
      <c r="AE62" s="11">
        <v>17</v>
      </c>
      <c r="AF62" s="11">
        <v>17</v>
      </c>
    </row>
    <row r="63" spans="1:32" s="11" customFormat="1" x14ac:dyDescent="0.2">
      <c r="A63" s="11">
        <v>172</v>
      </c>
      <c r="F63" s="11" t="s">
        <v>16428</v>
      </c>
      <c r="G63" s="11" t="s">
        <v>16429</v>
      </c>
      <c r="H63" s="12">
        <v>34.5</v>
      </c>
      <c r="I63" s="11" t="s">
        <v>16404</v>
      </c>
      <c r="L63" s="11">
        <v>55.298000000000002</v>
      </c>
      <c r="M63" s="11">
        <v>52.923000000000002</v>
      </c>
      <c r="N63" s="11">
        <v>108.489</v>
      </c>
      <c r="O63" s="11">
        <v>107.253</v>
      </c>
      <c r="P63" s="11">
        <v>89.578000000000003</v>
      </c>
      <c r="Q63" s="11">
        <v>89.802000000000007</v>
      </c>
      <c r="R63" s="11">
        <v>99.341999999999999</v>
      </c>
      <c r="S63" s="11">
        <v>99.912999999999997</v>
      </c>
      <c r="T63" s="11">
        <v>64.701999999999998</v>
      </c>
      <c r="U63" s="11">
        <v>62.841999999999999</v>
      </c>
      <c r="V63" s="11">
        <v>35.298000000000002</v>
      </c>
      <c r="W63" s="11">
        <v>37.158000000000001</v>
      </c>
      <c r="X63" s="11">
        <v>13.721</v>
      </c>
      <c r="Y63" s="11">
        <v>14</v>
      </c>
      <c r="Z63" s="11">
        <v>37.158000000000001</v>
      </c>
      <c r="AA63" s="11">
        <v>35.298000000000002</v>
      </c>
      <c r="AB63" s="11">
        <v>16.204999999999998</v>
      </c>
      <c r="AC63" s="11">
        <v>17</v>
      </c>
      <c r="AD63" s="11">
        <v>15</v>
      </c>
      <c r="AE63" s="11">
        <v>15</v>
      </c>
      <c r="AF63" s="11">
        <v>15</v>
      </c>
    </row>
    <row r="64" spans="1:32" s="11" customFormat="1" x14ac:dyDescent="0.2">
      <c r="A64" s="11">
        <v>173</v>
      </c>
      <c r="F64" s="11">
        <v>332</v>
      </c>
      <c r="G64" s="11" t="s">
        <v>16405</v>
      </c>
      <c r="H64" s="12">
        <v>70.099999999999994</v>
      </c>
      <c r="I64" s="11" t="s">
        <v>16407</v>
      </c>
      <c r="L64" s="11">
        <v>41.421999999999997</v>
      </c>
      <c r="M64" s="11">
        <v>36.116</v>
      </c>
      <c r="N64" s="11">
        <v>77.676000000000002</v>
      </c>
      <c r="O64" s="11">
        <v>77.094999999999999</v>
      </c>
      <c r="P64" s="11">
        <v>77.016000000000005</v>
      </c>
      <c r="Q64" s="11">
        <v>76.587999999999994</v>
      </c>
      <c r="R64" s="11">
        <v>119.535</v>
      </c>
      <c r="S64" s="11">
        <v>118.786</v>
      </c>
      <c r="T64" s="11">
        <v>64.281000000000006</v>
      </c>
      <c r="U64" s="11">
        <v>64.792000000000002</v>
      </c>
      <c r="V64" s="11">
        <v>35.719000000000001</v>
      </c>
      <c r="W64" s="11">
        <v>35.207999999999998</v>
      </c>
      <c r="X64" s="11">
        <v>14.583</v>
      </c>
      <c r="Y64" s="11">
        <v>14.786</v>
      </c>
      <c r="Z64" s="11">
        <v>35.207999999999998</v>
      </c>
      <c r="AA64" s="11">
        <v>35.719000000000001</v>
      </c>
      <c r="AB64" s="11">
        <v>13.8</v>
      </c>
      <c r="AC64" s="11">
        <v>17</v>
      </c>
      <c r="AD64" s="11">
        <v>19</v>
      </c>
      <c r="AE64" s="11">
        <v>17</v>
      </c>
      <c r="AF64" s="11">
        <v>17</v>
      </c>
    </row>
    <row r="65" spans="1:32" s="11" customFormat="1" x14ac:dyDescent="0.2">
      <c r="A65" s="11">
        <v>174</v>
      </c>
      <c r="F65" s="11">
        <v>333.1</v>
      </c>
      <c r="G65" s="11" t="s">
        <v>16406</v>
      </c>
      <c r="H65" s="12">
        <v>73</v>
      </c>
      <c r="I65" s="11" t="s">
        <v>16404</v>
      </c>
      <c r="L65" s="11">
        <v>52.048000000000002</v>
      </c>
      <c r="M65" s="11">
        <v>42.255000000000003</v>
      </c>
      <c r="N65" s="11">
        <v>95.134</v>
      </c>
      <c r="O65" s="11">
        <v>94.248000000000005</v>
      </c>
      <c r="P65" s="11">
        <v>80.95</v>
      </c>
      <c r="Q65" s="11">
        <v>80.873999999999995</v>
      </c>
      <c r="R65" s="11">
        <v>101.521</v>
      </c>
      <c r="S65" s="11">
        <v>102.12</v>
      </c>
      <c r="T65" s="11">
        <v>64.403000000000006</v>
      </c>
      <c r="U65" s="11">
        <v>64.912000000000006</v>
      </c>
      <c r="V65" s="11">
        <v>35.597000000000001</v>
      </c>
      <c r="W65" s="11">
        <v>35.088000000000001</v>
      </c>
      <c r="X65" s="11">
        <v>16.253</v>
      </c>
      <c r="Y65" s="11">
        <v>13.226000000000001</v>
      </c>
      <c r="Z65" s="11">
        <v>35.088000000000001</v>
      </c>
      <c r="AA65" s="11">
        <v>35.597000000000001</v>
      </c>
      <c r="AB65" s="11">
        <v>17.376000000000001</v>
      </c>
      <c r="AC65" s="11">
        <v>16</v>
      </c>
      <c r="AD65" s="11">
        <v>18</v>
      </c>
      <c r="AE65" s="11">
        <v>16</v>
      </c>
      <c r="AF65" s="11">
        <v>16</v>
      </c>
    </row>
    <row r="66" spans="1:32" s="11" customFormat="1" x14ac:dyDescent="0.2">
      <c r="A66" s="11">
        <v>175</v>
      </c>
      <c r="F66" s="11">
        <v>332</v>
      </c>
      <c r="G66" s="11" t="s">
        <v>16405</v>
      </c>
      <c r="H66" s="12">
        <v>75.400000000000006</v>
      </c>
      <c r="I66" s="11" t="s">
        <v>16404</v>
      </c>
      <c r="L66" s="11">
        <v>47.517000000000003</v>
      </c>
      <c r="M66" s="11">
        <v>49.247</v>
      </c>
      <c r="N66" s="11">
        <v>96.328000000000003</v>
      </c>
      <c r="O66" s="11">
        <v>99.21</v>
      </c>
      <c r="P66" s="11">
        <v>74.009</v>
      </c>
      <c r="Q66" s="11">
        <v>75.072999999999993</v>
      </c>
      <c r="R66" s="11">
        <v>91.015000000000001</v>
      </c>
      <c r="S66" s="11">
        <v>90.212000000000003</v>
      </c>
      <c r="T66" s="11">
        <v>63.591000000000001</v>
      </c>
      <c r="U66" s="11">
        <v>64.367000000000004</v>
      </c>
      <c r="V66" s="11">
        <v>36.408999999999999</v>
      </c>
      <c r="W66" s="11">
        <v>35.633000000000003</v>
      </c>
      <c r="X66" s="11">
        <v>13.561</v>
      </c>
      <c r="Y66" s="11">
        <v>13.968</v>
      </c>
      <c r="Z66" s="11">
        <v>35.633000000000003</v>
      </c>
      <c r="AA66" s="11">
        <v>36.408999999999999</v>
      </c>
      <c r="AB66" s="11">
        <v>14.11</v>
      </c>
      <c r="AC66" s="11">
        <v>15</v>
      </c>
      <c r="AD66" s="11">
        <v>14</v>
      </c>
      <c r="AE66" s="11">
        <v>14</v>
      </c>
      <c r="AF66" s="11">
        <v>14</v>
      </c>
    </row>
    <row r="67" spans="1:32" s="11" customFormat="1" x14ac:dyDescent="0.2">
      <c r="A67" s="11">
        <v>177</v>
      </c>
      <c r="F67" s="11">
        <v>332</v>
      </c>
      <c r="G67" s="11" t="s">
        <v>16405</v>
      </c>
      <c r="H67" s="12">
        <v>59.5</v>
      </c>
      <c r="I67" s="11" t="s">
        <v>16404</v>
      </c>
      <c r="L67" s="11">
        <v>65.162000000000006</v>
      </c>
      <c r="M67" s="11">
        <v>67.356999999999999</v>
      </c>
      <c r="N67" s="11">
        <v>131.02099999999999</v>
      </c>
      <c r="O67" s="11">
        <v>132.67400000000001</v>
      </c>
      <c r="P67" s="11">
        <v>117.68899999999999</v>
      </c>
      <c r="Q67" s="11">
        <v>117.38800000000001</v>
      </c>
      <c r="R67" s="11">
        <v>106.43600000000001</v>
      </c>
      <c r="S67" s="11">
        <v>106.276</v>
      </c>
      <c r="T67" s="11">
        <v>60.798999999999999</v>
      </c>
      <c r="U67" s="11">
        <v>60.994</v>
      </c>
      <c r="V67" s="11">
        <v>39.201000000000001</v>
      </c>
      <c r="W67" s="11">
        <v>39.006</v>
      </c>
      <c r="X67" s="11">
        <v>11.696999999999999</v>
      </c>
      <c r="Y67" s="11">
        <v>10.132</v>
      </c>
      <c r="Z67" s="11">
        <v>39.006</v>
      </c>
      <c r="AA67" s="11">
        <v>39.201000000000001</v>
      </c>
      <c r="AB67" s="11">
        <v>7.7320000000000002</v>
      </c>
      <c r="AC67" s="11">
        <v>12</v>
      </c>
      <c r="AD67" s="11">
        <v>16</v>
      </c>
      <c r="AE67" s="11">
        <v>12</v>
      </c>
      <c r="AF67" s="11">
        <v>12</v>
      </c>
    </row>
    <row r="68" spans="1:32" s="11" customFormat="1" x14ac:dyDescent="0.2">
      <c r="A68" s="11">
        <v>178</v>
      </c>
      <c r="F68" s="11">
        <v>332</v>
      </c>
      <c r="G68" s="11" t="s">
        <v>16405</v>
      </c>
      <c r="H68" s="12">
        <v>73.2</v>
      </c>
      <c r="I68" s="11" t="s">
        <v>16404</v>
      </c>
      <c r="L68" s="11">
        <v>60.838000000000001</v>
      </c>
      <c r="M68" s="11">
        <v>63.843000000000004</v>
      </c>
      <c r="N68" s="11">
        <v>125.36499999999999</v>
      </c>
      <c r="O68" s="11">
        <v>124.426</v>
      </c>
      <c r="P68" s="11">
        <v>131.16</v>
      </c>
      <c r="Q68" s="11">
        <v>130.137</v>
      </c>
      <c r="R68" s="11">
        <v>125.55500000000001</v>
      </c>
      <c r="S68" s="11">
        <v>125.78700000000001</v>
      </c>
      <c r="T68" s="11">
        <v>62.716000000000001</v>
      </c>
      <c r="U68" s="11">
        <v>60.597999999999999</v>
      </c>
      <c r="V68" s="11">
        <v>37.283999999999999</v>
      </c>
      <c r="W68" s="11">
        <v>39.402000000000001</v>
      </c>
      <c r="X68" s="11">
        <v>11.147</v>
      </c>
      <c r="Y68" s="11">
        <v>11.881</v>
      </c>
      <c r="Z68" s="11">
        <v>39.402000000000001</v>
      </c>
      <c r="AA68" s="11">
        <v>37.283999999999999</v>
      </c>
      <c r="AB68" s="11">
        <v>11.845000000000001</v>
      </c>
      <c r="AC68" s="11">
        <v>20</v>
      </c>
      <c r="AD68" s="11">
        <v>23</v>
      </c>
      <c r="AE68" s="11">
        <v>20</v>
      </c>
      <c r="AF68" s="11">
        <v>20</v>
      </c>
    </row>
    <row r="69" spans="1:32" s="11" customFormat="1" x14ac:dyDescent="0.2">
      <c r="A69" s="11">
        <v>179</v>
      </c>
      <c r="F69" s="11">
        <v>332</v>
      </c>
      <c r="G69" s="11" t="s">
        <v>16405</v>
      </c>
      <c r="H69" s="12">
        <v>53.3</v>
      </c>
      <c r="I69" s="11" t="s">
        <v>16404</v>
      </c>
      <c r="L69" s="11">
        <v>66.733999999999995</v>
      </c>
      <c r="M69" s="11">
        <v>71.616</v>
      </c>
      <c r="N69" s="11">
        <v>138.74199999999999</v>
      </c>
      <c r="O69" s="11">
        <v>139.351</v>
      </c>
      <c r="P69" s="11">
        <v>133.55799999999999</v>
      </c>
      <c r="Q69" s="11">
        <v>133.774</v>
      </c>
      <c r="R69" s="11">
        <v>115.95699999999999</v>
      </c>
      <c r="S69" s="11">
        <v>115.446</v>
      </c>
      <c r="T69" s="11">
        <v>62.353999999999999</v>
      </c>
      <c r="U69" s="11">
        <v>56.536999999999999</v>
      </c>
      <c r="V69" s="11">
        <v>37.646000000000001</v>
      </c>
      <c r="W69" s="11">
        <v>43.463000000000001</v>
      </c>
      <c r="X69" s="11">
        <v>9.4429999999999996</v>
      </c>
      <c r="Y69" s="11">
        <v>10.146000000000001</v>
      </c>
      <c r="Z69" s="11">
        <v>43.463000000000001</v>
      </c>
      <c r="AA69" s="11">
        <v>37.646000000000001</v>
      </c>
      <c r="AB69" s="11">
        <v>9.5389999999999997</v>
      </c>
      <c r="AC69" s="11">
        <v>19</v>
      </c>
      <c r="AD69" s="11">
        <v>17</v>
      </c>
      <c r="AE69" s="11">
        <v>17</v>
      </c>
      <c r="AF69" s="11">
        <v>17</v>
      </c>
    </row>
    <row r="70" spans="1:32" s="11" customFormat="1" x14ac:dyDescent="0.2">
      <c r="A70" s="11">
        <v>180</v>
      </c>
      <c r="F70" s="11">
        <v>332</v>
      </c>
      <c r="G70" s="11" t="s">
        <v>16405</v>
      </c>
      <c r="H70" s="12">
        <v>62.9</v>
      </c>
      <c r="I70" s="11" t="s">
        <v>16404</v>
      </c>
      <c r="L70" s="11">
        <v>43.685000000000002</v>
      </c>
      <c r="M70" s="11">
        <v>48.167999999999999</v>
      </c>
      <c r="N70" s="11">
        <v>91.343000000000004</v>
      </c>
      <c r="O70" s="11">
        <v>92.126000000000005</v>
      </c>
      <c r="P70" s="11">
        <v>76.599999999999994</v>
      </c>
      <c r="Q70" s="11">
        <v>76.927000000000007</v>
      </c>
      <c r="R70" s="11">
        <v>100.504</v>
      </c>
      <c r="S70" s="11">
        <v>100.131</v>
      </c>
      <c r="T70" s="11">
        <v>62.718000000000004</v>
      </c>
      <c r="U70" s="11">
        <v>66.305000000000007</v>
      </c>
      <c r="V70" s="11">
        <v>37.281999999999996</v>
      </c>
      <c r="W70" s="11">
        <v>33.695</v>
      </c>
      <c r="X70" s="11">
        <v>14.906000000000001</v>
      </c>
      <c r="Y70" s="11">
        <v>14.045999999999999</v>
      </c>
      <c r="Z70" s="11">
        <v>33.695</v>
      </c>
      <c r="AA70" s="11">
        <v>37.281999999999996</v>
      </c>
      <c r="AB70" s="11">
        <v>7.3070000000000004</v>
      </c>
      <c r="AC70" s="11">
        <v>14</v>
      </c>
      <c r="AD70" s="11">
        <v>15</v>
      </c>
      <c r="AE70" s="11">
        <v>14</v>
      </c>
      <c r="AF70" s="11">
        <v>14</v>
      </c>
    </row>
    <row r="71" spans="1:32" s="11" customFormat="1" x14ac:dyDescent="0.2">
      <c r="A71" s="11">
        <v>181</v>
      </c>
      <c r="F71" s="11" t="s">
        <v>16403</v>
      </c>
      <c r="G71" s="11" t="s">
        <v>16403</v>
      </c>
      <c r="H71" s="12">
        <v>999</v>
      </c>
      <c r="I71" s="11" t="s">
        <v>16403</v>
      </c>
      <c r="L71" s="11">
        <v>63.225999999999999</v>
      </c>
      <c r="M71" s="11">
        <v>60.386000000000003</v>
      </c>
      <c r="N71" s="11">
        <v>123.535</v>
      </c>
      <c r="O71" s="11">
        <v>124.00700000000001</v>
      </c>
      <c r="P71" s="11">
        <v>130.18100000000001</v>
      </c>
      <c r="Q71" s="11">
        <v>130.6</v>
      </c>
      <c r="R71" s="11">
        <v>126.456</v>
      </c>
      <c r="S71" s="11">
        <v>126.304</v>
      </c>
      <c r="T71" s="11">
        <v>60.500999999999998</v>
      </c>
      <c r="U71" s="11">
        <v>61.539000000000001</v>
      </c>
      <c r="V71" s="11">
        <v>39.499000000000002</v>
      </c>
      <c r="W71" s="11">
        <v>38.460999999999999</v>
      </c>
      <c r="X71" s="11">
        <v>12.117000000000001</v>
      </c>
      <c r="Y71" s="11">
        <v>10.298</v>
      </c>
      <c r="Z71" s="11">
        <v>38.460999999999999</v>
      </c>
      <c r="AA71" s="11">
        <v>39.499000000000002</v>
      </c>
      <c r="AB71" s="11">
        <v>12.397</v>
      </c>
      <c r="AC71" s="11">
        <v>16</v>
      </c>
      <c r="AD71" s="11">
        <v>16</v>
      </c>
      <c r="AE71" s="11">
        <v>16</v>
      </c>
      <c r="AF71" s="11">
        <v>16</v>
      </c>
    </row>
    <row r="72" spans="1:32" s="11" customFormat="1" x14ac:dyDescent="0.2">
      <c r="A72" s="11">
        <v>182</v>
      </c>
      <c r="F72" s="11">
        <v>332</v>
      </c>
      <c r="G72" s="11" t="s">
        <v>16405</v>
      </c>
      <c r="H72" s="12">
        <v>67.5</v>
      </c>
      <c r="I72" s="11" t="s">
        <v>16404</v>
      </c>
      <c r="L72" s="11">
        <v>41.552999999999997</v>
      </c>
      <c r="M72" s="11">
        <v>43.735999999999997</v>
      </c>
      <c r="N72" s="11">
        <v>84.893000000000001</v>
      </c>
      <c r="O72" s="11">
        <v>85.656999999999996</v>
      </c>
      <c r="P72" s="11">
        <v>78.295000000000002</v>
      </c>
      <c r="Q72" s="11">
        <v>78.597999999999999</v>
      </c>
      <c r="R72" s="11">
        <v>110.5</v>
      </c>
      <c r="S72" s="11">
        <v>110.181</v>
      </c>
      <c r="T72" s="11">
        <v>62.322000000000003</v>
      </c>
      <c r="U72" s="11">
        <v>62.167000000000002</v>
      </c>
      <c r="V72" s="11">
        <v>37.677999999999997</v>
      </c>
      <c r="W72" s="11">
        <v>37.832999999999998</v>
      </c>
      <c r="X72" s="11">
        <v>11.599</v>
      </c>
      <c r="Y72" s="11">
        <v>13.004</v>
      </c>
      <c r="Z72" s="11">
        <v>37.832999999999998</v>
      </c>
      <c r="AA72" s="11">
        <v>37.677999999999997</v>
      </c>
      <c r="AB72" s="11">
        <v>19.902999999999999</v>
      </c>
      <c r="AC72" s="11">
        <v>16</v>
      </c>
      <c r="AD72" s="11">
        <v>15</v>
      </c>
      <c r="AE72" s="11">
        <v>15</v>
      </c>
      <c r="AF72" s="11">
        <v>15</v>
      </c>
    </row>
    <row r="73" spans="1:32" s="11" customFormat="1" x14ac:dyDescent="0.2">
      <c r="A73" s="11">
        <v>183</v>
      </c>
      <c r="F73" s="11">
        <v>781</v>
      </c>
      <c r="G73" s="11" t="s">
        <v>16411</v>
      </c>
      <c r="H73" s="12">
        <v>84.2</v>
      </c>
      <c r="I73" s="11" t="s">
        <v>16407</v>
      </c>
      <c r="L73" s="11">
        <v>53.417999999999999</v>
      </c>
      <c r="M73" s="11">
        <v>50.213999999999999</v>
      </c>
      <c r="N73" s="11">
        <v>103.77200000000001</v>
      </c>
      <c r="O73" s="11">
        <v>103.944</v>
      </c>
      <c r="P73" s="11">
        <v>117.425</v>
      </c>
      <c r="Q73" s="11">
        <v>117.532</v>
      </c>
      <c r="R73" s="11">
        <v>134.60599999999999</v>
      </c>
      <c r="S73" s="11">
        <v>135.33699999999999</v>
      </c>
      <c r="T73" s="11">
        <v>60.902999999999999</v>
      </c>
      <c r="U73" s="11">
        <v>59.87</v>
      </c>
      <c r="V73" s="11">
        <v>39.097000000000001</v>
      </c>
      <c r="W73" s="11">
        <v>40.130000000000003</v>
      </c>
      <c r="X73" s="11">
        <v>10.28</v>
      </c>
      <c r="Y73" s="11">
        <v>10.401999999999999</v>
      </c>
      <c r="Z73" s="11">
        <v>40.130000000000003</v>
      </c>
      <c r="AA73" s="11">
        <v>39.097000000000001</v>
      </c>
      <c r="AB73" s="11">
        <v>9.84</v>
      </c>
      <c r="AC73" s="11">
        <v>12</v>
      </c>
      <c r="AD73" s="11">
        <v>14</v>
      </c>
      <c r="AE73" s="11">
        <v>12</v>
      </c>
      <c r="AF73" s="11">
        <v>12</v>
      </c>
    </row>
    <row r="74" spans="1:32" s="11" customFormat="1" x14ac:dyDescent="0.2">
      <c r="A74" s="11">
        <v>184</v>
      </c>
      <c r="F74" s="11">
        <v>333.1</v>
      </c>
      <c r="G74" s="11" t="s">
        <v>16406</v>
      </c>
      <c r="H74" s="12">
        <v>72.099999999999994</v>
      </c>
      <c r="I74" s="11" t="s">
        <v>16407</v>
      </c>
      <c r="L74" s="11" t="s">
        <v>16403</v>
      </c>
      <c r="M74" s="11" t="s">
        <v>16403</v>
      </c>
      <c r="N74" s="11" t="s">
        <v>16403</v>
      </c>
      <c r="O74" s="11" t="s">
        <v>16403</v>
      </c>
      <c r="P74" s="11" t="s">
        <v>16403</v>
      </c>
      <c r="Q74" s="11" t="s">
        <v>16403</v>
      </c>
      <c r="R74" s="11" t="s">
        <v>16403</v>
      </c>
      <c r="S74" s="11" t="s">
        <v>16403</v>
      </c>
      <c r="T74" s="11" t="s">
        <v>16403</v>
      </c>
      <c r="U74" s="11" t="s">
        <v>16403</v>
      </c>
      <c r="V74" s="11" t="s">
        <v>16403</v>
      </c>
      <c r="W74" s="11" t="s">
        <v>16403</v>
      </c>
      <c r="X74" s="11" t="s">
        <v>16403</v>
      </c>
      <c r="Y74" s="11" t="s">
        <v>16403</v>
      </c>
      <c r="Z74" s="11" t="s">
        <v>16403</v>
      </c>
      <c r="AA74" s="11" t="s">
        <v>16403</v>
      </c>
      <c r="AB74" s="11" t="s">
        <v>16403</v>
      </c>
      <c r="AC74" s="11" t="s">
        <v>16403</v>
      </c>
      <c r="AD74" s="11" t="s">
        <v>16403</v>
      </c>
      <c r="AE74" s="11" t="s">
        <v>16403</v>
      </c>
      <c r="AF74" s="11" t="s">
        <v>16403</v>
      </c>
    </row>
    <row r="75" spans="1:32" s="11" customFormat="1" x14ac:dyDescent="0.2">
      <c r="A75" s="11">
        <v>185</v>
      </c>
      <c r="F75" s="11" t="s">
        <v>16403</v>
      </c>
      <c r="G75" s="11" t="s">
        <v>16403</v>
      </c>
      <c r="H75" s="12">
        <v>999</v>
      </c>
      <c r="I75" s="11" t="s">
        <v>16403</v>
      </c>
      <c r="L75" s="11">
        <v>74.278999999999996</v>
      </c>
      <c r="M75" s="11">
        <v>75.623000000000005</v>
      </c>
      <c r="N75" s="11">
        <v>151.00700000000001</v>
      </c>
      <c r="O75" s="11">
        <v>149.65600000000001</v>
      </c>
      <c r="P75" s="11">
        <v>150.30600000000001</v>
      </c>
      <c r="Q75" s="11">
        <v>148.345</v>
      </c>
      <c r="R75" s="11">
        <v>118.592</v>
      </c>
      <c r="S75" s="11">
        <v>119.764</v>
      </c>
      <c r="T75" s="11">
        <v>58.959000000000003</v>
      </c>
      <c r="U75" s="11">
        <v>59.741999999999997</v>
      </c>
      <c r="V75" s="11">
        <v>41.040999999999997</v>
      </c>
      <c r="W75" s="11">
        <v>40.258000000000003</v>
      </c>
      <c r="X75" s="11">
        <v>9.3019999999999996</v>
      </c>
      <c r="Y75" s="11">
        <v>9.327</v>
      </c>
      <c r="Z75" s="11">
        <v>40.258000000000003</v>
      </c>
      <c r="AA75" s="11">
        <v>41.040999999999997</v>
      </c>
      <c r="AB75" s="11">
        <v>7.4219999999999997</v>
      </c>
      <c r="AC75" s="11">
        <v>13</v>
      </c>
      <c r="AD75" s="11">
        <v>16</v>
      </c>
      <c r="AE75" s="11">
        <v>13</v>
      </c>
      <c r="AF75" s="11">
        <v>13</v>
      </c>
    </row>
    <row r="76" spans="1:32" s="11" customFormat="1" x14ac:dyDescent="0.2">
      <c r="A76" s="11">
        <v>186</v>
      </c>
      <c r="F76" s="11">
        <v>333.1</v>
      </c>
      <c r="G76" s="11" t="s">
        <v>16406</v>
      </c>
      <c r="H76" s="12">
        <v>70.599999999999994</v>
      </c>
      <c r="I76" s="11" t="s">
        <v>16407</v>
      </c>
      <c r="L76" s="11">
        <v>36.356000000000002</v>
      </c>
      <c r="M76" s="11">
        <v>35.584000000000003</v>
      </c>
      <c r="N76" s="11">
        <v>71.998000000000005</v>
      </c>
      <c r="O76" s="11">
        <v>71.888000000000005</v>
      </c>
      <c r="P76" s="11">
        <v>61.936999999999998</v>
      </c>
      <c r="Q76" s="11">
        <v>61.792000000000002</v>
      </c>
      <c r="R76" s="11">
        <v>103.09699999999999</v>
      </c>
      <c r="S76" s="11">
        <v>102.871</v>
      </c>
      <c r="T76" s="11">
        <v>64.424000000000007</v>
      </c>
      <c r="U76" s="11">
        <v>65.061000000000007</v>
      </c>
      <c r="V76" s="11">
        <v>35.576000000000001</v>
      </c>
      <c r="W76" s="11">
        <v>34.939</v>
      </c>
      <c r="X76" s="11">
        <v>13.288</v>
      </c>
      <c r="Y76" s="11">
        <v>15.827</v>
      </c>
      <c r="Z76" s="11">
        <v>34.939</v>
      </c>
      <c r="AA76" s="11">
        <v>35.576000000000001</v>
      </c>
      <c r="AB76" s="11">
        <v>15.285</v>
      </c>
      <c r="AC76" s="11">
        <v>18</v>
      </c>
      <c r="AD76" s="11">
        <v>17</v>
      </c>
      <c r="AE76" s="11">
        <v>17</v>
      </c>
      <c r="AF76" s="11">
        <v>17</v>
      </c>
    </row>
    <row r="77" spans="1:32" s="11" customFormat="1" x14ac:dyDescent="0.2">
      <c r="A77" s="11">
        <v>187</v>
      </c>
      <c r="F77" s="11">
        <v>333.1</v>
      </c>
      <c r="G77" s="11" t="s">
        <v>16406</v>
      </c>
      <c r="H77" s="12">
        <v>59.8</v>
      </c>
      <c r="I77" s="11" t="s">
        <v>16407</v>
      </c>
      <c r="L77" s="11">
        <v>47.012</v>
      </c>
      <c r="M77" s="11">
        <v>36.588000000000001</v>
      </c>
      <c r="N77" s="11">
        <v>84.084000000000003</v>
      </c>
      <c r="O77" s="11">
        <v>83.509</v>
      </c>
      <c r="P77" s="11">
        <v>59.697000000000003</v>
      </c>
      <c r="Q77" s="11">
        <v>59.588999999999999</v>
      </c>
      <c r="R77" s="11">
        <v>85.218000000000004</v>
      </c>
      <c r="S77" s="11">
        <v>85.376000000000005</v>
      </c>
      <c r="T77" s="11">
        <v>64.435000000000002</v>
      </c>
      <c r="U77" s="11">
        <v>63.558999999999997</v>
      </c>
      <c r="V77" s="11">
        <v>35.564999999999998</v>
      </c>
      <c r="W77" s="11">
        <v>36.441000000000003</v>
      </c>
      <c r="X77" s="11">
        <v>13.976000000000001</v>
      </c>
      <c r="Y77" s="11">
        <v>13.824</v>
      </c>
      <c r="Z77" s="11">
        <v>36.441000000000003</v>
      </c>
      <c r="AA77" s="11">
        <v>35.564999999999998</v>
      </c>
      <c r="AB77" s="11">
        <v>10.84</v>
      </c>
      <c r="AC77" s="11">
        <v>9</v>
      </c>
      <c r="AD77" s="11">
        <v>10</v>
      </c>
      <c r="AE77" s="11">
        <v>9</v>
      </c>
      <c r="AF77" s="11">
        <v>9</v>
      </c>
    </row>
    <row r="78" spans="1:32" s="11" customFormat="1" x14ac:dyDescent="0.2">
      <c r="A78" s="11">
        <v>188</v>
      </c>
      <c r="F78" s="11">
        <v>333</v>
      </c>
      <c r="G78" s="11" t="s">
        <v>16409</v>
      </c>
      <c r="H78" s="12">
        <v>67.7</v>
      </c>
      <c r="I78" s="11" t="s">
        <v>16404</v>
      </c>
      <c r="L78" s="11">
        <v>11.75</v>
      </c>
      <c r="M78" s="11">
        <v>8.6660000000000004</v>
      </c>
      <c r="N78" s="11">
        <v>20.59</v>
      </c>
      <c r="O78" s="11">
        <v>20.707000000000001</v>
      </c>
      <c r="P78" s="11">
        <v>10.305</v>
      </c>
      <c r="Q78" s="11">
        <v>10.58</v>
      </c>
      <c r="R78" s="11">
        <v>59.23</v>
      </c>
      <c r="S78" s="11">
        <v>59.854999999999997</v>
      </c>
      <c r="T78" s="11">
        <v>85.227000000000004</v>
      </c>
      <c r="U78" s="11">
        <v>85.344999999999999</v>
      </c>
      <c r="V78" s="11">
        <v>14.773</v>
      </c>
      <c r="W78" s="11">
        <v>14.654999999999999</v>
      </c>
      <c r="X78" s="11">
        <v>35.880000000000003</v>
      </c>
      <c r="Y78" s="11">
        <v>35.792000000000002</v>
      </c>
      <c r="Z78" s="11">
        <v>14.654999999999999</v>
      </c>
      <c r="AA78" s="11">
        <v>14.773</v>
      </c>
      <c r="AB78" s="11">
        <v>26.88</v>
      </c>
      <c r="AC78" s="11">
        <v>12</v>
      </c>
      <c r="AD78" s="11">
        <v>12</v>
      </c>
      <c r="AE78" s="11">
        <v>12</v>
      </c>
      <c r="AF78" s="11">
        <v>12</v>
      </c>
    </row>
    <row r="79" spans="1:32" s="11" customFormat="1" x14ac:dyDescent="0.2">
      <c r="A79" s="11">
        <v>189</v>
      </c>
      <c r="F79" s="11">
        <v>333.1</v>
      </c>
      <c r="G79" s="11" t="s">
        <v>16406</v>
      </c>
      <c r="H79" s="12">
        <v>70.5</v>
      </c>
      <c r="I79" s="11" t="s">
        <v>16407</v>
      </c>
      <c r="L79" s="11">
        <v>53.600999999999999</v>
      </c>
      <c r="M79" s="11">
        <v>38.234999999999999</v>
      </c>
      <c r="N79" s="11">
        <v>92.289000000000001</v>
      </c>
      <c r="O79" s="11">
        <v>91.923000000000002</v>
      </c>
      <c r="P79" s="11">
        <v>83.900999999999996</v>
      </c>
      <c r="Q79" s="11">
        <v>83.885000000000005</v>
      </c>
      <c r="R79" s="11">
        <v>109.13200000000001</v>
      </c>
      <c r="S79" s="11">
        <v>109.41800000000001</v>
      </c>
      <c r="T79" s="11">
        <v>62.39</v>
      </c>
      <c r="U79" s="11">
        <v>64.426000000000002</v>
      </c>
      <c r="V79" s="11">
        <v>37.61</v>
      </c>
      <c r="W79" s="11">
        <v>35.573999999999998</v>
      </c>
      <c r="X79" s="11">
        <v>11.946</v>
      </c>
      <c r="Y79" s="11">
        <v>14.775</v>
      </c>
      <c r="Z79" s="11">
        <v>35.573999999999998</v>
      </c>
      <c r="AA79" s="11">
        <v>37.61</v>
      </c>
      <c r="AB79" s="11">
        <v>11.154999999999999</v>
      </c>
      <c r="AC79" s="11">
        <v>18</v>
      </c>
      <c r="AD79" s="11">
        <v>17</v>
      </c>
      <c r="AE79" s="11">
        <v>17</v>
      </c>
      <c r="AF79" s="11">
        <v>17</v>
      </c>
    </row>
    <row r="80" spans="1:32" s="11" customFormat="1" x14ac:dyDescent="0.2">
      <c r="A80" s="11">
        <v>190</v>
      </c>
      <c r="F80" s="11">
        <v>332</v>
      </c>
      <c r="G80" s="11" t="s">
        <v>16405</v>
      </c>
      <c r="H80" s="12">
        <v>72.3</v>
      </c>
      <c r="I80" s="11" t="s">
        <v>16407</v>
      </c>
      <c r="L80" s="11">
        <v>31.140999999999998</v>
      </c>
      <c r="M80" s="11">
        <v>43.704999999999998</v>
      </c>
      <c r="N80" s="11">
        <v>75.227000000000004</v>
      </c>
      <c r="O80" s="11">
        <v>74.593999999999994</v>
      </c>
      <c r="P80" s="11">
        <v>81.456000000000003</v>
      </c>
      <c r="Q80" s="11">
        <v>81.224999999999994</v>
      </c>
      <c r="R80" s="11">
        <v>130.09700000000001</v>
      </c>
      <c r="S80" s="11">
        <v>129.98400000000001</v>
      </c>
      <c r="T80" s="11">
        <v>64.873999999999995</v>
      </c>
      <c r="U80" s="11">
        <v>61.881</v>
      </c>
      <c r="V80" s="11">
        <v>35.125999999999998</v>
      </c>
      <c r="W80" s="11">
        <v>38.119</v>
      </c>
      <c r="X80" s="11">
        <v>10.333</v>
      </c>
      <c r="Y80" s="11">
        <v>16.291</v>
      </c>
      <c r="Z80" s="11">
        <v>38.119</v>
      </c>
      <c r="AA80" s="11">
        <v>35.125999999999998</v>
      </c>
      <c r="AB80" s="11">
        <v>9.61</v>
      </c>
      <c r="AC80" s="11">
        <v>18</v>
      </c>
      <c r="AD80" s="11">
        <v>18</v>
      </c>
      <c r="AE80" s="11">
        <v>18</v>
      </c>
      <c r="AF80" s="11">
        <v>18</v>
      </c>
    </row>
    <row r="81" spans="1:32" s="11" customFormat="1" x14ac:dyDescent="0.2">
      <c r="A81" s="11">
        <v>191</v>
      </c>
      <c r="F81" s="11">
        <v>332</v>
      </c>
      <c r="G81" s="11" t="s">
        <v>16405</v>
      </c>
      <c r="H81" s="12">
        <v>83.2</v>
      </c>
      <c r="I81" s="11" t="s">
        <v>16407</v>
      </c>
      <c r="L81" s="11">
        <v>39.771999999999998</v>
      </c>
      <c r="M81" s="11">
        <v>34.646000000000001</v>
      </c>
      <c r="N81" s="11">
        <v>74.471999999999994</v>
      </c>
      <c r="O81" s="11">
        <v>74.012</v>
      </c>
      <c r="P81" s="11">
        <v>73.588999999999999</v>
      </c>
      <c r="Q81" s="11">
        <v>74.301000000000002</v>
      </c>
      <c r="R81" s="11">
        <v>119.98099999999999</v>
      </c>
      <c r="S81" s="11">
        <v>120.136</v>
      </c>
      <c r="T81" s="11">
        <v>64.653999999999996</v>
      </c>
      <c r="U81" s="11">
        <v>63.948999999999998</v>
      </c>
      <c r="V81" s="11">
        <v>35.345999999999997</v>
      </c>
      <c r="W81" s="11">
        <v>36.051000000000002</v>
      </c>
      <c r="X81" s="11">
        <v>15.067</v>
      </c>
      <c r="Y81" s="11">
        <v>13.352</v>
      </c>
      <c r="Z81" s="11">
        <v>36.051000000000002</v>
      </c>
      <c r="AA81" s="11">
        <v>35.345999999999997</v>
      </c>
      <c r="AB81" s="11">
        <v>9.8629999999999995</v>
      </c>
      <c r="AC81" s="11">
        <v>15</v>
      </c>
      <c r="AD81" s="11">
        <v>13</v>
      </c>
      <c r="AE81" s="11">
        <v>13</v>
      </c>
      <c r="AF81" s="11">
        <v>13</v>
      </c>
    </row>
    <row r="82" spans="1:32" s="11" customFormat="1" x14ac:dyDescent="0.2">
      <c r="A82" s="11">
        <v>192</v>
      </c>
      <c r="F82" s="11" t="s">
        <v>16403</v>
      </c>
      <c r="G82" s="11" t="s">
        <v>16403</v>
      </c>
      <c r="H82" s="12">
        <v>999</v>
      </c>
      <c r="I82" s="11" t="s">
        <v>16403</v>
      </c>
      <c r="L82" s="11" t="s">
        <v>16403</v>
      </c>
      <c r="M82" s="11" t="s">
        <v>16403</v>
      </c>
      <c r="N82" s="11" t="s">
        <v>16403</v>
      </c>
      <c r="O82" s="11" t="s">
        <v>16403</v>
      </c>
      <c r="P82" s="11" t="s">
        <v>16403</v>
      </c>
      <c r="Q82" s="11" t="s">
        <v>16403</v>
      </c>
      <c r="R82" s="11" t="s">
        <v>16403</v>
      </c>
      <c r="S82" s="11" t="s">
        <v>16403</v>
      </c>
      <c r="T82" s="11" t="s">
        <v>16403</v>
      </c>
      <c r="U82" s="11" t="s">
        <v>16403</v>
      </c>
      <c r="V82" s="11" t="s">
        <v>16403</v>
      </c>
      <c r="W82" s="11" t="s">
        <v>16403</v>
      </c>
      <c r="X82" s="11" t="s">
        <v>16403</v>
      </c>
      <c r="Y82" s="11" t="s">
        <v>16403</v>
      </c>
      <c r="Z82" s="11" t="s">
        <v>16403</v>
      </c>
      <c r="AA82" s="11" t="s">
        <v>16403</v>
      </c>
      <c r="AB82" s="11" t="s">
        <v>16403</v>
      </c>
      <c r="AC82" s="11" t="s">
        <v>16403</v>
      </c>
      <c r="AD82" s="11" t="s">
        <v>16403</v>
      </c>
      <c r="AE82" s="11" t="s">
        <v>16403</v>
      </c>
      <c r="AF82" s="11" t="s">
        <v>16403</v>
      </c>
    </row>
    <row r="83" spans="1:32" s="11" customFormat="1" x14ac:dyDescent="0.2">
      <c r="A83" s="11">
        <v>193</v>
      </c>
      <c r="F83" s="11" t="s">
        <v>16403</v>
      </c>
      <c r="G83" s="11" t="s">
        <v>16403</v>
      </c>
      <c r="H83" s="12">
        <v>999</v>
      </c>
      <c r="I83" s="11" t="s">
        <v>16403</v>
      </c>
      <c r="L83" s="11" t="s">
        <v>16403</v>
      </c>
      <c r="M83" s="11" t="s">
        <v>16403</v>
      </c>
      <c r="N83" s="11" t="s">
        <v>16403</v>
      </c>
      <c r="O83" s="11" t="s">
        <v>16403</v>
      </c>
      <c r="P83" s="11" t="s">
        <v>16403</v>
      </c>
      <c r="Q83" s="11" t="s">
        <v>16403</v>
      </c>
      <c r="R83" s="11" t="s">
        <v>16403</v>
      </c>
      <c r="S83" s="11" t="s">
        <v>16403</v>
      </c>
      <c r="T83" s="11" t="s">
        <v>16403</v>
      </c>
      <c r="U83" s="11" t="s">
        <v>16403</v>
      </c>
      <c r="V83" s="11" t="s">
        <v>16403</v>
      </c>
      <c r="W83" s="11" t="s">
        <v>16403</v>
      </c>
      <c r="X83" s="11" t="s">
        <v>16403</v>
      </c>
      <c r="Y83" s="11" t="s">
        <v>16403</v>
      </c>
      <c r="Z83" s="11" t="s">
        <v>16403</v>
      </c>
      <c r="AA83" s="11" t="s">
        <v>16403</v>
      </c>
      <c r="AB83" s="11" t="s">
        <v>16403</v>
      </c>
      <c r="AC83" s="11" t="s">
        <v>16403</v>
      </c>
      <c r="AD83" s="11" t="s">
        <v>16403</v>
      </c>
      <c r="AE83" s="11" t="s">
        <v>16403</v>
      </c>
      <c r="AF83" s="11" t="s">
        <v>16403</v>
      </c>
    </row>
    <row r="84" spans="1:32" s="11" customFormat="1" x14ac:dyDescent="0.2">
      <c r="A84" s="11">
        <v>194</v>
      </c>
      <c r="F84" s="11">
        <v>333.1</v>
      </c>
      <c r="G84" s="11" t="s">
        <v>16406</v>
      </c>
      <c r="H84" s="12">
        <v>78.3</v>
      </c>
      <c r="I84" s="11" t="s">
        <v>16407</v>
      </c>
      <c r="L84" s="11">
        <v>60.749000000000002</v>
      </c>
      <c r="M84" s="11">
        <v>62.683999999999997</v>
      </c>
      <c r="N84" s="11">
        <v>123.679</v>
      </c>
      <c r="O84" s="11">
        <v>123.745</v>
      </c>
      <c r="P84" s="11">
        <v>126.15600000000001</v>
      </c>
      <c r="Q84" s="11">
        <v>124.907</v>
      </c>
      <c r="R84" s="11">
        <v>122.38</v>
      </c>
      <c r="S84" s="11">
        <v>121.79600000000001</v>
      </c>
      <c r="T84" s="11">
        <v>61.271999999999998</v>
      </c>
      <c r="U84" s="11">
        <v>60.268000000000001</v>
      </c>
      <c r="V84" s="11">
        <v>38.728000000000002</v>
      </c>
      <c r="W84" s="11">
        <v>39.731999999999999</v>
      </c>
      <c r="X84" s="11">
        <v>10.680999999999999</v>
      </c>
      <c r="Y84" s="11">
        <v>10.651999999999999</v>
      </c>
      <c r="Z84" s="11">
        <v>39.731999999999999</v>
      </c>
      <c r="AA84" s="11">
        <v>38.728000000000002</v>
      </c>
      <c r="AB84" s="11">
        <v>6.6630000000000003</v>
      </c>
      <c r="AC84" s="11">
        <v>18</v>
      </c>
      <c r="AD84" s="11">
        <v>18</v>
      </c>
      <c r="AE84" s="11">
        <v>18</v>
      </c>
      <c r="AF84" s="11">
        <v>18</v>
      </c>
    </row>
    <row r="85" spans="1:32" s="11" customFormat="1" x14ac:dyDescent="0.2">
      <c r="A85" s="11">
        <v>195</v>
      </c>
      <c r="F85" s="11">
        <v>333.1</v>
      </c>
      <c r="G85" s="11" t="s">
        <v>16406</v>
      </c>
      <c r="H85" s="12">
        <v>66.900000000000006</v>
      </c>
      <c r="I85" s="11" t="s">
        <v>16407</v>
      </c>
      <c r="L85" s="11">
        <v>58.247999999999998</v>
      </c>
      <c r="M85" s="11">
        <v>54.795999999999999</v>
      </c>
      <c r="N85" s="11">
        <v>113.009</v>
      </c>
      <c r="O85" s="11">
        <v>113.398</v>
      </c>
      <c r="P85" s="11">
        <v>115.998</v>
      </c>
      <c r="Q85" s="11">
        <v>116.108</v>
      </c>
      <c r="R85" s="11">
        <v>123.20399999999999</v>
      </c>
      <c r="S85" s="11">
        <v>122.887</v>
      </c>
      <c r="T85" s="11">
        <v>60.667000000000002</v>
      </c>
      <c r="U85" s="11">
        <v>61.908999999999999</v>
      </c>
      <c r="V85" s="11">
        <v>39.332999999999998</v>
      </c>
      <c r="W85" s="11">
        <v>38.091000000000001</v>
      </c>
      <c r="X85" s="11">
        <v>10.497999999999999</v>
      </c>
      <c r="Y85" s="11">
        <v>11.943</v>
      </c>
      <c r="Z85" s="11">
        <v>38.091000000000001</v>
      </c>
      <c r="AA85" s="11">
        <v>39.332999999999998</v>
      </c>
      <c r="AB85" s="11">
        <v>13.343</v>
      </c>
      <c r="AC85" s="11">
        <v>11</v>
      </c>
      <c r="AD85" s="11">
        <v>9</v>
      </c>
      <c r="AE85" s="11">
        <v>9</v>
      </c>
      <c r="AF85" s="11">
        <v>9</v>
      </c>
    </row>
    <row r="86" spans="1:32" s="11" customFormat="1" x14ac:dyDescent="0.2">
      <c r="A86" s="11">
        <v>196</v>
      </c>
      <c r="F86" s="11">
        <v>333.1</v>
      </c>
      <c r="G86" s="11" t="s">
        <v>16406</v>
      </c>
      <c r="H86" s="12">
        <v>24.8</v>
      </c>
      <c r="I86" s="11" t="s">
        <v>16404</v>
      </c>
      <c r="L86" s="11" t="s">
        <v>16403</v>
      </c>
      <c r="M86" s="11" t="s">
        <v>16403</v>
      </c>
      <c r="N86" s="11" t="s">
        <v>16403</v>
      </c>
      <c r="O86" s="11" t="s">
        <v>16403</v>
      </c>
      <c r="P86" s="11" t="s">
        <v>16403</v>
      </c>
      <c r="Q86" s="11" t="s">
        <v>16403</v>
      </c>
      <c r="R86" s="11" t="s">
        <v>16403</v>
      </c>
      <c r="S86" s="11" t="s">
        <v>16403</v>
      </c>
      <c r="T86" s="11" t="s">
        <v>16403</v>
      </c>
      <c r="U86" s="11" t="s">
        <v>16403</v>
      </c>
      <c r="V86" s="11" t="s">
        <v>16403</v>
      </c>
      <c r="W86" s="11" t="s">
        <v>16403</v>
      </c>
      <c r="X86" s="11" t="s">
        <v>16403</v>
      </c>
      <c r="Y86" s="11" t="s">
        <v>16403</v>
      </c>
      <c r="Z86" s="11" t="s">
        <v>16403</v>
      </c>
      <c r="AA86" s="11" t="s">
        <v>16403</v>
      </c>
      <c r="AB86" s="11" t="s">
        <v>16403</v>
      </c>
      <c r="AC86" s="11" t="s">
        <v>16403</v>
      </c>
      <c r="AD86" s="11" t="s">
        <v>16403</v>
      </c>
      <c r="AE86" s="11" t="s">
        <v>16403</v>
      </c>
      <c r="AF86" s="11" t="s">
        <v>16403</v>
      </c>
    </row>
    <row r="87" spans="1:32" s="11" customFormat="1" x14ac:dyDescent="0.2">
      <c r="A87" s="11">
        <v>197</v>
      </c>
      <c r="F87" s="11">
        <v>332</v>
      </c>
      <c r="G87" s="11" t="s">
        <v>16405</v>
      </c>
      <c r="H87" s="12">
        <v>51.9</v>
      </c>
      <c r="I87" s="11" t="s">
        <v>16404</v>
      </c>
      <c r="L87" s="11" t="s">
        <v>16403</v>
      </c>
      <c r="M87" s="11" t="s">
        <v>16403</v>
      </c>
      <c r="N87" s="11" t="s">
        <v>16403</v>
      </c>
      <c r="O87" s="11" t="s">
        <v>16403</v>
      </c>
      <c r="P87" s="11" t="s">
        <v>16403</v>
      </c>
      <c r="Q87" s="11" t="s">
        <v>16403</v>
      </c>
      <c r="R87" s="11" t="s">
        <v>16403</v>
      </c>
      <c r="S87" s="11" t="s">
        <v>16403</v>
      </c>
      <c r="T87" s="11" t="s">
        <v>16403</v>
      </c>
      <c r="U87" s="11" t="s">
        <v>16403</v>
      </c>
      <c r="V87" s="11" t="s">
        <v>16403</v>
      </c>
      <c r="W87" s="11" t="s">
        <v>16403</v>
      </c>
      <c r="X87" s="11" t="s">
        <v>16403</v>
      </c>
      <c r="Y87" s="11" t="s">
        <v>16403</v>
      </c>
      <c r="Z87" s="11" t="s">
        <v>16403</v>
      </c>
      <c r="AA87" s="11" t="s">
        <v>16403</v>
      </c>
      <c r="AB87" s="11" t="s">
        <v>16403</v>
      </c>
      <c r="AC87" s="11" t="s">
        <v>16403</v>
      </c>
      <c r="AD87" s="11" t="s">
        <v>16403</v>
      </c>
      <c r="AE87" s="11" t="s">
        <v>16403</v>
      </c>
      <c r="AF87" s="11" t="s">
        <v>16403</v>
      </c>
    </row>
    <row r="88" spans="1:32" s="11" customFormat="1" x14ac:dyDescent="0.2">
      <c r="A88" s="11">
        <v>198</v>
      </c>
      <c r="F88" s="11">
        <v>332</v>
      </c>
      <c r="G88" s="11" t="s">
        <v>16405</v>
      </c>
      <c r="H88" s="12">
        <v>55.9</v>
      </c>
      <c r="I88" s="11" t="s">
        <v>16404</v>
      </c>
      <c r="L88" s="11">
        <v>54.628999999999998</v>
      </c>
      <c r="M88" s="11">
        <v>55.463999999999999</v>
      </c>
      <c r="N88" s="11">
        <v>109.98</v>
      </c>
      <c r="O88" s="11">
        <v>110.614</v>
      </c>
      <c r="P88" s="11">
        <v>93.813999999999993</v>
      </c>
      <c r="Q88" s="11">
        <v>93.724000000000004</v>
      </c>
      <c r="R88" s="11">
        <v>101.958</v>
      </c>
      <c r="S88" s="11">
        <v>101.065</v>
      </c>
      <c r="T88" s="11">
        <v>65.17</v>
      </c>
      <c r="U88" s="11">
        <v>64.704999999999998</v>
      </c>
      <c r="V88" s="11">
        <v>34.83</v>
      </c>
      <c r="W88" s="11">
        <v>35.295000000000002</v>
      </c>
      <c r="X88" s="11">
        <v>14.711</v>
      </c>
      <c r="Y88" s="11">
        <v>15.412000000000001</v>
      </c>
      <c r="Z88" s="11">
        <v>35.295000000000002</v>
      </c>
      <c r="AA88" s="11">
        <v>34.83</v>
      </c>
      <c r="AB88" s="11">
        <v>9.7240000000000002</v>
      </c>
      <c r="AC88" s="11">
        <v>11</v>
      </c>
      <c r="AD88" s="11">
        <v>14</v>
      </c>
      <c r="AE88" s="11">
        <v>10</v>
      </c>
      <c r="AF88" s="11">
        <v>10</v>
      </c>
    </row>
    <row r="89" spans="1:32" s="11" customFormat="1" x14ac:dyDescent="0.2">
      <c r="A89" s="11">
        <v>199</v>
      </c>
      <c r="F89" s="11">
        <v>332</v>
      </c>
      <c r="G89" s="11" t="s">
        <v>16405</v>
      </c>
      <c r="H89" s="12">
        <v>81.400000000000006</v>
      </c>
      <c r="I89" s="11" t="s">
        <v>16404</v>
      </c>
      <c r="L89" s="11" t="s">
        <v>16403</v>
      </c>
      <c r="M89" s="11" t="s">
        <v>16403</v>
      </c>
      <c r="N89" s="11" t="s">
        <v>16403</v>
      </c>
      <c r="O89" s="11" t="s">
        <v>16403</v>
      </c>
      <c r="P89" s="11" t="s">
        <v>16403</v>
      </c>
      <c r="Q89" s="11" t="s">
        <v>16403</v>
      </c>
      <c r="R89" s="11" t="s">
        <v>16403</v>
      </c>
      <c r="S89" s="11" t="s">
        <v>16403</v>
      </c>
      <c r="T89" s="11" t="s">
        <v>16403</v>
      </c>
      <c r="U89" s="11" t="s">
        <v>16403</v>
      </c>
      <c r="V89" s="11" t="s">
        <v>16403</v>
      </c>
      <c r="W89" s="11" t="s">
        <v>16403</v>
      </c>
      <c r="X89" s="11" t="s">
        <v>16403</v>
      </c>
      <c r="Y89" s="11" t="s">
        <v>16403</v>
      </c>
      <c r="Z89" s="11" t="s">
        <v>16403</v>
      </c>
      <c r="AA89" s="11" t="s">
        <v>16403</v>
      </c>
      <c r="AB89" s="11" t="s">
        <v>16403</v>
      </c>
      <c r="AC89" s="11" t="s">
        <v>16403</v>
      </c>
      <c r="AD89" s="11" t="s">
        <v>16403</v>
      </c>
      <c r="AE89" s="11" t="s">
        <v>16403</v>
      </c>
      <c r="AF89" s="11" t="s">
        <v>16403</v>
      </c>
    </row>
    <row r="90" spans="1:32" s="11" customFormat="1" x14ac:dyDescent="0.2">
      <c r="A90" s="11">
        <v>200</v>
      </c>
      <c r="F90" s="11">
        <v>332</v>
      </c>
      <c r="G90" s="11" t="s">
        <v>16405</v>
      </c>
      <c r="H90" s="12">
        <v>69.8</v>
      </c>
      <c r="I90" s="11" t="s">
        <v>16407</v>
      </c>
      <c r="L90" s="11" t="s">
        <v>16403</v>
      </c>
      <c r="M90" s="11" t="s">
        <v>16403</v>
      </c>
      <c r="N90" s="11" t="s">
        <v>16403</v>
      </c>
      <c r="O90" s="11" t="s">
        <v>16403</v>
      </c>
      <c r="P90" s="11" t="s">
        <v>16403</v>
      </c>
      <c r="Q90" s="11" t="s">
        <v>16403</v>
      </c>
      <c r="R90" s="11" t="s">
        <v>16403</v>
      </c>
      <c r="S90" s="11" t="s">
        <v>16403</v>
      </c>
      <c r="T90" s="11" t="s">
        <v>16403</v>
      </c>
      <c r="U90" s="11" t="s">
        <v>16403</v>
      </c>
      <c r="V90" s="11" t="s">
        <v>16403</v>
      </c>
      <c r="W90" s="11" t="s">
        <v>16403</v>
      </c>
      <c r="X90" s="11" t="s">
        <v>16403</v>
      </c>
      <c r="Y90" s="11" t="s">
        <v>16403</v>
      </c>
      <c r="Z90" s="11" t="s">
        <v>16403</v>
      </c>
      <c r="AA90" s="11" t="s">
        <v>16403</v>
      </c>
      <c r="AB90" s="11" t="s">
        <v>16403</v>
      </c>
      <c r="AC90" s="11" t="s">
        <v>16403</v>
      </c>
      <c r="AD90" s="11" t="s">
        <v>16403</v>
      </c>
      <c r="AE90" s="11" t="s">
        <v>16403</v>
      </c>
      <c r="AF90" s="11" t="s">
        <v>16403</v>
      </c>
    </row>
    <row r="91" spans="1:32" s="11" customFormat="1" x14ac:dyDescent="0.2">
      <c r="A91" s="11">
        <v>201</v>
      </c>
      <c r="F91" s="11">
        <v>333</v>
      </c>
      <c r="G91" s="11" t="s">
        <v>16409</v>
      </c>
      <c r="H91" s="12">
        <v>68.8</v>
      </c>
      <c r="I91" s="11" t="s">
        <v>16407</v>
      </c>
      <c r="L91" s="11" t="s">
        <v>16403</v>
      </c>
      <c r="M91" s="11" t="s">
        <v>16403</v>
      </c>
      <c r="N91" s="11" t="s">
        <v>16403</v>
      </c>
      <c r="O91" s="11" t="s">
        <v>16403</v>
      </c>
      <c r="P91" s="11" t="s">
        <v>16403</v>
      </c>
      <c r="Q91" s="11" t="s">
        <v>16403</v>
      </c>
      <c r="R91" s="11" t="s">
        <v>16403</v>
      </c>
      <c r="S91" s="11" t="s">
        <v>16403</v>
      </c>
      <c r="T91" s="11" t="s">
        <v>16403</v>
      </c>
      <c r="U91" s="11" t="s">
        <v>16403</v>
      </c>
      <c r="V91" s="11" t="s">
        <v>16403</v>
      </c>
      <c r="W91" s="11" t="s">
        <v>16403</v>
      </c>
      <c r="X91" s="11" t="s">
        <v>16403</v>
      </c>
      <c r="Y91" s="11" t="s">
        <v>16403</v>
      </c>
      <c r="Z91" s="11" t="s">
        <v>16403</v>
      </c>
      <c r="AA91" s="11" t="s">
        <v>16403</v>
      </c>
      <c r="AB91" s="11" t="s">
        <v>16403</v>
      </c>
      <c r="AC91" s="11" t="s">
        <v>16403</v>
      </c>
      <c r="AD91" s="11" t="s">
        <v>16403</v>
      </c>
      <c r="AE91" s="11" t="s">
        <v>16403</v>
      </c>
      <c r="AF91" s="11" t="s">
        <v>16403</v>
      </c>
    </row>
    <row r="92" spans="1:32" s="11" customFormat="1" x14ac:dyDescent="0.2">
      <c r="A92" s="11">
        <v>202</v>
      </c>
      <c r="F92" s="11">
        <v>332</v>
      </c>
      <c r="G92" s="11" t="s">
        <v>16405</v>
      </c>
      <c r="H92" s="12">
        <v>52.1</v>
      </c>
      <c r="I92" s="11" t="s">
        <v>16407</v>
      </c>
      <c r="L92" s="11" t="s">
        <v>16403</v>
      </c>
      <c r="M92" s="11" t="s">
        <v>16403</v>
      </c>
      <c r="N92" s="11" t="s">
        <v>16403</v>
      </c>
      <c r="O92" s="11" t="s">
        <v>16403</v>
      </c>
      <c r="P92" s="11" t="s">
        <v>16403</v>
      </c>
      <c r="Q92" s="11" t="s">
        <v>16403</v>
      </c>
      <c r="R92" s="11" t="s">
        <v>16403</v>
      </c>
      <c r="S92" s="11" t="s">
        <v>16403</v>
      </c>
      <c r="T92" s="11" t="s">
        <v>16403</v>
      </c>
      <c r="U92" s="11" t="s">
        <v>16403</v>
      </c>
      <c r="V92" s="11" t="s">
        <v>16403</v>
      </c>
      <c r="W92" s="11" t="s">
        <v>16403</v>
      </c>
      <c r="X92" s="11" t="s">
        <v>16403</v>
      </c>
      <c r="Y92" s="11" t="s">
        <v>16403</v>
      </c>
      <c r="Z92" s="11" t="s">
        <v>16403</v>
      </c>
      <c r="AA92" s="11" t="s">
        <v>16403</v>
      </c>
      <c r="AB92" s="11" t="s">
        <v>16403</v>
      </c>
      <c r="AC92" s="11" t="s">
        <v>16403</v>
      </c>
      <c r="AD92" s="11" t="s">
        <v>16403</v>
      </c>
      <c r="AE92" s="11" t="s">
        <v>16403</v>
      </c>
      <c r="AF92" s="11" t="s">
        <v>16403</v>
      </c>
    </row>
    <row r="93" spans="1:32" s="11" customFormat="1" x14ac:dyDescent="0.2">
      <c r="A93" s="11">
        <v>203</v>
      </c>
      <c r="F93" s="11">
        <v>333.1</v>
      </c>
      <c r="G93" s="11" t="s">
        <v>16406</v>
      </c>
      <c r="H93" s="12">
        <v>68.7</v>
      </c>
      <c r="I93" s="11" t="s">
        <v>16407</v>
      </c>
      <c r="L93" s="11" t="s">
        <v>16403</v>
      </c>
      <c r="M93" s="11" t="s">
        <v>16403</v>
      </c>
      <c r="N93" s="11" t="s">
        <v>16403</v>
      </c>
      <c r="O93" s="11" t="s">
        <v>16403</v>
      </c>
      <c r="P93" s="11" t="s">
        <v>16403</v>
      </c>
      <c r="Q93" s="11" t="s">
        <v>16403</v>
      </c>
      <c r="R93" s="11" t="s">
        <v>16403</v>
      </c>
      <c r="S93" s="11" t="s">
        <v>16403</v>
      </c>
      <c r="T93" s="11" t="s">
        <v>16403</v>
      </c>
      <c r="U93" s="11" t="s">
        <v>16403</v>
      </c>
      <c r="V93" s="11" t="s">
        <v>16403</v>
      </c>
      <c r="W93" s="11" t="s">
        <v>16403</v>
      </c>
      <c r="X93" s="11" t="s">
        <v>16403</v>
      </c>
      <c r="Y93" s="11" t="s">
        <v>16403</v>
      </c>
      <c r="Z93" s="11" t="s">
        <v>16403</v>
      </c>
      <c r="AA93" s="11" t="s">
        <v>16403</v>
      </c>
      <c r="AB93" s="11" t="s">
        <v>16403</v>
      </c>
      <c r="AC93" s="11" t="s">
        <v>16403</v>
      </c>
      <c r="AD93" s="11" t="s">
        <v>16403</v>
      </c>
      <c r="AE93" s="11" t="s">
        <v>16403</v>
      </c>
      <c r="AF93" s="11" t="s">
        <v>16403</v>
      </c>
    </row>
    <row r="94" spans="1:32" s="11" customFormat="1" x14ac:dyDescent="0.2">
      <c r="A94" s="11">
        <v>206</v>
      </c>
      <c r="F94" s="11">
        <v>332</v>
      </c>
      <c r="G94" s="11" t="s">
        <v>16405</v>
      </c>
      <c r="H94" s="12">
        <v>48.8</v>
      </c>
      <c r="I94" s="11" t="s">
        <v>16404</v>
      </c>
      <c r="L94" s="11" t="s">
        <v>16403</v>
      </c>
      <c r="M94" s="11" t="s">
        <v>16403</v>
      </c>
      <c r="N94" s="11" t="s">
        <v>16403</v>
      </c>
      <c r="O94" s="11" t="s">
        <v>16403</v>
      </c>
      <c r="P94" s="11" t="s">
        <v>16403</v>
      </c>
      <c r="Q94" s="11" t="s">
        <v>16403</v>
      </c>
      <c r="R94" s="11" t="s">
        <v>16403</v>
      </c>
      <c r="S94" s="11" t="s">
        <v>16403</v>
      </c>
      <c r="T94" s="11" t="s">
        <v>16403</v>
      </c>
      <c r="U94" s="11" t="s">
        <v>16403</v>
      </c>
      <c r="V94" s="11" t="s">
        <v>16403</v>
      </c>
      <c r="W94" s="11" t="s">
        <v>16403</v>
      </c>
      <c r="X94" s="11" t="s">
        <v>16403</v>
      </c>
      <c r="Y94" s="11" t="s">
        <v>16403</v>
      </c>
      <c r="Z94" s="11" t="s">
        <v>16403</v>
      </c>
      <c r="AA94" s="11" t="s">
        <v>16403</v>
      </c>
      <c r="AB94" s="11" t="s">
        <v>16403</v>
      </c>
      <c r="AC94" s="11" t="s">
        <v>16403</v>
      </c>
      <c r="AD94" s="11" t="s">
        <v>16403</v>
      </c>
      <c r="AE94" s="11" t="s">
        <v>16403</v>
      </c>
      <c r="AF94" s="11" t="s">
        <v>16403</v>
      </c>
    </row>
    <row r="95" spans="1:32" s="11" customFormat="1" x14ac:dyDescent="0.2">
      <c r="A95" s="11">
        <v>208</v>
      </c>
      <c r="F95" s="11">
        <v>332</v>
      </c>
      <c r="G95" s="11" t="s">
        <v>16405</v>
      </c>
      <c r="H95" s="12">
        <v>47.2</v>
      </c>
      <c r="I95" s="11" t="s">
        <v>16404</v>
      </c>
      <c r="L95" s="11" t="s">
        <v>16403</v>
      </c>
      <c r="M95" s="11" t="s">
        <v>16403</v>
      </c>
      <c r="N95" s="11" t="s">
        <v>16403</v>
      </c>
      <c r="O95" s="11" t="s">
        <v>16403</v>
      </c>
      <c r="P95" s="11" t="s">
        <v>16403</v>
      </c>
      <c r="Q95" s="11" t="s">
        <v>16403</v>
      </c>
      <c r="R95" s="11" t="s">
        <v>16403</v>
      </c>
      <c r="S95" s="11" t="s">
        <v>16403</v>
      </c>
      <c r="T95" s="11" t="s">
        <v>16403</v>
      </c>
      <c r="U95" s="11" t="s">
        <v>16403</v>
      </c>
      <c r="V95" s="11" t="s">
        <v>16403</v>
      </c>
      <c r="W95" s="11" t="s">
        <v>16403</v>
      </c>
      <c r="X95" s="11" t="s">
        <v>16403</v>
      </c>
      <c r="Y95" s="11" t="s">
        <v>16403</v>
      </c>
      <c r="Z95" s="11" t="s">
        <v>16403</v>
      </c>
      <c r="AA95" s="11" t="s">
        <v>16403</v>
      </c>
      <c r="AB95" s="11" t="s">
        <v>16403</v>
      </c>
      <c r="AC95" s="11" t="s">
        <v>16403</v>
      </c>
      <c r="AD95" s="11" t="s">
        <v>16403</v>
      </c>
      <c r="AE95" s="11" t="s">
        <v>16403</v>
      </c>
      <c r="AF95" s="11" t="s">
        <v>16403</v>
      </c>
    </row>
    <row r="96" spans="1:32" s="11" customFormat="1" x14ac:dyDescent="0.2">
      <c r="A96" s="11">
        <v>209</v>
      </c>
      <c r="F96" s="11" t="s">
        <v>16403</v>
      </c>
      <c r="G96" s="11" t="s">
        <v>16403</v>
      </c>
      <c r="H96" s="12">
        <v>999</v>
      </c>
      <c r="I96" s="11" t="s">
        <v>16403</v>
      </c>
      <c r="L96" s="11" t="s">
        <v>16403</v>
      </c>
      <c r="M96" s="11" t="s">
        <v>16403</v>
      </c>
      <c r="N96" s="11" t="s">
        <v>16403</v>
      </c>
      <c r="O96" s="11" t="s">
        <v>16403</v>
      </c>
      <c r="P96" s="11" t="s">
        <v>16403</v>
      </c>
      <c r="Q96" s="11" t="s">
        <v>16403</v>
      </c>
      <c r="R96" s="11" t="s">
        <v>16403</v>
      </c>
      <c r="S96" s="11" t="s">
        <v>16403</v>
      </c>
      <c r="T96" s="11" t="s">
        <v>16403</v>
      </c>
      <c r="U96" s="11" t="s">
        <v>16403</v>
      </c>
      <c r="V96" s="11" t="s">
        <v>16403</v>
      </c>
      <c r="W96" s="11" t="s">
        <v>16403</v>
      </c>
      <c r="X96" s="11" t="s">
        <v>16403</v>
      </c>
      <c r="Y96" s="11" t="s">
        <v>16403</v>
      </c>
      <c r="Z96" s="11" t="s">
        <v>16403</v>
      </c>
      <c r="AA96" s="11" t="s">
        <v>16403</v>
      </c>
      <c r="AB96" s="11" t="s">
        <v>16403</v>
      </c>
      <c r="AC96" s="11" t="s">
        <v>16403</v>
      </c>
      <c r="AD96" s="11" t="s">
        <v>16403</v>
      </c>
      <c r="AE96" s="11" t="s">
        <v>16403</v>
      </c>
      <c r="AF96" s="11" t="s">
        <v>16403</v>
      </c>
    </row>
    <row r="97" spans="1:32" s="11" customFormat="1" x14ac:dyDescent="0.2">
      <c r="A97" s="11">
        <v>210</v>
      </c>
      <c r="F97" s="11">
        <v>333.1</v>
      </c>
      <c r="G97" s="11" t="s">
        <v>16406</v>
      </c>
      <c r="H97" s="12">
        <v>76.7</v>
      </c>
      <c r="I97" s="11" t="s">
        <v>16404</v>
      </c>
      <c r="L97" s="11" t="s">
        <v>16403</v>
      </c>
      <c r="M97" s="11" t="s">
        <v>16403</v>
      </c>
      <c r="N97" s="11" t="s">
        <v>16403</v>
      </c>
      <c r="O97" s="11" t="s">
        <v>16403</v>
      </c>
      <c r="P97" s="11" t="s">
        <v>16403</v>
      </c>
      <c r="Q97" s="11" t="s">
        <v>16403</v>
      </c>
      <c r="R97" s="11" t="s">
        <v>16403</v>
      </c>
      <c r="S97" s="11" t="s">
        <v>16403</v>
      </c>
      <c r="T97" s="11" t="s">
        <v>16403</v>
      </c>
      <c r="U97" s="11" t="s">
        <v>16403</v>
      </c>
      <c r="V97" s="11" t="s">
        <v>16403</v>
      </c>
      <c r="W97" s="11" t="s">
        <v>16403</v>
      </c>
      <c r="X97" s="11" t="s">
        <v>16403</v>
      </c>
      <c r="Y97" s="11" t="s">
        <v>16403</v>
      </c>
      <c r="Z97" s="11" t="s">
        <v>16403</v>
      </c>
      <c r="AA97" s="11" t="s">
        <v>16403</v>
      </c>
      <c r="AB97" s="11" t="s">
        <v>16403</v>
      </c>
      <c r="AC97" s="11" t="s">
        <v>16403</v>
      </c>
      <c r="AD97" s="11" t="s">
        <v>16403</v>
      </c>
      <c r="AE97" s="11" t="s">
        <v>16403</v>
      </c>
      <c r="AF97" s="11" t="s">
        <v>16403</v>
      </c>
    </row>
    <row r="98" spans="1:32" s="11" customFormat="1" x14ac:dyDescent="0.2">
      <c r="A98" s="11">
        <v>211</v>
      </c>
      <c r="F98" s="11">
        <v>333.1</v>
      </c>
      <c r="G98" s="11" t="s">
        <v>16406</v>
      </c>
      <c r="H98" s="12">
        <v>67.3</v>
      </c>
      <c r="I98" s="11" t="s">
        <v>16407</v>
      </c>
      <c r="L98" s="11" t="s">
        <v>16403</v>
      </c>
      <c r="M98" s="11" t="s">
        <v>16403</v>
      </c>
      <c r="N98" s="11" t="s">
        <v>16403</v>
      </c>
      <c r="O98" s="11" t="s">
        <v>16403</v>
      </c>
      <c r="P98" s="11" t="s">
        <v>16403</v>
      </c>
      <c r="Q98" s="11" t="s">
        <v>16403</v>
      </c>
      <c r="R98" s="11" t="s">
        <v>16403</v>
      </c>
      <c r="S98" s="11" t="s">
        <v>16403</v>
      </c>
      <c r="T98" s="11" t="s">
        <v>16403</v>
      </c>
      <c r="U98" s="11" t="s">
        <v>16403</v>
      </c>
      <c r="V98" s="11" t="s">
        <v>16403</v>
      </c>
      <c r="W98" s="11" t="s">
        <v>16403</v>
      </c>
      <c r="X98" s="11" t="s">
        <v>16403</v>
      </c>
      <c r="Y98" s="11" t="s">
        <v>16403</v>
      </c>
      <c r="Z98" s="11" t="s">
        <v>16403</v>
      </c>
      <c r="AA98" s="11" t="s">
        <v>16403</v>
      </c>
      <c r="AB98" s="11" t="s">
        <v>16403</v>
      </c>
      <c r="AC98" s="11" t="s">
        <v>16403</v>
      </c>
      <c r="AD98" s="11" t="s">
        <v>16403</v>
      </c>
      <c r="AE98" s="11" t="s">
        <v>16403</v>
      </c>
      <c r="AF98" s="11" t="s">
        <v>16403</v>
      </c>
    </row>
    <row r="99" spans="1:32" s="11" customFormat="1" x14ac:dyDescent="0.2">
      <c r="A99" s="11">
        <v>212</v>
      </c>
      <c r="F99" s="11">
        <v>333.1</v>
      </c>
      <c r="G99" s="11" t="s">
        <v>16406</v>
      </c>
      <c r="H99" s="12">
        <v>73.7</v>
      </c>
      <c r="I99" s="11" t="s">
        <v>16407</v>
      </c>
      <c r="L99" s="11">
        <v>18.193000000000001</v>
      </c>
      <c r="M99" s="11">
        <v>14.781000000000001</v>
      </c>
      <c r="N99" s="11">
        <v>33.476999999999997</v>
      </c>
      <c r="O99" s="11">
        <v>32.194000000000003</v>
      </c>
      <c r="P99" s="11">
        <v>21.241</v>
      </c>
      <c r="Q99" s="11">
        <v>21.097999999999999</v>
      </c>
      <c r="R99" s="11">
        <v>78.066999999999993</v>
      </c>
      <c r="S99" s="11">
        <v>81.006</v>
      </c>
      <c r="T99" s="11">
        <v>71.626999999999995</v>
      </c>
      <c r="U99" s="11">
        <v>73.010999999999996</v>
      </c>
      <c r="V99" s="11">
        <v>28.373000000000001</v>
      </c>
      <c r="W99" s="11">
        <v>26.989000000000001</v>
      </c>
      <c r="X99" s="11">
        <v>22.266999999999999</v>
      </c>
      <c r="Y99" s="11">
        <v>22.172999999999998</v>
      </c>
      <c r="Z99" s="11">
        <v>26.989000000000001</v>
      </c>
      <c r="AA99" s="11">
        <v>28.373000000000001</v>
      </c>
      <c r="AB99" s="11">
        <v>19.23</v>
      </c>
      <c r="AC99" s="11">
        <v>7</v>
      </c>
      <c r="AD99" s="11">
        <v>7</v>
      </c>
      <c r="AE99" s="11">
        <v>7</v>
      </c>
      <c r="AF99" s="11">
        <v>7</v>
      </c>
    </row>
    <row r="100" spans="1:32" s="11" customFormat="1" x14ac:dyDescent="0.2">
      <c r="A100" s="11">
        <v>213</v>
      </c>
      <c r="F100" s="11">
        <v>333.1</v>
      </c>
      <c r="G100" s="11" t="s">
        <v>16406</v>
      </c>
      <c r="H100" s="12">
        <v>66.2</v>
      </c>
      <c r="I100" s="11" t="s">
        <v>16407</v>
      </c>
      <c r="L100" s="11">
        <v>55.232999999999997</v>
      </c>
      <c r="M100" s="11">
        <v>54.441000000000003</v>
      </c>
      <c r="N100" s="11">
        <v>108.67400000000001</v>
      </c>
      <c r="O100" s="11">
        <v>110.944</v>
      </c>
      <c r="P100" s="11">
        <v>82.221999999999994</v>
      </c>
      <c r="Q100" s="11">
        <v>80.802999999999997</v>
      </c>
      <c r="R100" s="11">
        <v>91.007999999999996</v>
      </c>
      <c r="S100" s="11">
        <v>88.519000000000005</v>
      </c>
      <c r="T100" s="11">
        <v>64.861999999999995</v>
      </c>
      <c r="U100" s="11">
        <v>64.102999999999994</v>
      </c>
      <c r="V100" s="11">
        <v>35.137999999999998</v>
      </c>
      <c r="W100" s="11">
        <v>35.896999999999998</v>
      </c>
      <c r="X100" s="11">
        <v>14.342000000000001</v>
      </c>
      <c r="Y100" s="11">
        <v>16.212</v>
      </c>
      <c r="Z100" s="11">
        <v>35.896999999999998</v>
      </c>
      <c r="AA100" s="11">
        <v>35.137999999999998</v>
      </c>
      <c r="AB100" s="11">
        <v>11.798</v>
      </c>
      <c r="AC100" s="11">
        <v>7</v>
      </c>
      <c r="AD100" s="11">
        <v>10</v>
      </c>
      <c r="AE100" s="11">
        <v>7</v>
      </c>
      <c r="AF100" s="11">
        <v>7</v>
      </c>
    </row>
    <row r="101" spans="1:32" s="11" customFormat="1" x14ac:dyDescent="0.2">
      <c r="A101" s="11">
        <v>214</v>
      </c>
      <c r="F101" s="11">
        <v>781.2</v>
      </c>
      <c r="G101" s="11" t="s">
        <v>16410</v>
      </c>
      <c r="H101" s="12">
        <v>65.7</v>
      </c>
      <c r="I101" s="11" t="s">
        <v>16404</v>
      </c>
      <c r="L101" s="11">
        <v>39.167999999999999</v>
      </c>
      <c r="M101" s="11">
        <v>35.308</v>
      </c>
      <c r="N101" s="11">
        <v>75.239000000000004</v>
      </c>
      <c r="O101" s="11">
        <v>74.475999999999999</v>
      </c>
      <c r="P101" s="11">
        <v>54.198</v>
      </c>
      <c r="Q101" s="11">
        <v>52.546999999999997</v>
      </c>
      <c r="R101" s="11">
        <v>87.936000000000007</v>
      </c>
      <c r="S101" s="11">
        <v>86.134</v>
      </c>
      <c r="T101" s="11">
        <v>70.067999999999998</v>
      </c>
      <c r="U101" s="11">
        <v>68.180999999999997</v>
      </c>
      <c r="V101" s="11">
        <v>29.931999999999999</v>
      </c>
      <c r="W101" s="11">
        <v>31.818999999999999</v>
      </c>
      <c r="X101" s="11">
        <v>24.582000000000001</v>
      </c>
      <c r="Y101" s="11">
        <v>14.755000000000001</v>
      </c>
      <c r="Z101" s="11">
        <v>31.818999999999999</v>
      </c>
      <c r="AA101" s="11">
        <v>29.931999999999999</v>
      </c>
      <c r="AB101" s="11">
        <v>14.433</v>
      </c>
      <c r="AC101" s="11">
        <v>8</v>
      </c>
      <c r="AD101" s="11">
        <v>11</v>
      </c>
      <c r="AE101" s="11">
        <v>8</v>
      </c>
      <c r="AF101" s="11">
        <v>8</v>
      </c>
    </row>
    <row r="102" spans="1:32" s="11" customFormat="1" x14ac:dyDescent="0.2">
      <c r="A102" s="11">
        <v>215</v>
      </c>
      <c r="F102" s="11">
        <v>333.1</v>
      </c>
      <c r="G102" s="11" t="s">
        <v>16406</v>
      </c>
      <c r="H102" s="12">
        <v>76.400000000000006</v>
      </c>
      <c r="I102" s="11" t="s">
        <v>16404</v>
      </c>
      <c r="L102" s="11">
        <v>55.566000000000003</v>
      </c>
      <c r="M102" s="11">
        <v>63.142000000000003</v>
      </c>
      <c r="N102" s="11">
        <v>118.77</v>
      </c>
      <c r="O102" s="11">
        <v>118.699</v>
      </c>
      <c r="P102" s="11">
        <v>105.666</v>
      </c>
      <c r="Q102" s="11">
        <v>105.69499999999999</v>
      </c>
      <c r="R102" s="11">
        <v>106.423</v>
      </c>
      <c r="S102" s="11">
        <v>106.542</v>
      </c>
      <c r="T102" s="11">
        <v>61.819000000000003</v>
      </c>
      <c r="U102" s="11">
        <v>62.423000000000002</v>
      </c>
      <c r="V102" s="11">
        <v>38.180999999999997</v>
      </c>
      <c r="W102" s="11">
        <v>37.576999999999998</v>
      </c>
      <c r="X102" s="11">
        <v>10.176</v>
      </c>
      <c r="Y102" s="11">
        <v>14.129</v>
      </c>
      <c r="Z102" s="11">
        <v>37.576999999999998</v>
      </c>
      <c r="AA102" s="11">
        <v>38.180999999999997</v>
      </c>
      <c r="AB102" s="11">
        <v>12.75</v>
      </c>
      <c r="AC102" s="11">
        <v>9</v>
      </c>
      <c r="AD102" s="11">
        <v>10</v>
      </c>
      <c r="AE102" s="11">
        <v>9</v>
      </c>
      <c r="AF102" s="11">
        <v>9</v>
      </c>
    </row>
    <row r="103" spans="1:32" s="11" customFormat="1" x14ac:dyDescent="0.2">
      <c r="A103" s="11">
        <v>216</v>
      </c>
      <c r="F103" s="11">
        <v>333.89</v>
      </c>
      <c r="G103" s="11" t="s">
        <v>16408</v>
      </c>
      <c r="H103" s="12">
        <v>55.3</v>
      </c>
      <c r="I103" s="11" t="s">
        <v>16407</v>
      </c>
      <c r="L103" s="11">
        <v>26.058</v>
      </c>
      <c r="M103" s="11">
        <v>21.103999999999999</v>
      </c>
      <c r="N103" s="11">
        <v>46.795000000000002</v>
      </c>
      <c r="O103" s="11">
        <v>49.155000000000001</v>
      </c>
      <c r="P103" s="11">
        <v>25.701000000000001</v>
      </c>
      <c r="Q103" s="11">
        <v>26.86</v>
      </c>
      <c r="R103" s="11">
        <v>66.626999999999995</v>
      </c>
      <c r="S103" s="11">
        <v>66.872</v>
      </c>
      <c r="T103" s="11">
        <v>69.992000000000004</v>
      </c>
      <c r="U103" s="11">
        <v>65.361000000000004</v>
      </c>
      <c r="V103" s="11">
        <v>30.007999999999999</v>
      </c>
      <c r="W103" s="11">
        <v>34.639000000000003</v>
      </c>
      <c r="X103" s="11">
        <v>20.277999999999999</v>
      </c>
      <c r="Y103" s="11">
        <v>16.234999999999999</v>
      </c>
      <c r="Z103" s="11">
        <v>34.639000000000003</v>
      </c>
      <c r="AA103" s="11">
        <v>30.007999999999999</v>
      </c>
      <c r="AB103" s="11">
        <v>20.85</v>
      </c>
      <c r="AC103" s="11">
        <v>5</v>
      </c>
      <c r="AD103" s="11">
        <v>5</v>
      </c>
      <c r="AE103" s="11">
        <v>5</v>
      </c>
      <c r="AF103" s="11">
        <v>5</v>
      </c>
    </row>
    <row r="104" spans="1:32" s="11" customFormat="1" x14ac:dyDescent="0.2">
      <c r="A104" s="11">
        <v>218</v>
      </c>
      <c r="F104" s="11">
        <v>333.1</v>
      </c>
      <c r="G104" s="11" t="s">
        <v>16406</v>
      </c>
      <c r="H104" s="12">
        <v>81.099999999999994</v>
      </c>
      <c r="I104" s="11" t="s">
        <v>16404</v>
      </c>
      <c r="L104" s="11" t="s">
        <v>16403</v>
      </c>
      <c r="M104" s="11" t="s">
        <v>16403</v>
      </c>
      <c r="N104" s="11" t="s">
        <v>16403</v>
      </c>
      <c r="O104" s="11" t="s">
        <v>16403</v>
      </c>
      <c r="P104" s="11" t="s">
        <v>16403</v>
      </c>
      <c r="Q104" s="11" t="s">
        <v>16403</v>
      </c>
      <c r="R104" s="11" t="s">
        <v>16403</v>
      </c>
      <c r="S104" s="11" t="s">
        <v>16403</v>
      </c>
      <c r="T104" s="11" t="s">
        <v>16403</v>
      </c>
      <c r="U104" s="11" t="s">
        <v>16403</v>
      </c>
      <c r="V104" s="11" t="s">
        <v>16403</v>
      </c>
      <c r="W104" s="11" t="s">
        <v>16403</v>
      </c>
      <c r="X104" s="11" t="s">
        <v>16403</v>
      </c>
      <c r="Y104" s="11" t="s">
        <v>16403</v>
      </c>
      <c r="Z104" s="11" t="s">
        <v>16403</v>
      </c>
      <c r="AA104" s="11" t="s">
        <v>16403</v>
      </c>
      <c r="AB104" s="11" t="s">
        <v>16403</v>
      </c>
      <c r="AC104" s="11" t="s">
        <v>16403</v>
      </c>
      <c r="AD104" s="11" t="s">
        <v>16403</v>
      </c>
      <c r="AE104" s="11" t="s">
        <v>16403</v>
      </c>
      <c r="AF104" s="11" t="s">
        <v>16403</v>
      </c>
    </row>
    <row r="105" spans="1:32" s="11" customFormat="1" x14ac:dyDescent="0.2">
      <c r="A105" s="11">
        <v>219</v>
      </c>
      <c r="F105" s="11">
        <v>333.1</v>
      </c>
      <c r="G105" s="11" t="s">
        <v>16406</v>
      </c>
      <c r="H105" s="12">
        <v>85.3</v>
      </c>
      <c r="I105" s="11" t="s">
        <v>16407</v>
      </c>
      <c r="L105" s="11">
        <v>25.469000000000001</v>
      </c>
      <c r="M105" s="11">
        <v>23.902999999999999</v>
      </c>
      <c r="N105" s="11">
        <v>49.98</v>
      </c>
      <c r="O105" s="11">
        <v>49.896000000000001</v>
      </c>
      <c r="P105" s="11">
        <v>36.566000000000003</v>
      </c>
      <c r="Q105" s="11">
        <v>37.046999999999997</v>
      </c>
      <c r="R105" s="11">
        <v>87.489000000000004</v>
      </c>
      <c r="S105" s="11">
        <v>88.245000000000005</v>
      </c>
      <c r="T105" s="11">
        <v>69.14</v>
      </c>
      <c r="U105" s="11">
        <v>68.915999999999997</v>
      </c>
      <c r="V105" s="11">
        <v>30.86</v>
      </c>
      <c r="W105" s="11">
        <v>31.084</v>
      </c>
      <c r="X105" s="11">
        <v>18.443999999999999</v>
      </c>
      <c r="Y105" s="11">
        <v>19.488</v>
      </c>
      <c r="Z105" s="11">
        <v>31.084</v>
      </c>
      <c r="AA105" s="11">
        <v>30.86</v>
      </c>
      <c r="AB105" s="11">
        <v>16.375</v>
      </c>
      <c r="AC105" s="11">
        <v>16</v>
      </c>
      <c r="AD105" s="11">
        <v>15</v>
      </c>
      <c r="AE105" s="11">
        <v>15</v>
      </c>
      <c r="AF105" s="11">
        <v>15</v>
      </c>
    </row>
    <row r="106" spans="1:32" s="11" customFormat="1" x14ac:dyDescent="0.2">
      <c r="A106" s="11">
        <v>220</v>
      </c>
      <c r="F106" s="11">
        <v>333.1</v>
      </c>
      <c r="G106" s="11" t="s">
        <v>16406</v>
      </c>
      <c r="H106" s="12">
        <v>63</v>
      </c>
      <c r="I106" s="11" t="s">
        <v>16404</v>
      </c>
      <c r="L106" s="11" t="s">
        <v>16403</v>
      </c>
      <c r="M106" s="11" t="s">
        <v>16403</v>
      </c>
      <c r="N106" s="11" t="s">
        <v>16403</v>
      </c>
      <c r="O106" s="11" t="s">
        <v>16403</v>
      </c>
      <c r="P106" s="11" t="s">
        <v>16403</v>
      </c>
      <c r="Q106" s="11" t="s">
        <v>16403</v>
      </c>
      <c r="R106" s="11" t="s">
        <v>16403</v>
      </c>
      <c r="S106" s="11" t="s">
        <v>16403</v>
      </c>
      <c r="T106" s="11" t="s">
        <v>16403</v>
      </c>
      <c r="U106" s="11" t="s">
        <v>16403</v>
      </c>
      <c r="V106" s="11" t="s">
        <v>16403</v>
      </c>
      <c r="W106" s="11" t="s">
        <v>16403</v>
      </c>
      <c r="X106" s="11" t="s">
        <v>16403</v>
      </c>
      <c r="Y106" s="11" t="s">
        <v>16403</v>
      </c>
      <c r="Z106" s="11" t="s">
        <v>16403</v>
      </c>
      <c r="AA106" s="11" t="s">
        <v>16403</v>
      </c>
      <c r="AB106" s="11" t="s">
        <v>16403</v>
      </c>
      <c r="AC106" s="11" t="s">
        <v>16403</v>
      </c>
      <c r="AD106" s="11" t="s">
        <v>16403</v>
      </c>
      <c r="AE106" s="11" t="s">
        <v>16403</v>
      </c>
      <c r="AF106" s="11" t="s">
        <v>16403</v>
      </c>
    </row>
    <row r="107" spans="1:32" s="11" customFormat="1" x14ac:dyDescent="0.2">
      <c r="A107" s="11">
        <v>221</v>
      </c>
      <c r="F107" s="11">
        <v>333.1</v>
      </c>
      <c r="G107" s="11" t="s">
        <v>16406</v>
      </c>
      <c r="H107" s="12">
        <v>73.599999999999994</v>
      </c>
      <c r="I107" s="11" t="s">
        <v>16404</v>
      </c>
      <c r="L107" s="11">
        <v>55.023000000000003</v>
      </c>
      <c r="M107" s="11">
        <v>51.679000000000002</v>
      </c>
      <c r="N107" s="11">
        <v>107.67400000000001</v>
      </c>
      <c r="O107" s="11">
        <v>107.01600000000001</v>
      </c>
      <c r="P107" s="11">
        <v>109.34399999999999</v>
      </c>
      <c r="Q107" s="11">
        <v>109.872</v>
      </c>
      <c r="R107" s="11">
        <v>122.245</v>
      </c>
      <c r="S107" s="11">
        <v>123.502</v>
      </c>
      <c r="T107" s="11">
        <v>62.021000000000001</v>
      </c>
      <c r="U107" s="11">
        <v>62.386000000000003</v>
      </c>
      <c r="V107" s="11">
        <v>37.978999999999999</v>
      </c>
      <c r="W107" s="11">
        <v>37.613999999999997</v>
      </c>
      <c r="X107" s="11">
        <v>11.836</v>
      </c>
      <c r="Y107" s="11">
        <v>12.253</v>
      </c>
      <c r="Z107" s="11">
        <v>37.613999999999997</v>
      </c>
      <c r="AA107" s="11">
        <v>37.978999999999999</v>
      </c>
      <c r="AB107" s="11">
        <v>7.93</v>
      </c>
      <c r="AC107" s="11">
        <v>13</v>
      </c>
      <c r="AD107" s="11">
        <v>12</v>
      </c>
      <c r="AE107" s="11">
        <v>12</v>
      </c>
      <c r="AF107" s="11">
        <v>12</v>
      </c>
    </row>
    <row r="108" spans="1:32" s="11" customFormat="1" x14ac:dyDescent="0.2">
      <c r="A108" s="11">
        <v>222</v>
      </c>
      <c r="F108" s="11">
        <v>781.3</v>
      </c>
      <c r="G108" s="11" t="s">
        <v>16430</v>
      </c>
      <c r="H108" s="12">
        <v>49</v>
      </c>
      <c r="I108" s="11" t="s">
        <v>16404</v>
      </c>
      <c r="L108" s="11">
        <v>48.18</v>
      </c>
      <c r="M108" s="11">
        <v>44.24</v>
      </c>
      <c r="N108" s="11">
        <v>93.74</v>
      </c>
      <c r="O108" s="11">
        <v>92.18</v>
      </c>
      <c r="P108" s="11">
        <v>64.778999999999996</v>
      </c>
      <c r="Q108" s="11">
        <v>65.028000000000006</v>
      </c>
      <c r="R108" s="11">
        <v>83.278999999999996</v>
      </c>
      <c r="S108" s="11">
        <v>84.406000000000006</v>
      </c>
      <c r="T108" s="11">
        <v>66.84</v>
      </c>
      <c r="U108" s="11">
        <v>65.031999999999996</v>
      </c>
      <c r="V108" s="11">
        <v>33.159999999999997</v>
      </c>
      <c r="W108" s="11">
        <v>34.968000000000004</v>
      </c>
      <c r="X108" s="11">
        <v>15.302</v>
      </c>
      <c r="Y108" s="11">
        <v>16.454000000000001</v>
      </c>
      <c r="Z108" s="11">
        <v>34.968000000000004</v>
      </c>
      <c r="AA108" s="11">
        <v>33.159999999999997</v>
      </c>
      <c r="AB108" s="11">
        <v>18.073</v>
      </c>
      <c r="AC108" s="11">
        <v>12</v>
      </c>
      <c r="AD108" s="11">
        <v>14</v>
      </c>
      <c r="AE108" s="11">
        <v>12</v>
      </c>
      <c r="AF108" s="11">
        <v>12</v>
      </c>
    </row>
    <row r="109" spans="1:32" s="11" customFormat="1" x14ac:dyDescent="0.2">
      <c r="A109" s="11">
        <v>223</v>
      </c>
      <c r="F109" s="11">
        <v>333</v>
      </c>
      <c r="G109" s="11" t="s">
        <v>16409</v>
      </c>
      <c r="H109" s="12">
        <v>66</v>
      </c>
      <c r="I109" s="11" t="s">
        <v>16404</v>
      </c>
      <c r="L109" s="11">
        <v>39.817</v>
      </c>
      <c r="M109" s="11">
        <v>36.844999999999999</v>
      </c>
      <c r="N109" s="11">
        <v>76.611000000000004</v>
      </c>
      <c r="O109" s="11">
        <v>76.813000000000002</v>
      </c>
      <c r="P109" s="11">
        <v>73.024000000000001</v>
      </c>
      <c r="Q109" s="11">
        <v>73.137</v>
      </c>
      <c r="R109" s="11">
        <v>114.279</v>
      </c>
      <c r="S109" s="11">
        <v>113.95699999999999</v>
      </c>
      <c r="T109" s="11">
        <v>64.477999999999994</v>
      </c>
      <c r="U109" s="11">
        <v>65.066000000000003</v>
      </c>
      <c r="V109" s="11">
        <v>35.521000000000001</v>
      </c>
      <c r="W109" s="11">
        <v>34.933999999999997</v>
      </c>
      <c r="X109" s="11">
        <v>14.999000000000001</v>
      </c>
      <c r="Y109" s="11">
        <v>14.664999999999999</v>
      </c>
      <c r="Z109" s="11">
        <v>34.933999999999997</v>
      </c>
      <c r="AA109" s="11">
        <v>35.521000000000001</v>
      </c>
      <c r="AB109" s="11">
        <v>13.8</v>
      </c>
      <c r="AC109" s="11">
        <v>10</v>
      </c>
      <c r="AD109" s="11">
        <v>11</v>
      </c>
      <c r="AE109" s="11">
        <v>10</v>
      </c>
      <c r="AF109" s="11">
        <v>10</v>
      </c>
    </row>
    <row r="110" spans="1:32" s="11" customFormat="1" x14ac:dyDescent="0.2">
      <c r="A110" s="11">
        <v>224</v>
      </c>
      <c r="F110" s="11">
        <v>781.2</v>
      </c>
      <c r="G110" s="11" t="s">
        <v>16410</v>
      </c>
      <c r="H110" s="12">
        <v>79.3</v>
      </c>
      <c r="I110" s="11" t="s">
        <v>16404</v>
      </c>
      <c r="L110" s="11" t="s">
        <v>16403</v>
      </c>
      <c r="M110" s="11" t="s">
        <v>16403</v>
      </c>
      <c r="N110" s="11" t="s">
        <v>16403</v>
      </c>
      <c r="O110" s="11" t="s">
        <v>16403</v>
      </c>
      <c r="P110" s="11" t="s">
        <v>16403</v>
      </c>
      <c r="Q110" s="11" t="s">
        <v>16403</v>
      </c>
      <c r="R110" s="11" t="s">
        <v>16403</v>
      </c>
      <c r="S110" s="11" t="s">
        <v>16403</v>
      </c>
      <c r="T110" s="11" t="s">
        <v>16403</v>
      </c>
      <c r="U110" s="11" t="s">
        <v>16403</v>
      </c>
      <c r="V110" s="11" t="s">
        <v>16403</v>
      </c>
      <c r="W110" s="11" t="s">
        <v>16403</v>
      </c>
      <c r="X110" s="11" t="s">
        <v>16403</v>
      </c>
      <c r="Y110" s="11" t="s">
        <v>16403</v>
      </c>
      <c r="Z110" s="11" t="s">
        <v>16403</v>
      </c>
      <c r="AA110" s="11" t="s">
        <v>16403</v>
      </c>
      <c r="AB110" s="11" t="s">
        <v>16403</v>
      </c>
      <c r="AC110" s="11" t="s">
        <v>16403</v>
      </c>
      <c r="AD110" s="11" t="s">
        <v>16403</v>
      </c>
      <c r="AE110" s="11" t="s">
        <v>16403</v>
      </c>
      <c r="AF110" s="11" t="s">
        <v>16403</v>
      </c>
    </row>
    <row r="111" spans="1:32" s="11" customFormat="1" x14ac:dyDescent="0.2">
      <c r="A111" s="11">
        <v>225</v>
      </c>
      <c r="F111" s="11">
        <v>333.1</v>
      </c>
      <c r="G111" s="11" t="s">
        <v>16406</v>
      </c>
      <c r="H111" s="12">
        <v>76.5</v>
      </c>
      <c r="I111" s="11" t="s">
        <v>16407</v>
      </c>
      <c r="L111" s="11" t="s">
        <v>16403</v>
      </c>
      <c r="M111" s="11" t="s">
        <v>16403</v>
      </c>
      <c r="N111" s="11" t="s">
        <v>16403</v>
      </c>
      <c r="O111" s="11" t="s">
        <v>16403</v>
      </c>
      <c r="P111" s="11" t="s">
        <v>16403</v>
      </c>
      <c r="Q111" s="11" t="s">
        <v>16403</v>
      </c>
      <c r="R111" s="11" t="s">
        <v>16403</v>
      </c>
      <c r="S111" s="11" t="s">
        <v>16403</v>
      </c>
      <c r="T111" s="11" t="s">
        <v>16403</v>
      </c>
      <c r="U111" s="11" t="s">
        <v>16403</v>
      </c>
      <c r="V111" s="11" t="s">
        <v>16403</v>
      </c>
      <c r="W111" s="11" t="s">
        <v>16403</v>
      </c>
      <c r="X111" s="11" t="s">
        <v>16403</v>
      </c>
      <c r="Y111" s="11" t="s">
        <v>16403</v>
      </c>
      <c r="Z111" s="11" t="s">
        <v>16403</v>
      </c>
      <c r="AA111" s="11" t="s">
        <v>16403</v>
      </c>
      <c r="AB111" s="11" t="s">
        <v>16403</v>
      </c>
      <c r="AC111" s="11" t="s">
        <v>16403</v>
      </c>
      <c r="AD111" s="11" t="s">
        <v>16403</v>
      </c>
      <c r="AE111" s="11" t="s">
        <v>16403</v>
      </c>
      <c r="AF111" s="11" t="s">
        <v>16403</v>
      </c>
    </row>
    <row r="112" spans="1:32" s="11" customFormat="1" x14ac:dyDescent="0.2">
      <c r="A112" s="11">
        <v>226</v>
      </c>
      <c r="F112" s="11">
        <v>332</v>
      </c>
      <c r="G112" s="11" t="s">
        <v>16405</v>
      </c>
      <c r="H112" s="12">
        <v>59.5</v>
      </c>
      <c r="I112" s="11" t="s">
        <v>16404</v>
      </c>
      <c r="L112" s="11">
        <v>66.914000000000001</v>
      </c>
      <c r="M112" s="11">
        <v>66.728999999999999</v>
      </c>
      <c r="N112" s="11">
        <v>134.51400000000001</v>
      </c>
      <c r="O112" s="11">
        <v>132.00899999999999</v>
      </c>
      <c r="P112" s="11">
        <v>135.81200000000001</v>
      </c>
      <c r="Q112" s="11">
        <v>132.90600000000001</v>
      </c>
      <c r="R112" s="11">
        <v>120.80800000000001</v>
      </c>
      <c r="S112" s="11">
        <v>117.99</v>
      </c>
      <c r="T112" s="11">
        <v>60.058999999999997</v>
      </c>
      <c r="U112" s="11">
        <v>59.283000000000001</v>
      </c>
      <c r="V112" s="11">
        <v>39.941000000000003</v>
      </c>
      <c r="W112" s="11">
        <v>40.716999999999999</v>
      </c>
      <c r="X112" s="11">
        <v>9.4890000000000008</v>
      </c>
      <c r="Y112" s="11">
        <v>9.5879999999999992</v>
      </c>
      <c r="Z112" s="11">
        <v>40.716999999999999</v>
      </c>
      <c r="AA112" s="11">
        <v>39.941000000000003</v>
      </c>
      <c r="AB112" s="11">
        <v>12.723000000000001</v>
      </c>
      <c r="AC112" s="11">
        <v>6</v>
      </c>
      <c r="AD112" s="11">
        <v>4</v>
      </c>
      <c r="AE112" s="11">
        <v>4</v>
      </c>
      <c r="AF112" s="11">
        <v>4</v>
      </c>
    </row>
    <row r="113" spans="1:32" s="11" customFormat="1" x14ac:dyDescent="0.2">
      <c r="A113" s="11">
        <v>228</v>
      </c>
      <c r="F113" s="11">
        <v>334.3</v>
      </c>
      <c r="G113" s="11" t="s">
        <v>16431</v>
      </c>
      <c r="H113" s="12">
        <v>59.2</v>
      </c>
      <c r="I113" s="11" t="s">
        <v>16404</v>
      </c>
      <c r="L113" s="11" t="s">
        <v>16403</v>
      </c>
      <c r="M113" s="11" t="s">
        <v>16403</v>
      </c>
      <c r="N113" s="11" t="s">
        <v>16403</v>
      </c>
      <c r="O113" s="11" t="s">
        <v>16403</v>
      </c>
      <c r="P113" s="11" t="s">
        <v>16403</v>
      </c>
      <c r="Q113" s="11" t="s">
        <v>16403</v>
      </c>
      <c r="R113" s="11" t="s">
        <v>16403</v>
      </c>
      <c r="S113" s="11" t="s">
        <v>16403</v>
      </c>
      <c r="T113" s="11" t="s">
        <v>16403</v>
      </c>
      <c r="U113" s="11" t="s">
        <v>16403</v>
      </c>
      <c r="V113" s="11" t="s">
        <v>16403</v>
      </c>
      <c r="W113" s="11" t="s">
        <v>16403</v>
      </c>
      <c r="X113" s="11" t="s">
        <v>16403</v>
      </c>
      <c r="Y113" s="11" t="s">
        <v>16403</v>
      </c>
      <c r="Z113" s="11" t="s">
        <v>16403</v>
      </c>
      <c r="AA113" s="11" t="s">
        <v>16403</v>
      </c>
      <c r="AB113" s="11" t="s">
        <v>16403</v>
      </c>
      <c r="AC113" s="11" t="s">
        <v>16403</v>
      </c>
      <c r="AD113" s="11" t="s">
        <v>16403</v>
      </c>
      <c r="AE113" s="11" t="s">
        <v>16403</v>
      </c>
      <c r="AF113" s="11" t="s">
        <v>16403</v>
      </c>
    </row>
    <row r="114" spans="1:32" s="11" customFormat="1" x14ac:dyDescent="0.2">
      <c r="A114" s="11">
        <v>231</v>
      </c>
      <c r="F114" s="11" t="s">
        <v>16403</v>
      </c>
      <c r="G114" s="11" t="s">
        <v>16403</v>
      </c>
      <c r="H114" s="12">
        <v>59.7</v>
      </c>
      <c r="I114" s="11" t="s">
        <v>16404</v>
      </c>
      <c r="L114" s="11">
        <v>65.066999999999993</v>
      </c>
      <c r="M114" s="11">
        <v>67.024000000000001</v>
      </c>
      <c r="N114" s="11">
        <v>131.85599999999999</v>
      </c>
      <c r="O114" s="11">
        <v>132.012</v>
      </c>
      <c r="P114" s="11">
        <v>110.312</v>
      </c>
      <c r="Q114" s="11">
        <v>109.646</v>
      </c>
      <c r="R114" s="11">
        <v>100.328</v>
      </c>
      <c r="S114" s="11">
        <v>99.82</v>
      </c>
      <c r="T114" s="11">
        <v>62.036999999999999</v>
      </c>
      <c r="U114" s="11">
        <v>62.960999999999999</v>
      </c>
      <c r="V114" s="11">
        <v>37.963000000000001</v>
      </c>
      <c r="W114" s="11">
        <v>37.039000000000001</v>
      </c>
      <c r="X114" s="11">
        <v>12.49</v>
      </c>
      <c r="Y114" s="11">
        <v>12.94</v>
      </c>
      <c r="Z114" s="11">
        <v>37.039000000000001</v>
      </c>
      <c r="AA114" s="11">
        <v>37.963000000000001</v>
      </c>
      <c r="AB114" s="11">
        <v>12.113</v>
      </c>
      <c r="AC114" s="11">
        <v>14</v>
      </c>
      <c r="AD114" s="11">
        <v>16</v>
      </c>
      <c r="AE114" s="11">
        <v>14</v>
      </c>
      <c r="AF114" s="11">
        <v>14</v>
      </c>
    </row>
    <row r="115" spans="1:32" s="11" customFormat="1" x14ac:dyDescent="0.2">
      <c r="A115" s="11">
        <v>232</v>
      </c>
      <c r="F115" s="11">
        <v>333.1</v>
      </c>
      <c r="G115" s="11" t="s">
        <v>16406</v>
      </c>
      <c r="H115" s="12">
        <v>78.099999999999994</v>
      </c>
      <c r="I115" s="11" t="s">
        <v>16404</v>
      </c>
      <c r="L115" s="11">
        <v>57.417999999999999</v>
      </c>
      <c r="M115" s="11">
        <v>53.640999999999998</v>
      </c>
      <c r="N115" s="11">
        <v>110.148</v>
      </c>
      <c r="O115" s="11">
        <v>111.991</v>
      </c>
      <c r="P115" s="11">
        <v>83.858000000000004</v>
      </c>
      <c r="Q115" s="11">
        <v>84.299000000000007</v>
      </c>
      <c r="R115" s="11">
        <v>91.52</v>
      </c>
      <c r="S115" s="11">
        <v>91.028999999999996</v>
      </c>
      <c r="T115" s="11">
        <v>62.762</v>
      </c>
      <c r="U115" s="11">
        <v>63.948999999999998</v>
      </c>
      <c r="V115" s="11">
        <v>37.238</v>
      </c>
      <c r="W115" s="11">
        <v>36.051000000000002</v>
      </c>
      <c r="X115" s="11">
        <v>13.802</v>
      </c>
      <c r="Y115" s="11">
        <v>12.73</v>
      </c>
      <c r="Z115" s="11">
        <v>36.051000000000002</v>
      </c>
      <c r="AA115" s="11">
        <v>37.238</v>
      </c>
      <c r="AB115" s="11">
        <v>12.458</v>
      </c>
      <c r="AC115" s="11">
        <v>14</v>
      </c>
      <c r="AD115" s="11">
        <v>15</v>
      </c>
      <c r="AE115" s="11">
        <v>14</v>
      </c>
      <c r="AF115" s="11">
        <v>14</v>
      </c>
    </row>
    <row r="116" spans="1:32" s="11" customFormat="1" x14ac:dyDescent="0.2">
      <c r="A116" s="11">
        <v>233</v>
      </c>
      <c r="F116" s="11">
        <v>333.1</v>
      </c>
      <c r="G116" s="11" t="s">
        <v>16406</v>
      </c>
      <c r="H116" s="12">
        <v>81.3</v>
      </c>
      <c r="I116" s="11" t="s">
        <v>16404</v>
      </c>
      <c r="L116" s="11" t="s">
        <v>16403</v>
      </c>
      <c r="M116" s="11" t="s">
        <v>16403</v>
      </c>
      <c r="N116" s="11" t="s">
        <v>16403</v>
      </c>
      <c r="O116" s="11" t="s">
        <v>16403</v>
      </c>
      <c r="P116" s="11" t="s">
        <v>16403</v>
      </c>
      <c r="Q116" s="11" t="s">
        <v>16403</v>
      </c>
      <c r="R116" s="11" t="s">
        <v>16403</v>
      </c>
      <c r="S116" s="11" t="s">
        <v>16403</v>
      </c>
      <c r="T116" s="11" t="s">
        <v>16403</v>
      </c>
      <c r="U116" s="11" t="s">
        <v>16403</v>
      </c>
      <c r="V116" s="11" t="s">
        <v>16403</v>
      </c>
      <c r="W116" s="11" t="s">
        <v>16403</v>
      </c>
      <c r="X116" s="11" t="s">
        <v>16403</v>
      </c>
      <c r="Y116" s="11" t="s">
        <v>16403</v>
      </c>
      <c r="Z116" s="11" t="s">
        <v>16403</v>
      </c>
      <c r="AA116" s="11" t="s">
        <v>16403</v>
      </c>
      <c r="AB116" s="11" t="s">
        <v>16403</v>
      </c>
      <c r="AC116" s="11" t="s">
        <v>16403</v>
      </c>
      <c r="AD116" s="11" t="s">
        <v>16403</v>
      </c>
      <c r="AE116" s="11" t="s">
        <v>16403</v>
      </c>
      <c r="AF116" s="11" t="s">
        <v>16403</v>
      </c>
    </row>
    <row r="117" spans="1:32" s="11" customFormat="1" x14ac:dyDescent="0.2">
      <c r="A117" s="11">
        <v>234</v>
      </c>
      <c r="F117" s="11">
        <v>332</v>
      </c>
      <c r="G117" s="11" t="s">
        <v>16405</v>
      </c>
      <c r="H117" s="12">
        <v>62.6</v>
      </c>
      <c r="I117" s="11" t="s">
        <v>16404</v>
      </c>
      <c r="L117" s="11" t="s">
        <v>16403</v>
      </c>
      <c r="M117" s="11" t="s">
        <v>16403</v>
      </c>
      <c r="N117" s="11" t="s">
        <v>16403</v>
      </c>
      <c r="O117" s="11" t="s">
        <v>16403</v>
      </c>
      <c r="P117" s="11" t="s">
        <v>16403</v>
      </c>
      <c r="Q117" s="11" t="s">
        <v>16403</v>
      </c>
      <c r="R117" s="11" t="s">
        <v>16403</v>
      </c>
      <c r="S117" s="11" t="s">
        <v>16403</v>
      </c>
      <c r="T117" s="11" t="s">
        <v>16403</v>
      </c>
      <c r="U117" s="11" t="s">
        <v>16403</v>
      </c>
      <c r="V117" s="11" t="s">
        <v>16403</v>
      </c>
      <c r="W117" s="11" t="s">
        <v>16403</v>
      </c>
      <c r="X117" s="11" t="s">
        <v>16403</v>
      </c>
      <c r="Y117" s="11" t="s">
        <v>16403</v>
      </c>
      <c r="Z117" s="11" t="s">
        <v>16403</v>
      </c>
      <c r="AA117" s="11" t="s">
        <v>16403</v>
      </c>
      <c r="AB117" s="11" t="s">
        <v>16403</v>
      </c>
      <c r="AC117" s="11" t="s">
        <v>16403</v>
      </c>
      <c r="AD117" s="11" t="s">
        <v>16403</v>
      </c>
      <c r="AE117" s="11" t="s">
        <v>16403</v>
      </c>
      <c r="AF117" s="11" t="s">
        <v>16403</v>
      </c>
    </row>
    <row r="118" spans="1:32" s="11" customFormat="1" x14ac:dyDescent="0.2">
      <c r="A118" s="11">
        <v>235</v>
      </c>
      <c r="F118" s="11">
        <v>332</v>
      </c>
      <c r="G118" s="11" t="s">
        <v>16405</v>
      </c>
      <c r="H118" s="12">
        <v>42.3</v>
      </c>
      <c r="I118" s="11" t="s">
        <v>16407</v>
      </c>
      <c r="L118" s="11">
        <v>62.527999999999999</v>
      </c>
      <c r="M118" s="11">
        <v>64.539000000000001</v>
      </c>
      <c r="N118" s="11">
        <v>127.23399999999999</v>
      </c>
      <c r="O118" s="11">
        <v>127.851</v>
      </c>
      <c r="P118" s="11">
        <v>103.014</v>
      </c>
      <c r="Q118" s="11">
        <v>104.511</v>
      </c>
      <c r="R118" s="11">
        <v>97.498000000000005</v>
      </c>
      <c r="S118" s="11">
        <v>97.983999999999995</v>
      </c>
      <c r="T118" s="11">
        <v>60.759</v>
      </c>
      <c r="U118" s="11">
        <v>59.607999999999997</v>
      </c>
      <c r="V118" s="11">
        <v>39.241</v>
      </c>
      <c r="W118" s="11">
        <v>40.392000000000003</v>
      </c>
      <c r="X118" s="11">
        <v>9.4570000000000007</v>
      </c>
      <c r="Y118" s="11">
        <v>11.055999999999999</v>
      </c>
      <c r="Z118" s="11">
        <v>40.392000000000003</v>
      </c>
      <c r="AA118" s="11">
        <v>39.241</v>
      </c>
      <c r="AB118" s="11">
        <v>16.992999999999999</v>
      </c>
      <c r="AC118" s="11">
        <v>10</v>
      </c>
      <c r="AD118" s="11">
        <v>8</v>
      </c>
      <c r="AE118" s="11">
        <v>8</v>
      </c>
      <c r="AF118" s="11">
        <v>8</v>
      </c>
    </row>
    <row r="119" spans="1:32" s="11" customFormat="1" x14ac:dyDescent="0.2">
      <c r="A119" s="11">
        <v>236</v>
      </c>
      <c r="F119" s="11">
        <v>781.2</v>
      </c>
      <c r="G119" s="11" t="s">
        <v>16410</v>
      </c>
      <c r="H119" s="12">
        <v>83.6</v>
      </c>
      <c r="I119" s="11" t="s">
        <v>16407</v>
      </c>
      <c r="L119" s="11">
        <v>12.452</v>
      </c>
      <c r="M119" s="11">
        <v>16.946000000000002</v>
      </c>
      <c r="N119" s="11">
        <v>32.445</v>
      </c>
      <c r="O119" s="11">
        <v>29.536999999999999</v>
      </c>
      <c r="P119" s="11">
        <v>19.253</v>
      </c>
      <c r="Q119" s="11">
        <v>17.937000000000001</v>
      </c>
      <c r="R119" s="11">
        <v>71.180000000000007</v>
      </c>
      <c r="S119" s="11">
        <v>70.177999999999997</v>
      </c>
      <c r="T119" s="11">
        <v>66.165000000000006</v>
      </c>
      <c r="U119" s="11">
        <v>72.209999999999994</v>
      </c>
      <c r="V119" s="11">
        <v>33.835000000000001</v>
      </c>
      <c r="W119" s="11">
        <v>27.79</v>
      </c>
      <c r="X119" s="11">
        <v>18.193999999999999</v>
      </c>
      <c r="Y119" s="11">
        <v>21.026</v>
      </c>
      <c r="Z119" s="11">
        <v>27.79</v>
      </c>
      <c r="AA119" s="11">
        <v>33.835000000000001</v>
      </c>
      <c r="AB119" s="11">
        <v>10.585000000000001</v>
      </c>
      <c r="AC119" s="11">
        <v>6</v>
      </c>
      <c r="AD119" s="11">
        <v>7</v>
      </c>
      <c r="AE119" s="11">
        <v>6</v>
      </c>
      <c r="AF119" s="11">
        <v>6</v>
      </c>
    </row>
    <row r="120" spans="1:32" s="11" customFormat="1" x14ac:dyDescent="0.2">
      <c r="A120" s="11">
        <v>237</v>
      </c>
      <c r="F120" s="11" t="s">
        <v>16403</v>
      </c>
      <c r="G120" s="11" t="s">
        <v>16403</v>
      </c>
      <c r="H120" s="12">
        <v>999</v>
      </c>
      <c r="I120" s="11" t="s">
        <v>16403</v>
      </c>
      <c r="L120" s="11" t="s">
        <v>16403</v>
      </c>
      <c r="M120" s="11" t="s">
        <v>16403</v>
      </c>
      <c r="N120" s="11" t="s">
        <v>16403</v>
      </c>
      <c r="O120" s="11" t="s">
        <v>16403</v>
      </c>
      <c r="P120" s="11" t="s">
        <v>16403</v>
      </c>
      <c r="Q120" s="11" t="s">
        <v>16403</v>
      </c>
      <c r="R120" s="11" t="s">
        <v>16403</v>
      </c>
      <c r="S120" s="11" t="s">
        <v>16403</v>
      </c>
      <c r="T120" s="11" t="s">
        <v>16403</v>
      </c>
      <c r="U120" s="11" t="s">
        <v>16403</v>
      </c>
      <c r="V120" s="11" t="s">
        <v>16403</v>
      </c>
      <c r="W120" s="11" t="s">
        <v>16403</v>
      </c>
      <c r="X120" s="11" t="s">
        <v>16403</v>
      </c>
      <c r="Y120" s="11" t="s">
        <v>16403</v>
      </c>
      <c r="Z120" s="11" t="s">
        <v>16403</v>
      </c>
      <c r="AA120" s="11" t="s">
        <v>16403</v>
      </c>
      <c r="AB120" s="11" t="s">
        <v>16403</v>
      </c>
      <c r="AC120" s="11" t="s">
        <v>16403</v>
      </c>
      <c r="AD120" s="11" t="s">
        <v>16403</v>
      </c>
      <c r="AE120" s="11" t="s">
        <v>16403</v>
      </c>
      <c r="AF120" s="11" t="s">
        <v>16403</v>
      </c>
    </row>
    <row r="121" spans="1:32" s="11" customFormat="1" x14ac:dyDescent="0.2">
      <c r="A121" s="11">
        <v>239</v>
      </c>
      <c r="F121" s="11">
        <v>332</v>
      </c>
      <c r="G121" s="11" t="s">
        <v>16405</v>
      </c>
      <c r="H121" s="12">
        <v>48.8</v>
      </c>
      <c r="I121" s="11" t="s">
        <v>16404</v>
      </c>
      <c r="L121" s="11">
        <v>20.663</v>
      </c>
      <c r="M121" s="11">
        <v>21.312000000000001</v>
      </c>
      <c r="N121" s="11">
        <v>41.734999999999999</v>
      </c>
      <c r="O121" s="11">
        <v>42.206000000000003</v>
      </c>
      <c r="P121" s="11">
        <v>17.673999999999999</v>
      </c>
      <c r="Q121" s="11">
        <v>17.702000000000002</v>
      </c>
      <c r="R121" s="11">
        <v>50.448999999999998</v>
      </c>
      <c r="S121" s="11">
        <v>50.622</v>
      </c>
      <c r="T121" s="11">
        <v>80.62</v>
      </c>
      <c r="U121" s="11">
        <v>74.697000000000003</v>
      </c>
      <c r="V121" s="11">
        <v>19.38</v>
      </c>
      <c r="W121" s="11">
        <v>25.303000000000001</v>
      </c>
      <c r="X121" s="11">
        <v>34.234999999999999</v>
      </c>
      <c r="Y121" s="11">
        <v>22.026</v>
      </c>
      <c r="Z121" s="11">
        <v>25.303000000000001</v>
      </c>
      <c r="AA121" s="11">
        <v>19.38</v>
      </c>
      <c r="AB121" s="11">
        <v>20.82</v>
      </c>
      <c r="AC121" s="11">
        <v>17</v>
      </c>
      <c r="AD121" s="11">
        <v>18</v>
      </c>
      <c r="AE121" s="11">
        <v>17</v>
      </c>
      <c r="AF121" s="11">
        <v>17</v>
      </c>
    </row>
    <row r="122" spans="1:32" s="11" customFormat="1" x14ac:dyDescent="0.2">
      <c r="A122" s="11">
        <v>240</v>
      </c>
      <c r="F122" s="11">
        <v>332</v>
      </c>
      <c r="G122" s="11" t="s">
        <v>16405</v>
      </c>
      <c r="H122" s="12">
        <v>67.2</v>
      </c>
      <c r="I122" s="11" t="s">
        <v>16404</v>
      </c>
      <c r="L122" s="11" t="s">
        <v>16403</v>
      </c>
      <c r="M122" s="11" t="s">
        <v>16403</v>
      </c>
      <c r="N122" s="11" t="s">
        <v>16403</v>
      </c>
      <c r="O122" s="11" t="s">
        <v>16403</v>
      </c>
      <c r="P122" s="11" t="s">
        <v>16403</v>
      </c>
      <c r="Q122" s="11" t="s">
        <v>16403</v>
      </c>
      <c r="R122" s="11" t="s">
        <v>16403</v>
      </c>
      <c r="S122" s="11" t="s">
        <v>16403</v>
      </c>
      <c r="T122" s="11" t="s">
        <v>16403</v>
      </c>
      <c r="U122" s="11" t="s">
        <v>16403</v>
      </c>
      <c r="V122" s="11" t="s">
        <v>16403</v>
      </c>
      <c r="W122" s="11" t="s">
        <v>16403</v>
      </c>
      <c r="X122" s="11" t="s">
        <v>16403</v>
      </c>
      <c r="Y122" s="11" t="s">
        <v>16403</v>
      </c>
      <c r="Z122" s="11" t="s">
        <v>16403</v>
      </c>
      <c r="AA122" s="11" t="s">
        <v>16403</v>
      </c>
      <c r="AB122" s="11" t="s">
        <v>16403</v>
      </c>
      <c r="AC122" s="11" t="s">
        <v>16403</v>
      </c>
      <c r="AD122" s="11" t="s">
        <v>16403</v>
      </c>
      <c r="AE122" s="11" t="s">
        <v>16403</v>
      </c>
      <c r="AF122" s="11" t="s">
        <v>16403</v>
      </c>
    </row>
    <row r="123" spans="1:32" s="11" customFormat="1" x14ac:dyDescent="0.2">
      <c r="A123" s="11">
        <v>241</v>
      </c>
      <c r="F123" s="11">
        <v>333.1</v>
      </c>
      <c r="G123" s="11" t="s">
        <v>16406</v>
      </c>
      <c r="H123" s="12">
        <v>74.3</v>
      </c>
      <c r="I123" s="11" t="s">
        <v>16404</v>
      </c>
      <c r="L123" s="11">
        <v>41.439</v>
      </c>
      <c r="M123" s="11">
        <v>40.225000000000001</v>
      </c>
      <c r="N123" s="11">
        <v>79.331000000000003</v>
      </c>
      <c r="O123" s="11">
        <v>80.563999999999993</v>
      </c>
      <c r="P123" s="11">
        <v>62.451999999999998</v>
      </c>
      <c r="Q123" s="11">
        <v>62.680999999999997</v>
      </c>
      <c r="R123" s="11">
        <v>94.384</v>
      </c>
      <c r="S123" s="11">
        <v>94.194999999999993</v>
      </c>
      <c r="T123" s="11">
        <v>65.144999999999996</v>
      </c>
      <c r="U123" s="11">
        <v>65.510000000000005</v>
      </c>
      <c r="V123" s="11">
        <v>34.854999999999997</v>
      </c>
      <c r="W123" s="11">
        <v>34.49</v>
      </c>
      <c r="X123" s="11">
        <v>14.704000000000001</v>
      </c>
      <c r="Y123" s="11">
        <v>16.183</v>
      </c>
      <c r="Z123" s="11">
        <v>34.49</v>
      </c>
      <c r="AA123" s="11">
        <v>34.854999999999997</v>
      </c>
      <c r="AB123" s="11">
        <v>15.82</v>
      </c>
      <c r="AC123" s="11">
        <v>17</v>
      </c>
      <c r="AD123" s="11">
        <v>17</v>
      </c>
      <c r="AE123" s="11">
        <v>17</v>
      </c>
      <c r="AF123" s="11">
        <v>17</v>
      </c>
    </row>
    <row r="124" spans="1:32" s="11" customFormat="1" x14ac:dyDescent="0.2">
      <c r="A124" s="11">
        <v>244</v>
      </c>
      <c r="F124" s="11" t="s">
        <v>16414</v>
      </c>
      <c r="G124" s="11" t="s">
        <v>16415</v>
      </c>
      <c r="H124" s="12">
        <v>44.2</v>
      </c>
      <c r="I124" s="11" t="s">
        <v>16404</v>
      </c>
      <c r="L124" s="11" t="s">
        <v>16403</v>
      </c>
      <c r="M124" s="11" t="s">
        <v>16403</v>
      </c>
      <c r="N124" s="11" t="s">
        <v>16403</v>
      </c>
      <c r="O124" s="11" t="s">
        <v>16403</v>
      </c>
      <c r="P124" s="11" t="s">
        <v>16403</v>
      </c>
      <c r="Q124" s="11" t="s">
        <v>16403</v>
      </c>
      <c r="R124" s="11" t="s">
        <v>16403</v>
      </c>
      <c r="S124" s="11" t="s">
        <v>16403</v>
      </c>
      <c r="T124" s="11" t="s">
        <v>16403</v>
      </c>
      <c r="U124" s="11" t="s">
        <v>16403</v>
      </c>
      <c r="V124" s="11" t="s">
        <v>16403</v>
      </c>
      <c r="W124" s="11" t="s">
        <v>16403</v>
      </c>
      <c r="X124" s="11" t="s">
        <v>16403</v>
      </c>
      <c r="Y124" s="11" t="s">
        <v>16403</v>
      </c>
      <c r="Z124" s="11" t="s">
        <v>16403</v>
      </c>
      <c r="AA124" s="11" t="s">
        <v>16403</v>
      </c>
      <c r="AB124" s="11" t="s">
        <v>16403</v>
      </c>
      <c r="AC124" s="11" t="s">
        <v>16403</v>
      </c>
      <c r="AD124" s="11" t="s">
        <v>16403</v>
      </c>
      <c r="AE124" s="11" t="s">
        <v>16403</v>
      </c>
      <c r="AF124" s="11" t="s">
        <v>16403</v>
      </c>
    </row>
    <row r="125" spans="1:32" s="11" customFormat="1" x14ac:dyDescent="0.2">
      <c r="A125" s="11">
        <v>245</v>
      </c>
      <c r="F125" s="11" t="s">
        <v>16432</v>
      </c>
      <c r="G125" s="11" t="s">
        <v>16433</v>
      </c>
      <c r="H125" s="12">
        <v>37.799999999999997</v>
      </c>
      <c r="I125" s="11" t="s">
        <v>16404</v>
      </c>
      <c r="L125" s="11">
        <v>75.192999999999998</v>
      </c>
      <c r="M125" s="11">
        <v>75.046999999999997</v>
      </c>
      <c r="N125" s="11">
        <v>150.97300000000001</v>
      </c>
      <c r="O125" s="11">
        <v>150.792</v>
      </c>
      <c r="P125" s="11">
        <v>161.20099999999999</v>
      </c>
      <c r="Q125" s="11">
        <v>160.809</v>
      </c>
      <c r="R125" s="11">
        <v>128.61000000000001</v>
      </c>
      <c r="S125" s="11">
        <v>126.92100000000001</v>
      </c>
      <c r="T125" s="11">
        <v>59.192</v>
      </c>
      <c r="U125" s="11">
        <v>58.877000000000002</v>
      </c>
      <c r="V125" s="11">
        <v>40.808</v>
      </c>
      <c r="W125" s="11">
        <v>41.122999999999998</v>
      </c>
      <c r="X125" s="11">
        <v>8.5749999999999993</v>
      </c>
      <c r="Y125" s="11">
        <v>9.2430000000000003</v>
      </c>
      <c r="Z125" s="11">
        <v>41.122999999999998</v>
      </c>
      <c r="AA125" s="11">
        <v>40.808</v>
      </c>
      <c r="AB125" s="11">
        <v>13.353999999999999</v>
      </c>
      <c r="AC125" s="11">
        <v>10</v>
      </c>
      <c r="AD125" s="11">
        <v>6</v>
      </c>
      <c r="AE125" s="11">
        <v>6</v>
      </c>
      <c r="AF125" s="11">
        <v>6</v>
      </c>
    </row>
    <row r="126" spans="1:32" s="11" customFormat="1" x14ac:dyDescent="0.2">
      <c r="A126" s="11">
        <v>246</v>
      </c>
      <c r="F126" s="11" t="s">
        <v>16403</v>
      </c>
      <c r="G126" s="11" t="s">
        <v>16403</v>
      </c>
      <c r="H126" s="12">
        <v>999</v>
      </c>
      <c r="I126" s="11" t="s">
        <v>16403</v>
      </c>
      <c r="L126" s="11">
        <v>55.615000000000002</v>
      </c>
      <c r="M126" s="11">
        <v>54.372</v>
      </c>
      <c r="N126" s="11">
        <v>109.923</v>
      </c>
      <c r="O126" s="11">
        <v>109.669</v>
      </c>
      <c r="P126" s="11">
        <v>103.19199999999999</v>
      </c>
      <c r="Q126" s="11">
        <v>103.15600000000001</v>
      </c>
      <c r="R126" s="11">
        <v>112.499</v>
      </c>
      <c r="S126" s="11">
        <v>112.57299999999999</v>
      </c>
      <c r="T126" s="11">
        <v>65.009</v>
      </c>
      <c r="U126" s="11">
        <v>62.77</v>
      </c>
      <c r="V126" s="11">
        <v>34.991</v>
      </c>
      <c r="W126" s="11">
        <v>37.229999999999997</v>
      </c>
      <c r="X126" s="11">
        <v>13.334</v>
      </c>
      <c r="Y126" s="11">
        <v>14.771000000000001</v>
      </c>
      <c r="Z126" s="11">
        <v>37.229999999999997</v>
      </c>
      <c r="AA126" s="11">
        <v>34.991</v>
      </c>
      <c r="AB126" s="11">
        <v>15.124000000000001</v>
      </c>
      <c r="AC126" s="11">
        <v>11</v>
      </c>
      <c r="AD126" s="11">
        <v>12</v>
      </c>
      <c r="AE126" s="11">
        <v>11</v>
      </c>
      <c r="AF126" s="11">
        <v>11</v>
      </c>
    </row>
    <row r="127" spans="1:32" s="11" customFormat="1" x14ac:dyDescent="0.2">
      <c r="A127" s="11">
        <v>247</v>
      </c>
      <c r="F127" s="11" t="s">
        <v>16420</v>
      </c>
      <c r="G127" s="11" t="s">
        <v>16421</v>
      </c>
      <c r="H127" s="12">
        <v>50</v>
      </c>
      <c r="I127" s="11" t="s">
        <v>16407</v>
      </c>
      <c r="L127" s="11">
        <v>10.702999999999999</v>
      </c>
      <c r="M127" s="11">
        <v>13.281000000000001</v>
      </c>
      <c r="N127" s="11">
        <v>23.68</v>
      </c>
      <c r="O127" s="11">
        <v>23.408999999999999</v>
      </c>
      <c r="P127" s="11">
        <v>5.8730000000000002</v>
      </c>
      <c r="Q127" s="11">
        <v>5.2960000000000003</v>
      </c>
      <c r="R127" s="11">
        <v>30.363</v>
      </c>
      <c r="S127" s="11">
        <v>29.638999999999999</v>
      </c>
      <c r="T127" s="11">
        <v>93.536000000000001</v>
      </c>
      <c r="U127" s="11">
        <v>93.417000000000002</v>
      </c>
      <c r="V127" s="11">
        <v>6.4640000000000004</v>
      </c>
      <c r="W127" s="11">
        <v>6.5830000000000002</v>
      </c>
      <c r="X127" s="11">
        <v>50.073999999999998</v>
      </c>
      <c r="Y127" s="11">
        <v>42.348999999999997</v>
      </c>
      <c r="Z127" s="11">
        <v>6.5830000000000002</v>
      </c>
      <c r="AA127" s="11">
        <v>6.4640000000000004</v>
      </c>
      <c r="AB127" s="11">
        <v>38.69</v>
      </c>
      <c r="AC127" s="11">
        <v>9</v>
      </c>
      <c r="AD127" s="11">
        <v>9</v>
      </c>
      <c r="AE127" s="11">
        <v>9</v>
      </c>
      <c r="AF127" s="11">
        <v>9</v>
      </c>
    </row>
    <row r="128" spans="1:32" s="11" customFormat="1" x14ac:dyDescent="0.2">
      <c r="A128" s="11">
        <v>248</v>
      </c>
      <c r="F128" s="11" t="s">
        <v>16414</v>
      </c>
      <c r="G128" s="11" t="s">
        <v>16415</v>
      </c>
      <c r="H128" s="12">
        <v>61.2</v>
      </c>
      <c r="I128" s="11" t="s">
        <v>16407</v>
      </c>
      <c r="L128" s="11">
        <v>70.483999999999995</v>
      </c>
      <c r="M128" s="11">
        <v>72.885000000000005</v>
      </c>
      <c r="N128" s="11">
        <v>144.297</v>
      </c>
      <c r="O128" s="11">
        <v>143.12700000000001</v>
      </c>
      <c r="P128" s="11">
        <v>143.54900000000001</v>
      </c>
      <c r="Q128" s="11">
        <v>141.74100000000001</v>
      </c>
      <c r="R128" s="11">
        <v>119.43300000000001</v>
      </c>
      <c r="S128" s="11">
        <v>118.545</v>
      </c>
      <c r="T128" s="11">
        <v>61.689</v>
      </c>
      <c r="U128" s="11">
        <v>59.158999999999999</v>
      </c>
      <c r="V128" s="11">
        <v>38.311</v>
      </c>
      <c r="W128" s="11">
        <v>40.841000000000001</v>
      </c>
      <c r="X128" s="11">
        <v>10.779</v>
      </c>
      <c r="Y128" s="11">
        <v>10.693</v>
      </c>
      <c r="Z128" s="11">
        <v>40.841000000000001</v>
      </c>
      <c r="AA128" s="11">
        <v>38.311</v>
      </c>
      <c r="AB128" s="11">
        <v>9.4</v>
      </c>
      <c r="AC128" s="11">
        <v>10</v>
      </c>
      <c r="AD128" s="11">
        <v>8</v>
      </c>
      <c r="AE128" s="11">
        <v>8</v>
      </c>
      <c r="AF128" s="11">
        <v>8</v>
      </c>
    </row>
    <row r="129" spans="1:32" s="11" customFormat="1" x14ac:dyDescent="0.2">
      <c r="A129" s="11">
        <v>249</v>
      </c>
      <c r="F129" s="11" t="s">
        <v>16420</v>
      </c>
      <c r="G129" s="11" t="s">
        <v>16421</v>
      </c>
      <c r="H129" s="12">
        <v>73.900000000000006</v>
      </c>
      <c r="I129" s="11" t="s">
        <v>16407</v>
      </c>
      <c r="L129" s="11">
        <v>30.780999999999999</v>
      </c>
      <c r="M129" s="11">
        <v>33.311</v>
      </c>
      <c r="N129" s="11">
        <v>63.984000000000002</v>
      </c>
      <c r="O129" s="11">
        <v>64.302000000000007</v>
      </c>
      <c r="P129" s="11">
        <v>52.094999999999999</v>
      </c>
      <c r="Q129" s="11">
        <v>52.404000000000003</v>
      </c>
      <c r="R129" s="11">
        <v>97.341999999999999</v>
      </c>
      <c r="S129" s="11">
        <v>97.873000000000005</v>
      </c>
      <c r="T129" s="11">
        <v>67.05</v>
      </c>
      <c r="U129" s="11">
        <v>66.968000000000004</v>
      </c>
      <c r="V129" s="11">
        <v>32.950000000000003</v>
      </c>
      <c r="W129" s="11">
        <v>33.031999999999996</v>
      </c>
      <c r="X129" s="11">
        <v>15.821</v>
      </c>
      <c r="Y129" s="11">
        <v>17.876999999999999</v>
      </c>
      <c r="Z129" s="11">
        <v>33.031999999999996</v>
      </c>
      <c r="AA129" s="11">
        <v>32.950000000000003</v>
      </c>
      <c r="AB129" s="11">
        <v>12.8</v>
      </c>
      <c r="AC129" s="11">
        <v>19</v>
      </c>
      <c r="AD129" s="11">
        <v>19</v>
      </c>
      <c r="AE129" s="11">
        <v>19</v>
      </c>
      <c r="AF129" s="11">
        <v>19</v>
      </c>
    </row>
    <row r="130" spans="1:32" s="11" customFormat="1" x14ac:dyDescent="0.2">
      <c r="A130" s="11">
        <v>250</v>
      </c>
      <c r="F130" s="11" t="s">
        <v>16424</v>
      </c>
      <c r="G130" s="11" t="s">
        <v>16425</v>
      </c>
      <c r="H130" s="12">
        <v>49.4</v>
      </c>
      <c r="I130" s="11" t="s">
        <v>16404</v>
      </c>
      <c r="L130" s="11">
        <v>74.522000000000006</v>
      </c>
      <c r="M130" s="11">
        <v>74.858999999999995</v>
      </c>
      <c r="N130" s="11">
        <v>149.34</v>
      </c>
      <c r="O130" s="11">
        <v>149.47</v>
      </c>
      <c r="P130" s="11">
        <v>135.822</v>
      </c>
      <c r="Q130" s="11">
        <v>135.76499999999999</v>
      </c>
      <c r="R130" s="11">
        <v>109.03100000000001</v>
      </c>
      <c r="S130" s="11">
        <v>108.51600000000001</v>
      </c>
      <c r="T130" s="11">
        <v>58.957999999999998</v>
      </c>
      <c r="U130" s="11">
        <v>61.36</v>
      </c>
      <c r="V130" s="11">
        <v>41.042000000000002</v>
      </c>
      <c r="W130" s="11">
        <v>38.64</v>
      </c>
      <c r="X130" s="11">
        <v>10.6</v>
      </c>
      <c r="Y130" s="11">
        <v>9.8979999999999997</v>
      </c>
      <c r="Z130" s="11">
        <v>38.64</v>
      </c>
      <c r="AA130" s="11">
        <v>41.042000000000002</v>
      </c>
      <c r="AB130" s="11">
        <v>7.1639999999999997</v>
      </c>
      <c r="AC130" s="11">
        <v>9</v>
      </c>
      <c r="AD130" s="11">
        <v>7</v>
      </c>
      <c r="AE130" s="11">
        <v>7</v>
      </c>
      <c r="AF130" s="11">
        <v>7</v>
      </c>
    </row>
    <row r="131" spans="1:32" s="11" customFormat="1" x14ac:dyDescent="0.2">
      <c r="A131" s="11">
        <v>251</v>
      </c>
      <c r="F131" s="11" t="s">
        <v>16403</v>
      </c>
      <c r="G131" s="11" t="s">
        <v>16403</v>
      </c>
      <c r="H131" s="12">
        <v>999</v>
      </c>
      <c r="I131" s="11" t="s">
        <v>16403</v>
      </c>
      <c r="L131" s="11" t="s">
        <v>16403</v>
      </c>
      <c r="M131" s="11" t="s">
        <v>16403</v>
      </c>
      <c r="N131" s="11" t="s">
        <v>16403</v>
      </c>
      <c r="O131" s="11" t="s">
        <v>16403</v>
      </c>
      <c r="P131" s="11" t="s">
        <v>16403</v>
      </c>
      <c r="Q131" s="11" t="s">
        <v>16403</v>
      </c>
      <c r="R131" s="11" t="s">
        <v>16403</v>
      </c>
      <c r="S131" s="11" t="s">
        <v>16403</v>
      </c>
      <c r="T131" s="11" t="s">
        <v>16403</v>
      </c>
      <c r="U131" s="11" t="s">
        <v>16403</v>
      </c>
      <c r="V131" s="11" t="s">
        <v>16403</v>
      </c>
      <c r="W131" s="11" t="s">
        <v>16403</v>
      </c>
      <c r="X131" s="11" t="s">
        <v>16403</v>
      </c>
      <c r="Y131" s="11" t="s">
        <v>16403</v>
      </c>
      <c r="Z131" s="11" t="s">
        <v>16403</v>
      </c>
      <c r="AA131" s="11" t="s">
        <v>16403</v>
      </c>
      <c r="AB131" s="11" t="s">
        <v>16403</v>
      </c>
      <c r="AC131" s="11" t="s">
        <v>16403</v>
      </c>
      <c r="AD131" s="11" t="s">
        <v>16403</v>
      </c>
      <c r="AE131" s="11" t="s">
        <v>16403</v>
      </c>
      <c r="AF131" s="11" t="s">
        <v>16403</v>
      </c>
    </row>
    <row r="132" spans="1:32" s="11" customFormat="1" x14ac:dyDescent="0.2">
      <c r="A132" s="11">
        <v>252</v>
      </c>
      <c r="F132" s="11" t="s">
        <v>16414</v>
      </c>
      <c r="G132" s="11" t="s">
        <v>16415</v>
      </c>
      <c r="H132" s="12">
        <v>49.7</v>
      </c>
      <c r="I132" s="11" t="s">
        <v>16404</v>
      </c>
      <c r="L132" s="11" t="s">
        <v>16403</v>
      </c>
      <c r="M132" s="11" t="s">
        <v>16403</v>
      </c>
      <c r="N132" s="11" t="s">
        <v>16403</v>
      </c>
      <c r="O132" s="11" t="s">
        <v>16403</v>
      </c>
      <c r="P132" s="11" t="s">
        <v>16403</v>
      </c>
      <c r="Q132" s="11" t="s">
        <v>16403</v>
      </c>
      <c r="R132" s="11" t="s">
        <v>16403</v>
      </c>
      <c r="S132" s="11" t="s">
        <v>16403</v>
      </c>
      <c r="T132" s="11" t="s">
        <v>16403</v>
      </c>
      <c r="U132" s="11" t="s">
        <v>16403</v>
      </c>
      <c r="V132" s="11" t="s">
        <v>16403</v>
      </c>
      <c r="W132" s="11" t="s">
        <v>16403</v>
      </c>
      <c r="X132" s="11" t="s">
        <v>16403</v>
      </c>
      <c r="Y132" s="11" t="s">
        <v>16403</v>
      </c>
      <c r="Z132" s="11" t="s">
        <v>16403</v>
      </c>
      <c r="AA132" s="11" t="s">
        <v>16403</v>
      </c>
      <c r="AB132" s="11" t="s">
        <v>16403</v>
      </c>
      <c r="AC132" s="11" t="s">
        <v>16403</v>
      </c>
      <c r="AD132" s="11" t="s">
        <v>16403</v>
      </c>
      <c r="AE132" s="11" t="s">
        <v>16403</v>
      </c>
      <c r="AF132" s="11" t="s">
        <v>16403</v>
      </c>
    </row>
    <row r="133" spans="1:32" s="11" customFormat="1" x14ac:dyDescent="0.2">
      <c r="A133" s="11">
        <v>253</v>
      </c>
      <c r="F133" s="11" t="s">
        <v>16414</v>
      </c>
      <c r="G133" s="11" t="s">
        <v>16415</v>
      </c>
      <c r="H133" s="12">
        <v>75.5</v>
      </c>
      <c r="I133" s="11" t="s">
        <v>16404</v>
      </c>
      <c r="L133" s="11">
        <v>54.064</v>
      </c>
      <c r="M133" s="11">
        <v>47.936</v>
      </c>
      <c r="N133" s="11">
        <v>101.82599999999999</v>
      </c>
      <c r="O133" s="11">
        <v>101.63800000000001</v>
      </c>
      <c r="P133" s="11">
        <v>104.61499999999999</v>
      </c>
      <c r="Q133" s="11">
        <v>103.974</v>
      </c>
      <c r="R133" s="11">
        <v>122.248</v>
      </c>
      <c r="S133" s="11">
        <v>122.452</v>
      </c>
      <c r="T133" s="11">
        <v>62.326000000000001</v>
      </c>
      <c r="U133" s="11">
        <v>60.463000000000001</v>
      </c>
      <c r="V133" s="11">
        <v>37.673999999999999</v>
      </c>
      <c r="W133" s="11">
        <v>39.536999999999999</v>
      </c>
      <c r="X133" s="11">
        <v>11.183</v>
      </c>
      <c r="Y133" s="11">
        <v>11.303000000000001</v>
      </c>
      <c r="Z133" s="11">
        <v>39.536999999999999</v>
      </c>
      <c r="AA133" s="11">
        <v>37.673999999999999</v>
      </c>
      <c r="AB133" s="11">
        <v>8.9920000000000009</v>
      </c>
      <c r="AC133" s="11">
        <v>10</v>
      </c>
      <c r="AD133" s="11">
        <v>13</v>
      </c>
      <c r="AE133" s="11">
        <v>10</v>
      </c>
      <c r="AF133" s="11">
        <v>10</v>
      </c>
    </row>
    <row r="134" spans="1:32" s="11" customFormat="1" x14ac:dyDescent="0.2">
      <c r="A134" s="11">
        <v>254</v>
      </c>
      <c r="F134" s="11" t="s">
        <v>16403</v>
      </c>
      <c r="G134" s="11" t="s">
        <v>16403</v>
      </c>
      <c r="H134" s="12">
        <v>999</v>
      </c>
      <c r="I134" s="11" t="s">
        <v>16403</v>
      </c>
      <c r="L134" s="11" t="s">
        <v>16403</v>
      </c>
      <c r="M134" s="11" t="s">
        <v>16403</v>
      </c>
      <c r="N134" s="11" t="s">
        <v>16403</v>
      </c>
      <c r="O134" s="11" t="s">
        <v>16403</v>
      </c>
      <c r="P134" s="11" t="s">
        <v>16403</v>
      </c>
      <c r="Q134" s="11" t="s">
        <v>16403</v>
      </c>
      <c r="R134" s="11" t="s">
        <v>16403</v>
      </c>
      <c r="S134" s="11" t="s">
        <v>16403</v>
      </c>
      <c r="T134" s="11" t="s">
        <v>16403</v>
      </c>
      <c r="U134" s="11" t="s">
        <v>16403</v>
      </c>
      <c r="V134" s="11" t="s">
        <v>16403</v>
      </c>
      <c r="W134" s="11" t="s">
        <v>16403</v>
      </c>
      <c r="X134" s="11" t="s">
        <v>16403</v>
      </c>
      <c r="Y134" s="11" t="s">
        <v>16403</v>
      </c>
      <c r="Z134" s="11" t="s">
        <v>16403</v>
      </c>
      <c r="AA134" s="11" t="s">
        <v>16403</v>
      </c>
      <c r="AB134" s="11" t="s">
        <v>16403</v>
      </c>
      <c r="AC134" s="11" t="s">
        <v>16403</v>
      </c>
      <c r="AD134" s="11" t="s">
        <v>16403</v>
      </c>
      <c r="AE134" s="11" t="s">
        <v>16403</v>
      </c>
      <c r="AF134" s="11" t="s">
        <v>16403</v>
      </c>
    </row>
    <row r="135" spans="1:32" s="11" customFormat="1" x14ac:dyDescent="0.2">
      <c r="A135" s="11">
        <v>255</v>
      </c>
      <c r="F135" s="11" t="s">
        <v>16403</v>
      </c>
      <c r="G135" s="11" t="s">
        <v>16403</v>
      </c>
      <c r="H135" s="12">
        <v>999</v>
      </c>
      <c r="I135" s="11" t="s">
        <v>16403</v>
      </c>
      <c r="L135" s="11">
        <v>44.902999999999999</v>
      </c>
      <c r="M135" s="11">
        <v>42.869</v>
      </c>
      <c r="N135" s="11">
        <v>87.674000000000007</v>
      </c>
      <c r="O135" s="11">
        <v>87.974999999999994</v>
      </c>
      <c r="P135" s="11">
        <v>63.341999999999999</v>
      </c>
      <c r="Q135" s="11">
        <v>63.694000000000003</v>
      </c>
      <c r="R135" s="11">
        <v>87.031999999999996</v>
      </c>
      <c r="S135" s="11">
        <v>86.664000000000001</v>
      </c>
      <c r="T135" s="11">
        <v>64.519000000000005</v>
      </c>
      <c r="U135" s="11">
        <v>66.203999999999994</v>
      </c>
      <c r="V135" s="11">
        <v>35.481000000000002</v>
      </c>
      <c r="W135" s="11">
        <v>33.795999999999999</v>
      </c>
      <c r="X135" s="11">
        <v>14.708</v>
      </c>
      <c r="Y135" s="11">
        <v>16.056999999999999</v>
      </c>
      <c r="Z135" s="11">
        <v>33.795999999999999</v>
      </c>
      <c r="AA135" s="11">
        <v>35.481000000000002</v>
      </c>
      <c r="AB135" s="11">
        <v>14.09</v>
      </c>
      <c r="AC135" s="11">
        <v>15</v>
      </c>
      <c r="AD135" s="11">
        <v>16</v>
      </c>
      <c r="AE135" s="11">
        <v>15</v>
      </c>
      <c r="AF135" s="11">
        <v>15</v>
      </c>
    </row>
    <row r="136" spans="1:32" s="11" customFormat="1" x14ac:dyDescent="0.2">
      <c r="A136" s="11">
        <v>256</v>
      </c>
      <c r="F136" s="11" t="s">
        <v>16420</v>
      </c>
      <c r="G136" s="11" t="s">
        <v>16421</v>
      </c>
      <c r="H136" s="12">
        <v>74.400000000000006</v>
      </c>
      <c r="I136" s="11" t="s">
        <v>16404</v>
      </c>
      <c r="L136" s="11">
        <v>58.113</v>
      </c>
      <c r="M136" s="11">
        <v>54.476999999999997</v>
      </c>
      <c r="N136" s="11">
        <v>112.223</v>
      </c>
      <c r="O136" s="11">
        <v>113.50700000000001</v>
      </c>
      <c r="P136" s="11">
        <v>97.832999999999998</v>
      </c>
      <c r="Q136" s="11">
        <v>98.725999999999999</v>
      </c>
      <c r="R136" s="11">
        <v>104.078</v>
      </c>
      <c r="S136" s="11">
        <v>104.125</v>
      </c>
      <c r="T136" s="11">
        <v>62.908999999999999</v>
      </c>
      <c r="U136" s="11">
        <v>63.616999999999997</v>
      </c>
      <c r="V136" s="11">
        <v>37.091000000000001</v>
      </c>
      <c r="W136" s="11">
        <v>36.383000000000003</v>
      </c>
      <c r="X136" s="11">
        <v>14.233000000000001</v>
      </c>
      <c r="Y136" s="11">
        <v>12.936</v>
      </c>
      <c r="Z136" s="11">
        <v>36.383000000000003</v>
      </c>
      <c r="AA136" s="11">
        <v>37.091000000000001</v>
      </c>
      <c r="AB136" s="11">
        <v>8.5559999999999992</v>
      </c>
      <c r="AC136" s="11">
        <v>11</v>
      </c>
      <c r="AD136" s="11">
        <v>11</v>
      </c>
      <c r="AE136" s="11">
        <v>11</v>
      </c>
      <c r="AF136" s="11">
        <v>11</v>
      </c>
    </row>
    <row r="137" spans="1:32" s="11" customFormat="1" x14ac:dyDescent="0.2">
      <c r="A137" s="11">
        <v>257</v>
      </c>
      <c r="F137" s="11" t="s">
        <v>16403</v>
      </c>
      <c r="G137" s="11" t="s">
        <v>16403</v>
      </c>
      <c r="H137" s="12">
        <v>999</v>
      </c>
      <c r="I137" s="11" t="s">
        <v>16403</v>
      </c>
      <c r="L137" s="11" t="s">
        <v>16403</v>
      </c>
      <c r="M137" s="11" t="s">
        <v>16403</v>
      </c>
      <c r="N137" s="11" t="s">
        <v>16403</v>
      </c>
      <c r="O137" s="11" t="s">
        <v>16403</v>
      </c>
      <c r="P137" s="11" t="s">
        <v>16403</v>
      </c>
      <c r="Q137" s="11" t="s">
        <v>16403</v>
      </c>
      <c r="R137" s="11" t="s">
        <v>16403</v>
      </c>
      <c r="S137" s="11" t="s">
        <v>16403</v>
      </c>
      <c r="T137" s="11" t="s">
        <v>16403</v>
      </c>
      <c r="U137" s="11" t="s">
        <v>16403</v>
      </c>
      <c r="V137" s="11" t="s">
        <v>16403</v>
      </c>
      <c r="W137" s="11" t="s">
        <v>16403</v>
      </c>
      <c r="X137" s="11" t="s">
        <v>16403</v>
      </c>
      <c r="Y137" s="11" t="s">
        <v>16403</v>
      </c>
      <c r="Z137" s="11" t="s">
        <v>16403</v>
      </c>
      <c r="AA137" s="11" t="s">
        <v>16403</v>
      </c>
      <c r="AB137" s="11" t="s">
        <v>16403</v>
      </c>
      <c r="AC137" s="11" t="s">
        <v>16403</v>
      </c>
      <c r="AD137" s="11" t="s">
        <v>16403</v>
      </c>
      <c r="AE137" s="11" t="s">
        <v>16403</v>
      </c>
      <c r="AF137" s="11" t="s">
        <v>16403</v>
      </c>
    </row>
    <row r="138" spans="1:32" s="11" customFormat="1" x14ac:dyDescent="0.2">
      <c r="A138" s="11">
        <v>258</v>
      </c>
      <c r="F138" s="11" t="s">
        <v>16414</v>
      </c>
      <c r="G138" s="11" t="s">
        <v>16415</v>
      </c>
      <c r="H138" s="12">
        <v>57.3</v>
      </c>
      <c r="I138" s="11" t="s">
        <v>16404</v>
      </c>
      <c r="L138" s="11">
        <v>52.186999999999998</v>
      </c>
      <c r="M138" s="11">
        <v>45.9</v>
      </c>
      <c r="N138" s="11">
        <v>98.977000000000004</v>
      </c>
      <c r="O138" s="11">
        <v>95.488</v>
      </c>
      <c r="P138" s="11">
        <v>94.039000000000001</v>
      </c>
      <c r="Q138" s="11">
        <v>90.626999999999995</v>
      </c>
      <c r="R138" s="11">
        <v>114.175</v>
      </c>
      <c r="S138" s="11">
        <v>114.27800000000001</v>
      </c>
      <c r="T138" s="11">
        <v>65.501999999999995</v>
      </c>
      <c r="U138" s="11">
        <v>64.566000000000003</v>
      </c>
      <c r="V138" s="11">
        <v>34.497999999999998</v>
      </c>
      <c r="W138" s="11">
        <v>35.433999999999997</v>
      </c>
      <c r="X138" s="11">
        <v>15.106999999999999</v>
      </c>
      <c r="Y138" s="11">
        <v>14.897</v>
      </c>
      <c r="Z138" s="11">
        <v>35.433999999999997</v>
      </c>
      <c r="AA138" s="11">
        <v>34.497999999999998</v>
      </c>
      <c r="AB138" s="11">
        <v>13.417999999999999</v>
      </c>
      <c r="AC138" s="11">
        <v>15</v>
      </c>
      <c r="AD138" s="11">
        <v>12</v>
      </c>
      <c r="AE138" s="11">
        <v>12</v>
      </c>
      <c r="AF138" s="11">
        <v>12</v>
      </c>
    </row>
    <row r="139" spans="1:32" s="11" customFormat="1" x14ac:dyDescent="0.2">
      <c r="A139" s="11">
        <v>259</v>
      </c>
      <c r="F139" s="11" t="s">
        <v>16414</v>
      </c>
      <c r="G139" s="11" t="s">
        <v>16415</v>
      </c>
      <c r="H139" s="12">
        <v>46.1</v>
      </c>
      <c r="I139" s="11" t="s">
        <v>16404</v>
      </c>
      <c r="L139" s="11">
        <v>47.555</v>
      </c>
      <c r="M139" s="11">
        <v>51.341000000000001</v>
      </c>
      <c r="N139" s="11">
        <v>98.561000000000007</v>
      </c>
      <c r="O139" s="11">
        <v>99.013000000000005</v>
      </c>
      <c r="P139" s="11">
        <v>98.2</v>
      </c>
      <c r="Q139" s="11">
        <v>99.149000000000001</v>
      </c>
      <c r="R139" s="11">
        <v>118.324</v>
      </c>
      <c r="S139" s="11">
        <v>118.985</v>
      </c>
      <c r="T139" s="11">
        <v>62.796999999999997</v>
      </c>
      <c r="U139" s="11">
        <v>63.539000000000001</v>
      </c>
      <c r="V139" s="11">
        <v>37.203000000000003</v>
      </c>
      <c r="W139" s="11">
        <v>36.460999999999999</v>
      </c>
      <c r="X139" s="11">
        <v>14.677</v>
      </c>
      <c r="Y139" s="11">
        <v>12.061</v>
      </c>
      <c r="Z139" s="11">
        <v>36.460999999999999</v>
      </c>
      <c r="AA139" s="11">
        <v>37.203000000000003</v>
      </c>
      <c r="AB139" s="11">
        <v>7.7539999999999996</v>
      </c>
      <c r="AC139" s="11">
        <v>10</v>
      </c>
      <c r="AD139" s="11">
        <v>12</v>
      </c>
      <c r="AE139" s="11">
        <v>10</v>
      </c>
      <c r="AF139" s="11">
        <v>10</v>
      </c>
    </row>
    <row r="140" spans="1:32" s="11" customFormat="1" x14ac:dyDescent="0.2">
      <c r="A140" s="11">
        <v>260</v>
      </c>
      <c r="F140" s="11" t="s">
        <v>16418</v>
      </c>
      <c r="G140" s="11" t="s">
        <v>16419</v>
      </c>
      <c r="H140" s="12">
        <v>56.8</v>
      </c>
      <c r="I140" s="11" t="s">
        <v>16407</v>
      </c>
      <c r="L140" s="11" t="s">
        <v>16403</v>
      </c>
      <c r="M140" s="11" t="s">
        <v>16403</v>
      </c>
      <c r="N140" s="11" t="s">
        <v>16403</v>
      </c>
      <c r="O140" s="11" t="s">
        <v>16403</v>
      </c>
      <c r="P140" s="11" t="s">
        <v>16403</v>
      </c>
      <c r="Q140" s="11" t="s">
        <v>16403</v>
      </c>
      <c r="R140" s="11" t="s">
        <v>16403</v>
      </c>
      <c r="S140" s="11" t="s">
        <v>16403</v>
      </c>
      <c r="T140" s="11" t="s">
        <v>16403</v>
      </c>
      <c r="U140" s="11" t="s">
        <v>16403</v>
      </c>
      <c r="V140" s="11" t="s">
        <v>16403</v>
      </c>
      <c r="W140" s="11" t="s">
        <v>16403</v>
      </c>
      <c r="X140" s="11" t="s">
        <v>16403</v>
      </c>
      <c r="Y140" s="11" t="s">
        <v>16403</v>
      </c>
      <c r="Z140" s="11" t="s">
        <v>16403</v>
      </c>
      <c r="AA140" s="11" t="s">
        <v>16403</v>
      </c>
      <c r="AB140" s="11" t="s">
        <v>16403</v>
      </c>
      <c r="AC140" s="11" t="s">
        <v>16403</v>
      </c>
      <c r="AD140" s="11" t="s">
        <v>16403</v>
      </c>
      <c r="AE140" s="11" t="s">
        <v>16403</v>
      </c>
      <c r="AF140" s="11" t="s">
        <v>16403</v>
      </c>
    </row>
    <row r="141" spans="1:32" s="11" customFormat="1" x14ac:dyDescent="0.2">
      <c r="A141" s="11">
        <v>261</v>
      </c>
      <c r="F141" s="11" t="s">
        <v>16414</v>
      </c>
      <c r="G141" s="11" t="s">
        <v>16415</v>
      </c>
      <c r="H141" s="12">
        <v>70.7</v>
      </c>
      <c r="I141" s="11" t="s">
        <v>16407</v>
      </c>
      <c r="L141" s="11">
        <v>49.209000000000003</v>
      </c>
      <c r="M141" s="11">
        <v>39.923999999999999</v>
      </c>
      <c r="N141" s="11">
        <v>89.656999999999996</v>
      </c>
      <c r="O141" s="11">
        <v>89.674999999999997</v>
      </c>
      <c r="P141" s="11">
        <v>71.588999999999999</v>
      </c>
      <c r="Q141" s="11">
        <v>71.554000000000002</v>
      </c>
      <c r="R141" s="11">
        <v>95.69</v>
      </c>
      <c r="S141" s="11">
        <v>96.135999999999996</v>
      </c>
      <c r="T141" s="11">
        <v>65.686000000000007</v>
      </c>
      <c r="U141" s="11">
        <v>67.87</v>
      </c>
      <c r="V141" s="11">
        <v>34.314</v>
      </c>
      <c r="W141" s="11">
        <v>32.130000000000003</v>
      </c>
      <c r="X141" s="11">
        <v>16.227</v>
      </c>
      <c r="Y141" s="11">
        <v>17.492000000000001</v>
      </c>
      <c r="Z141" s="11">
        <v>32.130000000000003</v>
      </c>
      <c r="AA141" s="11">
        <v>34.314</v>
      </c>
      <c r="AB141" s="11">
        <v>10.6</v>
      </c>
      <c r="AC141" s="11">
        <v>12</v>
      </c>
      <c r="AD141" s="11">
        <v>12</v>
      </c>
      <c r="AE141" s="11">
        <v>12</v>
      </c>
      <c r="AF141" s="11">
        <v>12</v>
      </c>
    </row>
    <row r="142" spans="1:32" s="11" customFormat="1" x14ac:dyDescent="0.2">
      <c r="A142" s="11">
        <v>262</v>
      </c>
      <c r="F142" s="11" t="s">
        <v>16403</v>
      </c>
      <c r="G142" s="11" t="s">
        <v>16403</v>
      </c>
      <c r="H142" s="12">
        <v>66</v>
      </c>
      <c r="I142" s="11" t="s">
        <v>16404</v>
      </c>
      <c r="L142" s="11" t="s">
        <v>16403</v>
      </c>
      <c r="M142" s="11" t="s">
        <v>16403</v>
      </c>
      <c r="N142" s="11" t="s">
        <v>16403</v>
      </c>
      <c r="O142" s="11" t="s">
        <v>16403</v>
      </c>
      <c r="P142" s="11" t="s">
        <v>16403</v>
      </c>
      <c r="Q142" s="11" t="s">
        <v>16403</v>
      </c>
      <c r="R142" s="11" t="s">
        <v>16403</v>
      </c>
      <c r="S142" s="11" t="s">
        <v>16403</v>
      </c>
      <c r="T142" s="11" t="s">
        <v>16403</v>
      </c>
      <c r="U142" s="11" t="s">
        <v>16403</v>
      </c>
      <c r="V142" s="11" t="s">
        <v>16403</v>
      </c>
      <c r="W142" s="11" t="s">
        <v>16403</v>
      </c>
      <c r="X142" s="11" t="s">
        <v>16403</v>
      </c>
      <c r="Y142" s="11" t="s">
        <v>16403</v>
      </c>
      <c r="Z142" s="11" t="s">
        <v>16403</v>
      </c>
      <c r="AA142" s="11" t="s">
        <v>16403</v>
      </c>
      <c r="AB142" s="11" t="s">
        <v>16403</v>
      </c>
      <c r="AC142" s="11" t="s">
        <v>16403</v>
      </c>
      <c r="AD142" s="11" t="s">
        <v>16403</v>
      </c>
      <c r="AE142" s="11" t="s">
        <v>16403</v>
      </c>
      <c r="AF142" s="11" t="s">
        <v>16403</v>
      </c>
    </row>
    <row r="143" spans="1:32" s="11" customFormat="1" x14ac:dyDescent="0.2">
      <c r="A143" s="11">
        <v>263</v>
      </c>
      <c r="F143" s="11" t="s">
        <v>16424</v>
      </c>
      <c r="G143" s="11" t="s">
        <v>16425</v>
      </c>
      <c r="H143" s="12">
        <v>71.099999999999994</v>
      </c>
      <c r="I143" s="11" t="s">
        <v>16404</v>
      </c>
      <c r="L143" s="11">
        <v>71.603999999999999</v>
      </c>
      <c r="M143" s="11">
        <v>68.108999999999995</v>
      </c>
      <c r="N143" s="11">
        <v>139.834</v>
      </c>
      <c r="O143" s="11">
        <v>139.76</v>
      </c>
      <c r="P143" s="11">
        <v>140.40799999999999</v>
      </c>
      <c r="Q143" s="11">
        <v>139.679</v>
      </c>
      <c r="R143" s="11">
        <v>120.04</v>
      </c>
      <c r="S143" s="11">
        <v>119.35599999999999</v>
      </c>
      <c r="T143" s="11">
        <v>61.332000000000001</v>
      </c>
      <c r="U143" s="11">
        <v>61.073999999999998</v>
      </c>
      <c r="V143" s="11">
        <v>38.667999999999999</v>
      </c>
      <c r="W143" s="11">
        <v>38.926000000000002</v>
      </c>
      <c r="X143" s="11">
        <v>11.833</v>
      </c>
      <c r="Y143" s="11">
        <v>11.234999999999999</v>
      </c>
      <c r="Z143" s="11">
        <v>38.926000000000002</v>
      </c>
      <c r="AA143" s="11">
        <v>38.667999999999999</v>
      </c>
      <c r="AB143" s="11">
        <v>11.956</v>
      </c>
      <c r="AC143" s="11">
        <v>10</v>
      </c>
      <c r="AD143" s="11">
        <v>7</v>
      </c>
      <c r="AE143" s="11">
        <v>7</v>
      </c>
      <c r="AF143" s="11">
        <v>7</v>
      </c>
    </row>
    <row r="144" spans="1:32" s="11" customFormat="1" x14ac:dyDescent="0.2">
      <c r="A144" s="11">
        <v>264</v>
      </c>
      <c r="F144" s="11" t="s">
        <v>16403</v>
      </c>
      <c r="G144" s="11" t="s">
        <v>16403</v>
      </c>
      <c r="H144" s="12">
        <v>59.5</v>
      </c>
      <c r="I144" s="11" t="s">
        <v>16404</v>
      </c>
      <c r="L144" s="11" t="s">
        <v>16403</v>
      </c>
      <c r="M144" s="11" t="s">
        <v>16403</v>
      </c>
      <c r="N144" s="11" t="s">
        <v>16403</v>
      </c>
      <c r="O144" s="11" t="s">
        <v>16403</v>
      </c>
      <c r="P144" s="11" t="s">
        <v>16403</v>
      </c>
      <c r="Q144" s="11" t="s">
        <v>16403</v>
      </c>
      <c r="R144" s="11" t="s">
        <v>16403</v>
      </c>
      <c r="S144" s="11" t="s">
        <v>16403</v>
      </c>
      <c r="T144" s="11" t="s">
        <v>16403</v>
      </c>
      <c r="U144" s="11" t="s">
        <v>16403</v>
      </c>
      <c r="V144" s="11" t="s">
        <v>16403</v>
      </c>
      <c r="W144" s="11" t="s">
        <v>16403</v>
      </c>
      <c r="X144" s="11" t="s">
        <v>16403</v>
      </c>
      <c r="Y144" s="11" t="s">
        <v>16403</v>
      </c>
      <c r="Z144" s="11" t="s">
        <v>16403</v>
      </c>
      <c r="AA144" s="11" t="s">
        <v>16403</v>
      </c>
      <c r="AB144" s="11" t="s">
        <v>16403</v>
      </c>
      <c r="AC144" s="11" t="s">
        <v>16403</v>
      </c>
      <c r="AD144" s="11" t="s">
        <v>16403</v>
      </c>
      <c r="AE144" s="11" t="s">
        <v>16403</v>
      </c>
      <c r="AF144" s="11" t="s">
        <v>16403</v>
      </c>
    </row>
    <row r="145" spans="1:32" s="11" customFormat="1" x14ac:dyDescent="0.2">
      <c r="A145" s="11">
        <v>265</v>
      </c>
      <c r="F145" s="11" t="s">
        <v>16403</v>
      </c>
      <c r="G145" s="11" t="s">
        <v>16403</v>
      </c>
      <c r="H145" s="12">
        <v>999</v>
      </c>
      <c r="I145" s="11" t="s">
        <v>16403</v>
      </c>
      <c r="L145" s="11">
        <v>53.415999999999997</v>
      </c>
      <c r="M145" s="11">
        <v>56.051000000000002</v>
      </c>
      <c r="N145" s="11">
        <v>109.021</v>
      </c>
      <c r="O145" s="11">
        <v>109.797</v>
      </c>
      <c r="P145" s="11">
        <v>98.706000000000003</v>
      </c>
      <c r="Q145" s="11">
        <v>99.856999999999999</v>
      </c>
      <c r="R145" s="11">
        <v>108.202</v>
      </c>
      <c r="S145" s="11">
        <v>107.81</v>
      </c>
      <c r="T145" s="11">
        <v>64.007000000000005</v>
      </c>
      <c r="U145" s="11">
        <v>64.289000000000001</v>
      </c>
      <c r="V145" s="11">
        <v>35.993000000000002</v>
      </c>
      <c r="W145" s="11">
        <v>35.710999999999999</v>
      </c>
      <c r="X145" s="11">
        <v>13.942</v>
      </c>
      <c r="Y145" s="11">
        <v>14.507999999999999</v>
      </c>
      <c r="Z145" s="11">
        <v>35.710999999999999</v>
      </c>
      <c r="AA145" s="11">
        <v>35.993000000000002</v>
      </c>
      <c r="AB145" s="11">
        <v>12.15</v>
      </c>
      <c r="AC145" s="11">
        <v>14</v>
      </c>
      <c r="AD145" s="11">
        <v>10</v>
      </c>
      <c r="AE145" s="11">
        <v>10</v>
      </c>
      <c r="AF145" s="11">
        <v>10</v>
      </c>
    </row>
    <row r="146" spans="1:32" s="11" customFormat="1" x14ac:dyDescent="0.2">
      <c r="A146" s="11">
        <v>266</v>
      </c>
      <c r="F146" s="11" t="s">
        <v>16414</v>
      </c>
      <c r="G146" s="11" t="s">
        <v>16415</v>
      </c>
      <c r="H146" s="12">
        <v>66</v>
      </c>
      <c r="I146" s="11" t="s">
        <v>16407</v>
      </c>
      <c r="L146" s="11">
        <v>44.600999999999999</v>
      </c>
      <c r="M146" s="11">
        <v>45.887</v>
      </c>
      <c r="N146" s="11">
        <v>90.212000000000003</v>
      </c>
      <c r="O146" s="11">
        <v>91.275999999999996</v>
      </c>
      <c r="P146" s="11">
        <v>105.631</v>
      </c>
      <c r="Q146" s="11">
        <v>105.96599999999999</v>
      </c>
      <c r="R146" s="11">
        <v>140.26</v>
      </c>
      <c r="S146" s="11">
        <v>140.035</v>
      </c>
      <c r="T146" s="11">
        <v>61.473999999999997</v>
      </c>
      <c r="U146" s="11">
        <v>61.046999999999997</v>
      </c>
      <c r="V146" s="11">
        <v>38.526000000000003</v>
      </c>
      <c r="W146" s="11">
        <v>38.953000000000003</v>
      </c>
      <c r="X146" s="11">
        <v>11.026</v>
      </c>
      <c r="Y146" s="11">
        <v>11.686</v>
      </c>
      <c r="Z146" s="11">
        <v>38.953000000000003</v>
      </c>
      <c r="AA146" s="11">
        <v>38.526000000000003</v>
      </c>
      <c r="AB146" s="11">
        <v>5.4459999999999997</v>
      </c>
      <c r="AC146" s="11">
        <v>13</v>
      </c>
      <c r="AD146" s="11">
        <v>15</v>
      </c>
      <c r="AE146" s="11">
        <v>13</v>
      </c>
      <c r="AF146" s="11">
        <v>13</v>
      </c>
    </row>
    <row r="147" spans="1:32" s="11" customFormat="1" x14ac:dyDescent="0.2">
      <c r="A147" s="11">
        <v>267</v>
      </c>
      <c r="F147" s="11" t="s">
        <v>16424</v>
      </c>
      <c r="G147" s="11" t="s">
        <v>16425</v>
      </c>
      <c r="H147" s="12">
        <v>74.400000000000006</v>
      </c>
      <c r="I147" s="11" t="s">
        <v>16404</v>
      </c>
      <c r="L147" s="11">
        <v>39.832999999999998</v>
      </c>
      <c r="M147" s="11">
        <v>35.502000000000002</v>
      </c>
      <c r="N147" s="11">
        <v>75.334999999999994</v>
      </c>
      <c r="O147" s="11">
        <v>75.953999999999994</v>
      </c>
      <c r="P147" s="11">
        <v>73.817999999999998</v>
      </c>
      <c r="Q147" s="11">
        <v>74.63</v>
      </c>
      <c r="R147" s="11">
        <v>117.554</v>
      </c>
      <c r="S147" s="11">
        <v>117.071</v>
      </c>
      <c r="T147" s="11">
        <v>66.816000000000003</v>
      </c>
      <c r="U147" s="11">
        <v>66.655000000000001</v>
      </c>
      <c r="V147" s="11">
        <v>33.183999999999997</v>
      </c>
      <c r="W147" s="11">
        <v>33.344999999999999</v>
      </c>
      <c r="X147" s="11">
        <v>15.763999999999999</v>
      </c>
      <c r="Y147" s="11">
        <v>17.606999999999999</v>
      </c>
      <c r="Z147" s="11">
        <v>33.344999999999999</v>
      </c>
      <c r="AA147" s="11">
        <v>33.183999999999997</v>
      </c>
      <c r="AB147" s="11">
        <v>17.016999999999999</v>
      </c>
      <c r="AC147" s="11">
        <v>16</v>
      </c>
      <c r="AD147" s="11">
        <v>12</v>
      </c>
      <c r="AE147" s="11">
        <v>12</v>
      </c>
      <c r="AF147" s="11">
        <v>12</v>
      </c>
    </row>
    <row r="148" spans="1:32" s="11" customFormat="1" x14ac:dyDescent="0.2">
      <c r="A148" s="11">
        <v>268</v>
      </c>
      <c r="F148" s="11" t="s">
        <v>16403</v>
      </c>
      <c r="G148" s="11" t="s">
        <v>16403</v>
      </c>
      <c r="H148" s="12">
        <v>999</v>
      </c>
      <c r="I148" s="11" t="s">
        <v>16403</v>
      </c>
      <c r="L148" s="11">
        <v>41.369</v>
      </c>
      <c r="M148" s="11">
        <v>40.082000000000001</v>
      </c>
      <c r="N148" s="11">
        <v>81.400000000000006</v>
      </c>
      <c r="O148" s="11">
        <v>81.631</v>
      </c>
      <c r="P148" s="11">
        <v>72.742000000000004</v>
      </c>
      <c r="Q148" s="11">
        <v>72.748999999999995</v>
      </c>
      <c r="R148" s="11">
        <v>106.313</v>
      </c>
      <c r="S148" s="11">
        <v>106.813</v>
      </c>
      <c r="T148" s="11">
        <v>65.688000000000002</v>
      </c>
      <c r="U148" s="11">
        <v>63.854999999999997</v>
      </c>
      <c r="V148" s="11">
        <v>34.311999999999998</v>
      </c>
      <c r="W148" s="11">
        <v>36.145000000000003</v>
      </c>
      <c r="X148" s="11">
        <v>14.015000000000001</v>
      </c>
      <c r="Y148" s="11">
        <v>15.752000000000001</v>
      </c>
      <c r="Z148" s="11">
        <v>36.145000000000003</v>
      </c>
      <c r="AA148" s="11">
        <v>34.311999999999998</v>
      </c>
      <c r="AB148" s="11">
        <v>11.847</v>
      </c>
      <c r="AC148" s="11">
        <v>12</v>
      </c>
      <c r="AD148" s="11">
        <v>12</v>
      </c>
      <c r="AE148" s="11">
        <v>12</v>
      </c>
      <c r="AF148" s="11">
        <v>12</v>
      </c>
    </row>
    <row r="149" spans="1:32" s="11" customFormat="1" x14ac:dyDescent="0.2">
      <c r="A149" s="11">
        <v>269</v>
      </c>
      <c r="F149" s="11" t="s">
        <v>16403</v>
      </c>
      <c r="G149" s="11" t="s">
        <v>16403</v>
      </c>
      <c r="H149" s="12">
        <v>45.5</v>
      </c>
      <c r="I149" s="11" t="s">
        <v>16407</v>
      </c>
      <c r="L149" s="11" t="s">
        <v>16403</v>
      </c>
      <c r="M149" s="11" t="s">
        <v>16403</v>
      </c>
      <c r="N149" s="11" t="s">
        <v>16403</v>
      </c>
      <c r="O149" s="11" t="s">
        <v>16403</v>
      </c>
      <c r="P149" s="11" t="s">
        <v>16403</v>
      </c>
      <c r="Q149" s="11" t="s">
        <v>16403</v>
      </c>
      <c r="R149" s="11" t="s">
        <v>16403</v>
      </c>
      <c r="S149" s="11" t="s">
        <v>16403</v>
      </c>
      <c r="T149" s="11" t="s">
        <v>16403</v>
      </c>
      <c r="U149" s="11" t="s">
        <v>16403</v>
      </c>
      <c r="V149" s="11" t="s">
        <v>16403</v>
      </c>
      <c r="W149" s="11" t="s">
        <v>16403</v>
      </c>
      <c r="X149" s="11" t="s">
        <v>16403</v>
      </c>
      <c r="Y149" s="11" t="s">
        <v>16403</v>
      </c>
      <c r="Z149" s="11" t="s">
        <v>16403</v>
      </c>
      <c r="AA149" s="11" t="s">
        <v>16403</v>
      </c>
      <c r="AB149" s="11" t="s">
        <v>16403</v>
      </c>
      <c r="AC149" s="11" t="s">
        <v>16403</v>
      </c>
      <c r="AD149" s="11" t="s">
        <v>16403</v>
      </c>
      <c r="AE149" s="11" t="s">
        <v>16403</v>
      </c>
      <c r="AF149" s="11" t="s">
        <v>16403</v>
      </c>
    </row>
    <row r="150" spans="1:32" s="11" customFormat="1" x14ac:dyDescent="0.2">
      <c r="A150" s="11">
        <v>270</v>
      </c>
      <c r="F150" s="11" t="s">
        <v>16403</v>
      </c>
      <c r="G150" s="11" t="s">
        <v>16403</v>
      </c>
      <c r="H150" s="12">
        <v>999</v>
      </c>
      <c r="I150" s="11" t="s">
        <v>16403</v>
      </c>
      <c r="L150" s="11">
        <v>49.000999999999998</v>
      </c>
      <c r="M150" s="11">
        <v>49.078000000000003</v>
      </c>
      <c r="N150" s="11">
        <v>97.828999999999994</v>
      </c>
      <c r="O150" s="11">
        <v>97.97</v>
      </c>
      <c r="P150" s="11">
        <v>76.391999999999996</v>
      </c>
      <c r="Q150" s="11">
        <v>76.766000000000005</v>
      </c>
      <c r="R150" s="11">
        <v>93.682000000000002</v>
      </c>
      <c r="S150" s="11">
        <v>94.144000000000005</v>
      </c>
      <c r="T150" s="11">
        <v>63.58</v>
      </c>
      <c r="U150" s="11">
        <v>66.182000000000002</v>
      </c>
      <c r="V150" s="11">
        <v>36.42</v>
      </c>
      <c r="W150" s="11">
        <v>33.817999999999998</v>
      </c>
      <c r="X150" s="11">
        <v>15.348000000000001</v>
      </c>
      <c r="Y150" s="11">
        <v>14.976000000000001</v>
      </c>
      <c r="Z150" s="11">
        <v>33.817999999999998</v>
      </c>
      <c r="AA150" s="11">
        <v>36.42</v>
      </c>
      <c r="AB150" s="11">
        <v>10.417999999999999</v>
      </c>
      <c r="AC150" s="11">
        <v>15</v>
      </c>
      <c r="AD150" s="11">
        <v>13</v>
      </c>
      <c r="AE150" s="11">
        <v>13</v>
      </c>
      <c r="AF150" s="11">
        <v>13</v>
      </c>
    </row>
    <row r="151" spans="1:32" s="11" customFormat="1" x14ac:dyDescent="0.2">
      <c r="A151" s="11">
        <v>271</v>
      </c>
      <c r="F151" s="11" t="s">
        <v>16424</v>
      </c>
      <c r="G151" s="11" t="s">
        <v>16425</v>
      </c>
      <c r="H151" s="12">
        <v>45.3</v>
      </c>
      <c r="I151" s="11" t="s">
        <v>16404</v>
      </c>
      <c r="L151" s="11">
        <v>24.808</v>
      </c>
      <c r="M151" s="11">
        <v>29.265000000000001</v>
      </c>
      <c r="N151" s="11">
        <v>54.609000000000002</v>
      </c>
      <c r="O151" s="11">
        <v>53.994999999999997</v>
      </c>
      <c r="P151" s="11">
        <v>22.091999999999999</v>
      </c>
      <c r="Q151" s="11">
        <v>22.077999999999999</v>
      </c>
      <c r="R151" s="11">
        <v>49.082000000000001</v>
      </c>
      <c r="S151" s="11">
        <v>48.316000000000003</v>
      </c>
      <c r="T151" s="11">
        <v>74.326999999999998</v>
      </c>
      <c r="U151" s="11">
        <v>84.994</v>
      </c>
      <c r="V151" s="11">
        <v>25.672999999999998</v>
      </c>
      <c r="W151" s="11">
        <v>15.006</v>
      </c>
      <c r="X151" s="11">
        <v>32.487000000000002</v>
      </c>
      <c r="Y151" s="11">
        <v>26.774000000000001</v>
      </c>
      <c r="Z151" s="11">
        <v>15.006</v>
      </c>
      <c r="AA151" s="11">
        <v>25.672999999999998</v>
      </c>
      <c r="AB151" s="11">
        <v>30.984999999999999</v>
      </c>
      <c r="AC151" s="11">
        <v>8</v>
      </c>
      <c r="AD151" s="11">
        <v>7</v>
      </c>
      <c r="AE151" s="11">
        <v>7</v>
      </c>
      <c r="AF151" s="11">
        <v>7</v>
      </c>
    </row>
    <row r="152" spans="1:32" s="11" customFormat="1" x14ac:dyDescent="0.2">
      <c r="A152" s="11">
        <v>272</v>
      </c>
      <c r="F152" s="11" t="s">
        <v>16414</v>
      </c>
      <c r="G152" s="11" t="s">
        <v>16415</v>
      </c>
      <c r="H152" s="12">
        <v>71.7</v>
      </c>
      <c r="I152" s="11" t="s">
        <v>16404</v>
      </c>
      <c r="L152" s="11">
        <v>41.613999999999997</v>
      </c>
      <c r="M152" s="11">
        <v>40.915999999999997</v>
      </c>
      <c r="N152" s="11">
        <v>82.661000000000001</v>
      </c>
      <c r="O152" s="11">
        <v>82.885999999999996</v>
      </c>
      <c r="P152" s="11">
        <v>92.968999999999994</v>
      </c>
      <c r="Q152" s="11">
        <v>92.849000000000004</v>
      </c>
      <c r="R152" s="11">
        <v>135.08799999999999</v>
      </c>
      <c r="S152" s="11">
        <v>133.79499999999999</v>
      </c>
      <c r="T152" s="11">
        <v>62.265000000000001</v>
      </c>
      <c r="U152" s="11">
        <v>61.585000000000001</v>
      </c>
      <c r="V152" s="11">
        <v>37.734999999999999</v>
      </c>
      <c r="W152" s="11">
        <v>38.414999999999999</v>
      </c>
      <c r="X152" s="11">
        <v>12.355</v>
      </c>
      <c r="Y152" s="11">
        <v>11.821</v>
      </c>
      <c r="Z152" s="11">
        <v>38.414999999999999</v>
      </c>
      <c r="AA152" s="11">
        <v>37.734999999999999</v>
      </c>
      <c r="AB152" s="11">
        <v>11.156000000000001</v>
      </c>
      <c r="AC152" s="11">
        <v>18</v>
      </c>
      <c r="AD152" s="11">
        <v>16</v>
      </c>
      <c r="AE152" s="11">
        <v>16</v>
      </c>
      <c r="AF152" s="11">
        <v>16</v>
      </c>
    </row>
    <row r="153" spans="1:32" s="11" customFormat="1" x14ac:dyDescent="0.2">
      <c r="A153" s="11">
        <v>273</v>
      </c>
      <c r="F153" s="11" t="s">
        <v>16424</v>
      </c>
      <c r="G153" s="11" t="s">
        <v>16425</v>
      </c>
      <c r="H153" s="12">
        <v>55.3</v>
      </c>
      <c r="I153" s="11" t="s">
        <v>16407</v>
      </c>
      <c r="L153" s="11" t="s">
        <v>16403</v>
      </c>
      <c r="M153" s="11" t="s">
        <v>16403</v>
      </c>
      <c r="N153" s="11" t="s">
        <v>16403</v>
      </c>
      <c r="O153" s="11" t="s">
        <v>16403</v>
      </c>
      <c r="P153" s="11" t="s">
        <v>16403</v>
      </c>
      <c r="Q153" s="11" t="s">
        <v>16403</v>
      </c>
      <c r="R153" s="11" t="s">
        <v>16403</v>
      </c>
      <c r="S153" s="11" t="s">
        <v>16403</v>
      </c>
      <c r="T153" s="11" t="s">
        <v>16403</v>
      </c>
      <c r="U153" s="11" t="s">
        <v>16403</v>
      </c>
      <c r="V153" s="11" t="s">
        <v>16403</v>
      </c>
      <c r="W153" s="11" t="s">
        <v>16403</v>
      </c>
      <c r="X153" s="11" t="s">
        <v>16403</v>
      </c>
      <c r="Y153" s="11" t="s">
        <v>16403</v>
      </c>
      <c r="Z153" s="11" t="s">
        <v>16403</v>
      </c>
      <c r="AA153" s="11" t="s">
        <v>16403</v>
      </c>
      <c r="AB153" s="11" t="s">
        <v>16403</v>
      </c>
      <c r="AC153" s="11" t="s">
        <v>16403</v>
      </c>
      <c r="AD153" s="11" t="s">
        <v>16403</v>
      </c>
      <c r="AE153" s="11" t="s">
        <v>16403</v>
      </c>
      <c r="AF153" s="11" t="s">
        <v>16403</v>
      </c>
    </row>
    <row r="154" spans="1:32" s="11" customFormat="1" x14ac:dyDescent="0.2">
      <c r="A154" s="11">
        <v>274</v>
      </c>
      <c r="F154" s="11" t="s">
        <v>16420</v>
      </c>
      <c r="G154" s="11" t="s">
        <v>16421</v>
      </c>
      <c r="H154" s="12">
        <v>62.9</v>
      </c>
      <c r="I154" s="11" t="s">
        <v>16407</v>
      </c>
      <c r="L154" s="11">
        <v>36.683</v>
      </c>
      <c r="M154" s="11">
        <v>38.6</v>
      </c>
      <c r="N154" s="11">
        <v>75.697999999999993</v>
      </c>
      <c r="O154" s="11">
        <v>75.242999999999995</v>
      </c>
      <c r="P154" s="11">
        <v>50.543999999999997</v>
      </c>
      <c r="Q154" s="11">
        <v>51.064</v>
      </c>
      <c r="R154" s="11">
        <v>80.197999999999993</v>
      </c>
      <c r="S154" s="11">
        <v>80.081000000000003</v>
      </c>
      <c r="T154" s="11">
        <v>69.620999999999995</v>
      </c>
      <c r="U154" s="11">
        <v>70.361999999999995</v>
      </c>
      <c r="V154" s="11">
        <v>30.379000000000001</v>
      </c>
      <c r="W154" s="11">
        <v>29.638000000000002</v>
      </c>
      <c r="X154" s="11">
        <v>22.039000000000001</v>
      </c>
      <c r="Y154" s="11">
        <v>18.584</v>
      </c>
      <c r="Z154" s="11">
        <v>29.638000000000002</v>
      </c>
      <c r="AA154" s="11">
        <v>30.379000000000001</v>
      </c>
      <c r="AB154" s="11">
        <v>14.9</v>
      </c>
      <c r="AC154" s="11">
        <v>9</v>
      </c>
      <c r="AD154" s="11">
        <v>10</v>
      </c>
      <c r="AE154" s="11">
        <v>9</v>
      </c>
      <c r="AF154" s="11">
        <v>9</v>
      </c>
    </row>
    <row r="155" spans="1:32" s="11" customFormat="1" x14ac:dyDescent="0.2">
      <c r="A155" s="11">
        <v>275</v>
      </c>
      <c r="F155" s="11" t="s">
        <v>16414</v>
      </c>
      <c r="G155" s="11" t="s">
        <v>16415</v>
      </c>
      <c r="H155" s="12">
        <v>69.7</v>
      </c>
      <c r="I155" s="11" t="s">
        <v>16404</v>
      </c>
      <c r="L155" s="11">
        <v>57.780999999999999</v>
      </c>
      <c r="M155" s="11">
        <v>54.710999999999999</v>
      </c>
      <c r="N155" s="11">
        <v>112.82599999999999</v>
      </c>
      <c r="O155" s="11">
        <v>112.652</v>
      </c>
      <c r="P155" s="11">
        <v>119.74299999999999</v>
      </c>
      <c r="Q155" s="11">
        <v>119.90600000000001</v>
      </c>
      <c r="R155" s="11">
        <v>126.988</v>
      </c>
      <c r="S155" s="11">
        <v>126.779</v>
      </c>
      <c r="T155" s="11">
        <v>62.468000000000004</v>
      </c>
      <c r="U155" s="11">
        <v>61.881999999999998</v>
      </c>
      <c r="V155" s="11">
        <v>37.531999999999996</v>
      </c>
      <c r="W155" s="11">
        <v>38.118000000000002</v>
      </c>
      <c r="X155" s="11">
        <v>13.834</v>
      </c>
      <c r="Y155" s="11">
        <v>10.994</v>
      </c>
      <c r="Z155" s="11">
        <v>38.118000000000002</v>
      </c>
      <c r="AA155" s="11">
        <v>37.531999999999996</v>
      </c>
      <c r="AB155" s="11">
        <v>9.2119999999999997</v>
      </c>
      <c r="AC155" s="11">
        <v>10</v>
      </c>
      <c r="AD155" s="11">
        <v>12</v>
      </c>
      <c r="AE155" s="11">
        <v>10</v>
      </c>
      <c r="AF155" s="11">
        <v>10</v>
      </c>
    </row>
    <row r="156" spans="1:32" s="11" customFormat="1" x14ac:dyDescent="0.2">
      <c r="A156" s="11">
        <v>276</v>
      </c>
      <c r="F156" s="11" t="s">
        <v>16424</v>
      </c>
      <c r="G156" s="11" t="s">
        <v>16425</v>
      </c>
      <c r="H156" s="12">
        <v>53.7</v>
      </c>
      <c r="I156" s="11" t="s">
        <v>16407</v>
      </c>
      <c r="L156" s="11">
        <v>65.646000000000001</v>
      </c>
      <c r="M156" s="11">
        <v>62.536999999999999</v>
      </c>
      <c r="N156" s="11">
        <v>128.38</v>
      </c>
      <c r="O156" s="11">
        <v>128.256</v>
      </c>
      <c r="P156" s="11">
        <v>136.54300000000001</v>
      </c>
      <c r="Q156" s="11">
        <v>135.43299999999999</v>
      </c>
      <c r="R156" s="11">
        <v>126.648</v>
      </c>
      <c r="S156" s="11">
        <v>126.28400000000001</v>
      </c>
      <c r="T156" s="11">
        <v>61.15</v>
      </c>
      <c r="U156" s="11">
        <v>61.345999999999997</v>
      </c>
      <c r="V156" s="11">
        <v>38.85</v>
      </c>
      <c r="W156" s="11">
        <v>38.654000000000003</v>
      </c>
      <c r="X156" s="11">
        <v>11.106</v>
      </c>
      <c r="Y156" s="11">
        <v>11.782</v>
      </c>
      <c r="Z156" s="11">
        <v>38.654000000000003</v>
      </c>
      <c r="AA156" s="11">
        <v>38.85</v>
      </c>
      <c r="AB156" s="11">
        <v>10.084</v>
      </c>
      <c r="AC156" s="11">
        <v>10</v>
      </c>
      <c r="AD156" s="11">
        <v>10</v>
      </c>
      <c r="AE156" s="11">
        <v>10</v>
      </c>
      <c r="AF156" s="11">
        <v>10</v>
      </c>
    </row>
    <row r="157" spans="1:32" s="11" customFormat="1" x14ac:dyDescent="0.2">
      <c r="A157" s="11">
        <v>277</v>
      </c>
      <c r="F157" s="11" t="s">
        <v>16414</v>
      </c>
      <c r="G157" s="11" t="s">
        <v>16415</v>
      </c>
      <c r="H157" s="12">
        <v>72.599999999999994</v>
      </c>
      <c r="I157" s="11" t="s">
        <v>16404</v>
      </c>
      <c r="L157" s="11">
        <v>66.558999999999997</v>
      </c>
      <c r="M157" s="11">
        <v>65.274000000000001</v>
      </c>
      <c r="N157" s="11">
        <v>131.56200000000001</v>
      </c>
      <c r="O157" s="11">
        <v>132.93899999999999</v>
      </c>
      <c r="P157" s="11">
        <v>109.318</v>
      </c>
      <c r="Q157" s="11">
        <v>111.04300000000001</v>
      </c>
      <c r="R157" s="11">
        <v>99.123000000000005</v>
      </c>
      <c r="S157" s="11">
        <v>99.414000000000001</v>
      </c>
      <c r="T157" s="11">
        <v>64.900000000000006</v>
      </c>
      <c r="U157" s="11">
        <v>64.450999999999993</v>
      </c>
      <c r="V157" s="11">
        <v>35.1</v>
      </c>
      <c r="W157" s="11">
        <v>35.548999999999999</v>
      </c>
      <c r="X157" s="11">
        <v>14.752000000000001</v>
      </c>
      <c r="Y157" s="11">
        <v>14.927</v>
      </c>
      <c r="Z157" s="11">
        <v>35.548999999999999</v>
      </c>
      <c r="AA157" s="11">
        <v>35.1</v>
      </c>
      <c r="AB157" s="11">
        <v>10.212</v>
      </c>
      <c r="AC157" s="11">
        <v>7</v>
      </c>
      <c r="AD157" s="11">
        <v>8</v>
      </c>
      <c r="AE157" s="11">
        <v>7</v>
      </c>
      <c r="AF157" s="11">
        <v>7</v>
      </c>
    </row>
    <row r="158" spans="1:32" s="11" customFormat="1" x14ac:dyDescent="0.2">
      <c r="A158" s="11">
        <v>278</v>
      </c>
      <c r="F158" s="11" t="s">
        <v>16414</v>
      </c>
      <c r="G158" s="11" t="s">
        <v>16415</v>
      </c>
      <c r="H158" s="12">
        <v>64.099999999999994</v>
      </c>
      <c r="I158" s="11" t="s">
        <v>16404</v>
      </c>
      <c r="L158" s="11">
        <v>39.435000000000002</v>
      </c>
      <c r="M158" s="11">
        <v>38.209000000000003</v>
      </c>
      <c r="N158" s="11">
        <v>77.477999999999994</v>
      </c>
      <c r="O158" s="11">
        <v>78.052999999999997</v>
      </c>
      <c r="P158" s="11">
        <v>76.094999999999999</v>
      </c>
      <c r="Q158" s="11">
        <v>76.551000000000002</v>
      </c>
      <c r="R158" s="11">
        <v>117.78700000000001</v>
      </c>
      <c r="S158" s="11">
        <v>117.423</v>
      </c>
      <c r="T158" s="11">
        <v>63.55</v>
      </c>
      <c r="U158" s="11">
        <v>52.493000000000002</v>
      </c>
      <c r="V158" s="11">
        <v>36.450000000000003</v>
      </c>
      <c r="W158" s="11">
        <v>47.506999999999998</v>
      </c>
      <c r="X158" s="11">
        <v>6.8520000000000003</v>
      </c>
      <c r="Y158" s="11">
        <v>15.393000000000001</v>
      </c>
      <c r="Z158" s="11">
        <v>47.506999999999998</v>
      </c>
      <c r="AA158" s="11">
        <v>36.450000000000003</v>
      </c>
      <c r="AB158" s="11">
        <v>11.81</v>
      </c>
      <c r="AC158" s="11">
        <v>16</v>
      </c>
      <c r="AD158" s="11">
        <v>16</v>
      </c>
      <c r="AE158" s="11">
        <v>16</v>
      </c>
      <c r="AF158" s="11">
        <v>16</v>
      </c>
    </row>
    <row r="159" spans="1:32" s="11" customFormat="1" x14ac:dyDescent="0.2">
      <c r="A159" s="11">
        <v>279</v>
      </c>
      <c r="F159" s="11" t="s">
        <v>16414</v>
      </c>
      <c r="G159" s="11" t="s">
        <v>16415</v>
      </c>
      <c r="H159" s="12">
        <v>61.6</v>
      </c>
      <c r="I159" s="11" t="s">
        <v>16407</v>
      </c>
      <c r="L159" s="11">
        <v>59.027999999999999</v>
      </c>
      <c r="M159" s="11">
        <v>62.390999999999998</v>
      </c>
      <c r="N159" s="11">
        <v>121.861</v>
      </c>
      <c r="O159" s="11">
        <v>121.47799999999999</v>
      </c>
      <c r="P159" s="11">
        <v>125.438</v>
      </c>
      <c r="Q159" s="11">
        <v>125.32299999999999</v>
      </c>
      <c r="R159" s="11">
        <v>123.134</v>
      </c>
      <c r="S159" s="11">
        <v>123.39400000000001</v>
      </c>
      <c r="T159" s="11">
        <v>61.970999999999997</v>
      </c>
      <c r="U159" s="11">
        <v>64.034000000000006</v>
      </c>
      <c r="V159" s="11">
        <v>38.029000000000003</v>
      </c>
      <c r="W159" s="11">
        <v>35.966000000000001</v>
      </c>
      <c r="X159" s="11">
        <v>13.183</v>
      </c>
      <c r="Y159" s="11">
        <v>13.009</v>
      </c>
      <c r="Z159" s="11">
        <v>35.966000000000001</v>
      </c>
      <c r="AA159" s="11">
        <v>38.029000000000003</v>
      </c>
      <c r="AB159" s="11">
        <v>13.628</v>
      </c>
      <c r="AC159" s="11">
        <v>10</v>
      </c>
      <c r="AD159" s="11">
        <v>10</v>
      </c>
      <c r="AE159" s="11">
        <v>10</v>
      </c>
      <c r="AF159" s="11">
        <v>10</v>
      </c>
    </row>
    <row r="160" spans="1:32" s="11" customFormat="1" x14ac:dyDescent="0.2">
      <c r="A160" s="11">
        <v>280</v>
      </c>
      <c r="F160" s="11" t="s">
        <v>16403</v>
      </c>
      <c r="G160" s="11" t="s">
        <v>16403</v>
      </c>
      <c r="H160" s="12">
        <v>999</v>
      </c>
      <c r="I160" s="11" t="s">
        <v>16403</v>
      </c>
      <c r="L160" s="11" t="s">
        <v>16403</v>
      </c>
      <c r="M160" s="11" t="s">
        <v>16403</v>
      </c>
      <c r="N160" s="11" t="s">
        <v>16403</v>
      </c>
      <c r="O160" s="11" t="s">
        <v>16403</v>
      </c>
      <c r="P160" s="11" t="s">
        <v>16403</v>
      </c>
      <c r="Q160" s="11" t="s">
        <v>16403</v>
      </c>
      <c r="R160" s="11" t="s">
        <v>16403</v>
      </c>
      <c r="S160" s="11" t="s">
        <v>16403</v>
      </c>
      <c r="T160" s="11" t="s">
        <v>16403</v>
      </c>
      <c r="U160" s="11" t="s">
        <v>16403</v>
      </c>
      <c r="V160" s="11" t="s">
        <v>16403</v>
      </c>
      <c r="W160" s="11" t="s">
        <v>16403</v>
      </c>
      <c r="X160" s="11" t="s">
        <v>16403</v>
      </c>
      <c r="Y160" s="11" t="s">
        <v>16403</v>
      </c>
      <c r="Z160" s="11" t="s">
        <v>16403</v>
      </c>
      <c r="AA160" s="11" t="s">
        <v>16403</v>
      </c>
      <c r="AB160" s="11" t="s">
        <v>16403</v>
      </c>
      <c r="AC160" s="11" t="s">
        <v>16403</v>
      </c>
      <c r="AD160" s="11" t="s">
        <v>16403</v>
      </c>
      <c r="AE160" s="11" t="s">
        <v>16403</v>
      </c>
      <c r="AF160" s="11" t="s">
        <v>16403</v>
      </c>
    </row>
    <row r="161" spans="1:32" s="11" customFormat="1" x14ac:dyDescent="0.2">
      <c r="A161" s="11">
        <v>281</v>
      </c>
      <c r="F161" s="11" t="s">
        <v>16403</v>
      </c>
      <c r="G161" s="11" t="s">
        <v>16403</v>
      </c>
      <c r="H161" s="12">
        <v>999</v>
      </c>
      <c r="I161" s="11" t="s">
        <v>16403</v>
      </c>
      <c r="L161" s="11" t="s">
        <v>16403</v>
      </c>
      <c r="M161" s="11" t="s">
        <v>16403</v>
      </c>
      <c r="N161" s="11" t="s">
        <v>16403</v>
      </c>
      <c r="O161" s="11" t="s">
        <v>16403</v>
      </c>
      <c r="P161" s="11" t="s">
        <v>16403</v>
      </c>
      <c r="Q161" s="11" t="s">
        <v>16403</v>
      </c>
      <c r="R161" s="11" t="s">
        <v>16403</v>
      </c>
      <c r="S161" s="11" t="s">
        <v>16403</v>
      </c>
      <c r="T161" s="11" t="s">
        <v>16403</v>
      </c>
      <c r="U161" s="11" t="s">
        <v>16403</v>
      </c>
      <c r="V161" s="11" t="s">
        <v>16403</v>
      </c>
      <c r="W161" s="11" t="s">
        <v>16403</v>
      </c>
      <c r="X161" s="11" t="s">
        <v>16403</v>
      </c>
      <c r="Y161" s="11" t="s">
        <v>16403</v>
      </c>
      <c r="Z161" s="11" t="s">
        <v>16403</v>
      </c>
      <c r="AA161" s="11" t="s">
        <v>16403</v>
      </c>
      <c r="AB161" s="11" t="s">
        <v>16403</v>
      </c>
      <c r="AC161" s="11" t="s">
        <v>16403</v>
      </c>
      <c r="AD161" s="11" t="s">
        <v>16403</v>
      </c>
      <c r="AE161" s="11" t="s">
        <v>16403</v>
      </c>
      <c r="AF161" s="11" t="s">
        <v>16403</v>
      </c>
    </row>
    <row r="162" spans="1:32" s="11" customFormat="1" x14ac:dyDescent="0.2">
      <c r="A162" s="11">
        <v>282</v>
      </c>
      <c r="F162" s="11" t="s">
        <v>16414</v>
      </c>
      <c r="G162" s="11" t="s">
        <v>16415</v>
      </c>
      <c r="H162" s="12">
        <v>68.099999999999994</v>
      </c>
      <c r="I162" s="11" t="s">
        <v>16404</v>
      </c>
      <c r="L162" s="11">
        <v>63.095999999999997</v>
      </c>
      <c r="M162" s="11">
        <v>63.999000000000002</v>
      </c>
      <c r="N162" s="11">
        <v>128.107</v>
      </c>
      <c r="O162" s="11">
        <v>126.482</v>
      </c>
      <c r="P162" s="11">
        <v>119.146</v>
      </c>
      <c r="Q162" s="11">
        <v>119.53</v>
      </c>
      <c r="R162" s="11">
        <v>112.032</v>
      </c>
      <c r="S162" s="11">
        <v>112.989</v>
      </c>
      <c r="T162" s="11">
        <v>63.475999999999999</v>
      </c>
      <c r="U162" s="11">
        <v>63.536999999999999</v>
      </c>
      <c r="V162" s="11">
        <v>36.524000000000001</v>
      </c>
      <c r="W162" s="11">
        <v>36.463000000000001</v>
      </c>
      <c r="X162" s="11">
        <v>14.388</v>
      </c>
      <c r="Y162" s="11">
        <v>13.715999999999999</v>
      </c>
      <c r="Z162" s="11">
        <v>36.463000000000001</v>
      </c>
      <c r="AA162" s="11">
        <v>36.524000000000001</v>
      </c>
      <c r="AB162" s="11">
        <v>11.458</v>
      </c>
      <c r="AC162" s="11">
        <v>10</v>
      </c>
      <c r="AD162" s="11">
        <v>10</v>
      </c>
      <c r="AE162" s="11">
        <v>10</v>
      </c>
      <c r="AF162" s="11">
        <v>10</v>
      </c>
    </row>
    <row r="163" spans="1:32" s="11" customFormat="1" x14ac:dyDescent="0.2">
      <c r="A163" s="11">
        <v>283</v>
      </c>
      <c r="F163" s="11" t="s">
        <v>16414</v>
      </c>
      <c r="G163" s="11" t="s">
        <v>16415</v>
      </c>
      <c r="H163" s="12">
        <v>67.7</v>
      </c>
      <c r="I163" s="11" t="s">
        <v>16404</v>
      </c>
      <c r="L163" s="11">
        <v>47.543999999999997</v>
      </c>
      <c r="M163" s="11">
        <v>50.076000000000001</v>
      </c>
      <c r="N163" s="11">
        <v>97.257000000000005</v>
      </c>
      <c r="O163" s="11">
        <v>98.352999999999994</v>
      </c>
      <c r="P163" s="11">
        <v>86.355000000000004</v>
      </c>
      <c r="Q163" s="11">
        <v>87.471999999999994</v>
      </c>
      <c r="R163" s="11">
        <v>105.97499999999999</v>
      </c>
      <c r="S163" s="11">
        <v>105.944</v>
      </c>
      <c r="T163" s="11">
        <v>63.783999999999999</v>
      </c>
      <c r="U163" s="11">
        <v>66.352999999999994</v>
      </c>
      <c r="V163" s="11">
        <v>36.216000000000001</v>
      </c>
      <c r="W163" s="11">
        <v>33.646999999999998</v>
      </c>
      <c r="X163" s="11">
        <v>13.691000000000001</v>
      </c>
      <c r="Y163" s="11">
        <v>16.7</v>
      </c>
      <c r="Z163" s="11">
        <v>33.646999999999998</v>
      </c>
      <c r="AA163" s="11">
        <v>36.216000000000001</v>
      </c>
      <c r="AB163" s="11">
        <v>8.4960000000000004</v>
      </c>
      <c r="AC163" s="11">
        <v>13</v>
      </c>
      <c r="AD163" s="11">
        <v>12</v>
      </c>
      <c r="AE163" s="11">
        <v>12</v>
      </c>
      <c r="AF163" s="11">
        <v>12</v>
      </c>
    </row>
    <row r="164" spans="1:32" s="11" customFormat="1" x14ac:dyDescent="0.2">
      <c r="A164" s="11">
        <v>284</v>
      </c>
      <c r="F164" s="11" t="s">
        <v>16414</v>
      </c>
      <c r="G164" s="11" t="s">
        <v>16415</v>
      </c>
      <c r="H164" s="12">
        <v>69.7</v>
      </c>
      <c r="I164" s="11" t="s">
        <v>16407</v>
      </c>
      <c r="L164" s="11">
        <v>44.484999999999999</v>
      </c>
      <c r="M164" s="11">
        <v>52.901000000000003</v>
      </c>
      <c r="N164" s="11">
        <v>97.570999999999998</v>
      </c>
      <c r="O164" s="11">
        <v>97.542000000000002</v>
      </c>
      <c r="P164" s="11">
        <v>79.748000000000005</v>
      </c>
      <c r="Q164" s="11">
        <v>79.744</v>
      </c>
      <c r="R164" s="11">
        <v>98.192999999999998</v>
      </c>
      <c r="S164" s="11">
        <v>97.638000000000005</v>
      </c>
      <c r="T164" s="11">
        <v>65.742999999999995</v>
      </c>
      <c r="U164" s="11">
        <v>65.429000000000002</v>
      </c>
      <c r="V164" s="11">
        <v>34.256999999999998</v>
      </c>
      <c r="W164" s="11">
        <v>34.570999999999998</v>
      </c>
      <c r="X164" s="11">
        <v>18.038</v>
      </c>
      <c r="Y164" s="11">
        <v>13.715</v>
      </c>
      <c r="Z164" s="11">
        <v>34.570999999999998</v>
      </c>
      <c r="AA164" s="11">
        <v>34.256999999999998</v>
      </c>
      <c r="AB164" s="11">
        <v>8.9499999999999993</v>
      </c>
      <c r="AC164" s="11">
        <v>12</v>
      </c>
      <c r="AD164" s="11">
        <v>12</v>
      </c>
      <c r="AE164" s="11">
        <v>12</v>
      </c>
      <c r="AF164" s="11">
        <v>12</v>
      </c>
    </row>
    <row r="165" spans="1:32" s="11" customFormat="1" x14ac:dyDescent="0.2">
      <c r="A165" s="11">
        <v>285</v>
      </c>
      <c r="F165" s="11" t="s">
        <v>16403</v>
      </c>
      <c r="G165" s="11" t="s">
        <v>16403</v>
      </c>
      <c r="H165" s="12">
        <v>999</v>
      </c>
      <c r="I165" s="11" t="s">
        <v>16403</v>
      </c>
      <c r="L165" s="11">
        <v>46.691000000000003</v>
      </c>
      <c r="M165" s="11">
        <v>50.555999999999997</v>
      </c>
      <c r="N165" s="11">
        <v>97.647000000000006</v>
      </c>
      <c r="O165" s="11">
        <v>97.555999999999997</v>
      </c>
      <c r="P165" s="11">
        <v>86.841999999999999</v>
      </c>
      <c r="Q165" s="11">
        <v>86.438000000000002</v>
      </c>
      <c r="R165" s="11">
        <v>106.496</v>
      </c>
      <c r="S165" s="11">
        <v>105.96599999999999</v>
      </c>
      <c r="T165" s="11">
        <v>62.289000000000001</v>
      </c>
      <c r="U165" s="11">
        <v>61.957999999999998</v>
      </c>
      <c r="V165" s="11">
        <v>37.710999999999999</v>
      </c>
      <c r="W165" s="11">
        <v>38.042000000000002</v>
      </c>
      <c r="X165" s="11">
        <v>11.189</v>
      </c>
      <c r="Y165" s="11">
        <v>13.836</v>
      </c>
      <c r="Z165" s="11">
        <v>38.042000000000002</v>
      </c>
      <c r="AA165" s="11">
        <v>37.710999999999999</v>
      </c>
      <c r="AB165" s="11">
        <v>7.98</v>
      </c>
      <c r="AC165" s="11">
        <v>13</v>
      </c>
      <c r="AD165" s="11">
        <v>12</v>
      </c>
      <c r="AE165" s="11">
        <v>12</v>
      </c>
      <c r="AF165" s="11">
        <v>12</v>
      </c>
    </row>
    <row r="166" spans="1:32" s="11" customFormat="1" x14ac:dyDescent="0.2">
      <c r="A166" s="11">
        <v>286</v>
      </c>
      <c r="F166" s="11" t="s">
        <v>16414</v>
      </c>
      <c r="G166" s="11" t="s">
        <v>16415</v>
      </c>
      <c r="H166" s="12">
        <v>71.3</v>
      </c>
      <c r="I166" s="11" t="s">
        <v>16404</v>
      </c>
      <c r="L166" s="11">
        <v>54.417000000000002</v>
      </c>
      <c r="M166" s="11">
        <v>52.408999999999999</v>
      </c>
      <c r="N166" s="11">
        <v>104.80800000000001</v>
      </c>
      <c r="O166" s="11">
        <v>104.384</v>
      </c>
      <c r="P166" s="11">
        <v>85.397000000000006</v>
      </c>
      <c r="Q166" s="11">
        <v>86.013999999999996</v>
      </c>
      <c r="R166" s="11">
        <v>98.72</v>
      </c>
      <c r="S166" s="11">
        <v>100.586</v>
      </c>
      <c r="T166" s="11">
        <v>63.276000000000003</v>
      </c>
      <c r="U166" s="11">
        <v>63.173000000000002</v>
      </c>
      <c r="V166" s="11">
        <v>36.723999999999997</v>
      </c>
      <c r="W166" s="11">
        <v>36.826999999999998</v>
      </c>
      <c r="X166" s="11">
        <v>13.871</v>
      </c>
      <c r="Y166" s="11">
        <v>13.994</v>
      </c>
      <c r="Z166" s="11">
        <v>36.826999999999998</v>
      </c>
      <c r="AA166" s="11">
        <v>36.723999999999997</v>
      </c>
      <c r="AB166" s="11">
        <v>12.901999999999999</v>
      </c>
      <c r="AC166" s="11">
        <v>12</v>
      </c>
      <c r="AD166" s="11">
        <v>12</v>
      </c>
      <c r="AE166" s="11">
        <v>12</v>
      </c>
      <c r="AF166" s="11">
        <v>12</v>
      </c>
    </row>
    <row r="167" spans="1:32" s="11" customFormat="1" x14ac:dyDescent="0.2">
      <c r="A167" s="11">
        <v>287</v>
      </c>
      <c r="F167" s="11" t="s">
        <v>16414</v>
      </c>
      <c r="G167" s="11" t="s">
        <v>16415</v>
      </c>
      <c r="H167" s="12">
        <v>72.3</v>
      </c>
      <c r="I167" s="11" t="s">
        <v>16404</v>
      </c>
      <c r="L167" s="11">
        <v>44.685000000000002</v>
      </c>
      <c r="M167" s="11">
        <v>46.509</v>
      </c>
      <c r="N167" s="11">
        <v>91.412999999999997</v>
      </c>
      <c r="O167" s="11">
        <v>90.978999999999999</v>
      </c>
      <c r="P167" s="11">
        <v>88.147000000000006</v>
      </c>
      <c r="Q167" s="11">
        <v>87.808999999999997</v>
      </c>
      <c r="R167" s="11">
        <v>115.35299999999999</v>
      </c>
      <c r="S167" s="11">
        <v>115.697</v>
      </c>
      <c r="T167" s="11">
        <v>62.732999999999997</v>
      </c>
      <c r="U167" s="11">
        <v>63.226999999999997</v>
      </c>
      <c r="V167" s="11">
        <v>37.267000000000003</v>
      </c>
      <c r="W167" s="11">
        <v>36.773000000000003</v>
      </c>
      <c r="X167" s="11">
        <v>11.057</v>
      </c>
      <c r="Y167" s="11">
        <v>14.974</v>
      </c>
      <c r="Z167" s="11">
        <v>36.773000000000003</v>
      </c>
      <c r="AA167" s="11">
        <v>37.267000000000003</v>
      </c>
      <c r="AB167" s="11">
        <v>10.757999999999999</v>
      </c>
      <c r="AC167" s="11">
        <v>15</v>
      </c>
      <c r="AD167" s="11">
        <v>14</v>
      </c>
      <c r="AE167" s="11">
        <v>14</v>
      </c>
      <c r="AF167" s="11">
        <v>14</v>
      </c>
    </row>
    <row r="168" spans="1:32" s="11" customFormat="1" x14ac:dyDescent="0.2">
      <c r="A168" s="11">
        <v>288</v>
      </c>
      <c r="F168" s="11" t="s">
        <v>16414</v>
      </c>
      <c r="G168" s="11" t="s">
        <v>16415</v>
      </c>
      <c r="H168" s="12">
        <v>55.8</v>
      </c>
      <c r="I168" s="11" t="s">
        <v>16404</v>
      </c>
      <c r="L168" s="11">
        <v>70.784000000000006</v>
      </c>
      <c r="M168" s="11">
        <v>71.668999999999997</v>
      </c>
      <c r="N168" s="11">
        <v>141.61199999999999</v>
      </c>
      <c r="O168" s="11">
        <v>143.66999999999999</v>
      </c>
      <c r="P168" s="11">
        <v>156.78800000000001</v>
      </c>
      <c r="Q168" s="11">
        <v>160.221</v>
      </c>
      <c r="R168" s="11">
        <v>131.97300000000001</v>
      </c>
      <c r="S168" s="11">
        <v>132.673</v>
      </c>
      <c r="T168" s="11">
        <v>59.601999999999997</v>
      </c>
      <c r="U168" s="11">
        <v>57.939</v>
      </c>
      <c r="V168" s="11">
        <v>40.398000000000003</v>
      </c>
      <c r="W168" s="11">
        <v>42.061</v>
      </c>
      <c r="X168" s="11">
        <v>8.6820000000000004</v>
      </c>
      <c r="Y168" s="11">
        <v>8.7769999999999992</v>
      </c>
      <c r="Z168" s="11">
        <v>42.061</v>
      </c>
      <c r="AA168" s="11">
        <v>40.398000000000003</v>
      </c>
      <c r="AB168" s="11">
        <v>8.34</v>
      </c>
      <c r="AC168" s="11">
        <v>8</v>
      </c>
      <c r="AD168" s="11">
        <v>7</v>
      </c>
      <c r="AE168" s="11">
        <v>7</v>
      </c>
      <c r="AF168" s="11">
        <v>7</v>
      </c>
    </row>
    <row r="169" spans="1:32" s="11" customFormat="1" x14ac:dyDescent="0.2">
      <c r="A169" s="11">
        <v>289</v>
      </c>
      <c r="F169" s="11" t="s">
        <v>16428</v>
      </c>
      <c r="G169" s="11" t="s">
        <v>16429</v>
      </c>
      <c r="H169" s="12">
        <v>65.2</v>
      </c>
      <c r="I169" s="11" t="s">
        <v>16404</v>
      </c>
      <c r="L169" s="11">
        <v>52.765999999999998</v>
      </c>
      <c r="M169" s="11">
        <v>49.656999999999996</v>
      </c>
      <c r="N169" s="11">
        <v>102.072</v>
      </c>
      <c r="O169" s="11">
        <v>103.20399999999999</v>
      </c>
      <c r="P169" s="11">
        <v>78.436000000000007</v>
      </c>
      <c r="Q169" s="11">
        <v>78.730999999999995</v>
      </c>
      <c r="R169" s="11">
        <v>91.989000000000004</v>
      </c>
      <c r="S169" s="11">
        <v>91.447000000000003</v>
      </c>
      <c r="T169" s="11">
        <v>66.295000000000002</v>
      </c>
      <c r="U169" s="11">
        <v>65.498000000000005</v>
      </c>
      <c r="V169" s="11">
        <v>33.704999999999998</v>
      </c>
      <c r="W169" s="11">
        <v>34.502000000000002</v>
      </c>
      <c r="X169" s="11">
        <v>17.558</v>
      </c>
      <c r="Y169" s="11">
        <v>14.404</v>
      </c>
      <c r="Z169" s="11">
        <v>34.502000000000002</v>
      </c>
      <c r="AA169" s="11">
        <v>33.704999999999998</v>
      </c>
      <c r="AB169" s="11">
        <v>22.423999999999999</v>
      </c>
      <c r="AC169" s="11">
        <v>13</v>
      </c>
      <c r="AD169" s="11">
        <v>12</v>
      </c>
      <c r="AE169" s="11">
        <v>12</v>
      </c>
      <c r="AF169" s="11">
        <v>12</v>
      </c>
    </row>
    <row r="170" spans="1:32" s="11" customFormat="1" x14ac:dyDescent="0.2">
      <c r="A170" s="11">
        <v>290</v>
      </c>
      <c r="F170" s="11" t="s">
        <v>16424</v>
      </c>
      <c r="G170" s="11" t="s">
        <v>16425</v>
      </c>
      <c r="H170" s="12">
        <v>59.7</v>
      </c>
      <c r="I170" s="11" t="s">
        <v>16407</v>
      </c>
      <c r="L170" s="11">
        <v>47.543999999999997</v>
      </c>
      <c r="M170" s="11">
        <v>50.076000000000001</v>
      </c>
      <c r="N170" s="11">
        <v>97.257000000000005</v>
      </c>
      <c r="O170" s="11">
        <v>98.352999999999994</v>
      </c>
      <c r="P170" s="11">
        <v>86.355000000000004</v>
      </c>
      <c r="Q170" s="11">
        <v>87.471999999999994</v>
      </c>
      <c r="R170" s="11">
        <v>105.97499999999999</v>
      </c>
      <c r="S170" s="11">
        <v>105.944</v>
      </c>
      <c r="T170" s="11">
        <v>63.783999999999999</v>
      </c>
      <c r="U170" s="11">
        <v>66.352999999999994</v>
      </c>
      <c r="V170" s="11">
        <v>36.216000000000001</v>
      </c>
      <c r="W170" s="11">
        <v>33.646999999999998</v>
      </c>
      <c r="X170" s="11">
        <v>13.691000000000001</v>
      </c>
      <c r="Y170" s="11">
        <v>16.7</v>
      </c>
      <c r="Z170" s="11">
        <v>33.646999999999998</v>
      </c>
      <c r="AA170" s="11">
        <v>36.216000000000001</v>
      </c>
      <c r="AB170" s="11">
        <v>8.4960000000000004</v>
      </c>
      <c r="AC170" s="11">
        <v>13</v>
      </c>
      <c r="AD170" s="11">
        <v>12</v>
      </c>
      <c r="AE170" s="11">
        <v>12</v>
      </c>
      <c r="AF170" s="11">
        <v>12</v>
      </c>
    </row>
    <row r="171" spans="1:32" s="11" customFormat="1" x14ac:dyDescent="0.2">
      <c r="A171" s="11">
        <v>291</v>
      </c>
      <c r="F171" s="11" t="s">
        <v>16403</v>
      </c>
      <c r="G171" s="11" t="s">
        <v>16403</v>
      </c>
      <c r="H171" s="12">
        <v>999</v>
      </c>
      <c r="I171" s="11" t="s">
        <v>16403</v>
      </c>
      <c r="L171" s="11">
        <v>56.35</v>
      </c>
      <c r="M171" s="11">
        <v>58.164999999999999</v>
      </c>
      <c r="N171" s="11">
        <v>115.405</v>
      </c>
      <c r="O171" s="11">
        <v>114.473</v>
      </c>
      <c r="P171" s="11">
        <v>107.27800000000001</v>
      </c>
      <c r="Q171" s="11">
        <v>106.935</v>
      </c>
      <c r="R171" s="11">
        <v>111.48099999999999</v>
      </c>
      <c r="S171" s="11">
        <v>112.07599999999999</v>
      </c>
      <c r="T171" s="11">
        <v>62.618000000000002</v>
      </c>
      <c r="U171" s="11">
        <v>64.433000000000007</v>
      </c>
      <c r="V171" s="11">
        <v>37.381999999999998</v>
      </c>
      <c r="W171" s="11">
        <v>35.566000000000003</v>
      </c>
      <c r="X171" s="11">
        <v>13.622999999999999</v>
      </c>
      <c r="Y171" s="11">
        <v>13.766</v>
      </c>
      <c r="Z171" s="11">
        <v>35.566000000000003</v>
      </c>
      <c r="AA171" s="11">
        <v>37.381999999999998</v>
      </c>
      <c r="AB171" s="11">
        <v>12.038</v>
      </c>
      <c r="AC171" s="11">
        <v>10</v>
      </c>
      <c r="AD171" s="11">
        <v>10</v>
      </c>
      <c r="AE171" s="11">
        <v>10</v>
      </c>
      <c r="AF171" s="11">
        <v>10</v>
      </c>
    </row>
    <row r="172" spans="1:32" s="11" customFormat="1" x14ac:dyDescent="0.2">
      <c r="A172" s="11">
        <v>292</v>
      </c>
      <c r="F172" s="11" t="s">
        <v>16414</v>
      </c>
      <c r="G172" s="11" t="s">
        <v>16415</v>
      </c>
      <c r="H172" s="12">
        <v>61.1</v>
      </c>
      <c r="I172" s="11" t="s">
        <v>16404</v>
      </c>
      <c r="L172" s="11">
        <v>75.474000000000004</v>
      </c>
      <c r="M172" s="11">
        <v>73.900000000000006</v>
      </c>
      <c r="N172" s="11">
        <v>148.916</v>
      </c>
      <c r="O172" s="11">
        <v>149.87700000000001</v>
      </c>
      <c r="P172" s="11">
        <v>141.185</v>
      </c>
      <c r="Q172" s="11">
        <v>143.929</v>
      </c>
      <c r="R172" s="11">
        <v>113.108</v>
      </c>
      <c r="S172" s="11">
        <v>114.498</v>
      </c>
      <c r="T172" s="11">
        <v>60.341000000000001</v>
      </c>
      <c r="U172" s="11">
        <v>59.012999999999998</v>
      </c>
      <c r="V172" s="11">
        <v>39.658999999999999</v>
      </c>
      <c r="W172" s="11">
        <v>40.987000000000002</v>
      </c>
      <c r="X172" s="11">
        <v>8.8230000000000004</v>
      </c>
      <c r="Y172" s="11">
        <v>10.879</v>
      </c>
      <c r="Z172" s="11">
        <v>40.987000000000002</v>
      </c>
      <c r="AA172" s="11">
        <v>39.658999999999999</v>
      </c>
      <c r="AB172" s="11">
        <v>12.974</v>
      </c>
      <c r="AC172" s="11">
        <v>8</v>
      </c>
      <c r="AD172" s="11">
        <v>7</v>
      </c>
      <c r="AE172" s="11">
        <v>7</v>
      </c>
      <c r="AF172" s="11">
        <v>7</v>
      </c>
    </row>
    <row r="173" spans="1:32" s="11" customFormat="1" x14ac:dyDescent="0.2">
      <c r="A173" s="11">
        <v>293</v>
      </c>
      <c r="F173" s="11" t="s">
        <v>16420</v>
      </c>
      <c r="G173" s="11" t="s">
        <v>16421</v>
      </c>
      <c r="H173" s="12">
        <v>81</v>
      </c>
      <c r="I173" s="11" t="s">
        <v>16404</v>
      </c>
      <c r="L173" s="11">
        <v>55.567999999999998</v>
      </c>
      <c r="M173" s="11">
        <v>56.401000000000003</v>
      </c>
      <c r="N173" s="11">
        <v>112.38800000000001</v>
      </c>
      <c r="O173" s="11">
        <v>111.583</v>
      </c>
      <c r="P173" s="11">
        <v>106.73099999999999</v>
      </c>
      <c r="Q173" s="11">
        <v>105.315</v>
      </c>
      <c r="R173" s="11">
        <v>113.43300000000001</v>
      </c>
      <c r="S173" s="11">
        <v>112.467</v>
      </c>
      <c r="T173" s="11">
        <v>63.152999999999999</v>
      </c>
      <c r="U173" s="11">
        <v>62.01</v>
      </c>
      <c r="V173" s="11">
        <v>36.847000000000001</v>
      </c>
      <c r="W173" s="11">
        <v>37.99</v>
      </c>
      <c r="X173" s="11">
        <v>13.08</v>
      </c>
      <c r="Y173" s="11">
        <v>12.172000000000001</v>
      </c>
      <c r="Z173" s="11">
        <v>37.99</v>
      </c>
      <c r="AA173" s="11">
        <v>36.847000000000001</v>
      </c>
      <c r="AB173" s="11">
        <v>15.396000000000001</v>
      </c>
      <c r="AC173" s="11">
        <v>10</v>
      </c>
      <c r="AD173" s="11">
        <v>12</v>
      </c>
      <c r="AE173" s="11">
        <v>10</v>
      </c>
      <c r="AF173" s="11">
        <v>10</v>
      </c>
    </row>
    <row r="174" spans="1:32" s="11" customFormat="1" x14ac:dyDescent="0.2">
      <c r="A174" s="11">
        <v>294</v>
      </c>
      <c r="F174" s="11" t="s">
        <v>16414</v>
      </c>
      <c r="G174" s="11" t="s">
        <v>16415</v>
      </c>
      <c r="H174" s="12">
        <v>61.3</v>
      </c>
      <c r="I174" s="11" t="s">
        <v>16407</v>
      </c>
      <c r="L174" s="11">
        <v>56.14</v>
      </c>
      <c r="M174" s="11">
        <v>54.112000000000002</v>
      </c>
      <c r="N174" s="11">
        <v>110.005</v>
      </c>
      <c r="O174" s="11">
        <v>111.90900000000001</v>
      </c>
      <c r="P174" s="11">
        <v>100.925</v>
      </c>
      <c r="Q174" s="11">
        <v>102.458</v>
      </c>
      <c r="R174" s="11">
        <v>109.456</v>
      </c>
      <c r="S174" s="11">
        <v>108.821</v>
      </c>
      <c r="T174" s="11">
        <v>65.459999999999994</v>
      </c>
      <c r="U174" s="11">
        <v>62.463000000000001</v>
      </c>
      <c r="V174" s="11">
        <v>34.54</v>
      </c>
      <c r="W174" s="11">
        <v>37.536000000000001</v>
      </c>
      <c r="X174" s="11">
        <v>12.635999999999999</v>
      </c>
      <c r="Y174" s="11">
        <v>15.7</v>
      </c>
      <c r="Z174" s="11">
        <v>37.536000000000001</v>
      </c>
      <c r="AA174" s="11">
        <v>34.54</v>
      </c>
      <c r="AB174" s="11">
        <v>6.4020000000000001</v>
      </c>
      <c r="AC174" s="11">
        <v>11</v>
      </c>
      <c r="AD174" s="11">
        <v>10</v>
      </c>
      <c r="AE174" s="11">
        <v>10</v>
      </c>
      <c r="AF174" s="11">
        <v>10</v>
      </c>
    </row>
    <row r="175" spans="1:32" s="11" customFormat="1" x14ac:dyDescent="0.2">
      <c r="A175" s="11">
        <v>295</v>
      </c>
      <c r="F175" s="11" t="s">
        <v>16414</v>
      </c>
      <c r="G175" s="11" t="s">
        <v>16415</v>
      </c>
      <c r="H175" s="12">
        <v>65.7</v>
      </c>
      <c r="I175" s="11" t="s">
        <v>16407</v>
      </c>
      <c r="L175" s="11">
        <v>57.186999999999998</v>
      </c>
      <c r="M175" s="11">
        <v>52.944000000000003</v>
      </c>
      <c r="N175" s="11">
        <v>110.413</v>
      </c>
      <c r="O175" s="11">
        <v>110.39700000000001</v>
      </c>
      <c r="P175" s="11">
        <v>114.872</v>
      </c>
      <c r="Q175" s="11">
        <v>115.38200000000001</v>
      </c>
      <c r="R175" s="11">
        <v>124.179</v>
      </c>
      <c r="S175" s="11">
        <v>125.349</v>
      </c>
      <c r="T175" s="11">
        <v>63.798999999999999</v>
      </c>
      <c r="U175" s="11">
        <v>63.027000000000001</v>
      </c>
      <c r="V175" s="11">
        <v>36.201000000000001</v>
      </c>
      <c r="W175" s="11">
        <v>36.972999999999999</v>
      </c>
      <c r="X175" s="11">
        <v>11.515000000000001</v>
      </c>
      <c r="Y175" s="11">
        <v>15.214</v>
      </c>
      <c r="Z175" s="11">
        <v>36.972999999999999</v>
      </c>
      <c r="AA175" s="11">
        <v>36.201000000000001</v>
      </c>
      <c r="AB175" s="11">
        <v>9.5</v>
      </c>
      <c r="AC175" s="11">
        <v>11</v>
      </c>
      <c r="AD175" s="11">
        <v>14</v>
      </c>
      <c r="AE175" s="11">
        <v>11</v>
      </c>
      <c r="AF175" s="11">
        <v>11</v>
      </c>
    </row>
    <row r="176" spans="1:32" s="11" customFormat="1" x14ac:dyDescent="0.2">
      <c r="A176" s="11">
        <v>296</v>
      </c>
      <c r="F176" s="11" t="s">
        <v>16428</v>
      </c>
      <c r="G176" s="11" t="s">
        <v>16429</v>
      </c>
      <c r="H176" s="12">
        <v>41</v>
      </c>
      <c r="I176" s="11" t="s">
        <v>16404</v>
      </c>
      <c r="L176" s="11" t="s">
        <v>16403</v>
      </c>
      <c r="M176" s="11" t="s">
        <v>16403</v>
      </c>
      <c r="N176" s="11" t="s">
        <v>16403</v>
      </c>
      <c r="O176" s="11" t="s">
        <v>16403</v>
      </c>
      <c r="P176" s="11" t="s">
        <v>16403</v>
      </c>
      <c r="Q176" s="11" t="s">
        <v>16403</v>
      </c>
      <c r="R176" s="11" t="s">
        <v>16403</v>
      </c>
      <c r="S176" s="11" t="s">
        <v>16403</v>
      </c>
      <c r="T176" s="11" t="s">
        <v>16403</v>
      </c>
      <c r="U176" s="11" t="s">
        <v>16403</v>
      </c>
      <c r="V176" s="11" t="s">
        <v>16403</v>
      </c>
      <c r="W176" s="11" t="s">
        <v>16403</v>
      </c>
      <c r="X176" s="11" t="s">
        <v>16403</v>
      </c>
      <c r="Y176" s="11" t="s">
        <v>16403</v>
      </c>
      <c r="Z176" s="11" t="s">
        <v>16403</v>
      </c>
      <c r="AA176" s="11" t="s">
        <v>16403</v>
      </c>
      <c r="AB176" s="11" t="s">
        <v>16403</v>
      </c>
      <c r="AC176" s="11" t="s">
        <v>16403</v>
      </c>
      <c r="AD176" s="11" t="s">
        <v>16403</v>
      </c>
      <c r="AE176" s="11" t="s">
        <v>16403</v>
      </c>
      <c r="AF176" s="11" t="s">
        <v>16403</v>
      </c>
    </row>
    <row r="177" spans="1:32" s="11" customFormat="1" x14ac:dyDescent="0.2">
      <c r="A177" s="11">
        <v>297</v>
      </c>
      <c r="F177" s="11" t="s">
        <v>16424</v>
      </c>
      <c r="G177" s="11" t="s">
        <v>16425</v>
      </c>
      <c r="H177" s="12">
        <v>67.8</v>
      </c>
      <c r="I177" s="11" t="s">
        <v>16404</v>
      </c>
      <c r="L177" s="11">
        <v>59.908000000000001</v>
      </c>
      <c r="M177" s="11">
        <v>55.228999999999999</v>
      </c>
      <c r="N177" s="11">
        <v>116.74299999999999</v>
      </c>
      <c r="O177" s="11">
        <v>113.23399999999999</v>
      </c>
      <c r="P177" s="11">
        <v>120.36799999999999</v>
      </c>
      <c r="Q177" s="11">
        <v>117.178</v>
      </c>
      <c r="R177" s="11">
        <v>122.905</v>
      </c>
      <c r="S177" s="11">
        <v>122.657</v>
      </c>
      <c r="T177" s="11">
        <v>61.183999999999997</v>
      </c>
      <c r="U177" s="11">
        <v>62.305</v>
      </c>
      <c r="V177" s="11">
        <v>38.816000000000003</v>
      </c>
      <c r="W177" s="11">
        <v>37.695</v>
      </c>
      <c r="X177" s="11">
        <v>10.829000000000001</v>
      </c>
      <c r="Y177" s="11">
        <v>11.983000000000001</v>
      </c>
      <c r="Z177" s="11">
        <v>37.695</v>
      </c>
      <c r="AA177" s="11">
        <v>38.816000000000003</v>
      </c>
      <c r="AB177" s="11">
        <v>8.8320000000000007</v>
      </c>
      <c r="AC177" s="11">
        <v>10</v>
      </c>
      <c r="AD177" s="11">
        <v>10</v>
      </c>
      <c r="AE177" s="11">
        <v>10</v>
      </c>
      <c r="AF177" s="11">
        <v>10</v>
      </c>
    </row>
    <row r="178" spans="1:32" s="11" customFormat="1" x14ac:dyDescent="0.2">
      <c r="A178" s="11">
        <v>298</v>
      </c>
      <c r="F178" s="11" t="s">
        <v>16414</v>
      </c>
      <c r="G178" s="11" t="s">
        <v>16415</v>
      </c>
      <c r="H178" s="12">
        <v>76.2</v>
      </c>
      <c r="I178" s="11" t="s">
        <v>16404</v>
      </c>
      <c r="L178" s="11">
        <v>53.915999999999997</v>
      </c>
      <c r="M178" s="11">
        <v>51.982999999999997</v>
      </c>
      <c r="N178" s="11">
        <v>105.392</v>
      </c>
      <c r="O178" s="11">
        <v>106.85</v>
      </c>
      <c r="P178" s="11">
        <v>94.936000000000007</v>
      </c>
      <c r="Q178" s="11">
        <v>96.578999999999994</v>
      </c>
      <c r="R178" s="11">
        <v>107.57599999999999</v>
      </c>
      <c r="S178" s="11">
        <v>108.015</v>
      </c>
      <c r="T178" s="11">
        <v>64.153999999999996</v>
      </c>
      <c r="U178" s="11">
        <v>63.997999999999998</v>
      </c>
      <c r="V178" s="11">
        <v>35.845999999999997</v>
      </c>
      <c r="W178" s="11">
        <v>36.002000000000002</v>
      </c>
      <c r="X178" s="11">
        <v>14.114000000000001</v>
      </c>
      <c r="Y178" s="11">
        <v>13.831</v>
      </c>
      <c r="Z178" s="11">
        <v>36.002000000000002</v>
      </c>
      <c r="AA178" s="11">
        <v>35.845999999999997</v>
      </c>
      <c r="AB178" s="11">
        <v>14.38</v>
      </c>
      <c r="AC178" s="11">
        <v>10</v>
      </c>
      <c r="AD178" s="11">
        <v>9</v>
      </c>
      <c r="AE178" s="11">
        <v>9</v>
      </c>
      <c r="AF178" s="11">
        <v>9</v>
      </c>
    </row>
    <row r="179" spans="1:32" s="11" customFormat="1" x14ac:dyDescent="0.2">
      <c r="A179" s="11">
        <v>299</v>
      </c>
      <c r="F179" s="11" t="s">
        <v>16403</v>
      </c>
      <c r="G179" s="11" t="s">
        <v>16403</v>
      </c>
      <c r="H179" s="12">
        <v>999</v>
      </c>
      <c r="I179" s="11" t="s">
        <v>16403</v>
      </c>
      <c r="L179" s="11">
        <v>52.515999999999998</v>
      </c>
      <c r="M179" s="11">
        <v>52.832999999999998</v>
      </c>
      <c r="N179" s="11">
        <v>105.40600000000001</v>
      </c>
      <c r="O179" s="11">
        <v>105.235</v>
      </c>
      <c r="P179" s="11">
        <v>101.07599999999999</v>
      </c>
      <c r="Q179" s="11">
        <v>101.001</v>
      </c>
      <c r="R179" s="11">
        <v>114.619</v>
      </c>
      <c r="S179" s="11">
        <v>114.925</v>
      </c>
      <c r="T179" s="11">
        <v>63.396999999999998</v>
      </c>
      <c r="U179" s="11">
        <v>65.33</v>
      </c>
      <c r="V179" s="11">
        <v>36.601999999999997</v>
      </c>
      <c r="W179" s="11">
        <v>34.67</v>
      </c>
      <c r="X179" s="11">
        <v>15.246</v>
      </c>
      <c r="Y179" s="11">
        <v>13.766</v>
      </c>
      <c r="Z179" s="11">
        <v>34.67</v>
      </c>
      <c r="AA179" s="11">
        <v>36.601999999999997</v>
      </c>
      <c r="AB179" s="11">
        <v>9.9580000000000002</v>
      </c>
      <c r="AC179" s="11">
        <v>12</v>
      </c>
      <c r="AD179" s="11">
        <v>11</v>
      </c>
      <c r="AE179" s="11">
        <v>11</v>
      </c>
      <c r="AF179" s="11">
        <v>11</v>
      </c>
    </row>
    <row r="180" spans="1:32" s="11" customFormat="1" x14ac:dyDescent="0.2">
      <c r="A180" s="11">
        <v>300</v>
      </c>
      <c r="F180" s="11" t="s">
        <v>16424</v>
      </c>
      <c r="G180" s="11" t="s">
        <v>16425</v>
      </c>
      <c r="H180" s="12">
        <v>44.2</v>
      </c>
      <c r="I180" s="11" t="s">
        <v>16404</v>
      </c>
      <c r="L180" s="11">
        <v>64.902000000000001</v>
      </c>
      <c r="M180" s="11">
        <v>63.411000000000001</v>
      </c>
      <c r="N180" s="11">
        <v>128.22999999999999</v>
      </c>
      <c r="O180" s="11">
        <v>127.852</v>
      </c>
      <c r="P180" s="11">
        <v>135.46299999999999</v>
      </c>
      <c r="Q180" s="11">
        <v>135.542</v>
      </c>
      <c r="R180" s="11">
        <v>126.642</v>
      </c>
      <c r="S180" s="11">
        <v>126.88500000000001</v>
      </c>
      <c r="T180" s="11">
        <v>61.552999999999997</v>
      </c>
      <c r="U180" s="11">
        <v>61.497999999999998</v>
      </c>
      <c r="V180" s="11">
        <v>38.447000000000003</v>
      </c>
      <c r="W180" s="11">
        <v>38.502000000000002</v>
      </c>
      <c r="X180" s="11">
        <v>12.231999999999999</v>
      </c>
      <c r="Y180" s="11">
        <v>11.188000000000001</v>
      </c>
      <c r="Z180" s="11">
        <v>38.502000000000002</v>
      </c>
      <c r="AA180" s="11">
        <v>38.447000000000003</v>
      </c>
      <c r="AB180" s="11">
        <v>16.207999999999998</v>
      </c>
      <c r="AC180" s="11">
        <v>11</v>
      </c>
      <c r="AD180" s="11">
        <v>10</v>
      </c>
      <c r="AE180" s="11">
        <v>10</v>
      </c>
      <c r="AF180" s="11">
        <v>10</v>
      </c>
    </row>
    <row r="181" spans="1:32" s="11" customFormat="1" x14ac:dyDescent="0.2">
      <c r="A181" s="11">
        <v>301</v>
      </c>
      <c r="F181" s="11" t="s">
        <v>16420</v>
      </c>
      <c r="G181" s="11" t="s">
        <v>16421</v>
      </c>
      <c r="H181" s="12">
        <v>68.900000000000006</v>
      </c>
      <c r="I181" s="11" t="s">
        <v>16404</v>
      </c>
      <c r="L181" s="11">
        <v>59.579000000000001</v>
      </c>
      <c r="M181" s="11">
        <v>55.091999999999999</v>
      </c>
      <c r="N181" s="11">
        <v>114.233</v>
      </c>
      <c r="O181" s="11">
        <v>114.629</v>
      </c>
      <c r="P181" s="11">
        <v>107.04</v>
      </c>
      <c r="Q181" s="11">
        <v>107.425</v>
      </c>
      <c r="R181" s="11">
        <v>112.26300000000001</v>
      </c>
      <c r="S181" s="11">
        <v>111.94199999999999</v>
      </c>
      <c r="T181" s="11">
        <v>61.887999999999998</v>
      </c>
      <c r="U181" s="11">
        <v>63.570999999999998</v>
      </c>
      <c r="V181" s="11">
        <v>38.112000000000002</v>
      </c>
      <c r="W181" s="11">
        <v>36.429000000000002</v>
      </c>
      <c r="X181" s="11">
        <v>12.189</v>
      </c>
      <c r="Y181" s="11">
        <v>12.976000000000001</v>
      </c>
      <c r="Z181" s="11">
        <v>36.429000000000002</v>
      </c>
      <c r="AA181" s="11">
        <v>38.112000000000002</v>
      </c>
      <c r="AB181" s="11">
        <v>11.314</v>
      </c>
      <c r="AC181" s="11">
        <v>12</v>
      </c>
      <c r="AD181" s="11">
        <v>10</v>
      </c>
      <c r="AE181" s="11">
        <v>10</v>
      </c>
      <c r="AF181" s="11">
        <v>10</v>
      </c>
    </row>
    <row r="182" spans="1:32" s="11" customFormat="1" x14ac:dyDescent="0.2">
      <c r="A182" s="11">
        <v>302</v>
      </c>
      <c r="F182" s="11" t="s">
        <v>16424</v>
      </c>
      <c r="G182" s="11" t="s">
        <v>16425</v>
      </c>
      <c r="H182" s="12">
        <v>39.700000000000003</v>
      </c>
      <c r="I182" s="11" t="s">
        <v>16407</v>
      </c>
      <c r="L182" s="11">
        <v>62.954000000000001</v>
      </c>
      <c r="M182" s="11">
        <v>59.182000000000002</v>
      </c>
      <c r="N182" s="11">
        <v>122.63800000000001</v>
      </c>
      <c r="O182" s="11">
        <v>121.62</v>
      </c>
      <c r="P182" s="11">
        <v>139.93</v>
      </c>
      <c r="Q182" s="11">
        <v>138.47</v>
      </c>
      <c r="R182" s="11">
        <v>136.26400000000001</v>
      </c>
      <c r="S182" s="11">
        <v>136.185</v>
      </c>
      <c r="T182" s="11">
        <v>59.982999999999997</v>
      </c>
      <c r="U182" s="11">
        <v>60.018999999999998</v>
      </c>
      <c r="V182" s="11">
        <v>40.017000000000003</v>
      </c>
      <c r="W182" s="11">
        <v>39.981000000000002</v>
      </c>
      <c r="X182" s="11">
        <v>11.167999999999999</v>
      </c>
      <c r="Y182" s="11">
        <v>9.5299999999999994</v>
      </c>
      <c r="Z182" s="11">
        <v>39.981000000000002</v>
      </c>
      <c r="AA182" s="11">
        <v>40.017000000000003</v>
      </c>
      <c r="AB182" s="11">
        <v>7.5</v>
      </c>
      <c r="AC182" s="11">
        <v>10</v>
      </c>
      <c r="AD182" s="11">
        <v>10</v>
      </c>
      <c r="AE182" s="11">
        <v>10</v>
      </c>
      <c r="AF182" s="11">
        <v>10</v>
      </c>
    </row>
    <row r="183" spans="1:32" s="11" customFormat="1" x14ac:dyDescent="0.2">
      <c r="A183" s="11">
        <v>303</v>
      </c>
      <c r="F183" s="11" t="s">
        <v>16414</v>
      </c>
      <c r="G183" s="11" t="s">
        <v>16415</v>
      </c>
      <c r="H183" s="12">
        <v>73.400000000000006</v>
      </c>
      <c r="I183" s="11" t="s">
        <v>16407</v>
      </c>
      <c r="L183" s="11">
        <v>47.889000000000003</v>
      </c>
      <c r="M183" s="11">
        <v>44.587000000000003</v>
      </c>
      <c r="N183" s="11">
        <v>91.563000000000002</v>
      </c>
      <c r="O183" s="11">
        <v>92.58</v>
      </c>
      <c r="P183" s="11">
        <v>57.817999999999998</v>
      </c>
      <c r="Q183" s="11">
        <v>58.511000000000003</v>
      </c>
      <c r="R183" s="11">
        <v>75.403000000000006</v>
      </c>
      <c r="S183" s="11">
        <v>75.495999999999995</v>
      </c>
      <c r="T183" s="11">
        <v>64.614999999999995</v>
      </c>
      <c r="U183" s="11">
        <v>65.19</v>
      </c>
      <c r="V183" s="11">
        <v>35.384999999999998</v>
      </c>
      <c r="W183" s="11">
        <v>34.81</v>
      </c>
      <c r="X183" s="11">
        <v>14.21</v>
      </c>
      <c r="Y183" s="11">
        <v>15.794</v>
      </c>
      <c r="Z183" s="11">
        <v>34.81</v>
      </c>
      <c r="AA183" s="11">
        <v>35.384999999999998</v>
      </c>
      <c r="AB183" s="11">
        <v>11.367000000000001</v>
      </c>
      <c r="AC183" s="11">
        <v>8</v>
      </c>
      <c r="AD183" s="11">
        <v>9</v>
      </c>
      <c r="AE183" s="11">
        <v>8</v>
      </c>
      <c r="AF183" s="11">
        <v>8</v>
      </c>
    </row>
    <row r="184" spans="1:32" s="11" customFormat="1" x14ac:dyDescent="0.2">
      <c r="A184" s="11">
        <v>304</v>
      </c>
      <c r="F184" s="11" t="s">
        <v>16420</v>
      </c>
      <c r="G184" s="11" t="s">
        <v>16421</v>
      </c>
      <c r="H184" s="12">
        <v>74.2</v>
      </c>
      <c r="I184" s="11" t="s">
        <v>16407</v>
      </c>
      <c r="L184" s="11" t="s">
        <v>16403</v>
      </c>
      <c r="M184" s="11" t="s">
        <v>16403</v>
      </c>
      <c r="N184" s="11" t="s">
        <v>16403</v>
      </c>
      <c r="O184" s="11" t="s">
        <v>16403</v>
      </c>
      <c r="P184" s="11" t="s">
        <v>16403</v>
      </c>
      <c r="Q184" s="11" t="s">
        <v>16403</v>
      </c>
      <c r="R184" s="11" t="s">
        <v>16403</v>
      </c>
      <c r="S184" s="11" t="s">
        <v>16403</v>
      </c>
      <c r="T184" s="11" t="s">
        <v>16403</v>
      </c>
      <c r="U184" s="11" t="s">
        <v>16403</v>
      </c>
      <c r="V184" s="11" t="s">
        <v>16403</v>
      </c>
      <c r="W184" s="11" t="s">
        <v>16403</v>
      </c>
      <c r="X184" s="11" t="s">
        <v>16403</v>
      </c>
      <c r="Y184" s="11" t="s">
        <v>16403</v>
      </c>
      <c r="Z184" s="11" t="s">
        <v>16403</v>
      </c>
      <c r="AA184" s="11" t="s">
        <v>16403</v>
      </c>
      <c r="AB184" s="11" t="s">
        <v>16403</v>
      </c>
      <c r="AC184" s="11" t="s">
        <v>16403</v>
      </c>
      <c r="AD184" s="11" t="s">
        <v>16403</v>
      </c>
      <c r="AE184" s="11" t="s">
        <v>16403</v>
      </c>
      <c r="AF184" s="11" t="s">
        <v>16403</v>
      </c>
    </row>
    <row r="185" spans="1:32" s="11" customFormat="1" x14ac:dyDescent="0.2">
      <c r="A185" s="11">
        <v>305</v>
      </c>
      <c r="F185" s="11" t="s">
        <v>16414</v>
      </c>
      <c r="G185" s="11" t="s">
        <v>16415</v>
      </c>
      <c r="H185" s="12">
        <v>68.8</v>
      </c>
      <c r="I185" s="11" t="s">
        <v>16404</v>
      </c>
      <c r="L185" s="11">
        <v>56.576000000000001</v>
      </c>
      <c r="M185" s="11">
        <v>63.593000000000004</v>
      </c>
      <c r="N185" s="11">
        <v>120.164</v>
      </c>
      <c r="O185" s="11">
        <v>121.31</v>
      </c>
      <c r="P185" s="11">
        <v>91.289000000000001</v>
      </c>
      <c r="Q185" s="11">
        <v>91.710999999999999</v>
      </c>
      <c r="R185" s="11">
        <v>90.772999999999996</v>
      </c>
      <c r="S185" s="11">
        <v>90.603999999999999</v>
      </c>
      <c r="T185" s="11">
        <v>61.24</v>
      </c>
      <c r="U185" s="11">
        <v>63.064999999999998</v>
      </c>
      <c r="V185" s="11">
        <v>38.76</v>
      </c>
      <c r="W185" s="11">
        <v>36.935000000000002</v>
      </c>
      <c r="X185" s="11">
        <v>13.305999999999999</v>
      </c>
      <c r="Y185" s="11">
        <v>11.092000000000001</v>
      </c>
      <c r="Z185" s="11">
        <v>36.935000000000002</v>
      </c>
      <c r="AA185" s="11">
        <v>38.76</v>
      </c>
      <c r="AB185" s="11">
        <v>6.008</v>
      </c>
      <c r="AC185" s="11">
        <v>11</v>
      </c>
      <c r="AD185" s="11">
        <v>11</v>
      </c>
      <c r="AE185" s="11">
        <v>11</v>
      </c>
      <c r="AF185" s="11">
        <v>11</v>
      </c>
    </row>
    <row r="186" spans="1:32" s="11" customFormat="1" x14ac:dyDescent="0.2">
      <c r="A186" s="11">
        <v>306</v>
      </c>
      <c r="F186" s="11" t="s">
        <v>16432</v>
      </c>
      <c r="G186" s="11" t="s">
        <v>16433</v>
      </c>
      <c r="H186" s="12">
        <v>66.3</v>
      </c>
      <c r="I186" s="11" t="s">
        <v>16407</v>
      </c>
      <c r="L186" s="11">
        <v>31.059000000000001</v>
      </c>
      <c r="M186" s="11">
        <v>22.317</v>
      </c>
      <c r="N186" s="11">
        <v>53.073</v>
      </c>
      <c r="O186" s="11">
        <v>53.654000000000003</v>
      </c>
      <c r="P186" s="11">
        <v>38.128</v>
      </c>
      <c r="Q186" s="11">
        <v>38.453000000000003</v>
      </c>
      <c r="R186" s="11">
        <v>86.864999999999995</v>
      </c>
      <c r="S186" s="11">
        <v>86.498999999999995</v>
      </c>
      <c r="T186" s="11">
        <v>72.177000000000007</v>
      </c>
      <c r="U186" s="11">
        <v>69.509</v>
      </c>
      <c r="V186" s="11">
        <v>27.823</v>
      </c>
      <c r="W186" s="11">
        <v>30.491</v>
      </c>
      <c r="X186" s="11">
        <v>19.975000000000001</v>
      </c>
      <c r="Y186" s="11">
        <v>22.053000000000001</v>
      </c>
      <c r="Z186" s="11">
        <v>30.491</v>
      </c>
      <c r="AA186" s="11">
        <v>27.823</v>
      </c>
      <c r="AB186" s="11">
        <v>12.557</v>
      </c>
      <c r="AC186" s="11">
        <v>11</v>
      </c>
      <c r="AD186" s="11">
        <v>12</v>
      </c>
      <c r="AE186" s="11">
        <v>11</v>
      </c>
      <c r="AF186" s="11">
        <v>11</v>
      </c>
    </row>
    <row r="187" spans="1:32" s="11" customFormat="1" x14ac:dyDescent="0.2">
      <c r="A187" s="11">
        <v>307</v>
      </c>
      <c r="F187" s="11" t="s">
        <v>16420</v>
      </c>
      <c r="G187" s="11" t="s">
        <v>16421</v>
      </c>
      <c r="H187" s="12">
        <v>54.2</v>
      </c>
      <c r="I187" s="11" t="s">
        <v>16404</v>
      </c>
      <c r="L187" s="11">
        <v>73.123000000000005</v>
      </c>
      <c r="M187" s="11">
        <v>69.225999999999999</v>
      </c>
      <c r="N187" s="11">
        <v>143.012</v>
      </c>
      <c r="O187" s="11">
        <v>142.34899999999999</v>
      </c>
      <c r="P187" s="11">
        <v>131.452</v>
      </c>
      <c r="Q187" s="11">
        <v>130.41200000000001</v>
      </c>
      <c r="R187" s="11">
        <v>109.944</v>
      </c>
      <c r="S187" s="11">
        <v>109.956</v>
      </c>
      <c r="T187" s="11">
        <v>61.822000000000003</v>
      </c>
      <c r="U187" s="11">
        <v>61.448</v>
      </c>
      <c r="V187" s="11">
        <v>38.177999999999997</v>
      </c>
      <c r="W187" s="11">
        <v>38.552</v>
      </c>
      <c r="X187" s="11">
        <v>12.207000000000001</v>
      </c>
      <c r="Y187" s="11">
        <v>11.525</v>
      </c>
      <c r="Z187" s="11">
        <v>38.552</v>
      </c>
      <c r="AA187" s="11">
        <v>38.177999999999997</v>
      </c>
      <c r="AB187" s="11">
        <v>11.74</v>
      </c>
      <c r="AC187" s="11">
        <v>5</v>
      </c>
      <c r="AD187" s="11">
        <v>10</v>
      </c>
      <c r="AE187" s="11">
        <v>5</v>
      </c>
      <c r="AF187" s="11">
        <v>5</v>
      </c>
    </row>
    <row r="188" spans="1:32" s="11" customFormat="1" x14ac:dyDescent="0.2">
      <c r="A188" s="11">
        <v>308</v>
      </c>
      <c r="F188" s="11" t="s">
        <v>16414</v>
      </c>
      <c r="G188" s="11" t="s">
        <v>16415</v>
      </c>
      <c r="H188" s="12">
        <v>67.599999999999994</v>
      </c>
      <c r="I188" s="11" t="s">
        <v>16404</v>
      </c>
      <c r="L188" s="11">
        <v>52.698999999999998</v>
      </c>
      <c r="M188" s="11">
        <v>46.73</v>
      </c>
      <c r="N188" s="11">
        <v>100.813</v>
      </c>
      <c r="O188" s="11">
        <v>98.451999999999998</v>
      </c>
      <c r="P188" s="11">
        <v>97.045000000000002</v>
      </c>
      <c r="Q188" s="11">
        <v>95.471999999999994</v>
      </c>
      <c r="R188" s="11">
        <v>115.22799999999999</v>
      </c>
      <c r="S188" s="11">
        <v>114.973</v>
      </c>
      <c r="T188" s="11">
        <v>61.613</v>
      </c>
      <c r="U188" s="11">
        <v>63.411000000000001</v>
      </c>
      <c r="V188" s="11">
        <v>38.387</v>
      </c>
      <c r="W188" s="11">
        <v>36.588000000000001</v>
      </c>
      <c r="X188" s="11">
        <v>12.000999999999999</v>
      </c>
      <c r="Y188" s="11">
        <v>13.38</v>
      </c>
      <c r="Z188" s="11">
        <v>36.588000000000001</v>
      </c>
      <c r="AA188" s="11">
        <v>38.387</v>
      </c>
      <c r="AB188" s="11">
        <v>9.0350000000000001</v>
      </c>
      <c r="AC188" s="11">
        <v>9</v>
      </c>
      <c r="AD188" s="11">
        <v>9</v>
      </c>
      <c r="AE188" s="11">
        <v>9</v>
      </c>
      <c r="AF188" s="11">
        <v>9</v>
      </c>
    </row>
    <row r="189" spans="1:32" s="11" customFormat="1" x14ac:dyDescent="0.2">
      <c r="A189" s="11">
        <v>309</v>
      </c>
      <c r="F189" s="11" t="s">
        <v>16414</v>
      </c>
      <c r="G189" s="11" t="s">
        <v>16415</v>
      </c>
      <c r="H189" s="12">
        <v>67.7</v>
      </c>
      <c r="I189" s="11" t="s">
        <v>16404</v>
      </c>
      <c r="L189" s="11">
        <v>58.978000000000002</v>
      </c>
      <c r="M189" s="11">
        <v>61.125</v>
      </c>
      <c r="N189" s="11">
        <v>118.714</v>
      </c>
      <c r="O189" s="11">
        <v>121.44199999999999</v>
      </c>
      <c r="P189" s="11">
        <v>107.149</v>
      </c>
      <c r="Q189" s="11">
        <v>109.97499999999999</v>
      </c>
      <c r="R189" s="11">
        <v>107.541</v>
      </c>
      <c r="S189" s="11">
        <v>107.486</v>
      </c>
      <c r="T189" s="11">
        <v>59.506</v>
      </c>
      <c r="U189" s="11">
        <v>62.673000000000002</v>
      </c>
      <c r="V189" s="11">
        <v>40.494</v>
      </c>
      <c r="W189" s="11">
        <v>37.326999999999998</v>
      </c>
      <c r="X189" s="11">
        <v>10.044</v>
      </c>
      <c r="Y189" s="11">
        <v>11.895</v>
      </c>
      <c r="Z189" s="11">
        <v>37.326999999999998</v>
      </c>
      <c r="AA189" s="11">
        <v>40.494</v>
      </c>
      <c r="AB189" s="11">
        <v>13.284000000000001</v>
      </c>
      <c r="AC189" s="11">
        <v>9</v>
      </c>
      <c r="AD189" s="11">
        <v>9</v>
      </c>
      <c r="AE189" s="11">
        <v>9</v>
      </c>
      <c r="AF189" s="11">
        <v>9</v>
      </c>
    </row>
    <row r="190" spans="1:32" s="11" customFormat="1" x14ac:dyDescent="0.2">
      <c r="A190" s="11">
        <v>310</v>
      </c>
      <c r="F190" s="11" t="s">
        <v>16403</v>
      </c>
      <c r="G190" s="11" t="s">
        <v>16403</v>
      </c>
      <c r="H190" s="12">
        <v>999</v>
      </c>
      <c r="I190" s="11" t="s">
        <v>16403</v>
      </c>
      <c r="L190" s="11">
        <v>52.814999999999998</v>
      </c>
      <c r="M190" s="11">
        <v>55.356999999999999</v>
      </c>
      <c r="N190" s="11">
        <v>108.53400000000001</v>
      </c>
      <c r="O190" s="11">
        <v>108.12</v>
      </c>
      <c r="P190" s="11">
        <v>97.6</v>
      </c>
      <c r="Q190" s="11">
        <v>97.623999999999995</v>
      </c>
      <c r="R190" s="11">
        <v>107.947</v>
      </c>
      <c r="S190" s="11">
        <v>107.831</v>
      </c>
      <c r="T190" s="11">
        <v>62.95</v>
      </c>
      <c r="U190" s="11">
        <v>63.316000000000003</v>
      </c>
      <c r="V190" s="11">
        <v>37.049999999999997</v>
      </c>
      <c r="W190" s="11">
        <v>36.683999999999997</v>
      </c>
      <c r="X190" s="11">
        <v>13.005000000000001</v>
      </c>
      <c r="Y190" s="11">
        <v>13.095000000000001</v>
      </c>
      <c r="Z190" s="11">
        <v>36.683999999999997</v>
      </c>
      <c r="AA190" s="11">
        <v>37.049999999999997</v>
      </c>
      <c r="AB190" s="11">
        <v>6.65</v>
      </c>
      <c r="AC190" s="11">
        <v>11</v>
      </c>
      <c r="AD190" s="11">
        <v>10</v>
      </c>
      <c r="AE190" s="11">
        <v>10</v>
      </c>
      <c r="AF190" s="11">
        <v>10</v>
      </c>
    </row>
    <row r="191" spans="1:32" s="11" customFormat="1" x14ac:dyDescent="0.2">
      <c r="A191" s="11">
        <v>311</v>
      </c>
      <c r="F191" s="11" t="s">
        <v>16403</v>
      </c>
      <c r="G191" s="11" t="s">
        <v>16403</v>
      </c>
      <c r="H191" s="12">
        <v>999</v>
      </c>
      <c r="I191" s="11" t="s">
        <v>16403</v>
      </c>
      <c r="L191" s="11">
        <v>27.768000000000001</v>
      </c>
      <c r="M191" s="11">
        <v>29.474</v>
      </c>
      <c r="N191" s="11">
        <v>56.64</v>
      </c>
      <c r="O191" s="11">
        <v>58.100999999999999</v>
      </c>
      <c r="P191" s="11">
        <v>62.442999999999998</v>
      </c>
      <c r="Q191" s="11">
        <v>64.177999999999997</v>
      </c>
      <c r="R191" s="11">
        <v>130.71700000000001</v>
      </c>
      <c r="S191" s="11">
        <v>131.36500000000001</v>
      </c>
      <c r="T191" s="11">
        <v>60.957999999999998</v>
      </c>
      <c r="U191" s="11">
        <v>68.263000000000005</v>
      </c>
      <c r="V191" s="11">
        <v>39.042000000000002</v>
      </c>
      <c r="W191" s="11">
        <v>31.736999999999998</v>
      </c>
      <c r="X191" s="11">
        <v>12.41</v>
      </c>
      <c r="Y191" s="11">
        <v>17.309000000000001</v>
      </c>
      <c r="Z191" s="11">
        <v>31.736999999999998</v>
      </c>
      <c r="AA191" s="11">
        <v>39.042000000000002</v>
      </c>
      <c r="AB191" s="11">
        <v>9.9529999999999994</v>
      </c>
      <c r="AC191" s="11">
        <v>10</v>
      </c>
      <c r="AD191" s="11">
        <v>10</v>
      </c>
      <c r="AE191" s="11">
        <v>10</v>
      </c>
      <c r="AF191" s="11">
        <v>10</v>
      </c>
    </row>
    <row r="192" spans="1:32" s="11" customFormat="1" x14ac:dyDescent="0.2">
      <c r="A192" s="11">
        <v>312</v>
      </c>
      <c r="F192" s="11" t="s">
        <v>16403</v>
      </c>
      <c r="G192" s="11" t="s">
        <v>16403</v>
      </c>
      <c r="H192" s="12">
        <v>999</v>
      </c>
      <c r="I192" s="11" t="s">
        <v>16403</v>
      </c>
      <c r="L192" s="11">
        <v>67.454999999999998</v>
      </c>
      <c r="M192" s="11">
        <v>65.067999999999998</v>
      </c>
      <c r="N192" s="11">
        <v>132.721</v>
      </c>
      <c r="O192" s="11">
        <v>132.27799999999999</v>
      </c>
      <c r="P192" s="11">
        <v>136.244</v>
      </c>
      <c r="Q192" s="11">
        <v>135.953</v>
      </c>
      <c r="R192" s="11">
        <v>122.85299999999999</v>
      </c>
      <c r="S192" s="11">
        <v>122.637</v>
      </c>
      <c r="T192" s="11">
        <v>61.046999999999997</v>
      </c>
      <c r="U192" s="11">
        <v>63.381</v>
      </c>
      <c r="V192" s="11">
        <v>38.953000000000003</v>
      </c>
      <c r="W192" s="11">
        <v>36.619</v>
      </c>
      <c r="X192" s="11">
        <v>13.077999999999999</v>
      </c>
      <c r="Y192" s="11">
        <v>12.281000000000001</v>
      </c>
      <c r="Z192" s="11">
        <v>36.619</v>
      </c>
      <c r="AA192" s="11">
        <v>38.953000000000003</v>
      </c>
      <c r="AB192" s="11">
        <v>16.436</v>
      </c>
      <c r="AC192" s="11">
        <v>9</v>
      </c>
      <c r="AD192" s="11">
        <v>7</v>
      </c>
      <c r="AE192" s="11">
        <v>7</v>
      </c>
      <c r="AF192" s="11">
        <v>7</v>
      </c>
    </row>
    <row r="193" spans="1:32" s="11" customFormat="1" x14ac:dyDescent="0.2">
      <c r="A193" s="11">
        <v>313</v>
      </c>
      <c r="F193" s="11" t="s">
        <v>16414</v>
      </c>
      <c r="G193" s="11" t="s">
        <v>16415</v>
      </c>
      <c r="H193" s="12">
        <v>69.599999999999994</v>
      </c>
      <c r="I193" s="11" t="s">
        <v>16404</v>
      </c>
      <c r="L193" s="11" t="s">
        <v>16403</v>
      </c>
      <c r="M193" s="11" t="s">
        <v>16403</v>
      </c>
      <c r="N193" s="11" t="s">
        <v>16403</v>
      </c>
      <c r="O193" s="11" t="s">
        <v>16403</v>
      </c>
      <c r="P193" s="11" t="s">
        <v>16403</v>
      </c>
      <c r="Q193" s="11" t="s">
        <v>16403</v>
      </c>
      <c r="R193" s="11" t="s">
        <v>16403</v>
      </c>
      <c r="S193" s="11" t="s">
        <v>16403</v>
      </c>
      <c r="T193" s="11" t="s">
        <v>16403</v>
      </c>
      <c r="U193" s="11" t="s">
        <v>16403</v>
      </c>
      <c r="V193" s="11" t="s">
        <v>16403</v>
      </c>
      <c r="W193" s="11" t="s">
        <v>16403</v>
      </c>
      <c r="X193" s="11" t="s">
        <v>16403</v>
      </c>
      <c r="Y193" s="11" t="s">
        <v>16403</v>
      </c>
      <c r="Z193" s="11" t="s">
        <v>16403</v>
      </c>
      <c r="AA193" s="11" t="s">
        <v>16403</v>
      </c>
      <c r="AB193" s="11" t="s">
        <v>16403</v>
      </c>
      <c r="AC193" s="11" t="s">
        <v>16403</v>
      </c>
      <c r="AD193" s="11" t="s">
        <v>16403</v>
      </c>
      <c r="AE193" s="11" t="s">
        <v>16403</v>
      </c>
      <c r="AF193" s="11" t="s">
        <v>16403</v>
      </c>
    </row>
    <row r="194" spans="1:32" s="11" customFormat="1" x14ac:dyDescent="0.2">
      <c r="A194" s="11">
        <v>314</v>
      </c>
      <c r="F194" s="11" t="s">
        <v>16403</v>
      </c>
      <c r="G194" s="11" t="s">
        <v>16403</v>
      </c>
      <c r="H194" s="12">
        <v>999</v>
      </c>
      <c r="I194" s="11" t="s">
        <v>16403</v>
      </c>
      <c r="L194" s="11">
        <v>31.23</v>
      </c>
      <c r="M194" s="11">
        <v>23.835000000000001</v>
      </c>
      <c r="N194" s="11">
        <v>55.104999999999997</v>
      </c>
      <c r="O194" s="11">
        <v>55.49</v>
      </c>
      <c r="P194" s="11">
        <v>39.460999999999999</v>
      </c>
      <c r="Q194" s="11">
        <v>39.845999999999997</v>
      </c>
      <c r="R194" s="11">
        <v>86.031000000000006</v>
      </c>
      <c r="S194" s="11">
        <v>85.555999999999997</v>
      </c>
      <c r="T194" s="11">
        <v>70.655000000000001</v>
      </c>
      <c r="U194" s="11">
        <v>73.715000000000003</v>
      </c>
      <c r="V194" s="11">
        <v>29.344999999999999</v>
      </c>
      <c r="W194" s="11">
        <v>26.285</v>
      </c>
      <c r="X194" s="11">
        <v>20.645</v>
      </c>
      <c r="Y194" s="11">
        <v>23.49</v>
      </c>
      <c r="Z194" s="11">
        <v>26.285</v>
      </c>
      <c r="AA194" s="11">
        <v>29.344999999999999</v>
      </c>
      <c r="AB194" s="11">
        <v>11.927</v>
      </c>
      <c r="AC194" s="11">
        <v>15</v>
      </c>
      <c r="AD194" s="11">
        <v>15</v>
      </c>
      <c r="AE194" s="11">
        <v>15</v>
      </c>
      <c r="AF194" s="11">
        <v>15</v>
      </c>
    </row>
    <row r="195" spans="1:32" s="11" customFormat="1" x14ac:dyDescent="0.2">
      <c r="A195" s="11">
        <v>315</v>
      </c>
      <c r="F195" s="11" t="s">
        <v>16403</v>
      </c>
      <c r="G195" s="11" t="s">
        <v>16403</v>
      </c>
      <c r="H195" s="12">
        <v>999</v>
      </c>
      <c r="I195" s="11" t="s">
        <v>16403</v>
      </c>
      <c r="L195" s="11">
        <v>59.912999999999997</v>
      </c>
      <c r="M195" s="11">
        <v>56.59</v>
      </c>
      <c r="N195" s="11">
        <v>117.34</v>
      </c>
      <c r="O195" s="11">
        <v>116.227</v>
      </c>
      <c r="P195" s="11">
        <v>108.068</v>
      </c>
      <c r="Q195" s="11">
        <v>107.172</v>
      </c>
      <c r="R195" s="11">
        <v>109.824</v>
      </c>
      <c r="S195" s="11">
        <v>109.497</v>
      </c>
      <c r="T195" s="11">
        <v>62.585000000000001</v>
      </c>
      <c r="U195" s="11">
        <v>61.814999999999998</v>
      </c>
      <c r="V195" s="11">
        <v>37.414999999999999</v>
      </c>
      <c r="W195" s="11">
        <v>38.185000000000002</v>
      </c>
      <c r="X195" s="11">
        <v>12.198</v>
      </c>
      <c r="Y195" s="11">
        <v>12.631</v>
      </c>
      <c r="Z195" s="11">
        <v>38.185000000000002</v>
      </c>
      <c r="AA195" s="11">
        <v>37.414999999999999</v>
      </c>
      <c r="AB195" s="11">
        <v>11.112</v>
      </c>
      <c r="AC195" s="11">
        <v>10</v>
      </c>
      <c r="AD195" s="11">
        <v>11</v>
      </c>
      <c r="AE195" s="11">
        <v>10</v>
      </c>
      <c r="AF195" s="11">
        <v>10</v>
      </c>
    </row>
    <row r="196" spans="1:32" s="11" customFormat="1" x14ac:dyDescent="0.2">
      <c r="A196" s="11">
        <v>316</v>
      </c>
      <c r="F196" s="11" t="s">
        <v>16420</v>
      </c>
      <c r="G196" s="11" t="s">
        <v>16421</v>
      </c>
      <c r="H196" s="12">
        <v>75.599999999999994</v>
      </c>
      <c r="I196" s="11" t="s">
        <v>16407</v>
      </c>
      <c r="L196" s="11">
        <v>62.558</v>
      </c>
      <c r="M196" s="11">
        <v>62.603000000000002</v>
      </c>
      <c r="N196" s="11">
        <v>124.863</v>
      </c>
      <c r="O196" s="11">
        <v>125.39100000000001</v>
      </c>
      <c r="P196" s="11">
        <v>125.33</v>
      </c>
      <c r="Q196" s="11">
        <v>125.101</v>
      </c>
      <c r="R196" s="11">
        <v>119.47799999999999</v>
      </c>
      <c r="S196" s="11">
        <v>119.494</v>
      </c>
      <c r="T196" s="11">
        <v>60.652000000000001</v>
      </c>
      <c r="U196" s="11">
        <v>60.183</v>
      </c>
      <c r="V196" s="11">
        <v>39.347999999999999</v>
      </c>
      <c r="W196" s="11">
        <v>39.817</v>
      </c>
      <c r="X196" s="11">
        <v>10.593</v>
      </c>
      <c r="Y196" s="11">
        <v>10.318</v>
      </c>
      <c r="Z196" s="11">
        <v>39.817</v>
      </c>
      <c r="AA196" s="11">
        <v>39.347999999999999</v>
      </c>
      <c r="AB196" s="11">
        <v>7.0460000000000003</v>
      </c>
      <c r="AC196" s="11">
        <v>9</v>
      </c>
      <c r="AD196" s="11">
        <v>9</v>
      </c>
      <c r="AE196" s="11">
        <v>9</v>
      </c>
      <c r="AF196" s="11">
        <v>9</v>
      </c>
    </row>
    <row r="197" spans="1:32" s="11" customFormat="1" x14ac:dyDescent="0.2">
      <c r="A197" s="11">
        <v>317</v>
      </c>
      <c r="F197" s="11" t="s">
        <v>16420</v>
      </c>
      <c r="G197" s="11" t="s">
        <v>16421</v>
      </c>
      <c r="H197" s="12">
        <v>50.2</v>
      </c>
      <c r="I197" s="11" t="s">
        <v>16404</v>
      </c>
      <c r="L197" s="11">
        <v>67.021000000000001</v>
      </c>
      <c r="M197" s="11">
        <v>64.103999999999999</v>
      </c>
      <c r="N197" s="11">
        <v>130.78</v>
      </c>
      <c r="O197" s="11">
        <v>131.09</v>
      </c>
      <c r="P197" s="11">
        <v>107.38500000000001</v>
      </c>
      <c r="Q197" s="11">
        <v>107.616</v>
      </c>
      <c r="R197" s="11">
        <v>98.423000000000002</v>
      </c>
      <c r="S197" s="11">
        <v>98.537000000000006</v>
      </c>
      <c r="T197" s="11">
        <v>63.268000000000001</v>
      </c>
      <c r="U197" s="11">
        <v>62.369</v>
      </c>
      <c r="V197" s="11">
        <v>36.731999999999999</v>
      </c>
      <c r="W197" s="11">
        <v>37.631</v>
      </c>
      <c r="X197" s="11">
        <v>12.617000000000001</v>
      </c>
      <c r="Y197" s="11">
        <v>12.577</v>
      </c>
      <c r="Z197" s="11">
        <v>37.631</v>
      </c>
      <c r="AA197" s="11">
        <v>36.731999999999999</v>
      </c>
      <c r="AB197" s="11">
        <v>6.0979999999999999</v>
      </c>
      <c r="AC197" s="11">
        <v>8</v>
      </c>
      <c r="AD197" s="11">
        <v>10</v>
      </c>
      <c r="AE197" s="11">
        <v>8</v>
      </c>
      <c r="AF197" s="11">
        <v>8</v>
      </c>
    </row>
    <row r="198" spans="1:32" s="11" customFormat="1" x14ac:dyDescent="0.2">
      <c r="A198" s="11">
        <v>318</v>
      </c>
      <c r="F198" s="11" t="s">
        <v>16420</v>
      </c>
      <c r="G198" s="11" t="s">
        <v>16421</v>
      </c>
      <c r="H198" s="12">
        <v>65</v>
      </c>
      <c r="I198" s="11" t="s">
        <v>16404</v>
      </c>
      <c r="L198" s="11">
        <v>66.760999999999996</v>
      </c>
      <c r="M198" s="11">
        <v>61.744999999999997</v>
      </c>
      <c r="N198" s="11">
        <v>129.20500000000001</v>
      </c>
      <c r="O198" s="11">
        <v>128.28200000000001</v>
      </c>
      <c r="P198" s="11">
        <v>123.373</v>
      </c>
      <c r="Q198" s="11">
        <v>123.399</v>
      </c>
      <c r="R198" s="11">
        <v>114.11499999999999</v>
      </c>
      <c r="S198" s="11">
        <v>114.643</v>
      </c>
      <c r="T198" s="11">
        <v>62.07</v>
      </c>
      <c r="U198" s="11">
        <v>62.152000000000001</v>
      </c>
      <c r="V198" s="11">
        <v>37.93</v>
      </c>
      <c r="W198" s="11">
        <v>37.847999999999999</v>
      </c>
      <c r="X198" s="11">
        <v>14.318</v>
      </c>
      <c r="Y198" s="11">
        <v>10.996</v>
      </c>
      <c r="Z198" s="11">
        <v>37.847999999999999</v>
      </c>
      <c r="AA198" s="11">
        <v>37.93</v>
      </c>
      <c r="AB198" s="11">
        <v>10.19</v>
      </c>
      <c r="AC198" s="11">
        <v>11</v>
      </c>
      <c r="AD198" s="11">
        <v>11</v>
      </c>
      <c r="AE198" s="11">
        <v>11</v>
      </c>
      <c r="AF198" s="11">
        <v>11</v>
      </c>
    </row>
    <row r="199" spans="1:32" s="11" customFormat="1" x14ac:dyDescent="0.2">
      <c r="A199" s="11">
        <v>319</v>
      </c>
      <c r="F199" s="11" t="s">
        <v>16403</v>
      </c>
      <c r="G199" s="11" t="s">
        <v>16403</v>
      </c>
      <c r="H199" s="12">
        <v>999</v>
      </c>
      <c r="I199" s="11" t="s">
        <v>16403</v>
      </c>
      <c r="L199" s="11">
        <v>62.673000000000002</v>
      </c>
      <c r="M199" s="11">
        <v>55.119</v>
      </c>
      <c r="N199" s="11">
        <v>117.914</v>
      </c>
      <c r="O199" s="11">
        <v>117.77800000000001</v>
      </c>
      <c r="P199" s="11">
        <v>107.04300000000001</v>
      </c>
      <c r="Q199" s="11">
        <v>106.81</v>
      </c>
      <c r="R199" s="11">
        <v>108.30200000000001</v>
      </c>
      <c r="S199" s="11">
        <v>108.19499999999999</v>
      </c>
      <c r="T199" s="11">
        <v>62.728999999999999</v>
      </c>
      <c r="U199" s="11">
        <v>61.27</v>
      </c>
      <c r="V199" s="11">
        <v>37.271000000000001</v>
      </c>
      <c r="W199" s="11">
        <v>38.729999999999997</v>
      </c>
      <c r="X199" s="11">
        <v>10.132999999999999</v>
      </c>
      <c r="Y199" s="11">
        <v>13.891999999999999</v>
      </c>
      <c r="Z199" s="11">
        <v>38.729999999999997</v>
      </c>
      <c r="AA199" s="11">
        <v>37.271000000000001</v>
      </c>
      <c r="AB199" s="11">
        <v>15.502000000000001</v>
      </c>
      <c r="AC199" s="11">
        <v>10</v>
      </c>
      <c r="AD199" s="11">
        <v>10</v>
      </c>
      <c r="AE199" s="11">
        <v>10</v>
      </c>
      <c r="AF199" s="11">
        <v>10</v>
      </c>
    </row>
    <row r="200" spans="1:32" s="11" customFormat="1" x14ac:dyDescent="0.2">
      <c r="A200" s="11">
        <v>320</v>
      </c>
      <c r="F200" s="11" t="s">
        <v>16403</v>
      </c>
      <c r="G200" s="11" t="s">
        <v>16403</v>
      </c>
      <c r="H200" s="12">
        <v>44.2</v>
      </c>
      <c r="I200" s="11" t="s">
        <v>16404</v>
      </c>
      <c r="L200" s="11" t="s">
        <v>16403</v>
      </c>
      <c r="M200" s="11" t="s">
        <v>16403</v>
      </c>
      <c r="N200" s="11" t="s">
        <v>16403</v>
      </c>
      <c r="O200" s="11" t="s">
        <v>16403</v>
      </c>
      <c r="P200" s="11" t="s">
        <v>16403</v>
      </c>
      <c r="Q200" s="11" t="s">
        <v>16403</v>
      </c>
      <c r="R200" s="11" t="s">
        <v>16403</v>
      </c>
      <c r="S200" s="11" t="s">
        <v>16403</v>
      </c>
      <c r="T200" s="11" t="s">
        <v>16403</v>
      </c>
      <c r="U200" s="11" t="s">
        <v>16403</v>
      </c>
      <c r="V200" s="11" t="s">
        <v>16403</v>
      </c>
      <c r="W200" s="11" t="s">
        <v>16403</v>
      </c>
      <c r="X200" s="11" t="s">
        <v>16403</v>
      </c>
      <c r="Y200" s="11" t="s">
        <v>16403</v>
      </c>
      <c r="Z200" s="11" t="s">
        <v>16403</v>
      </c>
      <c r="AA200" s="11" t="s">
        <v>16403</v>
      </c>
      <c r="AB200" s="11" t="s">
        <v>16403</v>
      </c>
      <c r="AC200" s="11" t="s">
        <v>16403</v>
      </c>
      <c r="AD200" s="11" t="s">
        <v>16403</v>
      </c>
      <c r="AE200" s="11" t="s">
        <v>16403</v>
      </c>
      <c r="AF200" s="11" t="s">
        <v>16403</v>
      </c>
    </row>
    <row r="201" spans="1:32" s="11" customFormat="1" x14ac:dyDescent="0.2">
      <c r="A201" s="11">
        <v>321</v>
      </c>
      <c r="F201" s="11" t="s">
        <v>16403</v>
      </c>
      <c r="G201" s="11" t="s">
        <v>16403</v>
      </c>
      <c r="H201" s="12">
        <v>999</v>
      </c>
      <c r="I201" s="11" t="s">
        <v>16403</v>
      </c>
      <c r="L201" s="11" t="s">
        <v>16403</v>
      </c>
      <c r="M201" s="11" t="s">
        <v>16403</v>
      </c>
      <c r="N201" s="11" t="s">
        <v>16403</v>
      </c>
      <c r="O201" s="11" t="s">
        <v>16403</v>
      </c>
      <c r="P201" s="11" t="s">
        <v>16403</v>
      </c>
      <c r="Q201" s="11" t="s">
        <v>16403</v>
      </c>
      <c r="R201" s="11" t="s">
        <v>16403</v>
      </c>
      <c r="S201" s="11" t="s">
        <v>16403</v>
      </c>
      <c r="T201" s="11" t="s">
        <v>16403</v>
      </c>
      <c r="U201" s="11" t="s">
        <v>16403</v>
      </c>
      <c r="V201" s="11" t="s">
        <v>16403</v>
      </c>
      <c r="W201" s="11" t="s">
        <v>16403</v>
      </c>
      <c r="X201" s="11" t="s">
        <v>16403</v>
      </c>
      <c r="Y201" s="11" t="s">
        <v>16403</v>
      </c>
      <c r="Z201" s="11" t="s">
        <v>16403</v>
      </c>
      <c r="AA201" s="11" t="s">
        <v>16403</v>
      </c>
      <c r="AB201" s="11" t="s">
        <v>16403</v>
      </c>
      <c r="AC201" s="11" t="s">
        <v>16403</v>
      </c>
      <c r="AD201" s="11" t="s">
        <v>16403</v>
      </c>
      <c r="AE201" s="11" t="s">
        <v>16403</v>
      </c>
      <c r="AF201" s="11" t="s">
        <v>16403</v>
      </c>
    </row>
    <row r="202" spans="1:32" s="11" customFormat="1" x14ac:dyDescent="0.2">
      <c r="A202" s="11">
        <v>322</v>
      </c>
      <c r="F202" s="11" t="s">
        <v>16414</v>
      </c>
      <c r="G202" s="11" t="s">
        <v>16415</v>
      </c>
      <c r="H202" s="12">
        <v>75</v>
      </c>
      <c r="I202" s="11" t="s">
        <v>16404</v>
      </c>
      <c r="L202" s="11">
        <v>40.909999999999997</v>
      </c>
      <c r="M202" s="11">
        <v>37.569000000000003</v>
      </c>
      <c r="N202" s="11">
        <v>79.010999999999996</v>
      </c>
      <c r="O202" s="11">
        <v>77.370999999999995</v>
      </c>
      <c r="P202" s="11">
        <v>77.668000000000006</v>
      </c>
      <c r="Q202" s="11">
        <v>76.521000000000001</v>
      </c>
      <c r="R202" s="11">
        <v>118.67700000000001</v>
      </c>
      <c r="S202" s="11">
        <v>118.04900000000001</v>
      </c>
      <c r="T202" s="11">
        <v>66.168000000000006</v>
      </c>
      <c r="U202" s="11">
        <v>64.768000000000001</v>
      </c>
      <c r="V202" s="11">
        <v>33.832000000000001</v>
      </c>
      <c r="W202" s="11">
        <v>35.231999999999999</v>
      </c>
      <c r="X202" s="11">
        <v>12.222</v>
      </c>
      <c r="Y202" s="11">
        <v>18.059000000000001</v>
      </c>
      <c r="Z202" s="11">
        <v>35.231999999999999</v>
      </c>
      <c r="AA202" s="11">
        <v>33.832000000000001</v>
      </c>
      <c r="AB202" s="11">
        <v>16.745000000000001</v>
      </c>
      <c r="AC202" s="11">
        <v>13</v>
      </c>
      <c r="AD202" s="11">
        <v>14</v>
      </c>
      <c r="AE202" s="11">
        <v>13</v>
      </c>
      <c r="AF202" s="11">
        <v>13</v>
      </c>
    </row>
    <row r="203" spans="1:32" s="11" customFormat="1" x14ac:dyDescent="0.2">
      <c r="A203" s="11">
        <v>323</v>
      </c>
      <c r="F203" s="11" t="s">
        <v>16414</v>
      </c>
      <c r="G203" s="11" t="s">
        <v>16415</v>
      </c>
      <c r="H203" s="12">
        <v>71.3</v>
      </c>
      <c r="I203" s="11" t="s">
        <v>16404</v>
      </c>
      <c r="L203" s="11">
        <v>53.371000000000002</v>
      </c>
      <c r="M203" s="11">
        <v>55.128</v>
      </c>
      <c r="N203" s="11">
        <v>109.157</v>
      </c>
      <c r="O203" s="11">
        <v>108.521</v>
      </c>
      <c r="P203" s="11">
        <v>84.364999999999995</v>
      </c>
      <c r="Q203" s="11">
        <v>84.679000000000002</v>
      </c>
      <c r="R203" s="11">
        <v>92.841999999999999</v>
      </c>
      <c r="S203" s="11">
        <v>93.650999999999996</v>
      </c>
      <c r="T203" s="11">
        <v>63.673000000000002</v>
      </c>
      <c r="U203" s="11">
        <v>63.354999999999997</v>
      </c>
      <c r="V203" s="11">
        <v>36.326999999999998</v>
      </c>
      <c r="W203" s="11">
        <v>36.645000000000003</v>
      </c>
      <c r="X203" s="11">
        <v>14.273999999999999</v>
      </c>
      <c r="Y203" s="11">
        <v>13.24</v>
      </c>
      <c r="Z203" s="11">
        <v>36.645000000000003</v>
      </c>
      <c r="AA203" s="11">
        <v>36.326999999999998</v>
      </c>
      <c r="AB203" s="11">
        <v>10.526</v>
      </c>
      <c r="AC203" s="11">
        <v>12</v>
      </c>
      <c r="AD203" s="11">
        <v>11</v>
      </c>
      <c r="AE203" s="11">
        <v>11</v>
      </c>
      <c r="AF203" s="11">
        <v>11</v>
      </c>
    </row>
    <row r="204" spans="1:32" s="11" customFormat="1" x14ac:dyDescent="0.2">
      <c r="A204" s="11">
        <v>324</v>
      </c>
      <c r="F204" s="11" t="s">
        <v>16403</v>
      </c>
      <c r="G204" s="11" t="s">
        <v>16403</v>
      </c>
      <c r="H204" s="12">
        <v>71.7</v>
      </c>
      <c r="I204" s="11" t="s">
        <v>16404</v>
      </c>
      <c r="L204" s="11" t="s">
        <v>16403</v>
      </c>
      <c r="M204" s="11" t="s">
        <v>16403</v>
      </c>
      <c r="N204" s="11" t="s">
        <v>16403</v>
      </c>
      <c r="O204" s="11" t="s">
        <v>16403</v>
      </c>
      <c r="P204" s="11" t="s">
        <v>16403</v>
      </c>
      <c r="Q204" s="11" t="s">
        <v>16403</v>
      </c>
      <c r="R204" s="11" t="s">
        <v>16403</v>
      </c>
      <c r="S204" s="11" t="s">
        <v>16403</v>
      </c>
      <c r="T204" s="11" t="s">
        <v>16403</v>
      </c>
      <c r="U204" s="11" t="s">
        <v>16403</v>
      </c>
      <c r="V204" s="11" t="s">
        <v>16403</v>
      </c>
      <c r="W204" s="11" t="s">
        <v>16403</v>
      </c>
      <c r="X204" s="11" t="s">
        <v>16403</v>
      </c>
      <c r="Y204" s="11" t="s">
        <v>16403</v>
      </c>
      <c r="Z204" s="11" t="s">
        <v>16403</v>
      </c>
      <c r="AA204" s="11" t="s">
        <v>16403</v>
      </c>
      <c r="AB204" s="11" t="s">
        <v>16403</v>
      </c>
      <c r="AC204" s="11" t="s">
        <v>16403</v>
      </c>
      <c r="AD204" s="11" t="s">
        <v>16403</v>
      </c>
      <c r="AE204" s="11" t="s">
        <v>16403</v>
      </c>
      <c r="AF204" s="11" t="s">
        <v>16403</v>
      </c>
    </row>
    <row r="205" spans="1:32" s="11" customFormat="1" x14ac:dyDescent="0.2">
      <c r="A205" s="11">
        <v>325</v>
      </c>
      <c r="F205" s="11" t="s">
        <v>16420</v>
      </c>
      <c r="G205" s="11" t="s">
        <v>16421</v>
      </c>
      <c r="H205" s="12">
        <v>78.400000000000006</v>
      </c>
      <c r="I205" s="11" t="s">
        <v>16407</v>
      </c>
      <c r="L205" s="11">
        <v>47.603000000000002</v>
      </c>
      <c r="M205" s="11">
        <v>48.305</v>
      </c>
      <c r="N205" s="11">
        <v>96.623999999999995</v>
      </c>
      <c r="O205" s="11">
        <v>95.74</v>
      </c>
      <c r="P205" s="11">
        <v>94.378</v>
      </c>
      <c r="Q205" s="11">
        <v>93.463999999999999</v>
      </c>
      <c r="R205" s="11">
        <v>116.872</v>
      </c>
      <c r="S205" s="11">
        <v>116.837</v>
      </c>
      <c r="T205" s="11">
        <v>64.792000000000002</v>
      </c>
      <c r="U205" s="11">
        <v>63.905000000000001</v>
      </c>
      <c r="V205" s="11">
        <v>35.207999999999998</v>
      </c>
      <c r="W205" s="11">
        <v>36.094000000000001</v>
      </c>
      <c r="X205" s="11">
        <v>14.106999999999999</v>
      </c>
      <c r="Y205" s="11">
        <v>14.659000000000001</v>
      </c>
      <c r="Z205" s="11">
        <v>36.094000000000001</v>
      </c>
      <c r="AA205" s="11">
        <v>35.207999999999998</v>
      </c>
      <c r="AB205" s="11">
        <v>11.294</v>
      </c>
      <c r="AC205" s="11">
        <v>13</v>
      </c>
      <c r="AD205" s="11">
        <v>14</v>
      </c>
      <c r="AE205" s="11">
        <v>13</v>
      </c>
      <c r="AF205" s="11">
        <v>13</v>
      </c>
    </row>
    <row r="206" spans="1:32" s="11" customFormat="1" x14ac:dyDescent="0.2">
      <c r="A206" s="11">
        <v>326</v>
      </c>
      <c r="F206" s="11" t="s">
        <v>16414</v>
      </c>
      <c r="G206" s="11" t="s">
        <v>16415</v>
      </c>
      <c r="H206" s="12">
        <v>75.2</v>
      </c>
      <c r="I206" s="11" t="s">
        <v>16407</v>
      </c>
      <c r="L206" s="11">
        <v>30.745000000000001</v>
      </c>
      <c r="M206" s="11">
        <v>35.854999999999997</v>
      </c>
      <c r="N206" s="11">
        <v>67.768000000000001</v>
      </c>
      <c r="O206" s="11">
        <v>66.424999999999997</v>
      </c>
      <c r="P206" s="11">
        <v>53.93</v>
      </c>
      <c r="Q206" s="11">
        <v>53.055999999999997</v>
      </c>
      <c r="R206" s="11">
        <v>94.554000000000002</v>
      </c>
      <c r="S206" s="11">
        <v>94.804000000000002</v>
      </c>
      <c r="T206" s="11">
        <v>66.105000000000004</v>
      </c>
      <c r="U206" s="11">
        <v>66.096999999999994</v>
      </c>
      <c r="V206" s="11">
        <v>33.895000000000003</v>
      </c>
      <c r="W206" s="11">
        <v>33.902999999999999</v>
      </c>
      <c r="X206" s="11">
        <v>16.802</v>
      </c>
      <c r="Y206" s="11">
        <v>15.481</v>
      </c>
      <c r="Z206" s="11">
        <v>33.902999999999999</v>
      </c>
      <c r="AA206" s="11">
        <v>33.895000000000003</v>
      </c>
      <c r="AB206" s="11">
        <v>11.727</v>
      </c>
      <c r="AC206" s="11">
        <v>17</v>
      </c>
      <c r="AD206" s="11">
        <v>18</v>
      </c>
      <c r="AE206" s="11">
        <v>17</v>
      </c>
      <c r="AF206" s="11">
        <v>17</v>
      </c>
    </row>
    <row r="207" spans="1:32" s="11" customFormat="1" x14ac:dyDescent="0.2">
      <c r="A207" s="11">
        <v>327</v>
      </c>
      <c r="F207" s="11" t="s">
        <v>16414</v>
      </c>
      <c r="G207" s="11" t="s">
        <v>16415</v>
      </c>
      <c r="H207" s="12">
        <v>64.2</v>
      </c>
      <c r="I207" s="11" t="s">
        <v>16404</v>
      </c>
      <c r="L207" s="11">
        <v>58.164000000000001</v>
      </c>
      <c r="M207" s="11">
        <v>62.371000000000002</v>
      </c>
      <c r="N207" s="11">
        <v>121.79300000000001</v>
      </c>
      <c r="O207" s="11">
        <v>120.55800000000001</v>
      </c>
      <c r="P207" s="11">
        <v>131.80600000000001</v>
      </c>
      <c r="Q207" s="11">
        <v>130.941</v>
      </c>
      <c r="R207" s="11">
        <v>129.774</v>
      </c>
      <c r="S207" s="11">
        <v>129.88999999999999</v>
      </c>
      <c r="T207" s="11">
        <v>61.98</v>
      </c>
      <c r="U207" s="11">
        <v>62.55</v>
      </c>
      <c r="V207" s="11">
        <v>38.020000000000003</v>
      </c>
      <c r="W207" s="11">
        <v>37.450000000000003</v>
      </c>
      <c r="X207" s="11">
        <v>12.345000000000001</v>
      </c>
      <c r="Y207" s="11">
        <v>12.54</v>
      </c>
      <c r="Z207" s="11">
        <v>37.450000000000003</v>
      </c>
      <c r="AA207" s="11">
        <v>38.020000000000003</v>
      </c>
      <c r="AB207" s="11">
        <v>13.385999999999999</v>
      </c>
      <c r="AC207" s="11">
        <v>10</v>
      </c>
      <c r="AD207" s="11">
        <v>11</v>
      </c>
      <c r="AE207" s="11">
        <v>10</v>
      </c>
      <c r="AF207" s="11">
        <v>10</v>
      </c>
    </row>
    <row r="208" spans="1:32" s="11" customFormat="1" x14ac:dyDescent="0.2">
      <c r="A208" s="11">
        <v>328</v>
      </c>
      <c r="F208" s="11" t="s">
        <v>16414</v>
      </c>
      <c r="G208" s="11" t="s">
        <v>16415</v>
      </c>
      <c r="H208" s="12">
        <v>60.6</v>
      </c>
      <c r="I208" s="11" t="s">
        <v>16404</v>
      </c>
      <c r="L208" s="11">
        <v>62.658999999999999</v>
      </c>
      <c r="M208" s="11">
        <v>60.554000000000002</v>
      </c>
      <c r="N208" s="11">
        <v>123.696</v>
      </c>
      <c r="O208" s="11">
        <v>123.908</v>
      </c>
      <c r="P208" s="11">
        <v>124.16200000000001</v>
      </c>
      <c r="Q208" s="11">
        <v>124.73099999999999</v>
      </c>
      <c r="R208" s="11">
        <v>119.919</v>
      </c>
      <c r="S208" s="11">
        <v>119.13800000000001</v>
      </c>
      <c r="T208" s="11">
        <v>59.451999999999998</v>
      </c>
      <c r="U208" s="11">
        <v>61.534999999999997</v>
      </c>
      <c r="V208" s="11">
        <v>40.548000000000002</v>
      </c>
      <c r="W208" s="11">
        <v>38.465000000000003</v>
      </c>
      <c r="X208" s="11">
        <v>10.746</v>
      </c>
      <c r="Y208" s="11">
        <v>11.087</v>
      </c>
      <c r="Z208" s="11">
        <v>38.465000000000003</v>
      </c>
      <c r="AA208" s="11">
        <v>40.548000000000002</v>
      </c>
      <c r="AB208" s="11">
        <v>12.327999999999999</v>
      </c>
      <c r="AC208" s="11">
        <v>10</v>
      </c>
      <c r="AD208" s="11">
        <v>10</v>
      </c>
      <c r="AE208" s="11">
        <v>10</v>
      </c>
      <c r="AF208" s="11">
        <v>10</v>
      </c>
    </row>
    <row r="209" spans="1:32" s="11" customFormat="1" x14ac:dyDescent="0.2">
      <c r="A209" s="11">
        <v>329</v>
      </c>
      <c r="F209" s="11" t="s">
        <v>16403</v>
      </c>
      <c r="G209" s="11" t="s">
        <v>16403</v>
      </c>
      <c r="H209" s="12">
        <v>999</v>
      </c>
      <c r="I209" s="11" t="s">
        <v>16403</v>
      </c>
      <c r="L209" s="11">
        <v>26.963000000000001</v>
      </c>
      <c r="M209" s="11">
        <v>29.355</v>
      </c>
      <c r="N209" s="11">
        <v>56.378</v>
      </c>
      <c r="O209" s="11">
        <v>56.287999999999997</v>
      </c>
      <c r="P209" s="11">
        <v>50.043999999999997</v>
      </c>
      <c r="Q209" s="11">
        <v>49.673999999999999</v>
      </c>
      <c r="R209" s="11">
        <v>106.242</v>
      </c>
      <c r="S209" s="11">
        <v>105.54300000000001</v>
      </c>
      <c r="T209" s="11">
        <v>66.643000000000001</v>
      </c>
      <c r="U209" s="11">
        <v>71.578000000000003</v>
      </c>
      <c r="V209" s="11">
        <v>33.356999999999999</v>
      </c>
      <c r="W209" s="11">
        <v>28.422000000000001</v>
      </c>
      <c r="X209" s="11">
        <v>18.658999999999999</v>
      </c>
      <c r="Y209" s="11">
        <v>20.391999999999999</v>
      </c>
      <c r="Z209" s="11">
        <v>28.422000000000001</v>
      </c>
      <c r="AA209" s="11">
        <v>33.356999999999999</v>
      </c>
      <c r="AB209" s="11">
        <v>24.605</v>
      </c>
      <c r="AC209" s="11">
        <v>19</v>
      </c>
      <c r="AD209" s="11">
        <v>18</v>
      </c>
      <c r="AE209" s="11">
        <v>18</v>
      </c>
      <c r="AF209" s="11">
        <v>18</v>
      </c>
    </row>
    <row r="210" spans="1:32" s="11" customFormat="1" x14ac:dyDescent="0.2">
      <c r="A210" s="11">
        <v>330</v>
      </c>
      <c r="F210" s="11" t="s">
        <v>16403</v>
      </c>
      <c r="G210" s="11" t="s">
        <v>16403</v>
      </c>
      <c r="H210" s="12">
        <v>999</v>
      </c>
      <c r="I210" s="11" t="s">
        <v>16403</v>
      </c>
      <c r="L210" s="11">
        <v>48.512</v>
      </c>
      <c r="M210" s="11">
        <v>43.128999999999998</v>
      </c>
      <c r="N210" s="11">
        <v>92.391999999999996</v>
      </c>
      <c r="O210" s="11">
        <v>91.659000000000006</v>
      </c>
      <c r="P210" s="11">
        <v>73.043000000000006</v>
      </c>
      <c r="Q210" s="11">
        <v>73.548000000000002</v>
      </c>
      <c r="R210" s="11">
        <v>95.177999999999997</v>
      </c>
      <c r="S210" s="11">
        <v>95.787999999999997</v>
      </c>
      <c r="T210" s="11">
        <v>64.894999999999996</v>
      </c>
      <c r="U210" s="11">
        <v>67.429000000000002</v>
      </c>
      <c r="V210" s="11">
        <v>35.104999999999997</v>
      </c>
      <c r="W210" s="11">
        <v>32.570999999999998</v>
      </c>
      <c r="X210" s="11">
        <v>15.084</v>
      </c>
      <c r="Y210" s="11">
        <v>17.422999999999998</v>
      </c>
      <c r="Z210" s="11">
        <v>32.570999999999998</v>
      </c>
      <c r="AA210" s="11">
        <v>35.104999999999997</v>
      </c>
      <c r="AB210" s="11">
        <v>16.693999999999999</v>
      </c>
      <c r="AC210" s="11">
        <v>14</v>
      </c>
      <c r="AD210" s="11">
        <v>14</v>
      </c>
      <c r="AE210" s="11">
        <v>14</v>
      </c>
      <c r="AF210" s="11">
        <v>14</v>
      </c>
    </row>
    <row r="211" spans="1:32" s="11" customFormat="1" x14ac:dyDescent="0.2">
      <c r="A211" s="11">
        <v>331</v>
      </c>
      <c r="F211" s="11" t="s">
        <v>16403</v>
      </c>
      <c r="G211" s="11" t="s">
        <v>16403</v>
      </c>
      <c r="H211" s="12">
        <v>67.3</v>
      </c>
      <c r="I211" s="11" t="s">
        <v>16407</v>
      </c>
      <c r="L211" s="11" t="s">
        <v>16403</v>
      </c>
      <c r="M211" s="11" t="s">
        <v>16403</v>
      </c>
      <c r="N211" s="11" t="s">
        <v>16403</v>
      </c>
      <c r="O211" s="11" t="s">
        <v>16403</v>
      </c>
      <c r="P211" s="11" t="s">
        <v>16403</v>
      </c>
      <c r="Q211" s="11" t="s">
        <v>16403</v>
      </c>
      <c r="R211" s="11" t="s">
        <v>16403</v>
      </c>
      <c r="S211" s="11" t="s">
        <v>16403</v>
      </c>
      <c r="T211" s="11" t="s">
        <v>16403</v>
      </c>
      <c r="U211" s="11" t="s">
        <v>16403</v>
      </c>
      <c r="V211" s="11" t="s">
        <v>16403</v>
      </c>
      <c r="W211" s="11" t="s">
        <v>16403</v>
      </c>
      <c r="X211" s="11" t="s">
        <v>16403</v>
      </c>
      <c r="Y211" s="11" t="s">
        <v>16403</v>
      </c>
      <c r="Z211" s="11" t="s">
        <v>16403</v>
      </c>
      <c r="AA211" s="11" t="s">
        <v>16403</v>
      </c>
      <c r="AB211" s="11" t="s">
        <v>16403</v>
      </c>
      <c r="AC211" s="11" t="s">
        <v>16403</v>
      </c>
      <c r="AD211" s="11" t="s">
        <v>16403</v>
      </c>
      <c r="AE211" s="11" t="s">
        <v>16403</v>
      </c>
      <c r="AF211" s="11" t="s">
        <v>16403</v>
      </c>
    </row>
    <row r="212" spans="1:32" s="11" customFormat="1" x14ac:dyDescent="0.2">
      <c r="A212" s="11">
        <v>332</v>
      </c>
      <c r="F212" s="11" t="s">
        <v>16414</v>
      </c>
      <c r="G212" s="11" t="s">
        <v>16415</v>
      </c>
      <c r="H212" s="12">
        <v>61.6</v>
      </c>
      <c r="I212" s="11" t="s">
        <v>16407</v>
      </c>
      <c r="L212" s="11">
        <v>40.738999999999997</v>
      </c>
      <c r="M212" s="11">
        <v>44.137999999999998</v>
      </c>
      <c r="N212" s="11">
        <v>84.683999999999997</v>
      </c>
      <c r="O212" s="11">
        <v>84.817999999999998</v>
      </c>
      <c r="P212" s="11">
        <v>72.358000000000004</v>
      </c>
      <c r="Q212" s="11">
        <v>73.126000000000005</v>
      </c>
      <c r="R212" s="11">
        <v>103.255</v>
      </c>
      <c r="S212" s="11">
        <v>103.76900000000001</v>
      </c>
      <c r="T212" s="11">
        <v>64.19</v>
      </c>
      <c r="U212" s="11">
        <v>67.290000000000006</v>
      </c>
      <c r="V212" s="11">
        <v>35.81</v>
      </c>
      <c r="W212" s="11">
        <v>32.71</v>
      </c>
      <c r="X212" s="11">
        <v>15.949</v>
      </c>
      <c r="Y212" s="11">
        <v>15.236000000000001</v>
      </c>
      <c r="Z212" s="11">
        <v>32.71</v>
      </c>
      <c r="AA212" s="11">
        <v>35.81</v>
      </c>
      <c r="AB212" s="11">
        <v>11.215</v>
      </c>
      <c r="AC212" s="11">
        <v>11</v>
      </c>
      <c r="AD212" s="11">
        <v>11</v>
      </c>
      <c r="AE212" s="11">
        <v>11</v>
      </c>
      <c r="AF212" s="11">
        <v>11</v>
      </c>
    </row>
    <row r="213" spans="1:32" s="11" customFormat="1" x14ac:dyDescent="0.2">
      <c r="A213" s="11">
        <v>333</v>
      </c>
      <c r="F213" s="11" t="s">
        <v>16403</v>
      </c>
      <c r="G213" s="11" t="s">
        <v>16403</v>
      </c>
      <c r="H213" s="12">
        <v>999</v>
      </c>
      <c r="I213" s="11" t="s">
        <v>16403</v>
      </c>
      <c r="L213" s="11" t="s">
        <v>16403</v>
      </c>
      <c r="M213" s="11" t="s">
        <v>16403</v>
      </c>
      <c r="N213" s="11" t="s">
        <v>16403</v>
      </c>
      <c r="O213" s="11" t="s">
        <v>16403</v>
      </c>
      <c r="P213" s="11" t="s">
        <v>16403</v>
      </c>
      <c r="Q213" s="11" t="s">
        <v>16403</v>
      </c>
      <c r="R213" s="11" t="s">
        <v>16403</v>
      </c>
      <c r="S213" s="11" t="s">
        <v>16403</v>
      </c>
      <c r="T213" s="11" t="s">
        <v>16403</v>
      </c>
      <c r="U213" s="11" t="s">
        <v>16403</v>
      </c>
      <c r="V213" s="11" t="s">
        <v>16403</v>
      </c>
      <c r="W213" s="11" t="s">
        <v>16403</v>
      </c>
      <c r="X213" s="11" t="s">
        <v>16403</v>
      </c>
      <c r="Y213" s="11" t="s">
        <v>16403</v>
      </c>
      <c r="Z213" s="11" t="s">
        <v>16403</v>
      </c>
      <c r="AA213" s="11" t="s">
        <v>16403</v>
      </c>
      <c r="AB213" s="11" t="s">
        <v>16403</v>
      </c>
      <c r="AC213" s="11" t="s">
        <v>16403</v>
      </c>
      <c r="AD213" s="11" t="s">
        <v>16403</v>
      </c>
      <c r="AE213" s="11" t="s">
        <v>16403</v>
      </c>
      <c r="AF213" s="11" t="s">
        <v>16403</v>
      </c>
    </row>
    <row r="214" spans="1:32" s="11" customFormat="1" x14ac:dyDescent="0.2">
      <c r="A214" s="11">
        <v>334</v>
      </c>
      <c r="F214" s="11" t="s">
        <v>16403</v>
      </c>
      <c r="G214" s="11" t="s">
        <v>16403</v>
      </c>
      <c r="H214" s="12">
        <v>999</v>
      </c>
      <c r="I214" s="11" t="s">
        <v>16403</v>
      </c>
      <c r="L214" s="11">
        <v>40.375</v>
      </c>
      <c r="M214" s="11">
        <v>29.242999999999999</v>
      </c>
      <c r="N214" s="11">
        <v>67.269000000000005</v>
      </c>
      <c r="O214" s="11">
        <v>67.608999999999995</v>
      </c>
      <c r="P214" s="11">
        <v>78.103999999999999</v>
      </c>
      <c r="Q214" s="11">
        <v>79.504000000000005</v>
      </c>
      <c r="R214" s="11">
        <v>161.87899999999999</v>
      </c>
      <c r="S214" s="11">
        <v>161.553</v>
      </c>
      <c r="T214" s="11">
        <v>67.165000000000006</v>
      </c>
      <c r="U214" s="11">
        <v>60.152000000000001</v>
      </c>
      <c r="V214" s="11">
        <v>32.835000000000001</v>
      </c>
      <c r="W214" s="11">
        <v>39.847999999999999</v>
      </c>
      <c r="X214" s="11">
        <v>14.849</v>
      </c>
      <c r="Y214" s="11">
        <v>13.472</v>
      </c>
      <c r="Z214" s="11">
        <v>39.847999999999999</v>
      </c>
      <c r="AA214" s="11">
        <v>32.835000000000001</v>
      </c>
      <c r="AB214" s="11">
        <v>17.603000000000002</v>
      </c>
      <c r="AC214" s="11">
        <v>24</v>
      </c>
      <c r="AD214" s="11">
        <v>24</v>
      </c>
      <c r="AE214" s="11">
        <v>24</v>
      </c>
      <c r="AF214" s="11">
        <v>24</v>
      </c>
    </row>
    <row r="215" spans="1:32" s="11" customFormat="1" x14ac:dyDescent="0.2">
      <c r="A215" s="11">
        <v>335</v>
      </c>
      <c r="F215" s="11" t="s">
        <v>16424</v>
      </c>
      <c r="G215" s="11" t="s">
        <v>16425</v>
      </c>
      <c r="H215" s="12">
        <v>77.8</v>
      </c>
      <c r="I215" s="11" t="s">
        <v>16404</v>
      </c>
      <c r="L215" s="11">
        <v>68.855000000000004</v>
      </c>
      <c r="M215" s="11">
        <v>65.814999999999998</v>
      </c>
      <c r="N215" s="11">
        <v>134.822</v>
      </c>
      <c r="O215" s="11">
        <v>135.05799999999999</v>
      </c>
      <c r="P215" s="11">
        <v>121.075</v>
      </c>
      <c r="Q215" s="11">
        <v>120.9</v>
      </c>
      <c r="R215" s="11">
        <v>107.248</v>
      </c>
      <c r="S215" s="11">
        <v>107.282</v>
      </c>
      <c r="T215" s="11">
        <v>62.442</v>
      </c>
      <c r="U215" s="11">
        <v>62.52</v>
      </c>
      <c r="V215" s="11">
        <v>37.558</v>
      </c>
      <c r="W215" s="11">
        <v>37.479999999999997</v>
      </c>
      <c r="X215" s="11">
        <v>13.725</v>
      </c>
      <c r="Y215" s="11">
        <v>11.833</v>
      </c>
      <c r="Z215" s="11">
        <v>37.479999999999997</v>
      </c>
      <c r="AA215" s="11">
        <v>37.558</v>
      </c>
      <c r="AB215" s="11">
        <v>6.9249999999999998</v>
      </c>
      <c r="AC215" s="11">
        <v>11</v>
      </c>
      <c r="AD215" s="11">
        <v>12</v>
      </c>
      <c r="AE215" s="11">
        <v>11</v>
      </c>
      <c r="AF215" s="11">
        <v>11</v>
      </c>
    </row>
    <row r="216" spans="1:32" s="11" customFormat="1" x14ac:dyDescent="0.2">
      <c r="A216" s="11">
        <v>336</v>
      </c>
      <c r="F216" s="11" t="s">
        <v>16403</v>
      </c>
      <c r="G216" s="11" t="s">
        <v>16403</v>
      </c>
      <c r="H216" s="12">
        <v>90.8</v>
      </c>
      <c r="I216" s="11" t="s">
        <v>16407</v>
      </c>
      <c r="L216" s="11" t="s">
        <v>16403</v>
      </c>
      <c r="M216" s="11" t="s">
        <v>16403</v>
      </c>
      <c r="N216" s="11" t="s">
        <v>16403</v>
      </c>
      <c r="O216" s="11" t="s">
        <v>16403</v>
      </c>
      <c r="P216" s="11" t="s">
        <v>16403</v>
      </c>
      <c r="Q216" s="11" t="s">
        <v>16403</v>
      </c>
      <c r="R216" s="11" t="s">
        <v>16403</v>
      </c>
      <c r="S216" s="11" t="s">
        <v>16403</v>
      </c>
      <c r="T216" s="11" t="s">
        <v>16403</v>
      </c>
      <c r="U216" s="11" t="s">
        <v>16403</v>
      </c>
      <c r="V216" s="11" t="s">
        <v>16403</v>
      </c>
      <c r="W216" s="11" t="s">
        <v>16403</v>
      </c>
      <c r="X216" s="11" t="s">
        <v>16403</v>
      </c>
      <c r="Y216" s="11" t="s">
        <v>16403</v>
      </c>
      <c r="Z216" s="11" t="s">
        <v>16403</v>
      </c>
      <c r="AA216" s="11" t="s">
        <v>16403</v>
      </c>
      <c r="AB216" s="11" t="s">
        <v>16403</v>
      </c>
      <c r="AC216" s="11" t="s">
        <v>16403</v>
      </c>
      <c r="AD216" s="11" t="s">
        <v>16403</v>
      </c>
      <c r="AE216" s="11" t="s">
        <v>16403</v>
      </c>
      <c r="AF216" s="11" t="s">
        <v>16403</v>
      </c>
    </row>
    <row r="217" spans="1:32" s="11" customFormat="1" x14ac:dyDescent="0.2">
      <c r="A217" s="11">
        <v>337</v>
      </c>
      <c r="F217" s="11" t="s">
        <v>16414</v>
      </c>
      <c r="G217" s="11" t="s">
        <v>16415</v>
      </c>
      <c r="H217" s="12">
        <v>65.099999999999994</v>
      </c>
      <c r="I217" s="11" t="s">
        <v>16407</v>
      </c>
      <c r="L217" s="11">
        <v>35.271999999999998</v>
      </c>
      <c r="M217" s="11">
        <v>38.273000000000003</v>
      </c>
      <c r="N217" s="11">
        <v>74.153999999999996</v>
      </c>
      <c r="O217" s="11">
        <v>73.126999999999995</v>
      </c>
      <c r="P217" s="11">
        <v>60.265999999999998</v>
      </c>
      <c r="Q217" s="11">
        <v>60.161999999999999</v>
      </c>
      <c r="R217" s="11">
        <v>97</v>
      </c>
      <c r="S217" s="11">
        <v>97.046999999999997</v>
      </c>
      <c r="T217" s="11">
        <v>67.019000000000005</v>
      </c>
      <c r="U217" s="11">
        <v>64.341999999999999</v>
      </c>
      <c r="V217" s="11">
        <v>32.981000000000002</v>
      </c>
      <c r="W217" s="11">
        <v>35.658000000000001</v>
      </c>
      <c r="X217" s="11">
        <v>11.079000000000001</v>
      </c>
      <c r="Y217" s="11">
        <v>20.561</v>
      </c>
      <c r="Z217" s="11">
        <v>35.658000000000001</v>
      </c>
      <c r="AA217" s="11">
        <v>32.981000000000002</v>
      </c>
      <c r="AB217" s="11">
        <v>10.263</v>
      </c>
      <c r="AC217" s="11">
        <v>18</v>
      </c>
      <c r="AD217" s="11">
        <v>19</v>
      </c>
      <c r="AE217" s="11">
        <v>18</v>
      </c>
      <c r="AF217" s="11">
        <v>18</v>
      </c>
    </row>
    <row r="218" spans="1:32" s="11" customFormat="1" x14ac:dyDescent="0.2">
      <c r="A218" s="11">
        <v>338</v>
      </c>
      <c r="F218" s="11" t="s">
        <v>16403</v>
      </c>
      <c r="G218" s="11" t="s">
        <v>16403</v>
      </c>
      <c r="H218" s="12">
        <v>999</v>
      </c>
      <c r="I218" s="11" t="s">
        <v>16403</v>
      </c>
      <c r="L218" s="11">
        <v>60.994999999999997</v>
      </c>
      <c r="M218" s="11">
        <v>63.988</v>
      </c>
      <c r="N218" s="11">
        <v>125.33499999999999</v>
      </c>
      <c r="O218" s="11">
        <v>125.19799999999999</v>
      </c>
      <c r="P218" s="11">
        <v>117.80200000000001</v>
      </c>
      <c r="Q218" s="11">
        <v>117.62</v>
      </c>
      <c r="R218" s="11">
        <v>112.196</v>
      </c>
      <c r="S218" s="11">
        <v>112.01900000000001</v>
      </c>
      <c r="T218" s="11">
        <v>61.765999999999998</v>
      </c>
      <c r="U218" s="11">
        <v>63.06</v>
      </c>
      <c r="V218" s="11">
        <v>38.234000000000002</v>
      </c>
      <c r="W218" s="11">
        <v>36.94</v>
      </c>
      <c r="X218" s="11">
        <v>12.769</v>
      </c>
      <c r="Y218" s="11">
        <v>12.198</v>
      </c>
      <c r="Z218" s="11">
        <v>36.94</v>
      </c>
      <c r="AA218" s="11">
        <v>38.234000000000002</v>
      </c>
      <c r="AB218" s="11">
        <v>11.182</v>
      </c>
      <c r="AC218" s="11">
        <v>10</v>
      </c>
      <c r="AD218" s="11">
        <v>10</v>
      </c>
      <c r="AE218" s="11">
        <v>10</v>
      </c>
      <c r="AF218" s="11">
        <v>10</v>
      </c>
    </row>
    <row r="219" spans="1:32" s="11" customFormat="1" x14ac:dyDescent="0.2">
      <c r="A219" s="11">
        <v>339</v>
      </c>
      <c r="F219" s="11" t="s">
        <v>16403</v>
      </c>
      <c r="G219" s="11" t="s">
        <v>16403</v>
      </c>
      <c r="H219" s="12">
        <v>50.8</v>
      </c>
      <c r="I219" s="11" t="s">
        <v>16407</v>
      </c>
      <c r="L219" s="11" t="s">
        <v>16403</v>
      </c>
      <c r="M219" s="11" t="s">
        <v>16403</v>
      </c>
      <c r="N219" s="11" t="s">
        <v>16403</v>
      </c>
      <c r="O219" s="11" t="s">
        <v>16403</v>
      </c>
      <c r="P219" s="11" t="s">
        <v>16403</v>
      </c>
      <c r="Q219" s="11" t="s">
        <v>16403</v>
      </c>
      <c r="R219" s="11" t="s">
        <v>16403</v>
      </c>
      <c r="S219" s="11" t="s">
        <v>16403</v>
      </c>
      <c r="T219" s="11" t="s">
        <v>16403</v>
      </c>
      <c r="U219" s="11" t="s">
        <v>16403</v>
      </c>
      <c r="V219" s="11" t="s">
        <v>16403</v>
      </c>
      <c r="W219" s="11" t="s">
        <v>16403</v>
      </c>
      <c r="X219" s="11" t="s">
        <v>16403</v>
      </c>
      <c r="Y219" s="11" t="s">
        <v>16403</v>
      </c>
      <c r="Z219" s="11" t="s">
        <v>16403</v>
      </c>
      <c r="AA219" s="11" t="s">
        <v>16403</v>
      </c>
      <c r="AB219" s="11" t="s">
        <v>16403</v>
      </c>
      <c r="AC219" s="11" t="s">
        <v>16403</v>
      </c>
      <c r="AD219" s="11" t="s">
        <v>16403</v>
      </c>
      <c r="AE219" s="11" t="s">
        <v>16403</v>
      </c>
      <c r="AF219" s="11" t="s">
        <v>16403</v>
      </c>
    </row>
    <row r="220" spans="1:32" s="11" customFormat="1" x14ac:dyDescent="0.2">
      <c r="A220" s="11">
        <v>340</v>
      </c>
      <c r="F220" s="11" t="s">
        <v>16403</v>
      </c>
      <c r="G220" s="11" t="s">
        <v>16403</v>
      </c>
      <c r="H220" s="12">
        <v>999</v>
      </c>
      <c r="I220" s="11" t="s">
        <v>16403</v>
      </c>
      <c r="L220" s="11">
        <v>52.334000000000003</v>
      </c>
      <c r="M220" s="11">
        <v>49.465000000000003</v>
      </c>
      <c r="N220" s="11">
        <v>102.033</v>
      </c>
      <c r="O220" s="11">
        <v>101.583</v>
      </c>
      <c r="P220" s="11">
        <v>99.88</v>
      </c>
      <c r="Q220" s="11">
        <v>99.114000000000004</v>
      </c>
      <c r="R220" s="11">
        <v>116.95099999999999</v>
      </c>
      <c r="S220" s="11">
        <v>115.712</v>
      </c>
      <c r="T220" s="11">
        <v>64.248999999999995</v>
      </c>
      <c r="U220" s="11">
        <v>62.384999999999998</v>
      </c>
      <c r="V220" s="11">
        <v>35.750999999999998</v>
      </c>
      <c r="W220" s="11">
        <v>37.615000000000002</v>
      </c>
      <c r="X220" s="11">
        <v>12.423</v>
      </c>
      <c r="Y220" s="11">
        <v>15.063000000000001</v>
      </c>
      <c r="Z220" s="11">
        <v>37.615000000000002</v>
      </c>
      <c r="AA220" s="11">
        <v>35.750999999999998</v>
      </c>
      <c r="AB220" s="11">
        <v>17.27</v>
      </c>
      <c r="AC220" s="11">
        <v>13</v>
      </c>
      <c r="AD220" s="11">
        <v>12</v>
      </c>
      <c r="AE220" s="11">
        <v>12</v>
      </c>
      <c r="AF220" s="11">
        <v>12</v>
      </c>
    </row>
    <row r="221" spans="1:32" s="11" customFormat="1" x14ac:dyDescent="0.2">
      <c r="A221" s="11">
        <v>341</v>
      </c>
      <c r="F221" s="11" t="s">
        <v>16414</v>
      </c>
      <c r="G221" s="11" t="s">
        <v>16415</v>
      </c>
      <c r="H221" s="12">
        <v>78.900000000000006</v>
      </c>
      <c r="I221" s="11" t="s">
        <v>16407</v>
      </c>
      <c r="L221" s="11">
        <v>45.478000000000002</v>
      </c>
      <c r="M221" s="11">
        <v>50.95</v>
      </c>
      <c r="N221" s="11">
        <v>96.884</v>
      </c>
      <c r="O221" s="11">
        <v>96.433000000000007</v>
      </c>
      <c r="P221" s="11">
        <v>86.462999999999994</v>
      </c>
      <c r="Q221" s="11">
        <v>86.031000000000006</v>
      </c>
      <c r="R221" s="11">
        <v>106.14</v>
      </c>
      <c r="S221" s="11">
        <v>106.193</v>
      </c>
      <c r="T221" s="11">
        <v>64.843000000000004</v>
      </c>
      <c r="U221" s="11">
        <v>63.662999999999997</v>
      </c>
      <c r="V221" s="11">
        <v>35.156999999999996</v>
      </c>
      <c r="W221" s="11">
        <v>36.337000000000003</v>
      </c>
      <c r="X221" s="11">
        <v>15.198</v>
      </c>
      <c r="Y221" s="11">
        <v>13.742000000000001</v>
      </c>
      <c r="Z221" s="11">
        <v>36.337000000000003</v>
      </c>
      <c r="AA221" s="11">
        <v>35.156999999999996</v>
      </c>
      <c r="AB221" s="11">
        <v>12.704000000000001</v>
      </c>
      <c r="AC221" s="11">
        <v>11</v>
      </c>
      <c r="AD221" s="11">
        <v>14</v>
      </c>
      <c r="AE221" s="11">
        <v>11</v>
      </c>
      <c r="AF221" s="11">
        <v>11</v>
      </c>
    </row>
    <row r="222" spans="1:32" s="11" customFormat="1" x14ac:dyDescent="0.2">
      <c r="A222" s="11">
        <v>342</v>
      </c>
      <c r="F222" s="11" t="s">
        <v>16414</v>
      </c>
      <c r="G222" s="11" t="s">
        <v>16415</v>
      </c>
      <c r="H222" s="12">
        <v>63.3</v>
      </c>
      <c r="I222" s="11" t="s">
        <v>16404</v>
      </c>
      <c r="L222" s="11" t="s">
        <v>16403</v>
      </c>
      <c r="M222" s="11" t="s">
        <v>16403</v>
      </c>
      <c r="N222" s="11" t="s">
        <v>16403</v>
      </c>
      <c r="O222" s="11" t="s">
        <v>16403</v>
      </c>
      <c r="P222" s="11" t="s">
        <v>16403</v>
      </c>
      <c r="Q222" s="11" t="s">
        <v>16403</v>
      </c>
      <c r="R222" s="11" t="s">
        <v>16403</v>
      </c>
      <c r="S222" s="11" t="s">
        <v>16403</v>
      </c>
      <c r="T222" s="11" t="s">
        <v>16403</v>
      </c>
      <c r="U222" s="11" t="s">
        <v>16403</v>
      </c>
      <c r="V222" s="11" t="s">
        <v>16403</v>
      </c>
      <c r="W222" s="11" t="s">
        <v>16403</v>
      </c>
      <c r="X222" s="11" t="s">
        <v>16403</v>
      </c>
      <c r="Y222" s="11" t="s">
        <v>16403</v>
      </c>
      <c r="Z222" s="11" t="s">
        <v>16403</v>
      </c>
      <c r="AA222" s="11" t="s">
        <v>16403</v>
      </c>
      <c r="AB222" s="11" t="s">
        <v>16403</v>
      </c>
      <c r="AC222" s="11" t="s">
        <v>16403</v>
      </c>
      <c r="AD222" s="11" t="s">
        <v>16403</v>
      </c>
      <c r="AE222" s="11" t="s">
        <v>16403</v>
      </c>
      <c r="AF222" s="11" t="s">
        <v>16403</v>
      </c>
    </row>
    <row r="223" spans="1:32" s="11" customFormat="1" x14ac:dyDescent="0.2">
      <c r="A223" s="11">
        <v>344</v>
      </c>
      <c r="F223" s="11" t="s">
        <v>16424</v>
      </c>
      <c r="G223" s="11" t="s">
        <v>16425</v>
      </c>
      <c r="H223" s="12">
        <v>75.8</v>
      </c>
      <c r="I223" s="11" t="s">
        <v>16404</v>
      </c>
      <c r="L223" s="11">
        <v>64.942999999999998</v>
      </c>
      <c r="M223" s="11">
        <v>65.760000000000005</v>
      </c>
      <c r="N223" s="11">
        <v>130.483</v>
      </c>
      <c r="O223" s="11">
        <v>131.29</v>
      </c>
      <c r="P223" s="11">
        <v>120.46599999999999</v>
      </c>
      <c r="Q223" s="11">
        <v>121.19799999999999</v>
      </c>
      <c r="R223" s="11">
        <v>110.089</v>
      </c>
      <c r="S223" s="11">
        <v>110.28</v>
      </c>
      <c r="T223" s="11">
        <v>61.844999999999999</v>
      </c>
      <c r="U223" s="11">
        <v>62.478999999999999</v>
      </c>
      <c r="V223" s="11">
        <v>38.155000000000001</v>
      </c>
      <c r="W223" s="11">
        <v>37.521000000000001</v>
      </c>
      <c r="X223" s="11">
        <v>11.116</v>
      </c>
      <c r="Y223" s="11">
        <v>13.472</v>
      </c>
      <c r="Z223" s="11">
        <v>37.521000000000001</v>
      </c>
      <c r="AA223" s="11">
        <v>38.155000000000001</v>
      </c>
      <c r="AB223" s="11">
        <v>8.0519999999999996</v>
      </c>
      <c r="AC223" s="11">
        <v>11</v>
      </c>
      <c r="AD223" s="11">
        <v>10</v>
      </c>
      <c r="AE223" s="11">
        <v>10</v>
      </c>
      <c r="AF223" s="11">
        <v>10</v>
      </c>
    </row>
    <row r="224" spans="1:32" s="11" customFormat="1" x14ac:dyDescent="0.2">
      <c r="A224" s="11">
        <v>345</v>
      </c>
      <c r="F224" s="11" t="s">
        <v>16403</v>
      </c>
      <c r="G224" s="11" t="s">
        <v>16403</v>
      </c>
      <c r="H224" s="12">
        <v>999</v>
      </c>
      <c r="I224" s="11" t="s">
        <v>16403</v>
      </c>
      <c r="L224" s="11">
        <v>37.042999999999999</v>
      </c>
      <c r="M224" s="11">
        <v>35.332000000000001</v>
      </c>
      <c r="N224" s="11">
        <v>73.739999999999995</v>
      </c>
      <c r="O224" s="11">
        <v>73.197000000000003</v>
      </c>
      <c r="P224" s="11">
        <v>53.246000000000002</v>
      </c>
      <c r="Q224" s="11">
        <v>52.991</v>
      </c>
      <c r="R224" s="11">
        <v>87.844999999999999</v>
      </c>
      <c r="S224" s="11">
        <v>86.915000000000006</v>
      </c>
      <c r="T224" s="11">
        <v>65.409000000000006</v>
      </c>
      <c r="U224" s="11">
        <v>64.13</v>
      </c>
      <c r="V224" s="11">
        <v>34.591000000000001</v>
      </c>
      <c r="W224" s="11">
        <v>35.869999999999997</v>
      </c>
      <c r="X224" s="11">
        <v>15.839</v>
      </c>
      <c r="Y224" s="11">
        <v>14.76</v>
      </c>
      <c r="Z224" s="11">
        <v>35.869999999999997</v>
      </c>
      <c r="AA224" s="11">
        <v>34.591000000000001</v>
      </c>
      <c r="AB224" s="11">
        <v>10.936</v>
      </c>
      <c r="AC224" s="11">
        <v>13</v>
      </c>
      <c r="AD224" s="11">
        <v>13</v>
      </c>
      <c r="AE224" s="11">
        <v>13</v>
      </c>
      <c r="AF224" s="11">
        <v>13</v>
      </c>
    </row>
    <row r="225" spans="1:32" s="11" customFormat="1" x14ac:dyDescent="0.2">
      <c r="A225" s="11">
        <v>346</v>
      </c>
      <c r="F225" s="11" t="s">
        <v>16403</v>
      </c>
      <c r="G225" s="11" t="s">
        <v>16403</v>
      </c>
      <c r="H225" s="12">
        <v>999</v>
      </c>
      <c r="I225" s="11" t="s">
        <v>16403</v>
      </c>
      <c r="L225" s="11" t="s">
        <v>16403</v>
      </c>
      <c r="M225" s="11" t="s">
        <v>16403</v>
      </c>
      <c r="N225" s="11" t="s">
        <v>16403</v>
      </c>
      <c r="O225" s="11" t="s">
        <v>16403</v>
      </c>
      <c r="P225" s="11" t="s">
        <v>16403</v>
      </c>
      <c r="Q225" s="11" t="s">
        <v>16403</v>
      </c>
      <c r="R225" s="11" t="s">
        <v>16403</v>
      </c>
      <c r="S225" s="11" t="s">
        <v>16403</v>
      </c>
      <c r="T225" s="11" t="s">
        <v>16403</v>
      </c>
      <c r="U225" s="11" t="s">
        <v>16403</v>
      </c>
      <c r="V225" s="11" t="s">
        <v>16403</v>
      </c>
      <c r="W225" s="11" t="s">
        <v>16403</v>
      </c>
      <c r="X225" s="11" t="s">
        <v>16403</v>
      </c>
      <c r="Y225" s="11" t="s">
        <v>16403</v>
      </c>
      <c r="Z225" s="11" t="s">
        <v>16403</v>
      </c>
      <c r="AA225" s="11" t="s">
        <v>16403</v>
      </c>
      <c r="AB225" s="11" t="s">
        <v>16403</v>
      </c>
      <c r="AC225" s="11" t="s">
        <v>16403</v>
      </c>
      <c r="AD225" s="11" t="s">
        <v>16403</v>
      </c>
      <c r="AE225" s="11" t="s">
        <v>16403</v>
      </c>
      <c r="AF225" s="11" t="s">
        <v>16403</v>
      </c>
    </row>
    <row r="226" spans="1:32" s="11" customFormat="1" x14ac:dyDescent="0.2">
      <c r="A226" s="11">
        <v>347</v>
      </c>
      <c r="F226" s="11" t="s">
        <v>16414</v>
      </c>
      <c r="G226" s="11" t="s">
        <v>16415</v>
      </c>
      <c r="H226" s="12">
        <v>69.2</v>
      </c>
      <c r="I226" s="11" t="s">
        <v>16404</v>
      </c>
      <c r="L226" s="11">
        <v>39.529000000000003</v>
      </c>
      <c r="M226" s="11">
        <v>39.811</v>
      </c>
      <c r="N226" s="11">
        <v>79.162999999999997</v>
      </c>
      <c r="O226" s="11">
        <v>78.861999999999995</v>
      </c>
      <c r="P226" s="11">
        <v>66.262</v>
      </c>
      <c r="Q226" s="11">
        <v>66.322000000000003</v>
      </c>
      <c r="R226" s="11">
        <v>99.837000000000003</v>
      </c>
      <c r="S226" s="11">
        <v>100.98699999999999</v>
      </c>
      <c r="T226" s="11">
        <v>70.052000000000007</v>
      </c>
      <c r="U226" s="11">
        <v>67.477999999999994</v>
      </c>
      <c r="V226" s="11">
        <v>29.948</v>
      </c>
      <c r="W226" s="11">
        <v>32.521999999999998</v>
      </c>
      <c r="X226" s="11">
        <v>18.39</v>
      </c>
      <c r="Y226" s="11">
        <v>19.989000000000001</v>
      </c>
      <c r="Z226" s="11">
        <v>32.521999999999998</v>
      </c>
      <c r="AA226" s="11">
        <v>29.948</v>
      </c>
      <c r="AB226" s="11">
        <v>13.243</v>
      </c>
      <c r="AC226" s="11">
        <v>11</v>
      </c>
      <c r="AD226" s="11">
        <v>12</v>
      </c>
      <c r="AE226" s="11">
        <v>11</v>
      </c>
      <c r="AF226" s="11">
        <v>11</v>
      </c>
    </row>
    <row r="227" spans="1:32" s="11" customFormat="1" x14ac:dyDescent="0.2">
      <c r="A227" s="11">
        <v>348</v>
      </c>
      <c r="F227" s="11" t="s">
        <v>16403</v>
      </c>
      <c r="G227" s="11" t="s">
        <v>16403</v>
      </c>
      <c r="H227" s="12">
        <v>999</v>
      </c>
      <c r="I227" s="11" t="s">
        <v>16403</v>
      </c>
      <c r="L227" s="11" t="s">
        <v>16403</v>
      </c>
      <c r="M227" s="11" t="s">
        <v>16403</v>
      </c>
      <c r="N227" s="11" t="s">
        <v>16403</v>
      </c>
      <c r="O227" s="11" t="s">
        <v>16403</v>
      </c>
      <c r="P227" s="11" t="s">
        <v>16403</v>
      </c>
      <c r="Q227" s="11" t="s">
        <v>16403</v>
      </c>
      <c r="R227" s="11" t="s">
        <v>16403</v>
      </c>
      <c r="S227" s="11" t="s">
        <v>16403</v>
      </c>
      <c r="T227" s="11" t="s">
        <v>16403</v>
      </c>
      <c r="U227" s="11" t="s">
        <v>16403</v>
      </c>
      <c r="V227" s="11" t="s">
        <v>16403</v>
      </c>
      <c r="W227" s="11" t="s">
        <v>16403</v>
      </c>
      <c r="X227" s="11" t="s">
        <v>16403</v>
      </c>
      <c r="Y227" s="11" t="s">
        <v>16403</v>
      </c>
      <c r="Z227" s="11" t="s">
        <v>16403</v>
      </c>
      <c r="AA227" s="11" t="s">
        <v>16403</v>
      </c>
      <c r="AB227" s="11" t="s">
        <v>16403</v>
      </c>
      <c r="AC227" s="11" t="s">
        <v>16403</v>
      </c>
      <c r="AD227" s="11" t="s">
        <v>16403</v>
      </c>
      <c r="AE227" s="11" t="s">
        <v>16403</v>
      </c>
      <c r="AF227" s="11" t="s">
        <v>16403</v>
      </c>
    </row>
    <row r="228" spans="1:32" s="11" customFormat="1" x14ac:dyDescent="0.2">
      <c r="A228" s="11">
        <v>349</v>
      </c>
      <c r="F228" s="11" t="s">
        <v>16403</v>
      </c>
      <c r="G228" s="11" t="s">
        <v>16403</v>
      </c>
      <c r="H228" s="12">
        <v>74.5</v>
      </c>
      <c r="I228" s="11" t="s">
        <v>16404</v>
      </c>
      <c r="L228" s="11" t="s">
        <v>16403</v>
      </c>
      <c r="M228" s="11" t="s">
        <v>16403</v>
      </c>
      <c r="N228" s="11" t="s">
        <v>16403</v>
      </c>
      <c r="O228" s="11" t="s">
        <v>16403</v>
      </c>
      <c r="P228" s="11" t="s">
        <v>16403</v>
      </c>
      <c r="Q228" s="11" t="s">
        <v>16403</v>
      </c>
      <c r="R228" s="11" t="s">
        <v>16403</v>
      </c>
      <c r="S228" s="11" t="s">
        <v>16403</v>
      </c>
      <c r="T228" s="11" t="s">
        <v>16403</v>
      </c>
      <c r="U228" s="11" t="s">
        <v>16403</v>
      </c>
      <c r="V228" s="11" t="s">
        <v>16403</v>
      </c>
      <c r="W228" s="11" t="s">
        <v>16403</v>
      </c>
      <c r="X228" s="11" t="s">
        <v>16403</v>
      </c>
      <c r="Y228" s="11" t="s">
        <v>16403</v>
      </c>
      <c r="Z228" s="11" t="s">
        <v>16403</v>
      </c>
      <c r="AA228" s="11" t="s">
        <v>16403</v>
      </c>
      <c r="AB228" s="11" t="s">
        <v>16403</v>
      </c>
      <c r="AC228" s="11" t="s">
        <v>16403</v>
      </c>
      <c r="AD228" s="11" t="s">
        <v>16403</v>
      </c>
      <c r="AE228" s="11" t="s">
        <v>16403</v>
      </c>
      <c r="AF228" s="11" t="s">
        <v>16403</v>
      </c>
    </row>
    <row r="229" spans="1:32" s="11" customFormat="1" x14ac:dyDescent="0.2">
      <c r="A229" s="11">
        <v>350</v>
      </c>
      <c r="F229" s="11" t="s">
        <v>16414</v>
      </c>
      <c r="G229" s="11" t="s">
        <v>16415</v>
      </c>
      <c r="H229" s="12">
        <v>65.5</v>
      </c>
      <c r="I229" s="11" t="s">
        <v>16404</v>
      </c>
      <c r="L229" s="11">
        <v>60.305999999999997</v>
      </c>
      <c r="M229" s="11">
        <v>57.56</v>
      </c>
      <c r="N229" s="11">
        <v>117.961</v>
      </c>
      <c r="O229" s="11">
        <v>117.343</v>
      </c>
      <c r="P229" s="11">
        <v>112.86199999999999</v>
      </c>
      <c r="Q229" s="11">
        <v>113.899</v>
      </c>
      <c r="R229" s="11">
        <v>114.386</v>
      </c>
      <c r="S229" s="11">
        <v>115.093</v>
      </c>
      <c r="T229" s="11">
        <v>62.987000000000002</v>
      </c>
      <c r="U229" s="11">
        <v>64.075999999999993</v>
      </c>
      <c r="V229" s="11">
        <v>37.012999999999998</v>
      </c>
      <c r="W229" s="11">
        <v>35.923999999999999</v>
      </c>
      <c r="X229" s="11">
        <v>14.648999999999999</v>
      </c>
      <c r="Y229" s="11">
        <v>12.420999999999999</v>
      </c>
      <c r="Z229" s="11">
        <v>35.923999999999999</v>
      </c>
      <c r="AA229" s="11">
        <v>37.012999999999998</v>
      </c>
      <c r="AB229" s="11">
        <v>7.88</v>
      </c>
      <c r="AC229" s="11">
        <v>11</v>
      </c>
      <c r="AD229" s="11">
        <v>10</v>
      </c>
      <c r="AE229" s="11">
        <v>10</v>
      </c>
      <c r="AF229" s="11">
        <v>10</v>
      </c>
    </row>
    <row r="230" spans="1:32" s="11" customFormat="1" x14ac:dyDescent="0.2">
      <c r="A230" s="11">
        <v>351</v>
      </c>
      <c r="F230" s="11" t="s">
        <v>16420</v>
      </c>
      <c r="G230" s="11" t="s">
        <v>16421</v>
      </c>
      <c r="H230" s="12">
        <v>63.7</v>
      </c>
      <c r="I230" s="11" t="s">
        <v>16404</v>
      </c>
      <c r="L230" s="11">
        <v>63.402999999999999</v>
      </c>
      <c r="M230" s="11">
        <v>65.8</v>
      </c>
      <c r="N230" s="11">
        <v>130.05799999999999</v>
      </c>
      <c r="O230" s="11">
        <v>129.14699999999999</v>
      </c>
      <c r="P230" s="11">
        <v>104.669</v>
      </c>
      <c r="Q230" s="11">
        <v>104.39700000000001</v>
      </c>
      <c r="R230" s="11">
        <v>96.033000000000001</v>
      </c>
      <c r="S230" s="11">
        <v>96.668000000000006</v>
      </c>
      <c r="T230" s="11">
        <v>62.128999999999998</v>
      </c>
      <c r="U230" s="11">
        <v>61.161000000000001</v>
      </c>
      <c r="V230" s="11">
        <v>37.871000000000002</v>
      </c>
      <c r="W230" s="11">
        <v>38.838999999999999</v>
      </c>
      <c r="X230" s="11">
        <v>11.964</v>
      </c>
      <c r="Y230" s="11">
        <v>11.945</v>
      </c>
      <c r="Z230" s="11">
        <v>38.838999999999999</v>
      </c>
      <c r="AA230" s="11">
        <v>37.871000000000002</v>
      </c>
      <c r="AB230" s="11">
        <v>8.73</v>
      </c>
      <c r="AC230" s="11">
        <v>10</v>
      </c>
      <c r="AD230" s="11">
        <v>11</v>
      </c>
      <c r="AE230" s="11">
        <v>10</v>
      </c>
      <c r="AF230" s="11">
        <v>10</v>
      </c>
    </row>
    <row r="231" spans="1:32" s="11" customFormat="1" x14ac:dyDescent="0.2">
      <c r="A231" s="11">
        <v>352</v>
      </c>
      <c r="F231" s="11" t="s">
        <v>16403</v>
      </c>
      <c r="G231" s="11" t="s">
        <v>16403</v>
      </c>
      <c r="H231" s="12">
        <v>999</v>
      </c>
      <c r="I231" s="11" t="s">
        <v>16403</v>
      </c>
      <c r="L231" s="11">
        <v>50.064</v>
      </c>
      <c r="M231" s="11">
        <v>50.698</v>
      </c>
      <c r="N231" s="11">
        <v>100.64400000000001</v>
      </c>
      <c r="O231" s="11">
        <v>101.502</v>
      </c>
      <c r="P231" s="11">
        <v>90.545000000000002</v>
      </c>
      <c r="Q231" s="11">
        <v>91.191999999999993</v>
      </c>
      <c r="R231" s="11">
        <v>107.408</v>
      </c>
      <c r="S231" s="11">
        <v>107.46299999999999</v>
      </c>
      <c r="T231" s="11">
        <v>64.238</v>
      </c>
      <c r="U231" s="11">
        <v>62.701000000000001</v>
      </c>
      <c r="V231" s="11">
        <v>35.762</v>
      </c>
      <c r="W231" s="11">
        <v>37.298999999999999</v>
      </c>
      <c r="X231" s="11">
        <v>13.407</v>
      </c>
      <c r="Y231" s="11">
        <v>14.23</v>
      </c>
      <c r="Z231" s="11">
        <v>37.298999999999999</v>
      </c>
      <c r="AA231" s="11">
        <v>35.762</v>
      </c>
      <c r="AB231" s="11">
        <v>14.602</v>
      </c>
      <c r="AC231" s="11">
        <v>12</v>
      </c>
      <c r="AD231" s="11">
        <v>11</v>
      </c>
      <c r="AE231" s="11">
        <v>11</v>
      </c>
      <c r="AF231" s="11">
        <v>11</v>
      </c>
    </row>
    <row r="232" spans="1:32" s="11" customFormat="1" x14ac:dyDescent="0.2">
      <c r="A232" s="11">
        <v>353</v>
      </c>
      <c r="F232" s="11" t="s">
        <v>16420</v>
      </c>
      <c r="G232" s="11" t="s">
        <v>16421</v>
      </c>
      <c r="H232" s="12">
        <v>65.2</v>
      </c>
      <c r="I232" s="11" t="s">
        <v>16407</v>
      </c>
      <c r="L232" s="11">
        <v>61.146999999999998</v>
      </c>
      <c r="M232" s="11">
        <v>58.521999999999998</v>
      </c>
      <c r="N232" s="11">
        <v>119.917</v>
      </c>
      <c r="O232" s="11">
        <v>118.982</v>
      </c>
      <c r="P232" s="11">
        <v>129.06899999999999</v>
      </c>
      <c r="Q232" s="11">
        <v>127.696</v>
      </c>
      <c r="R232" s="11">
        <v>128.99700000000001</v>
      </c>
      <c r="S232" s="11">
        <v>127.876</v>
      </c>
      <c r="T232" s="11">
        <v>61.487000000000002</v>
      </c>
      <c r="U232" s="11">
        <v>61.048000000000002</v>
      </c>
      <c r="V232" s="11">
        <v>38.512999999999998</v>
      </c>
      <c r="W232" s="11">
        <v>38.951999999999998</v>
      </c>
      <c r="X232" s="11">
        <v>11.186</v>
      </c>
      <c r="Y232" s="11">
        <v>11.817</v>
      </c>
      <c r="Z232" s="11">
        <v>38.951999999999998</v>
      </c>
      <c r="AA232" s="11">
        <v>38.512999999999998</v>
      </c>
      <c r="AB232" s="11">
        <v>9.85</v>
      </c>
      <c r="AC232" s="11">
        <v>10</v>
      </c>
      <c r="AD232" s="11">
        <v>9</v>
      </c>
      <c r="AE232" s="11">
        <v>9</v>
      </c>
      <c r="AF232" s="11">
        <v>9</v>
      </c>
    </row>
    <row r="233" spans="1:32" s="11" customFormat="1" x14ac:dyDescent="0.2">
      <c r="A233" s="11">
        <v>354</v>
      </c>
      <c r="F233" s="11" t="s">
        <v>16403</v>
      </c>
      <c r="G233" s="11" t="s">
        <v>16403</v>
      </c>
      <c r="H233" s="12">
        <v>999</v>
      </c>
      <c r="I233" s="11" t="s">
        <v>16403</v>
      </c>
      <c r="L233" s="11" t="s">
        <v>16403</v>
      </c>
      <c r="M233" s="11" t="s">
        <v>16403</v>
      </c>
      <c r="N233" s="11" t="s">
        <v>16403</v>
      </c>
      <c r="O233" s="11" t="s">
        <v>16403</v>
      </c>
      <c r="P233" s="11" t="s">
        <v>16403</v>
      </c>
      <c r="Q233" s="11" t="s">
        <v>16403</v>
      </c>
      <c r="R233" s="11" t="s">
        <v>16403</v>
      </c>
      <c r="S233" s="11" t="s">
        <v>16403</v>
      </c>
      <c r="T233" s="11" t="s">
        <v>16403</v>
      </c>
      <c r="U233" s="11" t="s">
        <v>16403</v>
      </c>
      <c r="V233" s="11" t="s">
        <v>16403</v>
      </c>
      <c r="W233" s="11" t="s">
        <v>16403</v>
      </c>
      <c r="X233" s="11" t="s">
        <v>16403</v>
      </c>
      <c r="Y233" s="11" t="s">
        <v>16403</v>
      </c>
      <c r="Z233" s="11" t="s">
        <v>16403</v>
      </c>
      <c r="AA233" s="11" t="s">
        <v>16403</v>
      </c>
      <c r="AB233" s="11" t="s">
        <v>16403</v>
      </c>
      <c r="AC233" s="11" t="s">
        <v>16403</v>
      </c>
      <c r="AD233" s="11" t="s">
        <v>16403</v>
      </c>
      <c r="AE233" s="11" t="s">
        <v>16403</v>
      </c>
      <c r="AF233" s="11" t="s">
        <v>16403</v>
      </c>
    </row>
    <row r="234" spans="1:32" s="11" customFormat="1" x14ac:dyDescent="0.2">
      <c r="A234" s="11">
        <v>355</v>
      </c>
      <c r="F234" s="11" t="s">
        <v>16403</v>
      </c>
      <c r="G234" s="11" t="s">
        <v>16403</v>
      </c>
      <c r="H234" s="12">
        <v>53.5</v>
      </c>
      <c r="I234" s="11" t="s">
        <v>16404</v>
      </c>
      <c r="L234" s="11" t="s">
        <v>16403</v>
      </c>
      <c r="M234" s="11" t="s">
        <v>16403</v>
      </c>
      <c r="N234" s="11" t="s">
        <v>16403</v>
      </c>
      <c r="O234" s="11" t="s">
        <v>16403</v>
      </c>
      <c r="P234" s="11" t="s">
        <v>16403</v>
      </c>
      <c r="Q234" s="11" t="s">
        <v>16403</v>
      </c>
      <c r="R234" s="11" t="s">
        <v>16403</v>
      </c>
      <c r="S234" s="11" t="s">
        <v>16403</v>
      </c>
      <c r="T234" s="11" t="s">
        <v>16403</v>
      </c>
      <c r="U234" s="11" t="s">
        <v>16403</v>
      </c>
      <c r="V234" s="11" t="s">
        <v>16403</v>
      </c>
      <c r="W234" s="11" t="s">
        <v>16403</v>
      </c>
      <c r="X234" s="11" t="s">
        <v>16403</v>
      </c>
      <c r="Y234" s="11" t="s">
        <v>16403</v>
      </c>
      <c r="Z234" s="11" t="s">
        <v>16403</v>
      </c>
      <c r="AA234" s="11" t="s">
        <v>16403</v>
      </c>
      <c r="AB234" s="11" t="s">
        <v>16403</v>
      </c>
      <c r="AC234" s="11" t="s">
        <v>16403</v>
      </c>
      <c r="AD234" s="11" t="s">
        <v>16403</v>
      </c>
      <c r="AE234" s="11" t="s">
        <v>16403</v>
      </c>
      <c r="AF234" s="11" t="s">
        <v>16403</v>
      </c>
    </row>
    <row r="235" spans="1:32" s="11" customFormat="1" x14ac:dyDescent="0.2">
      <c r="A235" s="11">
        <v>356</v>
      </c>
      <c r="F235" s="11" t="s">
        <v>16414</v>
      </c>
      <c r="G235" s="11" t="s">
        <v>16415</v>
      </c>
      <c r="H235" s="12">
        <v>71.099999999999994</v>
      </c>
      <c r="I235" s="11" t="s">
        <v>16407</v>
      </c>
      <c r="L235" s="11">
        <v>41.005000000000003</v>
      </c>
      <c r="M235" s="11">
        <v>38.698999999999998</v>
      </c>
      <c r="N235" s="11">
        <v>79.613</v>
      </c>
      <c r="O235" s="11">
        <v>79.701999999999998</v>
      </c>
      <c r="P235" s="11">
        <v>57.293999999999997</v>
      </c>
      <c r="Q235" s="11">
        <v>57.784999999999997</v>
      </c>
      <c r="R235" s="11">
        <v>86.32</v>
      </c>
      <c r="S235" s="11">
        <v>86.980999999999995</v>
      </c>
      <c r="T235" s="11">
        <v>68.03</v>
      </c>
      <c r="U235" s="11">
        <v>69.641000000000005</v>
      </c>
      <c r="V235" s="11">
        <v>31.97</v>
      </c>
      <c r="W235" s="11">
        <v>30.359000000000002</v>
      </c>
      <c r="X235" s="11">
        <v>16.728000000000002</v>
      </c>
      <c r="Y235" s="11">
        <v>20.870999999999999</v>
      </c>
      <c r="Z235" s="11">
        <v>30.359000000000002</v>
      </c>
      <c r="AA235" s="11">
        <v>31.97</v>
      </c>
      <c r="AB235" s="11">
        <v>15.795</v>
      </c>
      <c r="AC235" s="11">
        <v>12</v>
      </c>
      <c r="AD235" s="11">
        <v>12</v>
      </c>
      <c r="AE235" s="11">
        <v>12</v>
      </c>
      <c r="AF235" s="11">
        <v>12</v>
      </c>
    </row>
    <row r="236" spans="1:32" s="11" customFormat="1" x14ac:dyDescent="0.2">
      <c r="A236" s="11">
        <v>357</v>
      </c>
      <c r="F236" s="11" t="s">
        <v>16403</v>
      </c>
      <c r="G236" s="11" t="s">
        <v>16403</v>
      </c>
      <c r="H236" s="12">
        <v>999</v>
      </c>
      <c r="I236" s="11" t="s">
        <v>16403</v>
      </c>
      <c r="L236" s="11" t="s">
        <v>16403</v>
      </c>
      <c r="M236" s="11" t="s">
        <v>16403</v>
      </c>
      <c r="N236" s="11" t="s">
        <v>16403</v>
      </c>
      <c r="O236" s="11" t="s">
        <v>16403</v>
      </c>
      <c r="P236" s="11" t="s">
        <v>16403</v>
      </c>
      <c r="Q236" s="11" t="s">
        <v>16403</v>
      </c>
      <c r="R236" s="11" t="s">
        <v>16403</v>
      </c>
      <c r="S236" s="11" t="s">
        <v>16403</v>
      </c>
      <c r="T236" s="11" t="s">
        <v>16403</v>
      </c>
      <c r="U236" s="11" t="s">
        <v>16403</v>
      </c>
      <c r="V236" s="11" t="s">
        <v>16403</v>
      </c>
      <c r="W236" s="11" t="s">
        <v>16403</v>
      </c>
      <c r="X236" s="11" t="s">
        <v>16403</v>
      </c>
      <c r="Y236" s="11" t="s">
        <v>16403</v>
      </c>
      <c r="Z236" s="11" t="s">
        <v>16403</v>
      </c>
      <c r="AA236" s="11" t="s">
        <v>16403</v>
      </c>
      <c r="AB236" s="11" t="s">
        <v>16403</v>
      </c>
      <c r="AC236" s="11" t="s">
        <v>16403</v>
      </c>
      <c r="AD236" s="11" t="s">
        <v>16403</v>
      </c>
      <c r="AE236" s="11" t="s">
        <v>16403</v>
      </c>
      <c r="AF236" s="11" t="s">
        <v>16403</v>
      </c>
    </row>
    <row r="237" spans="1:32" s="11" customFormat="1" x14ac:dyDescent="0.2">
      <c r="A237" s="11">
        <v>358</v>
      </c>
      <c r="F237" s="11" t="s">
        <v>16414</v>
      </c>
      <c r="G237" s="11" t="s">
        <v>16415</v>
      </c>
      <c r="H237" s="12">
        <v>67.900000000000006</v>
      </c>
      <c r="I237" s="11" t="s">
        <v>16407</v>
      </c>
      <c r="L237" s="11">
        <v>6.1070000000000002</v>
      </c>
      <c r="M237" s="11">
        <v>19.991</v>
      </c>
      <c r="N237" s="11">
        <v>26.994</v>
      </c>
      <c r="O237" s="11">
        <v>27.387</v>
      </c>
      <c r="P237" s="11">
        <v>13.618</v>
      </c>
      <c r="Q237" s="11">
        <v>13.891999999999999</v>
      </c>
      <c r="R237" s="11">
        <v>76.882999999999996</v>
      </c>
      <c r="S237" s="11">
        <v>61.985999999999997</v>
      </c>
      <c r="T237" s="11">
        <v>81.290000000000006</v>
      </c>
      <c r="U237" s="11">
        <v>78.057000000000002</v>
      </c>
      <c r="V237" s="11">
        <v>18.71</v>
      </c>
      <c r="W237" s="11">
        <v>21.943000000000001</v>
      </c>
      <c r="X237" s="11">
        <v>28.231999999999999</v>
      </c>
      <c r="Y237" s="11">
        <v>32.375999999999998</v>
      </c>
      <c r="Z237" s="11">
        <v>21.943000000000001</v>
      </c>
      <c r="AA237" s="11">
        <v>18.71</v>
      </c>
      <c r="AB237" s="11">
        <v>10.388</v>
      </c>
      <c r="AC237" s="11">
        <v>10</v>
      </c>
      <c r="AD237" s="11">
        <v>8</v>
      </c>
      <c r="AE237" s="11">
        <v>8</v>
      </c>
      <c r="AF237" s="11">
        <v>8</v>
      </c>
    </row>
    <row r="238" spans="1:32" s="11" customFormat="1" x14ac:dyDescent="0.2">
      <c r="A238" s="11">
        <v>359</v>
      </c>
      <c r="F238" s="11" t="s">
        <v>16403</v>
      </c>
      <c r="G238" s="11" t="s">
        <v>16403</v>
      </c>
      <c r="H238" s="12">
        <v>59.4</v>
      </c>
      <c r="I238" s="11" t="s">
        <v>16404</v>
      </c>
      <c r="L238" s="11" t="s">
        <v>16403</v>
      </c>
      <c r="M238" s="11" t="s">
        <v>16403</v>
      </c>
      <c r="N238" s="11" t="s">
        <v>16403</v>
      </c>
      <c r="O238" s="11" t="s">
        <v>16403</v>
      </c>
      <c r="P238" s="11" t="s">
        <v>16403</v>
      </c>
      <c r="Q238" s="11" t="s">
        <v>16403</v>
      </c>
      <c r="R238" s="11" t="s">
        <v>16403</v>
      </c>
      <c r="S238" s="11" t="s">
        <v>16403</v>
      </c>
      <c r="T238" s="11" t="s">
        <v>16403</v>
      </c>
      <c r="U238" s="11" t="s">
        <v>16403</v>
      </c>
      <c r="V238" s="11" t="s">
        <v>16403</v>
      </c>
      <c r="W238" s="11" t="s">
        <v>16403</v>
      </c>
      <c r="X238" s="11" t="s">
        <v>16403</v>
      </c>
      <c r="Y238" s="11" t="s">
        <v>16403</v>
      </c>
      <c r="Z238" s="11" t="s">
        <v>16403</v>
      </c>
      <c r="AA238" s="11" t="s">
        <v>16403</v>
      </c>
      <c r="AB238" s="11" t="s">
        <v>16403</v>
      </c>
      <c r="AC238" s="11" t="s">
        <v>16403</v>
      </c>
      <c r="AD238" s="11" t="s">
        <v>16403</v>
      </c>
      <c r="AE238" s="11" t="s">
        <v>16403</v>
      </c>
      <c r="AF238" s="11" t="s">
        <v>16403</v>
      </c>
    </row>
    <row r="239" spans="1:32" s="11" customFormat="1" x14ac:dyDescent="0.2">
      <c r="A239" s="11">
        <v>360</v>
      </c>
      <c r="F239" s="11" t="s">
        <v>16434</v>
      </c>
      <c r="G239" s="11" t="s">
        <v>16435</v>
      </c>
      <c r="H239" s="12">
        <v>40</v>
      </c>
      <c r="I239" s="11" t="s">
        <v>16404</v>
      </c>
      <c r="L239" s="11">
        <v>66.614999999999995</v>
      </c>
      <c r="M239" s="11">
        <v>62.994999999999997</v>
      </c>
      <c r="N239" s="11">
        <v>130.102</v>
      </c>
      <c r="O239" s="11">
        <v>128.62200000000001</v>
      </c>
      <c r="P239" s="11">
        <v>123.57599999999999</v>
      </c>
      <c r="Q239" s="11">
        <v>123.67400000000001</v>
      </c>
      <c r="R239" s="11">
        <v>113.687</v>
      </c>
      <c r="S239" s="11">
        <v>115.14700000000001</v>
      </c>
      <c r="T239" s="11">
        <v>62.119</v>
      </c>
      <c r="U239" s="11">
        <v>62.521999999999998</v>
      </c>
      <c r="V239" s="11">
        <v>37.881</v>
      </c>
      <c r="W239" s="11">
        <v>37.478000000000002</v>
      </c>
      <c r="X239" s="11">
        <v>12.625999999999999</v>
      </c>
      <c r="Y239" s="11">
        <v>11.722</v>
      </c>
      <c r="Z239" s="11">
        <v>37.478000000000002</v>
      </c>
      <c r="AA239" s="11">
        <v>37.881</v>
      </c>
      <c r="AB239" s="11">
        <v>10.302</v>
      </c>
      <c r="AC239" s="11">
        <v>10</v>
      </c>
      <c r="AD239" s="11">
        <v>9</v>
      </c>
      <c r="AE239" s="11">
        <v>9</v>
      </c>
      <c r="AF239" s="11">
        <v>9</v>
      </c>
    </row>
    <row r="240" spans="1:32" s="11" customFormat="1" x14ac:dyDescent="0.2">
      <c r="A240" s="11">
        <v>361</v>
      </c>
      <c r="F240" s="11" t="s">
        <v>16403</v>
      </c>
      <c r="G240" s="11" t="s">
        <v>16403</v>
      </c>
      <c r="H240" s="12">
        <v>67.099999999999994</v>
      </c>
      <c r="I240" s="11" t="s">
        <v>16404</v>
      </c>
      <c r="L240" s="11" t="s">
        <v>16403</v>
      </c>
      <c r="M240" s="11" t="s">
        <v>16403</v>
      </c>
      <c r="N240" s="11" t="s">
        <v>16403</v>
      </c>
      <c r="O240" s="11" t="s">
        <v>16403</v>
      </c>
      <c r="P240" s="11" t="s">
        <v>16403</v>
      </c>
      <c r="Q240" s="11" t="s">
        <v>16403</v>
      </c>
      <c r="R240" s="11" t="s">
        <v>16403</v>
      </c>
      <c r="S240" s="11" t="s">
        <v>16403</v>
      </c>
      <c r="T240" s="11" t="s">
        <v>16403</v>
      </c>
      <c r="U240" s="11" t="s">
        <v>16403</v>
      </c>
      <c r="V240" s="11" t="s">
        <v>16403</v>
      </c>
      <c r="W240" s="11" t="s">
        <v>16403</v>
      </c>
      <c r="X240" s="11" t="s">
        <v>16403</v>
      </c>
      <c r="Y240" s="11" t="s">
        <v>16403</v>
      </c>
      <c r="Z240" s="11" t="s">
        <v>16403</v>
      </c>
      <c r="AA240" s="11" t="s">
        <v>16403</v>
      </c>
      <c r="AB240" s="11" t="s">
        <v>16403</v>
      </c>
      <c r="AC240" s="11" t="s">
        <v>16403</v>
      </c>
      <c r="AD240" s="11" t="s">
        <v>16403</v>
      </c>
      <c r="AE240" s="11" t="s">
        <v>16403</v>
      </c>
      <c r="AF240" s="11" t="s">
        <v>16403</v>
      </c>
    </row>
    <row r="241" spans="1:32" s="11" customFormat="1" x14ac:dyDescent="0.2">
      <c r="A241" s="11">
        <v>362</v>
      </c>
      <c r="F241" s="11" t="s">
        <v>16403</v>
      </c>
      <c r="G241" s="11" t="s">
        <v>16403</v>
      </c>
      <c r="H241" s="12">
        <v>68.8</v>
      </c>
      <c r="I241" s="11" t="s">
        <v>16404</v>
      </c>
      <c r="L241" s="11" t="s">
        <v>16403</v>
      </c>
      <c r="M241" s="11" t="s">
        <v>16403</v>
      </c>
      <c r="N241" s="11" t="s">
        <v>16403</v>
      </c>
      <c r="O241" s="11" t="s">
        <v>16403</v>
      </c>
      <c r="P241" s="11" t="s">
        <v>16403</v>
      </c>
      <c r="Q241" s="11" t="s">
        <v>16403</v>
      </c>
      <c r="R241" s="11" t="s">
        <v>16403</v>
      </c>
      <c r="S241" s="11" t="s">
        <v>16403</v>
      </c>
      <c r="T241" s="11" t="s">
        <v>16403</v>
      </c>
      <c r="U241" s="11" t="s">
        <v>16403</v>
      </c>
      <c r="V241" s="11" t="s">
        <v>16403</v>
      </c>
      <c r="W241" s="11" t="s">
        <v>16403</v>
      </c>
      <c r="X241" s="11" t="s">
        <v>16403</v>
      </c>
      <c r="Y241" s="11" t="s">
        <v>16403</v>
      </c>
      <c r="Z241" s="11" t="s">
        <v>16403</v>
      </c>
      <c r="AA241" s="11" t="s">
        <v>16403</v>
      </c>
      <c r="AB241" s="11" t="s">
        <v>16403</v>
      </c>
      <c r="AC241" s="11" t="s">
        <v>16403</v>
      </c>
      <c r="AD241" s="11" t="s">
        <v>16403</v>
      </c>
      <c r="AE241" s="11" t="s">
        <v>16403</v>
      </c>
      <c r="AF241" s="11" t="s">
        <v>16403</v>
      </c>
    </row>
    <row r="242" spans="1:32" s="11" customFormat="1" x14ac:dyDescent="0.2">
      <c r="A242" s="11">
        <v>363</v>
      </c>
      <c r="F242" s="11" t="s">
        <v>16403</v>
      </c>
      <c r="G242" s="11" t="s">
        <v>16403</v>
      </c>
      <c r="H242" s="12">
        <v>999</v>
      </c>
      <c r="I242" s="11" t="s">
        <v>16403</v>
      </c>
      <c r="L242" s="11">
        <v>39.085999999999999</v>
      </c>
      <c r="M242" s="11">
        <v>33.558999999999997</v>
      </c>
      <c r="N242" s="11">
        <v>72.528000000000006</v>
      </c>
      <c r="O242" s="11">
        <v>73.043000000000006</v>
      </c>
      <c r="P242" s="11">
        <v>52.933</v>
      </c>
      <c r="Q242" s="11">
        <v>53.378</v>
      </c>
      <c r="R242" s="11">
        <v>88.188000000000002</v>
      </c>
      <c r="S242" s="11">
        <v>88.49</v>
      </c>
      <c r="T242" s="11">
        <v>66.649000000000001</v>
      </c>
      <c r="U242" s="11">
        <v>66.748000000000005</v>
      </c>
      <c r="V242" s="11">
        <v>33.350999999999999</v>
      </c>
      <c r="W242" s="11">
        <v>33.252000000000002</v>
      </c>
      <c r="X242" s="11">
        <v>17.081</v>
      </c>
      <c r="Y242" s="11">
        <v>16.811</v>
      </c>
      <c r="Z242" s="11">
        <v>33.252000000000002</v>
      </c>
      <c r="AA242" s="11">
        <v>33.350999999999999</v>
      </c>
      <c r="AB242" s="11">
        <v>13.138</v>
      </c>
      <c r="AC242" s="11">
        <v>13</v>
      </c>
      <c r="AD242" s="11">
        <v>13</v>
      </c>
      <c r="AE242" s="11">
        <v>13</v>
      </c>
      <c r="AF242" s="11">
        <v>13</v>
      </c>
    </row>
    <row r="243" spans="1:32" s="11" customFormat="1" x14ac:dyDescent="0.2">
      <c r="A243" s="11">
        <v>364</v>
      </c>
      <c r="F243" s="11" t="s">
        <v>16432</v>
      </c>
      <c r="G243" s="11" t="s">
        <v>16433</v>
      </c>
      <c r="H243" s="12">
        <v>63</v>
      </c>
      <c r="I243" s="11" t="s">
        <v>16407</v>
      </c>
      <c r="L243" s="11">
        <v>54.252000000000002</v>
      </c>
      <c r="M243" s="11">
        <v>50.918999999999997</v>
      </c>
      <c r="N243" s="11">
        <v>105.931</v>
      </c>
      <c r="O243" s="11">
        <v>105.035</v>
      </c>
      <c r="P243" s="11">
        <v>93.736000000000004</v>
      </c>
      <c r="Q243" s="11">
        <v>92.421000000000006</v>
      </c>
      <c r="R243" s="11">
        <v>105.746</v>
      </c>
      <c r="S243" s="11">
        <v>105.533</v>
      </c>
      <c r="T243" s="11">
        <v>62.493000000000002</v>
      </c>
      <c r="U243" s="11">
        <v>63.179000000000002</v>
      </c>
      <c r="V243" s="11">
        <v>37.506999999999998</v>
      </c>
      <c r="W243" s="11">
        <v>36.820999999999998</v>
      </c>
      <c r="X243" s="11">
        <v>13.987</v>
      </c>
      <c r="Y243" s="11">
        <v>11.538</v>
      </c>
      <c r="Z243" s="11">
        <v>36.820999999999998</v>
      </c>
      <c r="AA243" s="11">
        <v>37.506999999999998</v>
      </c>
      <c r="AB243" s="11">
        <v>7.6120000000000001</v>
      </c>
      <c r="AC243" s="11">
        <v>12</v>
      </c>
      <c r="AD243" s="11">
        <v>12</v>
      </c>
      <c r="AE243" s="11">
        <v>12</v>
      </c>
      <c r="AF243" s="11">
        <v>12</v>
      </c>
    </row>
    <row r="244" spans="1:32" s="11" customFormat="1" x14ac:dyDescent="0.2">
      <c r="A244" s="11">
        <v>365</v>
      </c>
      <c r="F244" s="11" t="s">
        <v>16403</v>
      </c>
      <c r="G244" s="11" t="s">
        <v>16403</v>
      </c>
      <c r="H244" s="12">
        <v>999</v>
      </c>
      <c r="I244" s="11" t="s">
        <v>16407</v>
      </c>
      <c r="L244" s="11">
        <v>52.481000000000002</v>
      </c>
      <c r="M244" s="11">
        <v>49.832999999999998</v>
      </c>
      <c r="N244" s="11">
        <v>102.871</v>
      </c>
      <c r="O244" s="11">
        <v>102.804</v>
      </c>
      <c r="P244" s="11">
        <v>91.421000000000006</v>
      </c>
      <c r="Q244" s="11">
        <v>91.927000000000007</v>
      </c>
      <c r="R244" s="11">
        <v>106.51600000000001</v>
      </c>
      <c r="S244" s="11">
        <v>107.2</v>
      </c>
      <c r="T244" s="11">
        <v>63.904000000000003</v>
      </c>
      <c r="U244" s="11">
        <v>63.850999999999999</v>
      </c>
      <c r="V244" s="11">
        <v>36.095999999999997</v>
      </c>
      <c r="W244" s="11">
        <v>36.149000000000001</v>
      </c>
      <c r="X244" s="11">
        <v>14.282999999999999</v>
      </c>
      <c r="Y244" s="11">
        <v>13.833</v>
      </c>
      <c r="Z244" s="11">
        <v>36.149000000000001</v>
      </c>
      <c r="AA244" s="11">
        <v>36.095999999999997</v>
      </c>
      <c r="AB244" s="11">
        <v>13.103999999999999</v>
      </c>
      <c r="AC244" s="11">
        <v>12</v>
      </c>
      <c r="AD244" s="11">
        <v>15</v>
      </c>
      <c r="AE244" s="11">
        <v>12</v>
      </c>
      <c r="AF244" s="11">
        <v>12</v>
      </c>
    </row>
    <row r="245" spans="1:32" s="11" customFormat="1" x14ac:dyDescent="0.2">
      <c r="A245" s="11">
        <v>366</v>
      </c>
      <c r="F245" s="11" t="s">
        <v>16403</v>
      </c>
      <c r="G245" s="11" t="s">
        <v>16403</v>
      </c>
      <c r="H245" s="12">
        <v>999</v>
      </c>
      <c r="I245" s="11" t="s">
        <v>16403</v>
      </c>
      <c r="L245" s="11">
        <v>60.796999999999997</v>
      </c>
      <c r="M245" s="11">
        <v>61.481999999999999</v>
      </c>
      <c r="N245" s="11">
        <v>123.19799999999999</v>
      </c>
      <c r="O245" s="11">
        <v>122.11199999999999</v>
      </c>
      <c r="P245" s="11">
        <v>95.942999999999998</v>
      </c>
      <c r="Q245" s="11">
        <v>96.018000000000001</v>
      </c>
      <c r="R245" s="11">
        <v>93.111999999999995</v>
      </c>
      <c r="S245" s="11">
        <v>93.552999999999997</v>
      </c>
      <c r="T245" s="11">
        <v>63.36</v>
      </c>
      <c r="U245" s="11">
        <v>62.005000000000003</v>
      </c>
      <c r="V245" s="11">
        <v>36.64</v>
      </c>
      <c r="W245" s="11">
        <v>37.994999999999997</v>
      </c>
      <c r="X245" s="11">
        <v>13.904</v>
      </c>
      <c r="Y245" s="11">
        <v>11.951000000000001</v>
      </c>
      <c r="Z245" s="11">
        <v>37.994999999999997</v>
      </c>
      <c r="AA245" s="11">
        <v>36.64</v>
      </c>
      <c r="AB245" s="11">
        <v>16.812000000000001</v>
      </c>
      <c r="AC245" s="11">
        <v>10</v>
      </c>
      <c r="AD245" s="11">
        <v>10</v>
      </c>
      <c r="AE245" s="11">
        <v>10</v>
      </c>
      <c r="AF245" s="11">
        <v>10</v>
      </c>
    </row>
    <row r="246" spans="1:32" s="11" customFormat="1" x14ac:dyDescent="0.2">
      <c r="A246" s="11">
        <v>367</v>
      </c>
      <c r="F246" s="11" t="s">
        <v>16420</v>
      </c>
      <c r="G246" s="11" t="s">
        <v>16421</v>
      </c>
      <c r="H246" s="12">
        <v>69.2</v>
      </c>
      <c r="I246" s="11" t="s">
        <v>16407</v>
      </c>
      <c r="L246" s="11">
        <v>35.83</v>
      </c>
      <c r="M246" s="11">
        <v>37.936</v>
      </c>
      <c r="N246" s="11">
        <v>74.132000000000005</v>
      </c>
      <c r="O246" s="11">
        <v>73.980999999999995</v>
      </c>
      <c r="P246" s="11">
        <v>59.588000000000001</v>
      </c>
      <c r="Q246" s="11">
        <v>60.738</v>
      </c>
      <c r="R246" s="11">
        <v>96.323999999999998</v>
      </c>
      <c r="S246" s="11">
        <v>98.081999999999994</v>
      </c>
      <c r="T246" s="11">
        <v>70.283000000000001</v>
      </c>
      <c r="U246" s="11">
        <v>69.484999999999999</v>
      </c>
      <c r="V246" s="11">
        <v>29.716999999999999</v>
      </c>
      <c r="W246" s="11">
        <v>30.515000000000001</v>
      </c>
      <c r="X246" s="11">
        <v>21.085000000000001</v>
      </c>
      <c r="Y246" s="11">
        <v>18.989999999999998</v>
      </c>
      <c r="Z246" s="11">
        <v>30.515000000000001</v>
      </c>
      <c r="AA246" s="11">
        <v>29.716999999999999</v>
      </c>
      <c r="AB246" s="11">
        <v>7.82</v>
      </c>
      <c r="AC246" s="11">
        <v>15</v>
      </c>
      <c r="AD246" s="11">
        <v>17</v>
      </c>
      <c r="AE246" s="11">
        <v>15</v>
      </c>
      <c r="AF246" s="11">
        <v>15</v>
      </c>
    </row>
    <row r="247" spans="1:32" s="11" customFormat="1" x14ac:dyDescent="0.2">
      <c r="A247" s="11">
        <v>368</v>
      </c>
      <c r="F247" s="11" t="s">
        <v>16420</v>
      </c>
      <c r="G247" s="11" t="s">
        <v>16421</v>
      </c>
      <c r="H247" s="12">
        <v>38.9</v>
      </c>
      <c r="I247" s="11" t="s">
        <v>16404</v>
      </c>
      <c r="L247" s="11">
        <v>66.183999999999997</v>
      </c>
      <c r="M247" s="11">
        <v>66.388000000000005</v>
      </c>
      <c r="N247" s="11">
        <v>132.46100000000001</v>
      </c>
      <c r="O247" s="11">
        <v>133.108</v>
      </c>
      <c r="P247" s="11">
        <v>110.488</v>
      </c>
      <c r="Q247" s="11">
        <v>110.351</v>
      </c>
      <c r="R247" s="11">
        <v>99.19</v>
      </c>
      <c r="S247" s="11">
        <v>99.013999999999996</v>
      </c>
      <c r="T247" s="11">
        <v>62.573</v>
      </c>
      <c r="U247" s="11">
        <v>62.405000000000001</v>
      </c>
      <c r="V247" s="11">
        <v>37.427</v>
      </c>
      <c r="W247" s="11">
        <v>37.594999999999999</v>
      </c>
      <c r="X247" s="11">
        <v>12.688000000000001</v>
      </c>
      <c r="Y247" s="11">
        <v>12.026</v>
      </c>
      <c r="Z247" s="11">
        <v>37.594999999999999</v>
      </c>
      <c r="AA247" s="11">
        <v>37.427</v>
      </c>
      <c r="AB247" s="11">
        <v>11.912000000000001</v>
      </c>
      <c r="AC247" s="11">
        <v>9</v>
      </c>
      <c r="AD247" s="11">
        <v>10</v>
      </c>
      <c r="AE247" s="11">
        <v>9</v>
      </c>
      <c r="AF247" s="11">
        <v>9</v>
      </c>
    </row>
    <row r="248" spans="1:32" s="11" customFormat="1" x14ac:dyDescent="0.2">
      <c r="A248" s="11">
        <v>369</v>
      </c>
      <c r="F248" s="11" t="s">
        <v>16432</v>
      </c>
      <c r="G248" s="11" t="s">
        <v>16433</v>
      </c>
      <c r="H248" s="12">
        <v>59.7</v>
      </c>
      <c r="I248" s="11" t="s">
        <v>16407</v>
      </c>
      <c r="L248" s="11">
        <v>47.06</v>
      </c>
      <c r="M248" s="11">
        <v>47.387</v>
      </c>
      <c r="N248" s="11">
        <v>94.367000000000004</v>
      </c>
      <c r="O248" s="11">
        <v>94.802000000000007</v>
      </c>
      <c r="P248" s="11">
        <v>82.510999999999996</v>
      </c>
      <c r="Q248" s="11">
        <v>82.826999999999998</v>
      </c>
      <c r="R248" s="11">
        <v>104.532</v>
      </c>
      <c r="S248" s="11">
        <v>103.687</v>
      </c>
      <c r="T248" s="11">
        <v>64.593000000000004</v>
      </c>
      <c r="U248" s="11">
        <v>62.322000000000003</v>
      </c>
      <c r="V248" s="11">
        <v>35.406999999999996</v>
      </c>
      <c r="W248" s="11">
        <v>37.677999999999997</v>
      </c>
      <c r="X248" s="11">
        <v>13.888999999999999</v>
      </c>
      <c r="Y248" s="11">
        <v>12.95</v>
      </c>
      <c r="Z248" s="11">
        <v>37.677999999999997</v>
      </c>
      <c r="AA248" s="11">
        <v>35.406999999999996</v>
      </c>
      <c r="AB248" s="11">
        <v>7.008</v>
      </c>
      <c r="AC248" s="11">
        <v>15</v>
      </c>
      <c r="AD248" s="11">
        <v>13</v>
      </c>
      <c r="AE248" s="11">
        <v>13</v>
      </c>
      <c r="AF248" s="11">
        <v>13</v>
      </c>
    </row>
    <row r="249" spans="1:32" s="11" customFormat="1" x14ac:dyDescent="0.2">
      <c r="A249" s="11">
        <v>370</v>
      </c>
      <c r="F249" s="11" t="s">
        <v>16436</v>
      </c>
      <c r="G249" s="11" t="s">
        <v>16437</v>
      </c>
      <c r="H249" s="12">
        <v>36</v>
      </c>
      <c r="I249" s="11" t="s">
        <v>16407</v>
      </c>
      <c r="L249" s="11">
        <v>60.222999999999999</v>
      </c>
      <c r="M249" s="11">
        <v>55.392000000000003</v>
      </c>
      <c r="N249" s="11">
        <v>114.712</v>
      </c>
      <c r="O249" s="11">
        <v>117.70399999999999</v>
      </c>
      <c r="P249" s="11">
        <v>111.42</v>
      </c>
      <c r="Q249" s="11">
        <v>113.56100000000001</v>
      </c>
      <c r="R249" s="11">
        <v>118.28100000000001</v>
      </c>
      <c r="S249" s="11">
        <v>116.29</v>
      </c>
      <c r="T249" s="11">
        <v>62.344999999999999</v>
      </c>
      <c r="U249" s="11">
        <v>60.994</v>
      </c>
      <c r="V249" s="11">
        <v>37.655000000000001</v>
      </c>
      <c r="W249" s="11">
        <v>39.006</v>
      </c>
      <c r="X249" s="11">
        <v>12.839</v>
      </c>
      <c r="Y249" s="11">
        <v>10.263</v>
      </c>
      <c r="Z249" s="11">
        <v>39.006</v>
      </c>
      <c r="AA249" s="11">
        <v>37.655000000000001</v>
      </c>
      <c r="AB249" s="11">
        <v>10.314</v>
      </c>
      <c r="AC249" s="11">
        <v>12</v>
      </c>
      <c r="AD249" s="11">
        <v>10</v>
      </c>
      <c r="AE249" s="11">
        <v>10</v>
      </c>
      <c r="AF249" s="11">
        <v>10</v>
      </c>
    </row>
    <row r="250" spans="1:32" s="11" customFormat="1" x14ac:dyDescent="0.2">
      <c r="A250" s="11">
        <v>371</v>
      </c>
      <c r="F250" s="11" t="s">
        <v>16414</v>
      </c>
      <c r="G250" s="11" t="s">
        <v>16415</v>
      </c>
      <c r="H250" s="12">
        <v>71.099999999999994</v>
      </c>
      <c r="I250" s="11" t="s">
        <v>16404</v>
      </c>
      <c r="L250" s="11">
        <v>58.756</v>
      </c>
      <c r="M250" s="11">
        <v>60.148000000000003</v>
      </c>
      <c r="N250" s="11">
        <v>118.86799999999999</v>
      </c>
      <c r="O250" s="11">
        <v>119.51300000000001</v>
      </c>
      <c r="P250" s="11">
        <v>109.42700000000001</v>
      </c>
      <c r="Q250" s="11">
        <v>109.828</v>
      </c>
      <c r="R250" s="11">
        <v>110.366</v>
      </c>
      <c r="S250" s="11">
        <v>110.139</v>
      </c>
      <c r="T250" s="11">
        <v>63.067999999999998</v>
      </c>
      <c r="U250" s="11">
        <v>62.923000000000002</v>
      </c>
      <c r="V250" s="11">
        <v>36.932000000000002</v>
      </c>
      <c r="W250" s="11">
        <v>37.076999999999998</v>
      </c>
      <c r="X250" s="11">
        <v>12.566000000000001</v>
      </c>
      <c r="Y250" s="11">
        <v>13.677</v>
      </c>
      <c r="Z250" s="11">
        <v>37.076999999999998</v>
      </c>
      <c r="AA250" s="11">
        <v>36.932000000000002</v>
      </c>
      <c r="AB250" s="11">
        <v>7.532</v>
      </c>
      <c r="AC250" s="11">
        <v>10</v>
      </c>
      <c r="AD250" s="11">
        <v>10</v>
      </c>
      <c r="AE250" s="11">
        <v>10</v>
      </c>
      <c r="AF250" s="11">
        <v>10</v>
      </c>
    </row>
    <row r="251" spans="1:32" s="11" customFormat="1" x14ac:dyDescent="0.2">
      <c r="A251" s="11">
        <v>372</v>
      </c>
      <c r="F251" s="11" t="s">
        <v>16403</v>
      </c>
      <c r="G251" s="11" t="s">
        <v>16403</v>
      </c>
      <c r="H251" s="12">
        <v>999</v>
      </c>
      <c r="I251" s="11" t="s">
        <v>16403</v>
      </c>
      <c r="L251" s="11">
        <v>54.817</v>
      </c>
      <c r="M251" s="11">
        <v>58.741</v>
      </c>
      <c r="N251" s="11">
        <v>112.95</v>
      </c>
      <c r="O251" s="11">
        <v>113.64700000000001</v>
      </c>
      <c r="P251" s="11">
        <v>104.935</v>
      </c>
      <c r="Q251" s="11">
        <v>107.501</v>
      </c>
      <c r="R251" s="11">
        <v>113.07599999999999</v>
      </c>
      <c r="S251" s="11">
        <v>114.45399999999999</v>
      </c>
      <c r="T251" s="11">
        <v>63.429000000000002</v>
      </c>
      <c r="U251" s="11">
        <v>60.875999999999998</v>
      </c>
      <c r="V251" s="11">
        <v>36.570999999999998</v>
      </c>
      <c r="W251" s="11">
        <v>39.124000000000002</v>
      </c>
      <c r="X251" s="11">
        <v>10.361000000000001</v>
      </c>
      <c r="Y251" s="11">
        <v>14.269</v>
      </c>
      <c r="Z251" s="11">
        <v>39.124000000000002</v>
      </c>
      <c r="AA251" s="11">
        <v>36.570999999999998</v>
      </c>
      <c r="AB251" s="11">
        <v>10.067</v>
      </c>
      <c r="AC251" s="11">
        <v>5</v>
      </c>
      <c r="AD251" s="11">
        <v>4</v>
      </c>
      <c r="AE251" s="11">
        <v>4</v>
      </c>
      <c r="AF251" s="11">
        <v>4</v>
      </c>
    </row>
    <row r="252" spans="1:32" s="11" customFormat="1" x14ac:dyDescent="0.2">
      <c r="A252" s="11">
        <v>373</v>
      </c>
      <c r="F252" s="11" t="s">
        <v>16403</v>
      </c>
      <c r="G252" s="11" t="s">
        <v>16403</v>
      </c>
      <c r="H252" s="12">
        <v>999</v>
      </c>
      <c r="I252" s="11" t="s">
        <v>16403</v>
      </c>
      <c r="L252" s="11">
        <v>53.366999999999997</v>
      </c>
      <c r="M252" s="11">
        <v>58.768999999999998</v>
      </c>
      <c r="N252" s="11">
        <v>114.477</v>
      </c>
      <c r="O252" s="11">
        <v>110.76300000000001</v>
      </c>
      <c r="P252" s="11">
        <v>101.828</v>
      </c>
      <c r="Q252" s="11">
        <v>101.128</v>
      </c>
      <c r="R252" s="11">
        <v>109.4</v>
      </c>
      <c r="S252" s="11">
        <v>110.05</v>
      </c>
      <c r="T252" s="11">
        <v>61.442</v>
      </c>
      <c r="U252" s="11">
        <v>62.308999999999997</v>
      </c>
      <c r="V252" s="11">
        <v>38.558</v>
      </c>
      <c r="W252" s="11">
        <v>37.691000000000003</v>
      </c>
      <c r="X252" s="11">
        <v>13.244</v>
      </c>
      <c r="Y252" s="11">
        <v>11.852</v>
      </c>
      <c r="Z252" s="11">
        <v>37.691000000000003</v>
      </c>
      <c r="AA252" s="11">
        <v>38.558</v>
      </c>
      <c r="AB252" s="11">
        <v>11.154999999999999</v>
      </c>
      <c r="AC252" s="11">
        <v>10</v>
      </c>
      <c r="AD252" s="11">
        <v>11</v>
      </c>
      <c r="AE252" s="11">
        <v>10</v>
      </c>
      <c r="AF252" s="11">
        <v>10</v>
      </c>
    </row>
    <row r="253" spans="1:32" s="11" customFormat="1" x14ac:dyDescent="0.2">
      <c r="A253" s="11">
        <v>374</v>
      </c>
      <c r="F253" s="11" t="s">
        <v>16403</v>
      </c>
      <c r="G253" s="11" t="s">
        <v>16403</v>
      </c>
      <c r="H253" s="12">
        <v>66.7</v>
      </c>
      <c r="I253" s="11" t="s">
        <v>16407</v>
      </c>
      <c r="L253" s="11">
        <v>61.774999999999999</v>
      </c>
      <c r="M253" s="11">
        <v>57.604999999999997</v>
      </c>
      <c r="N253" s="11">
        <v>119.134</v>
      </c>
      <c r="O253" s="11">
        <v>120.89400000000001</v>
      </c>
      <c r="P253" s="11">
        <v>100.7</v>
      </c>
      <c r="Q253" s="11">
        <v>102.831</v>
      </c>
      <c r="R253" s="11">
        <v>102.273</v>
      </c>
      <c r="S253" s="11">
        <v>103.453</v>
      </c>
      <c r="T253" s="11">
        <v>61.164000000000001</v>
      </c>
      <c r="U253" s="11">
        <v>63.506</v>
      </c>
      <c r="V253" s="11">
        <v>38.835999999999999</v>
      </c>
      <c r="W253" s="11">
        <v>36.494</v>
      </c>
      <c r="X253" s="11">
        <v>12.638999999999999</v>
      </c>
      <c r="Y253" s="11">
        <v>12.785</v>
      </c>
      <c r="Z253" s="11">
        <v>36.494</v>
      </c>
      <c r="AA253" s="11">
        <v>38.835999999999999</v>
      </c>
      <c r="AB253" s="11">
        <v>12.557</v>
      </c>
      <c r="AC253" s="11">
        <v>7</v>
      </c>
      <c r="AD253" s="11">
        <v>6</v>
      </c>
      <c r="AE253" s="11">
        <v>5</v>
      </c>
      <c r="AF253" s="11">
        <v>5</v>
      </c>
    </row>
    <row r="254" spans="1:32" s="11" customFormat="1" x14ac:dyDescent="0.2">
      <c r="A254" s="11">
        <v>375</v>
      </c>
      <c r="F254" s="11" t="s">
        <v>16403</v>
      </c>
      <c r="G254" s="11" t="s">
        <v>16403</v>
      </c>
      <c r="H254" s="12">
        <v>999</v>
      </c>
      <c r="I254" s="11" t="s">
        <v>16403</v>
      </c>
      <c r="L254" s="11" t="s">
        <v>16403</v>
      </c>
      <c r="M254" s="11" t="s">
        <v>16403</v>
      </c>
      <c r="N254" s="11" t="s">
        <v>16403</v>
      </c>
      <c r="O254" s="11" t="s">
        <v>16403</v>
      </c>
      <c r="P254" s="11" t="s">
        <v>16403</v>
      </c>
      <c r="Q254" s="11" t="s">
        <v>16403</v>
      </c>
      <c r="R254" s="11" t="s">
        <v>16403</v>
      </c>
      <c r="S254" s="11" t="s">
        <v>16403</v>
      </c>
      <c r="T254" s="11" t="s">
        <v>16403</v>
      </c>
      <c r="U254" s="11" t="s">
        <v>16403</v>
      </c>
      <c r="V254" s="11" t="s">
        <v>16403</v>
      </c>
      <c r="W254" s="11" t="s">
        <v>16403</v>
      </c>
      <c r="X254" s="11" t="s">
        <v>16403</v>
      </c>
      <c r="Y254" s="11" t="s">
        <v>16403</v>
      </c>
      <c r="Z254" s="11" t="s">
        <v>16403</v>
      </c>
      <c r="AA254" s="11" t="s">
        <v>16403</v>
      </c>
      <c r="AB254" s="11" t="s">
        <v>16403</v>
      </c>
      <c r="AC254" s="11" t="s">
        <v>16403</v>
      </c>
      <c r="AD254" s="11" t="s">
        <v>16403</v>
      </c>
      <c r="AE254" s="11" t="s">
        <v>16403</v>
      </c>
      <c r="AF254" s="11" t="s">
        <v>16403</v>
      </c>
    </row>
    <row r="255" spans="1:32" s="11" customFormat="1" x14ac:dyDescent="0.2">
      <c r="A255" s="11">
        <v>376</v>
      </c>
      <c r="F255" s="11" t="s">
        <v>16403</v>
      </c>
      <c r="G255" s="11" t="s">
        <v>16403</v>
      </c>
      <c r="H255" s="12">
        <v>999</v>
      </c>
      <c r="I255" s="11" t="s">
        <v>16403</v>
      </c>
      <c r="L255" s="11" t="s">
        <v>16403</v>
      </c>
      <c r="M255" s="11" t="s">
        <v>16403</v>
      </c>
      <c r="N255" s="11" t="s">
        <v>16403</v>
      </c>
      <c r="O255" s="11" t="s">
        <v>16403</v>
      </c>
      <c r="P255" s="11" t="s">
        <v>16403</v>
      </c>
      <c r="Q255" s="11" t="s">
        <v>16403</v>
      </c>
      <c r="R255" s="11" t="s">
        <v>16403</v>
      </c>
      <c r="S255" s="11" t="s">
        <v>16403</v>
      </c>
      <c r="T255" s="11" t="s">
        <v>16403</v>
      </c>
      <c r="U255" s="11" t="s">
        <v>16403</v>
      </c>
      <c r="V255" s="11" t="s">
        <v>16403</v>
      </c>
      <c r="W255" s="11" t="s">
        <v>16403</v>
      </c>
      <c r="X255" s="11" t="s">
        <v>16403</v>
      </c>
      <c r="Y255" s="11" t="s">
        <v>16403</v>
      </c>
      <c r="Z255" s="11" t="s">
        <v>16403</v>
      </c>
      <c r="AA255" s="11" t="s">
        <v>16403</v>
      </c>
      <c r="AB255" s="11" t="s">
        <v>16403</v>
      </c>
      <c r="AC255" s="11" t="s">
        <v>16403</v>
      </c>
      <c r="AD255" s="11" t="s">
        <v>16403</v>
      </c>
      <c r="AE255" s="11" t="s">
        <v>16403</v>
      </c>
      <c r="AF255" s="11" t="s">
        <v>16403</v>
      </c>
    </row>
    <row r="256" spans="1:32" s="11" customFormat="1" x14ac:dyDescent="0.2">
      <c r="A256" s="11">
        <v>377</v>
      </c>
      <c r="F256" s="11" t="s">
        <v>16403</v>
      </c>
      <c r="G256" s="11" t="s">
        <v>16403</v>
      </c>
      <c r="H256" s="12">
        <v>999</v>
      </c>
      <c r="I256" s="11" t="s">
        <v>16403</v>
      </c>
      <c r="L256" s="11">
        <v>28.815999999999999</v>
      </c>
      <c r="M256" s="11">
        <v>36.088999999999999</v>
      </c>
      <c r="N256" s="11">
        <v>64.805999999999997</v>
      </c>
      <c r="O256" s="11">
        <v>64.477999999999994</v>
      </c>
      <c r="P256" s="11">
        <v>52.634999999999998</v>
      </c>
      <c r="Q256" s="11">
        <v>51.832999999999998</v>
      </c>
      <c r="R256" s="11">
        <v>97.093000000000004</v>
      </c>
      <c r="S256" s="11">
        <v>96.716999999999999</v>
      </c>
      <c r="T256" s="11">
        <v>65.108999999999995</v>
      </c>
      <c r="U256" s="11">
        <v>64.971000000000004</v>
      </c>
      <c r="V256" s="11">
        <v>34.890999999999998</v>
      </c>
      <c r="W256" s="11">
        <v>35.029000000000003</v>
      </c>
      <c r="X256" s="11">
        <v>16.106000000000002</v>
      </c>
      <c r="Y256" s="11">
        <v>14.507999999999999</v>
      </c>
      <c r="Z256" s="11">
        <v>35.029000000000003</v>
      </c>
      <c r="AA256" s="11">
        <v>34.890999999999998</v>
      </c>
      <c r="AB256" s="11">
        <v>18.728000000000002</v>
      </c>
      <c r="AC256" s="11">
        <v>13</v>
      </c>
      <c r="AD256" s="11">
        <v>14</v>
      </c>
      <c r="AE256" s="11">
        <v>13</v>
      </c>
      <c r="AF256" s="11">
        <v>13</v>
      </c>
    </row>
    <row r="257" spans="1:32" s="11" customFormat="1" x14ac:dyDescent="0.2">
      <c r="A257" s="11">
        <v>378</v>
      </c>
      <c r="F257" s="11" t="s">
        <v>16403</v>
      </c>
      <c r="G257" s="11" t="s">
        <v>16403</v>
      </c>
      <c r="H257" s="12">
        <v>999</v>
      </c>
      <c r="I257" s="11" t="s">
        <v>16403</v>
      </c>
      <c r="L257" s="11">
        <v>56.456000000000003</v>
      </c>
      <c r="M257" s="11">
        <v>55.637999999999998</v>
      </c>
      <c r="N257" s="11">
        <v>111.986</v>
      </c>
      <c r="O257" s="11">
        <v>112.501</v>
      </c>
      <c r="P257" s="11">
        <v>82.531000000000006</v>
      </c>
      <c r="Q257" s="11">
        <v>83.382000000000005</v>
      </c>
      <c r="R257" s="11">
        <v>87.631</v>
      </c>
      <c r="S257" s="11">
        <v>89.001000000000005</v>
      </c>
      <c r="T257" s="11">
        <v>61.752000000000002</v>
      </c>
      <c r="U257" s="11">
        <v>63.698999999999998</v>
      </c>
      <c r="V257" s="11">
        <v>38.247999999999998</v>
      </c>
      <c r="W257" s="11">
        <v>36.301000000000002</v>
      </c>
      <c r="X257" s="11">
        <v>13.648999999999999</v>
      </c>
      <c r="Y257" s="11">
        <v>12.394</v>
      </c>
      <c r="Z257" s="11">
        <v>36.301000000000002</v>
      </c>
      <c r="AA257" s="11">
        <v>38.247999999999998</v>
      </c>
      <c r="AB257" s="11">
        <v>19.984000000000002</v>
      </c>
      <c r="AC257" s="11">
        <v>9</v>
      </c>
      <c r="AD257" s="11">
        <v>14</v>
      </c>
      <c r="AE257" s="11">
        <v>9</v>
      </c>
      <c r="AF257" s="11">
        <v>9</v>
      </c>
    </row>
    <row r="258" spans="1:32" s="11" customFormat="1" x14ac:dyDescent="0.2">
      <c r="A258" s="11">
        <v>379</v>
      </c>
      <c r="F258" s="11" t="s">
        <v>16403</v>
      </c>
      <c r="G258" s="11" t="s">
        <v>16403</v>
      </c>
      <c r="H258" s="12">
        <v>57.4</v>
      </c>
      <c r="I258" s="11" t="s">
        <v>16404</v>
      </c>
      <c r="L258" s="11" t="s">
        <v>16403</v>
      </c>
      <c r="M258" s="11" t="s">
        <v>16403</v>
      </c>
      <c r="N258" s="11" t="s">
        <v>16403</v>
      </c>
      <c r="O258" s="11" t="s">
        <v>16403</v>
      </c>
      <c r="P258" s="11" t="s">
        <v>16403</v>
      </c>
      <c r="Q258" s="11" t="s">
        <v>16403</v>
      </c>
      <c r="R258" s="11" t="s">
        <v>16403</v>
      </c>
      <c r="S258" s="11" t="s">
        <v>16403</v>
      </c>
      <c r="T258" s="11" t="s">
        <v>16403</v>
      </c>
      <c r="U258" s="11" t="s">
        <v>16403</v>
      </c>
      <c r="V258" s="11" t="s">
        <v>16403</v>
      </c>
      <c r="W258" s="11" t="s">
        <v>16403</v>
      </c>
      <c r="X258" s="11" t="s">
        <v>16403</v>
      </c>
      <c r="Y258" s="11" t="s">
        <v>16403</v>
      </c>
      <c r="Z258" s="11" t="s">
        <v>16403</v>
      </c>
      <c r="AA258" s="11" t="s">
        <v>16403</v>
      </c>
      <c r="AB258" s="11" t="s">
        <v>16403</v>
      </c>
      <c r="AC258" s="11" t="s">
        <v>16403</v>
      </c>
      <c r="AD258" s="11" t="s">
        <v>16403</v>
      </c>
      <c r="AE258" s="11" t="s">
        <v>16403</v>
      </c>
      <c r="AF258" s="11" t="s">
        <v>16403</v>
      </c>
    </row>
    <row r="259" spans="1:32" s="11" customFormat="1" x14ac:dyDescent="0.2">
      <c r="A259" s="11">
        <v>380</v>
      </c>
      <c r="F259" s="11" t="s">
        <v>16403</v>
      </c>
      <c r="G259" s="11" t="s">
        <v>16403</v>
      </c>
      <c r="H259" s="12">
        <v>999</v>
      </c>
      <c r="I259" s="11" t="s">
        <v>16403</v>
      </c>
      <c r="L259" s="11">
        <v>59.517000000000003</v>
      </c>
      <c r="M259" s="11">
        <v>58.305</v>
      </c>
      <c r="N259" s="11">
        <v>117.947</v>
      </c>
      <c r="O259" s="11">
        <v>118.346</v>
      </c>
      <c r="P259" s="11">
        <v>112.53400000000001</v>
      </c>
      <c r="Q259" s="11">
        <v>111.441</v>
      </c>
      <c r="R259" s="11">
        <v>114.133</v>
      </c>
      <c r="S259" s="11">
        <v>113.959</v>
      </c>
      <c r="T259" s="11">
        <v>60.05</v>
      </c>
      <c r="U259" s="11">
        <v>60.822000000000003</v>
      </c>
      <c r="V259" s="11">
        <v>39.950000000000003</v>
      </c>
      <c r="W259" s="11">
        <v>39.177999999999997</v>
      </c>
      <c r="X259" s="11">
        <v>10.496</v>
      </c>
      <c r="Y259" s="11">
        <v>11.138</v>
      </c>
      <c r="Z259" s="11">
        <v>39.177999999999997</v>
      </c>
      <c r="AA259" s="11">
        <v>39.950000000000003</v>
      </c>
      <c r="AB259" s="11">
        <v>10.93</v>
      </c>
      <c r="AC259" s="11">
        <v>7</v>
      </c>
      <c r="AD259" s="11">
        <v>7</v>
      </c>
      <c r="AE259" s="11">
        <v>7</v>
      </c>
      <c r="AF259" s="11">
        <v>7</v>
      </c>
    </row>
    <row r="260" spans="1:32" s="11" customFormat="1" x14ac:dyDescent="0.2">
      <c r="A260" s="11">
        <v>381</v>
      </c>
      <c r="F260" s="11" t="s">
        <v>16403</v>
      </c>
      <c r="G260" s="11" t="s">
        <v>16403</v>
      </c>
      <c r="H260" s="12">
        <v>999</v>
      </c>
      <c r="I260" s="11" t="s">
        <v>16403</v>
      </c>
      <c r="L260" s="11">
        <v>65.873000000000005</v>
      </c>
      <c r="M260" s="11">
        <v>70.754000000000005</v>
      </c>
      <c r="N260" s="11">
        <v>136.589</v>
      </c>
      <c r="O260" s="11">
        <v>134.85300000000001</v>
      </c>
      <c r="P260" s="11">
        <v>105.504</v>
      </c>
      <c r="Q260" s="11">
        <v>107.654</v>
      </c>
      <c r="R260" s="11">
        <v>93.430999999999997</v>
      </c>
      <c r="S260" s="11">
        <v>95.379000000000005</v>
      </c>
      <c r="T260" s="11">
        <v>62.121000000000002</v>
      </c>
      <c r="U260" s="11">
        <v>62.421999999999997</v>
      </c>
      <c r="V260" s="11">
        <v>37.878999999999998</v>
      </c>
      <c r="W260" s="11">
        <v>37.578000000000003</v>
      </c>
      <c r="X260" s="11">
        <v>12.393000000000001</v>
      </c>
      <c r="Y260" s="11">
        <v>10.754</v>
      </c>
      <c r="Z260" s="11">
        <v>37.578000000000003</v>
      </c>
      <c r="AA260" s="11">
        <v>37.878999999999998</v>
      </c>
      <c r="AB260" s="11">
        <v>13.987</v>
      </c>
      <c r="AC260" s="11">
        <v>7</v>
      </c>
      <c r="AD260" s="11">
        <v>4</v>
      </c>
      <c r="AE260" s="11">
        <v>4</v>
      </c>
      <c r="AF260" s="11">
        <v>4</v>
      </c>
    </row>
    <row r="261" spans="1:32" s="11" customFormat="1" x14ac:dyDescent="0.2">
      <c r="A261" s="11">
        <v>382</v>
      </c>
      <c r="F261" s="11" t="s">
        <v>16403</v>
      </c>
      <c r="G261" s="11" t="s">
        <v>16403</v>
      </c>
      <c r="H261" s="12">
        <v>999</v>
      </c>
      <c r="I261" s="11" t="s">
        <v>16403</v>
      </c>
      <c r="L261" s="11" t="s">
        <v>16403</v>
      </c>
      <c r="M261" s="11" t="s">
        <v>16403</v>
      </c>
      <c r="N261" s="11" t="s">
        <v>16403</v>
      </c>
      <c r="O261" s="11" t="s">
        <v>16403</v>
      </c>
      <c r="P261" s="11" t="s">
        <v>16403</v>
      </c>
      <c r="Q261" s="11" t="s">
        <v>16403</v>
      </c>
      <c r="R261" s="11" t="s">
        <v>16403</v>
      </c>
      <c r="S261" s="11" t="s">
        <v>16403</v>
      </c>
      <c r="T261" s="11" t="s">
        <v>16403</v>
      </c>
      <c r="U261" s="11" t="s">
        <v>16403</v>
      </c>
      <c r="V261" s="11" t="s">
        <v>16403</v>
      </c>
      <c r="W261" s="11" t="s">
        <v>16403</v>
      </c>
      <c r="X261" s="11" t="s">
        <v>16403</v>
      </c>
      <c r="Y261" s="11" t="s">
        <v>16403</v>
      </c>
      <c r="Z261" s="11" t="s">
        <v>16403</v>
      </c>
      <c r="AA261" s="11" t="s">
        <v>16403</v>
      </c>
      <c r="AB261" s="11" t="s">
        <v>16403</v>
      </c>
      <c r="AC261" s="11" t="s">
        <v>16403</v>
      </c>
      <c r="AD261" s="11" t="s">
        <v>16403</v>
      </c>
      <c r="AE261" s="11" t="s">
        <v>16403</v>
      </c>
      <c r="AF261" s="11" t="s">
        <v>16403</v>
      </c>
    </row>
    <row r="262" spans="1:32" s="11" customFormat="1" x14ac:dyDescent="0.2">
      <c r="A262" s="11">
        <v>383</v>
      </c>
      <c r="F262" s="11" t="s">
        <v>16403</v>
      </c>
      <c r="G262" s="11" t="s">
        <v>16403</v>
      </c>
      <c r="H262" s="12">
        <v>999</v>
      </c>
      <c r="I262" s="11" t="s">
        <v>16403</v>
      </c>
      <c r="L262" s="11">
        <v>34.802999999999997</v>
      </c>
      <c r="M262" s="11">
        <v>40.481999999999999</v>
      </c>
      <c r="N262" s="11">
        <v>75.721999999999994</v>
      </c>
      <c r="O262" s="11">
        <v>76.564999999999998</v>
      </c>
      <c r="P262" s="11">
        <v>80.394999999999996</v>
      </c>
      <c r="Q262" s="11">
        <v>79.236999999999995</v>
      </c>
      <c r="R262" s="11">
        <v>126.09399999999999</v>
      </c>
      <c r="S262" s="11">
        <v>126.114</v>
      </c>
      <c r="T262" s="11">
        <v>61.44</v>
      </c>
      <c r="U262" s="11">
        <v>64.962000000000003</v>
      </c>
      <c r="V262" s="11">
        <v>38.56</v>
      </c>
      <c r="W262" s="11">
        <v>35.037999999999997</v>
      </c>
      <c r="X262" s="11">
        <v>13.922000000000001</v>
      </c>
      <c r="Y262" s="11">
        <v>12.676</v>
      </c>
      <c r="Z262" s="11">
        <v>35.037999999999997</v>
      </c>
      <c r="AA262" s="11">
        <v>38.56</v>
      </c>
      <c r="AB262" s="11">
        <v>17.504000000000001</v>
      </c>
      <c r="AC262" s="11">
        <v>19</v>
      </c>
      <c r="AD262" s="11">
        <v>20</v>
      </c>
      <c r="AE262" s="11">
        <v>19</v>
      </c>
      <c r="AF262" s="11">
        <v>19</v>
      </c>
    </row>
    <row r="263" spans="1:32" s="11" customFormat="1" x14ac:dyDescent="0.2">
      <c r="A263" s="11">
        <v>384</v>
      </c>
      <c r="F263" s="11" t="s">
        <v>16403</v>
      </c>
      <c r="G263" s="11" t="s">
        <v>16403</v>
      </c>
      <c r="H263" s="12">
        <v>999</v>
      </c>
      <c r="I263" s="11" t="s">
        <v>16403</v>
      </c>
      <c r="L263" s="11" t="s">
        <v>16403</v>
      </c>
      <c r="M263" s="11" t="s">
        <v>16403</v>
      </c>
      <c r="N263" s="11" t="s">
        <v>16403</v>
      </c>
      <c r="O263" s="11" t="s">
        <v>16403</v>
      </c>
      <c r="P263" s="11" t="s">
        <v>16403</v>
      </c>
      <c r="Q263" s="11" t="s">
        <v>16403</v>
      </c>
      <c r="R263" s="11" t="s">
        <v>16403</v>
      </c>
      <c r="S263" s="11" t="s">
        <v>16403</v>
      </c>
      <c r="T263" s="11" t="s">
        <v>16403</v>
      </c>
      <c r="U263" s="11" t="s">
        <v>16403</v>
      </c>
      <c r="V263" s="11" t="s">
        <v>16403</v>
      </c>
      <c r="W263" s="11" t="s">
        <v>16403</v>
      </c>
      <c r="X263" s="11" t="s">
        <v>16403</v>
      </c>
      <c r="Y263" s="11" t="s">
        <v>16403</v>
      </c>
      <c r="Z263" s="11" t="s">
        <v>16403</v>
      </c>
      <c r="AA263" s="11" t="s">
        <v>16403</v>
      </c>
      <c r="AB263" s="11" t="s">
        <v>16403</v>
      </c>
      <c r="AC263" s="11" t="s">
        <v>16403</v>
      </c>
      <c r="AD263" s="11" t="s">
        <v>16403</v>
      </c>
      <c r="AE263" s="11" t="s">
        <v>16403</v>
      </c>
      <c r="AF263" s="11" t="s">
        <v>16403</v>
      </c>
    </row>
    <row r="264" spans="1:32" s="11" customFormat="1" x14ac:dyDescent="0.2">
      <c r="A264" s="11">
        <v>385</v>
      </c>
      <c r="F264" s="11" t="s">
        <v>16403</v>
      </c>
      <c r="G264" s="11" t="s">
        <v>16403</v>
      </c>
      <c r="H264" s="12">
        <v>999</v>
      </c>
      <c r="I264" s="11" t="s">
        <v>16403</v>
      </c>
      <c r="L264" s="11">
        <v>26.631</v>
      </c>
      <c r="M264" s="11">
        <v>32.095999999999997</v>
      </c>
      <c r="N264" s="11">
        <v>57.134999999999998</v>
      </c>
      <c r="O264" s="11">
        <v>58.991</v>
      </c>
      <c r="P264" s="11">
        <v>45.213000000000001</v>
      </c>
      <c r="Q264" s="11">
        <v>45.183999999999997</v>
      </c>
      <c r="R264" s="11">
        <v>94.742000000000004</v>
      </c>
      <c r="S264" s="11">
        <v>93.66</v>
      </c>
      <c r="T264" s="11">
        <v>66.191000000000003</v>
      </c>
      <c r="U264" s="11">
        <v>64.054000000000002</v>
      </c>
      <c r="V264" s="11">
        <v>33.808999999999997</v>
      </c>
      <c r="W264" s="11">
        <v>35.945999999999998</v>
      </c>
      <c r="X264" s="11">
        <v>14.146000000000001</v>
      </c>
      <c r="Y264" s="11">
        <v>16.247</v>
      </c>
      <c r="Z264" s="11">
        <v>35.945999999999998</v>
      </c>
      <c r="AA264" s="11">
        <v>33.808999999999997</v>
      </c>
      <c r="AB264" s="11">
        <v>16.172000000000001</v>
      </c>
      <c r="AC264" s="11">
        <v>26</v>
      </c>
      <c r="AD264" s="11">
        <v>25</v>
      </c>
      <c r="AE264" s="11">
        <v>25</v>
      </c>
      <c r="AF264" s="11">
        <v>25</v>
      </c>
    </row>
    <row r="265" spans="1:32" s="11" customFormat="1" x14ac:dyDescent="0.2">
      <c r="A265" s="11">
        <v>386</v>
      </c>
      <c r="F265" s="11" t="s">
        <v>16403</v>
      </c>
      <c r="G265" s="11" t="s">
        <v>16403</v>
      </c>
      <c r="H265" s="12">
        <v>999</v>
      </c>
      <c r="I265" s="11" t="s">
        <v>16403</v>
      </c>
      <c r="L265" s="11">
        <v>55.884</v>
      </c>
      <c r="M265" s="11">
        <v>56.972999999999999</v>
      </c>
      <c r="N265" s="11">
        <v>112.899</v>
      </c>
      <c r="O265" s="11">
        <v>112.497</v>
      </c>
      <c r="P265" s="11">
        <v>118.675</v>
      </c>
      <c r="Q265" s="11">
        <v>117.428</v>
      </c>
      <c r="R265" s="11">
        <v>127.64400000000001</v>
      </c>
      <c r="S265" s="11">
        <v>126.542</v>
      </c>
      <c r="T265" s="11">
        <v>61.243000000000002</v>
      </c>
      <c r="U265" s="11">
        <v>57.674999999999997</v>
      </c>
      <c r="V265" s="11">
        <v>38.756999999999998</v>
      </c>
      <c r="W265" s="11">
        <v>42.325000000000003</v>
      </c>
      <c r="X265" s="11">
        <v>10.148999999999999</v>
      </c>
      <c r="Y265" s="11">
        <v>9.0730000000000004</v>
      </c>
      <c r="Z265" s="11">
        <v>42.325000000000003</v>
      </c>
      <c r="AA265" s="11">
        <v>38.756999999999998</v>
      </c>
      <c r="AB265" s="11">
        <v>13.034000000000001</v>
      </c>
      <c r="AC265" s="11">
        <v>13</v>
      </c>
      <c r="AD265" s="11">
        <v>15</v>
      </c>
      <c r="AE265" s="11">
        <v>13</v>
      </c>
      <c r="AF265" s="11">
        <v>13</v>
      </c>
    </row>
    <row r="266" spans="1:32" s="11" customFormat="1" x14ac:dyDescent="0.2">
      <c r="A266" s="11">
        <v>387</v>
      </c>
      <c r="F266" s="11" t="s">
        <v>16403</v>
      </c>
      <c r="G266" s="11" t="s">
        <v>16403</v>
      </c>
      <c r="H266" s="12">
        <v>999</v>
      </c>
      <c r="I266" s="11" t="s">
        <v>16403</v>
      </c>
      <c r="L266" s="11">
        <v>26.811</v>
      </c>
      <c r="M266" s="11">
        <v>26.486000000000001</v>
      </c>
      <c r="N266" s="11">
        <v>53.392000000000003</v>
      </c>
      <c r="O266" s="11">
        <v>53.35</v>
      </c>
      <c r="P266" s="11">
        <v>50.289000000000001</v>
      </c>
      <c r="Q266" s="11">
        <v>50.454999999999998</v>
      </c>
      <c r="R266" s="11">
        <v>112.273</v>
      </c>
      <c r="S266" s="11">
        <v>112.178</v>
      </c>
      <c r="T266" s="11">
        <v>65.921000000000006</v>
      </c>
      <c r="U266" s="11">
        <v>65.397000000000006</v>
      </c>
      <c r="V266" s="11">
        <v>34.079000000000001</v>
      </c>
      <c r="W266" s="11">
        <v>34.603000000000002</v>
      </c>
      <c r="X266" s="11">
        <v>15.717000000000001</v>
      </c>
      <c r="Y266" s="11">
        <v>16.044</v>
      </c>
      <c r="Z266" s="11">
        <v>34.603000000000002</v>
      </c>
      <c r="AA266" s="11">
        <v>34.079000000000001</v>
      </c>
      <c r="AB266" s="11">
        <v>13.494</v>
      </c>
      <c r="AC266" s="11">
        <v>21</v>
      </c>
      <c r="AD266" s="11">
        <v>18</v>
      </c>
      <c r="AE266" s="11">
        <v>18</v>
      </c>
      <c r="AF266" s="11">
        <v>18</v>
      </c>
    </row>
    <row r="267" spans="1:32" s="11" customFormat="1" x14ac:dyDescent="0.2">
      <c r="A267" s="11">
        <v>388</v>
      </c>
      <c r="F267" s="11" t="s">
        <v>16403</v>
      </c>
      <c r="G267" s="11" t="s">
        <v>16403</v>
      </c>
      <c r="H267" s="12">
        <v>999</v>
      </c>
      <c r="I267" s="11" t="s">
        <v>16403</v>
      </c>
      <c r="L267" s="11" t="s">
        <v>16403</v>
      </c>
      <c r="M267" s="11" t="s">
        <v>16403</v>
      </c>
      <c r="N267" s="11" t="s">
        <v>16403</v>
      </c>
      <c r="O267" s="11" t="s">
        <v>16403</v>
      </c>
      <c r="P267" s="11" t="s">
        <v>16403</v>
      </c>
      <c r="Q267" s="11" t="s">
        <v>16403</v>
      </c>
      <c r="R267" s="11" t="s">
        <v>16403</v>
      </c>
      <c r="S267" s="11" t="s">
        <v>16403</v>
      </c>
      <c r="T267" s="11" t="s">
        <v>16403</v>
      </c>
      <c r="U267" s="11" t="s">
        <v>16403</v>
      </c>
      <c r="V267" s="11" t="s">
        <v>16403</v>
      </c>
      <c r="W267" s="11" t="s">
        <v>16403</v>
      </c>
      <c r="X267" s="11" t="s">
        <v>16403</v>
      </c>
      <c r="Y267" s="11" t="s">
        <v>16403</v>
      </c>
      <c r="Z267" s="11" t="s">
        <v>16403</v>
      </c>
      <c r="AA267" s="11" t="s">
        <v>16403</v>
      </c>
      <c r="AB267" s="11" t="s">
        <v>16403</v>
      </c>
      <c r="AC267" s="11" t="s">
        <v>16403</v>
      </c>
      <c r="AD267" s="11" t="s">
        <v>16403</v>
      </c>
      <c r="AE267" s="11" t="s">
        <v>16403</v>
      </c>
      <c r="AF267" s="11" t="s">
        <v>16403</v>
      </c>
    </row>
    <row r="268" spans="1:32" s="11" customFormat="1" x14ac:dyDescent="0.2">
      <c r="A268" s="11">
        <v>389</v>
      </c>
      <c r="F268" s="11" t="s">
        <v>16403</v>
      </c>
      <c r="G268" s="11" t="s">
        <v>16403</v>
      </c>
      <c r="H268" s="12">
        <v>999</v>
      </c>
      <c r="I268" s="11" t="s">
        <v>16403</v>
      </c>
      <c r="L268" s="11">
        <v>65.686000000000007</v>
      </c>
      <c r="M268" s="11">
        <v>63.808999999999997</v>
      </c>
      <c r="N268" s="11">
        <v>132.03899999999999</v>
      </c>
      <c r="O268" s="11">
        <v>128.29300000000001</v>
      </c>
      <c r="P268" s="11">
        <v>115.438</v>
      </c>
      <c r="Q268" s="11">
        <v>112.95</v>
      </c>
      <c r="R268" s="11">
        <v>105.611</v>
      </c>
      <c r="S268" s="11">
        <v>105.574</v>
      </c>
      <c r="T268" s="11">
        <v>59.884999999999998</v>
      </c>
      <c r="U268" s="11">
        <v>62.036999999999999</v>
      </c>
      <c r="V268" s="11">
        <v>40.115000000000002</v>
      </c>
      <c r="W268" s="11">
        <v>37.963000000000001</v>
      </c>
      <c r="X268" s="11">
        <v>11.396000000000001</v>
      </c>
      <c r="Y268" s="11">
        <v>10.840999999999999</v>
      </c>
      <c r="Z268" s="11">
        <v>37.963000000000001</v>
      </c>
      <c r="AA268" s="11">
        <v>40.115000000000002</v>
      </c>
      <c r="AB268" s="11">
        <v>11.651</v>
      </c>
      <c r="AC268" s="11">
        <v>11</v>
      </c>
      <c r="AD268" s="11">
        <v>10</v>
      </c>
      <c r="AE268" s="11">
        <v>10</v>
      </c>
      <c r="AF268" s="11">
        <v>10</v>
      </c>
    </row>
    <row r="269" spans="1:32" s="11" customFormat="1" x14ac:dyDescent="0.2">
      <c r="A269" s="11">
        <v>390</v>
      </c>
      <c r="F269" s="11" t="s">
        <v>16403</v>
      </c>
      <c r="G269" s="11" t="s">
        <v>16403</v>
      </c>
      <c r="H269" s="12">
        <v>999</v>
      </c>
      <c r="I269" s="11" t="s">
        <v>16403</v>
      </c>
      <c r="L269" s="11" t="s">
        <v>16403</v>
      </c>
      <c r="M269" s="11" t="s">
        <v>16403</v>
      </c>
      <c r="N269" s="11" t="s">
        <v>16403</v>
      </c>
      <c r="O269" s="11" t="s">
        <v>16403</v>
      </c>
      <c r="P269" s="11" t="s">
        <v>16403</v>
      </c>
      <c r="Q269" s="11" t="s">
        <v>16403</v>
      </c>
      <c r="R269" s="11" t="s">
        <v>16403</v>
      </c>
      <c r="S269" s="11" t="s">
        <v>16403</v>
      </c>
      <c r="T269" s="11" t="s">
        <v>16403</v>
      </c>
      <c r="U269" s="11" t="s">
        <v>16403</v>
      </c>
      <c r="V269" s="11" t="s">
        <v>16403</v>
      </c>
      <c r="W269" s="11" t="s">
        <v>16403</v>
      </c>
      <c r="X269" s="11" t="s">
        <v>16403</v>
      </c>
      <c r="Y269" s="11" t="s">
        <v>16403</v>
      </c>
      <c r="Z269" s="11" t="s">
        <v>16403</v>
      </c>
      <c r="AA269" s="11" t="s">
        <v>16403</v>
      </c>
      <c r="AB269" s="11" t="s">
        <v>16403</v>
      </c>
      <c r="AC269" s="11" t="s">
        <v>16403</v>
      </c>
      <c r="AD269" s="11" t="s">
        <v>16403</v>
      </c>
      <c r="AE269" s="11" t="s">
        <v>16403</v>
      </c>
      <c r="AF269" s="11" t="s">
        <v>16403</v>
      </c>
    </row>
    <row r="270" spans="1:32" s="11" customFormat="1" x14ac:dyDescent="0.2">
      <c r="A270" s="11">
        <v>391</v>
      </c>
      <c r="F270" s="11" t="s">
        <v>16403</v>
      </c>
      <c r="G270" s="11" t="s">
        <v>16403</v>
      </c>
      <c r="H270" s="12">
        <v>999</v>
      </c>
      <c r="I270" s="11" t="s">
        <v>16403</v>
      </c>
      <c r="L270" s="11">
        <v>70.438999999999993</v>
      </c>
      <c r="M270" s="11">
        <v>70.625</v>
      </c>
      <c r="N270" s="11">
        <v>141.25700000000001</v>
      </c>
      <c r="O270" s="11">
        <v>142.52500000000001</v>
      </c>
      <c r="P270" s="11">
        <v>138.59700000000001</v>
      </c>
      <c r="Q270" s="11">
        <v>141.779</v>
      </c>
      <c r="R270" s="11">
        <v>117.377</v>
      </c>
      <c r="S270" s="11">
        <v>119.548</v>
      </c>
      <c r="T270" s="11">
        <v>60.506999999999998</v>
      </c>
      <c r="U270" s="11">
        <v>60.917999999999999</v>
      </c>
      <c r="V270" s="11">
        <v>39.493000000000002</v>
      </c>
      <c r="W270" s="11">
        <v>39.082000000000001</v>
      </c>
      <c r="X270" s="11">
        <v>10.79</v>
      </c>
      <c r="Y270" s="11">
        <v>10.987</v>
      </c>
      <c r="Z270" s="11">
        <v>39.082000000000001</v>
      </c>
      <c r="AA270" s="11">
        <v>39.493000000000002</v>
      </c>
      <c r="AB270" s="11">
        <v>15.372999999999999</v>
      </c>
      <c r="AC270" s="11">
        <v>18</v>
      </c>
      <c r="AD270" s="11">
        <v>12</v>
      </c>
      <c r="AE270" s="11">
        <v>12</v>
      </c>
      <c r="AF270" s="11">
        <v>12</v>
      </c>
    </row>
    <row r="271" spans="1:32" s="11" customFormat="1" x14ac:dyDescent="0.2">
      <c r="A271" s="11">
        <v>392</v>
      </c>
      <c r="F271" s="11" t="s">
        <v>16403</v>
      </c>
      <c r="G271" s="11" t="s">
        <v>16403</v>
      </c>
      <c r="H271" s="12">
        <v>999</v>
      </c>
      <c r="I271" s="11" t="s">
        <v>16403</v>
      </c>
      <c r="L271" s="11">
        <v>43.866</v>
      </c>
      <c r="M271" s="11">
        <v>47.631</v>
      </c>
      <c r="N271" s="11">
        <v>92.179000000000002</v>
      </c>
      <c r="O271" s="11">
        <v>91.685000000000002</v>
      </c>
      <c r="P271" s="11">
        <v>71.337999999999994</v>
      </c>
      <c r="Q271" s="11">
        <v>71.05</v>
      </c>
      <c r="R271" s="11">
        <v>91.641000000000005</v>
      </c>
      <c r="S271" s="11">
        <v>92.543000000000006</v>
      </c>
      <c r="T271" s="11">
        <v>65.257999999999996</v>
      </c>
      <c r="U271" s="11">
        <v>61.121000000000002</v>
      </c>
      <c r="V271" s="11">
        <v>34.741999999999997</v>
      </c>
      <c r="W271" s="11">
        <v>38.878999999999998</v>
      </c>
      <c r="X271" s="11">
        <v>12.013999999999999</v>
      </c>
      <c r="Y271" s="11">
        <v>14.824</v>
      </c>
      <c r="Z271" s="11">
        <v>38.878999999999998</v>
      </c>
      <c r="AA271" s="11">
        <v>34.741999999999997</v>
      </c>
      <c r="AB271" s="11">
        <v>12.163</v>
      </c>
      <c r="AC271" s="11">
        <v>8</v>
      </c>
      <c r="AD271" s="11">
        <v>9</v>
      </c>
      <c r="AE271" s="11">
        <v>8</v>
      </c>
      <c r="AF271" s="11">
        <v>8</v>
      </c>
    </row>
    <row r="272" spans="1:32" s="11" customFormat="1" x14ac:dyDescent="0.2">
      <c r="A272" s="11">
        <v>393</v>
      </c>
      <c r="F272" s="11" t="s">
        <v>16403</v>
      </c>
      <c r="G272" s="11" t="s">
        <v>16403</v>
      </c>
      <c r="H272" s="12">
        <v>999</v>
      </c>
      <c r="I272" s="11" t="s">
        <v>16403</v>
      </c>
      <c r="L272" s="11">
        <v>42.996000000000002</v>
      </c>
      <c r="M272" s="11">
        <v>45.512</v>
      </c>
      <c r="N272" s="11">
        <v>89.096000000000004</v>
      </c>
      <c r="O272" s="11">
        <v>88.07</v>
      </c>
      <c r="P272" s="11">
        <v>87.731999999999999</v>
      </c>
      <c r="Q272" s="11">
        <v>87.363</v>
      </c>
      <c r="R272" s="11">
        <v>119.221</v>
      </c>
      <c r="S272" s="11">
        <v>118.83499999999999</v>
      </c>
      <c r="T272" s="11">
        <v>61.735999999999997</v>
      </c>
      <c r="U272" s="11">
        <v>62.874000000000002</v>
      </c>
      <c r="V272" s="11">
        <v>38.264000000000003</v>
      </c>
      <c r="W272" s="11">
        <v>37.125999999999998</v>
      </c>
      <c r="X272" s="11">
        <v>13.842000000000001</v>
      </c>
      <c r="Y272" s="11">
        <v>10.68</v>
      </c>
      <c r="Z272" s="11">
        <v>37.125999999999998</v>
      </c>
      <c r="AA272" s="11">
        <v>38.264000000000003</v>
      </c>
      <c r="AB272" s="11">
        <v>28.026</v>
      </c>
      <c r="AC272" s="11">
        <v>22</v>
      </c>
      <c r="AD272" s="11">
        <v>21</v>
      </c>
      <c r="AE272" s="11">
        <v>21</v>
      </c>
      <c r="AF272" s="11">
        <v>21</v>
      </c>
    </row>
    <row r="273" spans="1:32" s="11" customFormat="1" x14ac:dyDescent="0.2">
      <c r="A273" s="11">
        <v>395</v>
      </c>
      <c r="F273" s="11" t="s">
        <v>16403</v>
      </c>
      <c r="G273" s="11" t="s">
        <v>16403</v>
      </c>
      <c r="H273" s="12">
        <v>999</v>
      </c>
      <c r="I273" s="11" t="s">
        <v>16403</v>
      </c>
      <c r="L273" s="11">
        <v>61.162999999999997</v>
      </c>
      <c r="M273" s="11">
        <v>58.853999999999999</v>
      </c>
      <c r="N273" s="11">
        <v>120.148</v>
      </c>
      <c r="O273" s="11">
        <v>118.288</v>
      </c>
      <c r="P273" s="11">
        <v>130.21899999999999</v>
      </c>
      <c r="Q273" s="11">
        <v>132.85300000000001</v>
      </c>
      <c r="R273" s="11">
        <v>132.46199999999999</v>
      </c>
      <c r="S273" s="11">
        <v>134.08500000000001</v>
      </c>
      <c r="T273" s="11">
        <v>58.831000000000003</v>
      </c>
      <c r="U273" s="11">
        <v>59.021999999999998</v>
      </c>
      <c r="V273" s="11">
        <v>41.168999999999997</v>
      </c>
      <c r="W273" s="11">
        <v>40.978000000000002</v>
      </c>
      <c r="X273" s="11">
        <v>10.130000000000001</v>
      </c>
      <c r="Y273" s="11">
        <v>8.0009999999999994</v>
      </c>
      <c r="Z273" s="11">
        <v>40.978000000000002</v>
      </c>
      <c r="AA273" s="11">
        <v>41.168999999999997</v>
      </c>
      <c r="AB273" s="11">
        <v>10.727</v>
      </c>
      <c r="AC273" s="11">
        <v>6</v>
      </c>
      <c r="AD273" s="11">
        <v>5</v>
      </c>
      <c r="AE273" s="11">
        <v>5</v>
      </c>
      <c r="AF273" s="11">
        <v>5</v>
      </c>
    </row>
    <row r="274" spans="1:32" s="11" customFormat="1" x14ac:dyDescent="0.2">
      <c r="A274" s="11">
        <v>396</v>
      </c>
      <c r="F274" s="11" t="s">
        <v>16403</v>
      </c>
      <c r="G274" s="11" t="s">
        <v>16403</v>
      </c>
      <c r="H274" s="12">
        <v>999</v>
      </c>
      <c r="I274" s="11" t="s">
        <v>16403</v>
      </c>
      <c r="L274" s="11">
        <v>25.507000000000001</v>
      </c>
      <c r="M274" s="11">
        <v>24.463000000000001</v>
      </c>
      <c r="N274" s="11">
        <v>51.752000000000002</v>
      </c>
      <c r="O274" s="11">
        <v>49.732999999999997</v>
      </c>
      <c r="P274" s="11">
        <v>43.563000000000002</v>
      </c>
      <c r="Q274" s="11">
        <v>43.332000000000001</v>
      </c>
      <c r="R274" s="11">
        <v>101.861</v>
      </c>
      <c r="S274" s="11">
        <v>102.49299999999999</v>
      </c>
      <c r="T274" s="11">
        <v>63.957999999999998</v>
      </c>
      <c r="U274" s="11">
        <v>66.447000000000003</v>
      </c>
      <c r="V274" s="11">
        <v>36.042000000000002</v>
      </c>
      <c r="W274" s="11">
        <v>33.552999999999997</v>
      </c>
      <c r="X274" s="11">
        <v>14.428000000000001</v>
      </c>
      <c r="Y274" s="11">
        <v>16.061</v>
      </c>
      <c r="Z274" s="11">
        <v>33.552999999999997</v>
      </c>
      <c r="AA274" s="11">
        <v>36.042000000000002</v>
      </c>
      <c r="AB274" s="11">
        <v>21.068000000000001</v>
      </c>
      <c r="AC274" s="11">
        <v>20</v>
      </c>
      <c r="AD274" s="11">
        <v>22</v>
      </c>
      <c r="AE274" s="11">
        <v>20</v>
      </c>
      <c r="AF274" s="11">
        <v>20</v>
      </c>
    </row>
    <row r="275" spans="1:32" s="11" customFormat="1" x14ac:dyDescent="0.2">
      <c r="A275" s="11">
        <v>397</v>
      </c>
      <c r="F275" s="11" t="s">
        <v>16403</v>
      </c>
      <c r="G275" s="11" t="s">
        <v>16403</v>
      </c>
      <c r="H275" s="12">
        <v>999</v>
      </c>
      <c r="I275" s="11" t="s">
        <v>16403</v>
      </c>
      <c r="L275" s="11" t="s">
        <v>16403</v>
      </c>
      <c r="M275" s="11" t="s">
        <v>16403</v>
      </c>
      <c r="N275" s="11" t="s">
        <v>16403</v>
      </c>
      <c r="O275" s="11" t="s">
        <v>16403</v>
      </c>
      <c r="P275" s="11" t="s">
        <v>16403</v>
      </c>
      <c r="Q275" s="11" t="s">
        <v>16403</v>
      </c>
      <c r="R275" s="11" t="s">
        <v>16403</v>
      </c>
      <c r="S275" s="11" t="s">
        <v>16403</v>
      </c>
      <c r="T275" s="11" t="s">
        <v>16403</v>
      </c>
      <c r="U275" s="11" t="s">
        <v>16403</v>
      </c>
      <c r="V275" s="11" t="s">
        <v>16403</v>
      </c>
      <c r="W275" s="11" t="s">
        <v>16403</v>
      </c>
      <c r="X275" s="11" t="s">
        <v>16403</v>
      </c>
      <c r="Y275" s="11" t="s">
        <v>16403</v>
      </c>
      <c r="Z275" s="11" t="s">
        <v>16403</v>
      </c>
      <c r="AA275" s="11" t="s">
        <v>16403</v>
      </c>
      <c r="AB275" s="11" t="s">
        <v>16403</v>
      </c>
      <c r="AC275" s="11" t="s">
        <v>16403</v>
      </c>
      <c r="AD275" s="11" t="s">
        <v>16403</v>
      </c>
      <c r="AE275" s="11" t="s">
        <v>16403</v>
      </c>
      <c r="AF275" s="11" t="s">
        <v>16403</v>
      </c>
    </row>
    <row r="276" spans="1:32" s="11" customFormat="1" x14ac:dyDescent="0.2">
      <c r="A276" s="11">
        <v>398</v>
      </c>
      <c r="F276" s="11" t="s">
        <v>16414</v>
      </c>
      <c r="G276" s="11" t="s">
        <v>16415</v>
      </c>
      <c r="H276" s="12">
        <v>59.2</v>
      </c>
      <c r="I276" s="11" t="s">
        <v>16407</v>
      </c>
      <c r="L276" s="11">
        <v>42.521000000000001</v>
      </c>
      <c r="M276" s="11">
        <v>43.219000000000001</v>
      </c>
      <c r="N276" s="11">
        <v>85.866</v>
      </c>
      <c r="O276" s="11">
        <v>85.716999999999999</v>
      </c>
      <c r="P276" s="11">
        <v>59.067999999999998</v>
      </c>
      <c r="Q276" s="11">
        <v>58.268000000000001</v>
      </c>
      <c r="R276" s="11">
        <v>82.268000000000001</v>
      </c>
      <c r="S276" s="11">
        <v>81.525999999999996</v>
      </c>
      <c r="T276" s="11">
        <v>67.257999999999996</v>
      </c>
      <c r="U276" s="11">
        <v>69.12</v>
      </c>
      <c r="V276" s="11">
        <v>32.741999999999997</v>
      </c>
      <c r="W276" s="11">
        <v>30.88</v>
      </c>
      <c r="X276" s="11">
        <v>20.428000000000001</v>
      </c>
      <c r="Y276" s="11">
        <v>16.446000000000002</v>
      </c>
      <c r="Z276" s="11">
        <v>30.88</v>
      </c>
      <c r="AA276" s="11">
        <v>32.741999999999997</v>
      </c>
      <c r="AB276" s="11">
        <v>7.9039999999999999</v>
      </c>
      <c r="AC276" s="11">
        <v>12</v>
      </c>
      <c r="AD276" s="11">
        <v>14</v>
      </c>
      <c r="AE276" s="11">
        <v>12</v>
      </c>
      <c r="AF276" s="11">
        <v>12</v>
      </c>
    </row>
    <row r="277" spans="1:32" s="11" customFormat="1" x14ac:dyDescent="0.2">
      <c r="A277" s="11">
        <v>399</v>
      </c>
      <c r="F277" s="11" t="s">
        <v>16424</v>
      </c>
      <c r="G277" s="11" t="s">
        <v>16425</v>
      </c>
      <c r="H277" s="12">
        <v>69.099999999999994</v>
      </c>
      <c r="I277" s="11" t="s">
        <v>16404</v>
      </c>
      <c r="L277" s="11">
        <v>61.939</v>
      </c>
      <c r="M277" s="11">
        <v>65.14</v>
      </c>
      <c r="N277" s="11">
        <v>126.8</v>
      </c>
      <c r="O277" s="11">
        <v>127.702</v>
      </c>
      <c r="P277" s="11">
        <v>121.98</v>
      </c>
      <c r="Q277" s="11">
        <v>123.29</v>
      </c>
      <c r="R277" s="11">
        <v>114.82299999999999</v>
      </c>
      <c r="S277" s="11">
        <v>115.327</v>
      </c>
      <c r="T277" s="11">
        <v>63.338999999999999</v>
      </c>
      <c r="U277" s="11">
        <v>63.363999999999997</v>
      </c>
      <c r="V277" s="11">
        <v>36.661000000000001</v>
      </c>
      <c r="W277" s="11">
        <v>36.636000000000003</v>
      </c>
      <c r="X277" s="11">
        <v>13.553000000000001</v>
      </c>
      <c r="Y277" s="11">
        <v>13.215</v>
      </c>
      <c r="Z277" s="11">
        <v>36.636000000000003</v>
      </c>
      <c r="AA277" s="11">
        <v>36.661000000000001</v>
      </c>
      <c r="AB277" s="11">
        <v>13.834</v>
      </c>
      <c r="AC277" s="11">
        <v>9</v>
      </c>
      <c r="AD277" s="11">
        <v>8</v>
      </c>
      <c r="AE277" s="11">
        <v>8</v>
      </c>
      <c r="AF277" s="11">
        <v>8</v>
      </c>
    </row>
    <row r="278" spans="1:32" s="11" customFormat="1" x14ac:dyDescent="0.2">
      <c r="A278" s="11">
        <v>400</v>
      </c>
      <c r="F278" s="11" t="s">
        <v>16414</v>
      </c>
      <c r="G278" s="11" t="s">
        <v>16415</v>
      </c>
      <c r="H278" s="12">
        <v>53.6</v>
      </c>
      <c r="I278" s="11" t="s">
        <v>16404</v>
      </c>
      <c r="L278" s="11">
        <v>57.530999999999999</v>
      </c>
      <c r="M278" s="11">
        <v>55.612000000000002</v>
      </c>
      <c r="N278" s="11">
        <v>111.977</v>
      </c>
      <c r="O278" s="11">
        <v>114.74</v>
      </c>
      <c r="P278" s="11">
        <v>111.325</v>
      </c>
      <c r="Q278" s="11">
        <v>112.932</v>
      </c>
      <c r="R278" s="11">
        <v>118.44</v>
      </c>
      <c r="S278" s="11">
        <v>118.471</v>
      </c>
      <c r="T278" s="11">
        <v>62.676000000000002</v>
      </c>
      <c r="U278" s="11">
        <v>64.590999999999994</v>
      </c>
      <c r="V278" s="11">
        <v>37.323999999999998</v>
      </c>
      <c r="W278" s="11">
        <v>35.408999999999999</v>
      </c>
      <c r="X278" s="11">
        <v>13.15</v>
      </c>
      <c r="Y278" s="11">
        <v>14.145</v>
      </c>
      <c r="Z278" s="11">
        <v>35.408999999999999</v>
      </c>
      <c r="AA278" s="11">
        <v>37.323999999999998</v>
      </c>
      <c r="AB278" s="11">
        <v>12.077999999999999</v>
      </c>
      <c r="AC278" s="11">
        <v>9</v>
      </c>
      <c r="AD278" s="11">
        <v>10</v>
      </c>
      <c r="AE278" s="11">
        <v>9</v>
      </c>
      <c r="AF278" s="11">
        <v>9</v>
      </c>
    </row>
    <row r="279" spans="1:32" s="11" customFormat="1" x14ac:dyDescent="0.2">
      <c r="A279" s="11">
        <v>401</v>
      </c>
      <c r="F279" s="11" t="s">
        <v>16414</v>
      </c>
      <c r="G279" s="11" t="s">
        <v>16415</v>
      </c>
      <c r="H279" s="12">
        <v>57.5</v>
      </c>
      <c r="I279" s="11" t="s">
        <v>16407</v>
      </c>
      <c r="L279" s="11">
        <v>34.701000000000001</v>
      </c>
      <c r="M279" s="11">
        <v>34.195</v>
      </c>
      <c r="N279" s="11">
        <v>68.966999999999999</v>
      </c>
      <c r="O279" s="11">
        <v>68.817999999999998</v>
      </c>
      <c r="P279" s="11">
        <v>74.361999999999995</v>
      </c>
      <c r="Q279" s="11">
        <v>74.393000000000001</v>
      </c>
      <c r="R279" s="11">
        <v>129.07</v>
      </c>
      <c r="S279" s="11">
        <v>128.51599999999999</v>
      </c>
      <c r="T279" s="11">
        <v>68.549000000000007</v>
      </c>
      <c r="U279" s="11">
        <v>66.084999999999994</v>
      </c>
      <c r="V279" s="11">
        <v>31.451000000000001</v>
      </c>
      <c r="W279" s="11">
        <v>33.914999999999999</v>
      </c>
      <c r="X279" s="11">
        <v>17.326000000000001</v>
      </c>
      <c r="Y279" s="11">
        <v>17.504000000000001</v>
      </c>
      <c r="Z279" s="11">
        <v>33.914999999999999</v>
      </c>
      <c r="AA279" s="11">
        <v>31.451000000000001</v>
      </c>
      <c r="AB279" s="11">
        <v>10.912000000000001</v>
      </c>
      <c r="AC279" s="11">
        <v>18</v>
      </c>
      <c r="AD279" s="11">
        <v>15</v>
      </c>
      <c r="AE279" s="11">
        <v>15</v>
      </c>
      <c r="AF279" s="11">
        <v>15</v>
      </c>
    </row>
    <row r="280" spans="1:32" s="11" customFormat="1" x14ac:dyDescent="0.2">
      <c r="A280" s="11">
        <v>402</v>
      </c>
      <c r="F280" s="11" t="s">
        <v>16414</v>
      </c>
      <c r="G280" s="11" t="s">
        <v>16415</v>
      </c>
      <c r="H280" s="12">
        <v>60.1</v>
      </c>
      <c r="I280" s="11" t="s">
        <v>16404</v>
      </c>
      <c r="L280" s="11">
        <v>70.468999999999994</v>
      </c>
      <c r="M280" s="11">
        <v>72.506</v>
      </c>
      <c r="N280" s="11">
        <v>143.28700000000001</v>
      </c>
      <c r="O280" s="11">
        <v>142.71899999999999</v>
      </c>
      <c r="P280" s="11">
        <v>129.78299999999999</v>
      </c>
      <c r="Q280" s="11">
        <v>128.215</v>
      </c>
      <c r="R280" s="11">
        <v>108.286</v>
      </c>
      <c r="S280" s="11">
        <v>106.76600000000001</v>
      </c>
      <c r="T280" s="11">
        <v>60.82</v>
      </c>
      <c r="U280" s="11">
        <v>61.901000000000003</v>
      </c>
      <c r="V280" s="11">
        <v>39.18</v>
      </c>
      <c r="W280" s="11">
        <v>38.098999999999997</v>
      </c>
      <c r="X280" s="11">
        <v>11.699</v>
      </c>
      <c r="Y280" s="11">
        <v>11.936</v>
      </c>
      <c r="Z280" s="11">
        <v>38.098999999999997</v>
      </c>
      <c r="AA280" s="11">
        <v>39.18</v>
      </c>
      <c r="AB280" s="11">
        <v>12.087</v>
      </c>
      <c r="AC280" s="11">
        <v>9</v>
      </c>
      <c r="AD280" s="11">
        <v>10</v>
      </c>
      <c r="AE280" s="11">
        <v>9</v>
      </c>
      <c r="AF280" s="11">
        <v>9</v>
      </c>
    </row>
    <row r="281" spans="1:32" s="11" customFormat="1" x14ac:dyDescent="0.2">
      <c r="A281" s="11">
        <v>403</v>
      </c>
      <c r="F281" s="11" t="s">
        <v>16414</v>
      </c>
      <c r="G281" s="11" t="s">
        <v>16415</v>
      </c>
      <c r="H281" s="12">
        <v>68.599999999999994</v>
      </c>
      <c r="I281" s="11" t="s">
        <v>16404</v>
      </c>
      <c r="L281" s="11" t="s">
        <v>16403</v>
      </c>
      <c r="M281" s="11" t="s">
        <v>16403</v>
      </c>
      <c r="N281" s="11" t="s">
        <v>16403</v>
      </c>
      <c r="O281" s="11" t="s">
        <v>16403</v>
      </c>
      <c r="P281" s="11" t="s">
        <v>16403</v>
      </c>
      <c r="Q281" s="11" t="s">
        <v>16403</v>
      </c>
      <c r="R281" s="11" t="s">
        <v>16403</v>
      </c>
      <c r="S281" s="11" t="s">
        <v>16403</v>
      </c>
      <c r="T281" s="11" t="s">
        <v>16403</v>
      </c>
      <c r="U281" s="11" t="s">
        <v>16403</v>
      </c>
      <c r="V281" s="11" t="s">
        <v>16403</v>
      </c>
      <c r="W281" s="11" t="s">
        <v>16403</v>
      </c>
      <c r="X281" s="11" t="s">
        <v>16403</v>
      </c>
      <c r="Y281" s="11" t="s">
        <v>16403</v>
      </c>
      <c r="Z281" s="11" t="s">
        <v>16403</v>
      </c>
      <c r="AA281" s="11" t="s">
        <v>16403</v>
      </c>
      <c r="AB281" s="11" t="s">
        <v>16403</v>
      </c>
      <c r="AC281" s="11" t="s">
        <v>16403</v>
      </c>
      <c r="AD281" s="11" t="s">
        <v>16403</v>
      </c>
      <c r="AE281" s="11" t="s">
        <v>16403</v>
      </c>
      <c r="AF281" s="11" t="s">
        <v>16403</v>
      </c>
    </row>
    <row r="282" spans="1:32" s="11" customFormat="1" x14ac:dyDescent="0.2">
      <c r="A282" s="11">
        <v>404</v>
      </c>
      <c r="F282" s="11" t="s">
        <v>16414</v>
      </c>
      <c r="G282" s="11" t="s">
        <v>16415</v>
      </c>
      <c r="H282" s="12">
        <v>68.599999999999994</v>
      </c>
      <c r="I282" s="11" t="s">
        <v>16407</v>
      </c>
      <c r="L282" s="11">
        <v>41.225000000000001</v>
      </c>
      <c r="M282" s="11">
        <v>35.901000000000003</v>
      </c>
      <c r="N282" s="11">
        <v>77.25</v>
      </c>
      <c r="O282" s="11">
        <v>77.295000000000002</v>
      </c>
      <c r="P282" s="11">
        <v>65.483000000000004</v>
      </c>
      <c r="Q282" s="11">
        <v>65.364999999999995</v>
      </c>
      <c r="R282" s="11">
        <v>101.355</v>
      </c>
      <c r="S282" s="11">
        <v>101.432</v>
      </c>
      <c r="T282" s="11">
        <v>65.277000000000001</v>
      </c>
      <c r="U282" s="11">
        <v>65.864999999999995</v>
      </c>
      <c r="V282" s="11">
        <v>34.722999999999999</v>
      </c>
      <c r="W282" s="11">
        <v>34.134999999999998</v>
      </c>
      <c r="X282" s="11">
        <v>16.302</v>
      </c>
      <c r="Y282" s="11">
        <v>15.016999999999999</v>
      </c>
      <c r="Z282" s="11">
        <v>34.134999999999998</v>
      </c>
      <c r="AA282" s="11">
        <v>34.722999999999999</v>
      </c>
      <c r="AB282" s="11">
        <v>7.85</v>
      </c>
      <c r="AC282" s="11">
        <v>15</v>
      </c>
      <c r="AD282" s="11">
        <v>15</v>
      </c>
      <c r="AE282" s="11">
        <v>15</v>
      </c>
      <c r="AF282" s="11">
        <v>15</v>
      </c>
    </row>
    <row r="283" spans="1:32" s="11" customFormat="1" x14ac:dyDescent="0.2">
      <c r="A283" s="11">
        <v>405</v>
      </c>
      <c r="F283" s="11" t="s">
        <v>16414</v>
      </c>
      <c r="G283" s="11" t="s">
        <v>16415</v>
      </c>
      <c r="H283" s="12">
        <v>72.5</v>
      </c>
      <c r="I283" s="11" t="s">
        <v>16404</v>
      </c>
      <c r="L283" s="11">
        <v>30.213999999999999</v>
      </c>
      <c r="M283" s="11">
        <v>32.226999999999997</v>
      </c>
      <c r="N283" s="11">
        <v>62.886000000000003</v>
      </c>
      <c r="O283" s="11">
        <v>62.256999999999998</v>
      </c>
      <c r="P283" s="11">
        <v>62.841999999999999</v>
      </c>
      <c r="Q283" s="11">
        <v>62.710999999999999</v>
      </c>
      <c r="R283" s="11">
        <v>119.736</v>
      </c>
      <c r="S283" s="11">
        <v>119.876</v>
      </c>
      <c r="T283" s="11">
        <v>62.606000000000002</v>
      </c>
      <c r="U283" s="11">
        <v>64.632000000000005</v>
      </c>
      <c r="V283" s="11">
        <v>37.393999999999998</v>
      </c>
      <c r="W283" s="11">
        <v>35.368000000000002</v>
      </c>
      <c r="X283" s="11">
        <v>14.553000000000001</v>
      </c>
      <c r="Y283" s="11">
        <v>12.571</v>
      </c>
      <c r="Z283" s="11">
        <v>35.368000000000002</v>
      </c>
      <c r="AA283" s="11">
        <v>37.393999999999998</v>
      </c>
      <c r="AB283" s="11">
        <v>10.618</v>
      </c>
      <c r="AC283" s="11">
        <v>17</v>
      </c>
      <c r="AD283" s="11">
        <v>18</v>
      </c>
      <c r="AE283" s="11">
        <v>17</v>
      </c>
      <c r="AF283" s="11">
        <v>17</v>
      </c>
    </row>
    <row r="284" spans="1:32" s="11" customFormat="1" x14ac:dyDescent="0.2">
      <c r="A284" s="11">
        <v>406</v>
      </c>
      <c r="F284" s="11" t="s">
        <v>16403</v>
      </c>
      <c r="G284" s="11" t="s">
        <v>16403</v>
      </c>
      <c r="H284" s="12">
        <v>999</v>
      </c>
      <c r="I284" s="11" t="s">
        <v>16403</v>
      </c>
      <c r="L284" s="11">
        <v>55.353999999999999</v>
      </c>
      <c r="M284" s="11">
        <v>61.753</v>
      </c>
      <c r="N284" s="11">
        <v>118.154</v>
      </c>
      <c r="O284" s="11">
        <v>116.26</v>
      </c>
      <c r="P284" s="11">
        <v>116.346</v>
      </c>
      <c r="Q284" s="11">
        <v>114.51300000000001</v>
      </c>
      <c r="R284" s="11">
        <v>118.86199999999999</v>
      </c>
      <c r="S284" s="11">
        <v>117.627</v>
      </c>
      <c r="T284" s="11">
        <v>61.622999999999998</v>
      </c>
      <c r="U284" s="11">
        <v>60.103000000000002</v>
      </c>
      <c r="V284" s="11">
        <v>38.377000000000002</v>
      </c>
      <c r="W284" s="11">
        <v>39.896999999999998</v>
      </c>
      <c r="X284" s="11">
        <v>12.292</v>
      </c>
      <c r="Y284" s="11">
        <v>10.446</v>
      </c>
      <c r="Z284" s="11">
        <v>39.896999999999998</v>
      </c>
      <c r="AA284" s="11">
        <v>38.377000000000002</v>
      </c>
      <c r="AB284" s="11">
        <v>13.358000000000001</v>
      </c>
      <c r="AC284" s="11">
        <v>10</v>
      </c>
      <c r="AD284" s="11">
        <v>10</v>
      </c>
      <c r="AE284" s="11">
        <v>10</v>
      </c>
      <c r="AF284" s="11">
        <v>10</v>
      </c>
    </row>
    <row r="285" spans="1:32" s="11" customFormat="1" x14ac:dyDescent="0.2">
      <c r="A285" s="11">
        <v>407</v>
      </c>
      <c r="F285" s="11" t="s">
        <v>16426</v>
      </c>
      <c r="G285" s="11" t="s">
        <v>16427</v>
      </c>
      <c r="H285" s="12">
        <v>68.5</v>
      </c>
      <c r="I285" s="11" t="s">
        <v>16407</v>
      </c>
      <c r="L285" s="11">
        <v>27.305</v>
      </c>
      <c r="M285" s="11">
        <v>33.421999999999997</v>
      </c>
      <c r="N285" s="11">
        <v>62.682000000000002</v>
      </c>
      <c r="O285" s="11">
        <v>60.728999999999999</v>
      </c>
      <c r="P285" s="11">
        <v>29.472999999999999</v>
      </c>
      <c r="Q285" s="11">
        <v>29.143000000000001</v>
      </c>
      <c r="R285" s="11">
        <v>56.781999999999996</v>
      </c>
      <c r="S285" s="11">
        <v>57.691000000000003</v>
      </c>
      <c r="T285" s="11">
        <v>72.63</v>
      </c>
      <c r="U285" s="11">
        <v>74.007999999999996</v>
      </c>
      <c r="V285" s="11">
        <v>27.37</v>
      </c>
      <c r="W285" s="11">
        <v>25.992000000000001</v>
      </c>
      <c r="X285" s="11">
        <v>22.885000000000002</v>
      </c>
      <c r="Y285" s="11">
        <v>24.864999999999998</v>
      </c>
      <c r="Z285" s="11">
        <v>25.992000000000001</v>
      </c>
      <c r="AA285" s="11">
        <v>27.37</v>
      </c>
      <c r="AB285" s="11">
        <v>14.77</v>
      </c>
      <c r="AC285" s="11">
        <v>11</v>
      </c>
      <c r="AD285" s="11">
        <v>14</v>
      </c>
      <c r="AE285" s="11">
        <v>11</v>
      </c>
      <c r="AF285" s="11">
        <v>11</v>
      </c>
    </row>
    <row r="286" spans="1:32" s="11" customFormat="1" x14ac:dyDescent="0.2">
      <c r="A286" s="11">
        <v>408</v>
      </c>
      <c r="F286" s="11" t="s">
        <v>16424</v>
      </c>
      <c r="G286" s="11" t="s">
        <v>16425</v>
      </c>
      <c r="H286" s="12">
        <v>67.5</v>
      </c>
      <c r="I286" s="11" t="s">
        <v>16407</v>
      </c>
      <c r="L286" s="11">
        <v>48.164999999999999</v>
      </c>
      <c r="M286" s="11">
        <v>46.731999999999999</v>
      </c>
      <c r="N286" s="11">
        <v>95.221000000000004</v>
      </c>
      <c r="O286" s="11">
        <v>94.206000000000003</v>
      </c>
      <c r="P286" s="11">
        <v>70.438999999999993</v>
      </c>
      <c r="Q286" s="11">
        <v>69.665999999999997</v>
      </c>
      <c r="R286" s="11">
        <v>88.944000000000003</v>
      </c>
      <c r="S286" s="11">
        <v>88.962999999999994</v>
      </c>
      <c r="T286" s="11">
        <v>65.977000000000004</v>
      </c>
      <c r="U286" s="11">
        <v>66.432000000000002</v>
      </c>
      <c r="V286" s="11">
        <v>34.021999999999998</v>
      </c>
      <c r="W286" s="11">
        <v>33.567999999999998</v>
      </c>
      <c r="X286" s="11">
        <v>15.962</v>
      </c>
      <c r="Y286" s="11">
        <v>16.951000000000001</v>
      </c>
      <c r="Z286" s="11">
        <v>33.567999999999998</v>
      </c>
      <c r="AA286" s="11">
        <v>34.021999999999998</v>
      </c>
      <c r="AB286" s="11">
        <v>13.04</v>
      </c>
      <c r="AC286" s="11">
        <v>14</v>
      </c>
      <c r="AD286" s="11">
        <v>15</v>
      </c>
      <c r="AE286" s="11">
        <v>14</v>
      </c>
      <c r="AF286" s="11">
        <v>14</v>
      </c>
    </row>
    <row r="287" spans="1:32" s="11" customFormat="1" x14ac:dyDescent="0.2">
      <c r="A287" s="11">
        <v>409</v>
      </c>
      <c r="F287" s="11" t="s">
        <v>16414</v>
      </c>
      <c r="G287" s="11" t="s">
        <v>16415</v>
      </c>
      <c r="H287" s="12">
        <v>65.099999999999994</v>
      </c>
      <c r="I287" s="11" t="s">
        <v>16404</v>
      </c>
      <c r="L287" s="11">
        <v>50.204999999999998</v>
      </c>
      <c r="M287" s="11">
        <v>54.366</v>
      </c>
      <c r="N287" s="11">
        <v>104.47199999999999</v>
      </c>
      <c r="O287" s="11">
        <v>103.99</v>
      </c>
      <c r="P287" s="11">
        <v>89.102000000000004</v>
      </c>
      <c r="Q287" s="11">
        <v>89.242999999999995</v>
      </c>
      <c r="R287" s="11">
        <v>102.03</v>
      </c>
      <c r="S287" s="11">
        <v>102.384</v>
      </c>
      <c r="T287" s="11">
        <v>66.346999999999994</v>
      </c>
      <c r="U287" s="11">
        <v>65.320999999999998</v>
      </c>
      <c r="V287" s="11">
        <v>33.652999999999999</v>
      </c>
      <c r="W287" s="11">
        <v>34.679000000000002</v>
      </c>
      <c r="X287" s="11">
        <v>18.638000000000002</v>
      </c>
      <c r="Y287" s="11">
        <v>12.571</v>
      </c>
      <c r="Z287" s="11">
        <v>34.679000000000002</v>
      </c>
      <c r="AA287" s="11">
        <v>33.652999999999999</v>
      </c>
      <c r="AB287" s="11">
        <v>10.074</v>
      </c>
      <c r="AC287" s="11">
        <v>12</v>
      </c>
      <c r="AD287" s="11">
        <v>12</v>
      </c>
      <c r="AE287" s="11">
        <v>12</v>
      </c>
      <c r="AF287" s="11">
        <v>12</v>
      </c>
    </row>
    <row r="288" spans="1:32" s="11" customFormat="1" x14ac:dyDescent="0.2">
      <c r="A288" s="11">
        <v>410</v>
      </c>
      <c r="F288" s="11" t="s">
        <v>16414</v>
      </c>
      <c r="G288" s="11" t="s">
        <v>16415</v>
      </c>
      <c r="H288" s="12">
        <v>69.2</v>
      </c>
      <c r="I288" s="11" t="s">
        <v>16404</v>
      </c>
      <c r="L288" s="11">
        <v>38.677</v>
      </c>
      <c r="M288" s="11">
        <v>38.069000000000003</v>
      </c>
      <c r="N288" s="11">
        <v>76.959999999999994</v>
      </c>
      <c r="O288" s="11">
        <v>77.144999999999996</v>
      </c>
      <c r="P288" s="11">
        <v>74.564999999999998</v>
      </c>
      <c r="Q288" s="11">
        <v>74.778000000000006</v>
      </c>
      <c r="R288" s="11">
        <v>116.262</v>
      </c>
      <c r="S288" s="11">
        <v>116.911</v>
      </c>
      <c r="T288" s="11">
        <v>65.899000000000001</v>
      </c>
      <c r="U288" s="11">
        <v>65.585999999999999</v>
      </c>
      <c r="V288" s="11">
        <v>34.100999999999999</v>
      </c>
      <c r="W288" s="11">
        <v>34.414000000000001</v>
      </c>
      <c r="X288" s="11">
        <v>14.847</v>
      </c>
      <c r="Y288" s="11">
        <v>16.867999999999999</v>
      </c>
      <c r="Z288" s="11">
        <v>34.414000000000001</v>
      </c>
      <c r="AA288" s="11">
        <v>34.100999999999999</v>
      </c>
      <c r="AB288" s="11">
        <v>9.48</v>
      </c>
      <c r="AC288" s="11">
        <v>15</v>
      </c>
      <c r="AD288" s="11">
        <v>15</v>
      </c>
      <c r="AE288" s="11">
        <v>15</v>
      </c>
      <c r="AF288" s="11">
        <v>15</v>
      </c>
    </row>
    <row r="289" spans="1:32" s="11" customFormat="1" x14ac:dyDescent="0.2">
      <c r="A289" s="11">
        <v>411</v>
      </c>
      <c r="F289" s="11" t="s">
        <v>16414</v>
      </c>
      <c r="G289" s="11" t="s">
        <v>16415</v>
      </c>
      <c r="H289" s="12">
        <v>82</v>
      </c>
      <c r="I289" s="11" t="s">
        <v>16404</v>
      </c>
      <c r="L289" s="11">
        <v>62.975999999999999</v>
      </c>
      <c r="M289" s="11">
        <v>64.421999999999997</v>
      </c>
      <c r="N289" s="11">
        <v>127.93</v>
      </c>
      <c r="O289" s="11">
        <v>127.48</v>
      </c>
      <c r="P289" s="11">
        <v>120.554</v>
      </c>
      <c r="Q289" s="11">
        <v>120.584</v>
      </c>
      <c r="R289" s="11">
        <v>112.562</v>
      </c>
      <c r="S289" s="11">
        <v>113.152</v>
      </c>
      <c r="T289" s="11">
        <v>63.366</v>
      </c>
      <c r="U289" s="11">
        <v>63.616999999999997</v>
      </c>
      <c r="V289" s="11">
        <v>36.634</v>
      </c>
      <c r="W289" s="11">
        <v>36.383000000000003</v>
      </c>
      <c r="X289" s="11">
        <v>13.733000000000001</v>
      </c>
      <c r="Y289" s="11">
        <v>13.347</v>
      </c>
      <c r="Z289" s="11">
        <v>36.383000000000003</v>
      </c>
      <c r="AA289" s="11">
        <v>36.634</v>
      </c>
      <c r="AB289" s="11">
        <v>7.3319999999999999</v>
      </c>
      <c r="AC289" s="11">
        <v>10</v>
      </c>
      <c r="AD289" s="11">
        <v>10</v>
      </c>
      <c r="AE289" s="11">
        <v>10</v>
      </c>
      <c r="AF289" s="11">
        <v>10</v>
      </c>
    </row>
    <row r="290" spans="1:32" s="11" customFormat="1" x14ac:dyDescent="0.2">
      <c r="A290" s="11">
        <v>412</v>
      </c>
      <c r="F290" s="11" t="s">
        <v>16420</v>
      </c>
      <c r="G290" s="11" t="s">
        <v>16421</v>
      </c>
      <c r="H290" s="12">
        <v>80.8</v>
      </c>
      <c r="I290" s="11" t="s">
        <v>16404</v>
      </c>
      <c r="L290" s="11">
        <v>40.56</v>
      </c>
      <c r="M290" s="11">
        <v>35.549999999999997</v>
      </c>
      <c r="N290" s="11">
        <v>75.835999999999999</v>
      </c>
      <c r="O290" s="11">
        <v>76.150999999999996</v>
      </c>
      <c r="P290" s="11">
        <v>69.194999999999993</v>
      </c>
      <c r="Q290" s="11">
        <v>70.319000000000003</v>
      </c>
      <c r="R290" s="11">
        <v>109.62</v>
      </c>
      <c r="S290" s="11">
        <v>110.797</v>
      </c>
      <c r="T290" s="11">
        <v>65.119</v>
      </c>
      <c r="U290" s="11">
        <v>63.774999999999999</v>
      </c>
      <c r="V290" s="11">
        <v>34.881</v>
      </c>
      <c r="W290" s="11">
        <v>36.225000000000001</v>
      </c>
      <c r="X290" s="11">
        <v>15</v>
      </c>
      <c r="Y290" s="11">
        <v>13.88</v>
      </c>
      <c r="Z290" s="11">
        <v>36.225000000000001</v>
      </c>
      <c r="AA290" s="11">
        <v>34.881</v>
      </c>
      <c r="AB290" s="11">
        <v>13.18</v>
      </c>
      <c r="AC290" s="11">
        <v>16</v>
      </c>
      <c r="AD290" s="11">
        <v>19</v>
      </c>
      <c r="AE290" s="11">
        <v>16</v>
      </c>
      <c r="AF290" s="11">
        <v>16</v>
      </c>
    </row>
    <row r="291" spans="1:32" s="11" customFormat="1" x14ac:dyDescent="0.2">
      <c r="A291" s="11">
        <v>413</v>
      </c>
      <c r="F291" s="11" t="s">
        <v>16420</v>
      </c>
      <c r="G291" s="11" t="s">
        <v>16421</v>
      </c>
      <c r="H291" s="12">
        <v>75.5</v>
      </c>
      <c r="I291" s="11" t="s">
        <v>16404</v>
      </c>
      <c r="L291" s="11">
        <v>39.015999999999998</v>
      </c>
      <c r="M291" s="11">
        <v>35.792000000000002</v>
      </c>
      <c r="N291" s="11">
        <v>74.539000000000001</v>
      </c>
      <c r="O291" s="11">
        <v>74.878</v>
      </c>
      <c r="P291" s="11">
        <v>57.262</v>
      </c>
      <c r="Q291" s="11">
        <v>57.575000000000003</v>
      </c>
      <c r="R291" s="11">
        <v>92.137</v>
      </c>
      <c r="S291" s="11">
        <v>91.947000000000003</v>
      </c>
      <c r="T291" s="11">
        <v>67.984999999999999</v>
      </c>
      <c r="U291" s="11">
        <v>67.84</v>
      </c>
      <c r="V291" s="11">
        <v>32.015000000000001</v>
      </c>
      <c r="W291" s="11">
        <v>32.159999999999997</v>
      </c>
      <c r="X291" s="11">
        <v>17.635000000000002</v>
      </c>
      <c r="Y291" s="11">
        <v>18.175000000000001</v>
      </c>
      <c r="Z291" s="11">
        <v>32.159999999999997</v>
      </c>
      <c r="AA291" s="11">
        <v>32.015000000000001</v>
      </c>
      <c r="AB291" s="11">
        <v>20.094999999999999</v>
      </c>
      <c r="AC291" s="11">
        <v>14</v>
      </c>
      <c r="AD291" s="11">
        <v>15</v>
      </c>
      <c r="AE291" s="11">
        <v>14</v>
      </c>
      <c r="AF291" s="11">
        <v>14</v>
      </c>
    </row>
    <row r="292" spans="1:32" s="11" customFormat="1" x14ac:dyDescent="0.2">
      <c r="A292" s="11">
        <v>414</v>
      </c>
      <c r="F292" s="11" t="s">
        <v>16414</v>
      </c>
      <c r="G292" s="11" t="s">
        <v>16415</v>
      </c>
      <c r="H292" s="12">
        <v>59.7</v>
      </c>
      <c r="I292" s="11" t="s">
        <v>16404</v>
      </c>
      <c r="L292" s="11" t="s">
        <v>16403</v>
      </c>
      <c r="M292" s="11" t="s">
        <v>16403</v>
      </c>
      <c r="N292" s="11" t="s">
        <v>16403</v>
      </c>
      <c r="O292" s="11" t="s">
        <v>16403</v>
      </c>
      <c r="P292" s="11" t="s">
        <v>16403</v>
      </c>
      <c r="Q292" s="11" t="s">
        <v>16403</v>
      </c>
      <c r="R292" s="11" t="s">
        <v>16403</v>
      </c>
      <c r="S292" s="11" t="s">
        <v>16403</v>
      </c>
      <c r="T292" s="11" t="s">
        <v>16403</v>
      </c>
      <c r="U292" s="11" t="s">
        <v>16403</v>
      </c>
      <c r="V292" s="11" t="s">
        <v>16403</v>
      </c>
      <c r="W292" s="11" t="s">
        <v>16403</v>
      </c>
      <c r="X292" s="11" t="s">
        <v>16403</v>
      </c>
      <c r="Y292" s="11" t="s">
        <v>16403</v>
      </c>
      <c r="Z292" s="11" t="s">
        <v>16403</v>
      </c>
      <c r="AA292" s="11" t="s">
        <v>16403</v>
      </c>
      <c r="AB292" s="11" t="s">
        <v>16403</v>
      </c>
      <c r="AC292" s="11" t="s">
        <v>16403</v>
      </c>
      <c r="AD292" s="11" t="s">
        <v>16403</v>
      </c>
      <c r="AE292" s="11" t="s">
        <v>16403</v>
      </c>
      <c r="AF292" s="11" t="s">
        <v>16403</v>
      </c>
    </row>
    <row r="293" spans="1:32" s="11" customFormat="1" x14ac:dyDescent="0.2">
      <c r="A293" s="11">
        <v>415</v>
      </c>
      <c r="F293" s="11" t="s">
        <v>16414</v>
      </c>
      <c r="G293" s="11" t="s">
        <v>16415</v>
      </c>
      <c r="H293" s="12">
        <v>70.8</v>
      </c>
      <c r="I293" s="11" t="s">
        <v>16404</v>
      </c>
      <c r="L293" s="11" t="s">
        <v>16403</v>
      </c>
      <c r="M293" s="11" t="s">
        <v>16403</v>
      </c>
      <c r="N293" s="11" t="s">
        <v>16403</v>
      </c>
      <c r="O293" s="11" t="s">
        <v>16403</v>
      </c>
      <c r="P293" s="11" t="s">
        <v>16403</v>
      </c>
      <c r="Q293" s="11" t="s">
        <v>16403</v>
      </c>
      <c r="R293" s="11" t="s">
        <v>16403</v>
      </c>
      <c r="S293" s="11" t="s">
        <v>16403</v>
      </c>
      <c r="T293" s="11" t="s">
        <v>16403</v>
      </c>
      <c r="U293" s="11" t="s">
        <v>16403</v>
      </c>
      <c r="V293" s="11" t="s">
        <v>16403</v>
      </c>
      <c r="W293" s="11" t="s">
        <v>16403</v>
      </c>
      <c r="X293" s="11" t="s">
        <v>16403</v>
      </c>
      <c r="Y293" s="11" t="s">
        <v>16403</v>
      </c>
      <c r="Z293" s="11" t="s">
        <v>16403</v>
      </c>
      <c r="AA293" s="11" t="s">
        <v>16403</v>
      </c>
      <c r="AB293" s="11" t="s">
        <v>16403</v>
      </c>
      <c r="AC293" s="11" t="s">
        <v>16403</v>
      </c>
      <c r="AD293" s="11" t="s">
        <v>16403</v>
      </c>
      <c r="AE293" s="11" t="s">
        <v>16403</v>
      </c>
      <c r="AF293" s="11" t="s">
        <v>16403</v>
      </c>
    </row>
    <row r="294" spans="1:32" s="11" customFormat="1" x14ac:dyDescent="0.2">
      <c r="A294" s="11">
        <v>416</v>
      </c>
      <c r="F294" s="11" t="s">
        <v>16424</v>
      </c>
      <c r="G294" s="11" t="s">
        <v>16425</v>
      </c>
      <c r="H294" s="12">
        <v>86</v>
      </c>
      <c r="I294" s="11" t="s">
        <v>16407</v>
      </c>
      <c r="L294" s="11">
        <v>44.226999999999997</v>
      </c>
      <c r="M294" s="11">
        <v>46.366</v>
      </c>
      <c r="N294" s="11">
        <v>90.658000000000001</v>
      </c>
      <c r="O294" s="11">
        <v>91.5</v>
      </c>
      <c r="P294" s="11">
        <v>73.811999999999998</v>
      </c>
      <c r="Q294" s="11">
        <v>73.58</v>
      </c>
      <c r="R294" s="11">
        <v>97.125</v>
      </c>
      <c r="S294" s="11">
        <v>95.623000000000005</v>
      </c>
      <c r="T294" s="11">
        <v>66.129000000000005</v>
      </c>
      <c r="U294" s="11">
        <v>65.137</v>
      </c>
      <c r="V294" s="11">
        <v>33.871000000000002</v>
      </c>
      <c r="W294" s="11">
        <v>34.863</v>
      </c>
      <c r="X294" s="11">
        <v>14.835000000000001</v>
      </c>
      <c r="Y294" s="11">
        <v>16.109000000000002</v>
      </c>
      <c r="Z294" s="11">
        <v>34.863</v>
      </c>
      <c r="AA294" s="11">
        <v>33.871000000000002</v>
      </c>
      <c r="AB294" s="11">
        <v>20.774000000000001</v>
      </c>
      <c r="AC294" s="11">
        <v>13</v>
      </c>
      <c r="AD294" s="11">
        <v>12</v>
      </c>
      <c r="AE294" s="11">
        <v>12</v>
      </c>
      <c r="AF294" s="11">
        <v>12</v>
      </c>
    </row>
    <row r="295" spans="1:32" s="11" customFormat="1" x14ac:dyDescent="0.2">
      <c r="A295" s="11">
        <v>417</v>
      </c>
      <c r="F295" s="11" t="s">
        <v>16414</v>
      </c>
      <c r="G295" s="11" t="s">
        <v>16415</v>
      </c>
      <c r="H295" s="12">
        <v>56.5</v>
      </c>
      <c r="I295" s="11" t="s">
        <v>16407</v>
      </c>
      <c r="L295" s="11" t="s">
        <v>16403</v>
      </c>
      <c r="M295" s="11" t="s">
        <v>16403</v>
      </c>
      <c r="N295" s="11" t="s">
        <v>16403</v>
      </c>
      <c r="O295" s="11" t="s">
        <v>16403</v>
      </c>
      <c r="P295" s="11" t="s">
        <v>16403</v>
      </c>
      <c r="Q295" s="11" t="s">
        <v>16403</v>
      </c>
      <c r="R295" s="11" t="s">
        <v>16403</v>
      </c>
      <c r="S295" s="11" t="s">
        <v>16403</v>
      </c>
      <c r="T295" s="11" t="s">
        <v>16403</v>
      </c>
      <c r="U295" s="11" t="s">
        <v>16403</v>
      </c>
      <c r="V295" s="11" t="s">
        <v>16403</v>
      </c>
      <c r="W295" s="11" t="s">
        <v>16403</v>
      </c>
      <c r="X295" s="11" t="s">
        <v>16403</v>
      </c>
      <c r="Y295" s="11" t="s">
        <v>16403</v>
      </c>
      <c r="Z295" s="11" t="s">
        <v>16403</v>
      </c>
      <c r="AA295" s="11" t="s">
        <v>16403</v>
      </c>
      <c r="AB295" s="11" t="s">
        <v>16403</v>
      </c>
      <c r="AC295" s="11" t="s">
        <v>16403</v>
      </c>
      <c r="AD295" s="11" t="s">
        <v>16403</v>
      </c>
      <c r="AE295" s="11" t="s">
        <v>16403</v>
      </c>
      <c r="AF295" s="11" t="s">
        <v>16403</v>
      </c>
    </row>
    <row r="296" spans="1:32" s="11" customFormat="1" x14ac:dyDescent="0.2">
      <c r="A296" s="11">
        <v>418</v>
      </c>
      <c r="F296" s="11" t="s">
        <v>16424</v>
      </c>
      <c r="G296" s="11" t="s">
        <v>16425</v>
      </c>
      <c r="H296" s="12">
        <v>73.900000000000006</v>
      </c>
      <c r="I296" s="11" t="s">
        <v>16404</v>
      </c>
      <c r="L296" s="11">
        <v>50.7</v>
      </c>
      <c r="M296" s="11">
        <v>48.116999999999997</v>
      </c>
      <c r="N296" s="11">
        <v>98.034000000000006</v>
      </c>
      <c r="O296" s="11">
        <v>99.084000000000003</v>
      </c>
      <c r="P296" s="11">
        <v>93.125</v>
      </c>
      <c r="Q296" s="11">
        <v>94.186000000000007</v>
      </c>
      <c r="R296" s="11">
        <v>113.261</v>
      </c>
      <c r="S296" s="11">
        <v>113.643</v>
      </c>
      <c r="T296" s="11">
        <v>65.641000000000005</v>
      </c>
      <c r="U296" s="11">
        <v>64.144999999999996</v>
      </c>
      <c r="V296" s="11">
        <v>34.359000000000002</v>
      </c>
      <c r="W296" s="11">
        <v>35.854999999999997</v>
      </c>
      <c r="X296" s="11">
        <v>15.054</v>
      </c>
      <c r="Y296" s="11">
        <v>14.967000000000001</v>
      </c>
      <c r="Z296" s="11">
        <v>35.854999999999997</v>
      </c>
      <c r="AA296" s="11">
        <v>34.359000000000002</v>
      </c>
      <c r="AB296" s="11">
        <v>16.268000000000001</v>
      </c>
      <c r="AC296" s="11">
        <v>11</v>
      </c>
      <c r="AD296" s="11">
        <v>11</v>
      </c>
      <c r="AE296" s="11">
        <v>11</v>
      </c>
      <c r="AF296" s="11">
        <v>11</v>
      </c>
    </row>
    <row r="297" spans="1:32" s="11" customFormat="1" x14ac:dyDescent="0.2">
      <c r="A297" s="11">
        <v>419</v>
      </c>
      <c r="F297" s="11" t="s">
        <v>16414</v>
      </c>
      <c r="G297" s="11" t="s">
        <v>16415</v>
      </c>
      <c r="H297" s="12">
        <v>52.7</v>
      </c>
      <c r="I297" s="11" t="s">
        <v>16404</v>
      </c>
      <c r="L297" s="11">
        <v>58.481999999999999</v>
      </c>
      <c r="M297" s="11">
        <v>64.483000000000004</v>
      </c>
      <c r="N297" s="11">
        <v>123.023</v>
      </c>
      <c r="O297" s="11">
        <v>123.125</v>
      </c>
      <c r="P297" s="11">
        <v>121.92100000000001</v>
      </c>
      <c r="Q297" s="11">
        <v>121.46</v>
      </c>
      <c r="R297" s="11">
        <v>119.35299999999999</v>
      </c>
      <c r="S297" s="11">
        <v>119.681</v>
      </c>
      <c r="T297" s="11">
        <v>59.298999999999999</v>
      </c>
      <c r="U297" s="11">
        <v>62.353999999999999</v>
      </c>
      <c r="V297" s="11">
        <v>40.701000000000001</v>
      </c>
      <c r="W297" s="11">
        <v>37.646000000000001</v>
      </c>
      <c r="X297" s="11">
        <v>9.5489999999999995</v>
      </c>
      <c r="Y297" s="11">
        <v>12.366</v>
      </c>
      <c r="Z297" s="11">
        <v>37.646000000000001</v>
      </c>
      <c r="AA297" s="11">
        <v>40.701000000000001</v>
      </c>
      <c r="AB297" s="11">
        <v>17.792000000000002</v>
      </c>
      <c r="AC297" s="11">
        <v>10</v>
      </c>
      <c r="AD297" s="11">
        <v>9</v>
      </c>
      <c r="AE297" s="11">
        <v>9</v>
      </c>
      <c r="AF297" s="11">
        <v>9</v>
      </c>
    </row>
    <row r="298" spans="1:32" s="11" customFormat="1" x14ac:dyDescent="0.2">
      <c r="A298" s="11">
        <v>420</v>
      </c>
      <c r="F298" s="11" t="s">
        <v>16414</v>
      </c>
      <c r="G298" s="11" t="s">
        <v>16415</v>
      </c>
      <c r="H298" s="12">
        <v>72.3</v>
      </c>
      <c r="I298" s="11" t="s">
        <v>16404</v>
      </c>
      <c r="L298" s="11">
        <v>62.776000000000003</v>
      </c>
      <c r="M298" s="11">
        <v>64.364999999999995</v>
      </c>
      <c r="N298" s="11">
        <v>126.90300000000001</v>
      </c>
      <c r="O298" s="11">
        <v>126.91</v>
      </c>
      <c r="P298" s="11">
        <v>118.328</v>
      </c>
      <c r="Q298" s="11">
        <v>117.59699999999999</v>
      </c>
      <c r="R298" s="11">
        <v>113.107</v>
      </c>
      <c r="S298" s="11">
        <v>111.366</v>
      </c>
      <c r="T298" s="11">
        <v>63.000999999999998</v>
      </c>
      <c r="U298" s="11">
        <v>61.826999999999998</v>
      </c>
      <c r="V298" s="11">
        <v>36.999000000000002</v>
      </c>
      <c r="W298" s="11">
        <v>38.173000000000002</v>
      </c>
      <c r="X298" s="11">
        <v>12.933</v>
      </c>
      <c r="Y298" s="11">
        <v>11.683</v>
      </c>
      <c r="Z298" s="11">
        <v>38.173000000000002</v>
      </c>
      <c r="AA298" s="11">
        <v>36.999000000000002</v>
      </c>
      <c r="AB298" s="11">
        <v>7.7080000000000002</v>
      </c>
      <c r="AC298" s="11">
        <v>10</v>
      </c>
      <c r="AD298" s="11">
        <v>7</v>
      </c>
      <c r="AE298" s="11">
        <v>7</v>
      </c>
      <c r="AF298" s="11">
        <v>7</v>
      </c>
    </row>
    <row r="299" spans="1:32" s="11" customFormat="1" x14ac:dyDescent="0.2">
      <c r="A299" s="11">
        <v>421</v>
      </c>
      <c r="F299" s="11" t="s">
        <v>16403</v>
      </c>
      <c r="G299" s="11" t="s">
        <v>16403</v>
      </c>
      <c r="H299" s="12">
        <v>999</v>
      </c>
      <c r="I299" s="11" t="s">
        <v>16403</v>
      </c>
      <c r="L299" s="11">
        <v>55.722999999999999</v>
      </c>
      <c r="M299" s="11">
        <v>56.7</v>
      </c>
      <c r="N299" s="11">
        <v>111.663</v>
      </c>
      <c r="O299" s="11">
        <v>112.80800000000001</v>
      </c>
      <c r="P299" s="11">
        <v>94.81</v>
      </c>
      <c r="Q299" s="11">
        <v>95.950999999999993</v>
      </c>
      <c r="R299" s="11">
        <v>101.071</v>
      </c>
      <c r="S299" s="11">
        <v>101.777</v>
      </c>
      <c r="T299" s="11">
        <v>63.402999999999999</v>
      </c>
      <c r="U299" s="11">
        <v>65.091999999999999</v>
      </c>
      <c r="V299" s="11">
        <v>36.597000000000001</v>
      </c>
      <c r="W299" s="11">
        <v>34.908000000000001</v>
      </c>
      <c r="X299" s="11">
        <v>14.471</v>
      </c>
      <c r="Y299" s="11">
        <v>14.331</v>
      </c>
      <c r="Z299" s="11">
        <v>34.908000000000001</v>
      </c>
      <c r="AA299" s="11">
        <v>36.597000000000001</v>
      </c>
      <c r="AB299" s="11">
        <v>15.71</v>
      </c>
      <c r="AC299" s="11">
        <v>9</v>
      </c>
      <c r="AD299" s="11">
        <v>9</v>
      </c>
      <c r="AE299" s="11">
        <v>9</v>
      </c>
      <c r="AF299" s="11">
        <v>9</v>
      </c>
    </row>
    <row r="300" spans="1:32" s="11" customFormat="1" x14ac:dyDescent="0.2">
      <c r="A300" s="11">
        <v>422</v>
      </c>
      <c r="F300" s="11" t="s">
        <v>16403</v>
      </c>
      <c r="G300" s="11" t="s">
        <v>16403</v>
      </c>
      <c r="H300" s="12">
        <v>999</v>
      </c>
      <c r="I300" s="11" t="s">
        <v>16403</v>
      </c>
      <c r="L300" s="11">
        <v>52.396999999999998</v>
      </c>
      <c r="M300" s="11">
        <v>49.978000000000002</v>
      </c>
      <c r="N300" s="11">
        <v>102.913</v>
      </c>
      <c r="O300" s="11">
        <v>102.223</v>
      </c>
      <c r="P300" s="11">
        <v>89.879000000000005</v>
      </c>
      <c r="Q300" s="11">
        <v>89.236999999999995</v>
      </c>
      <c r="R300" s="11">
        <v>104.03400000000001</v>
      </c>
      <c r="S300" s="11">
        <v>104.494</v>
      </c>
      <c r="T300" s="11">
        <v>64.025000000000006</v>
      </c>
      <c r="U300" s="11">
        <v>62.701000000000001</v>
      </c>
      <c r="V300" s="11">
        <v>35.975000000000001</v>
      </c>
      <c r="W300" s="11">
        <v>37.298999999999999</v>
      </c>
      <c r="X300" s="11">
        <v>12.961</v>
      </c>
      <c r="Y300" s="11">
        <v>14.772</v>
      </c>
      <c r="Z300" s="11">
        <v>37.298999999999999</v>
      </c>
      <c r="AA300" s="11">
        <v>35.975000000000001</v>
      </c>
      <c r="AB300" s="11">
        <v>6.1139999999999999</v>
      </c>
      <c r="AC300" s="11">
        <v>10</v>
      </c>
      <c r="AD300" s="11">
        <v>11</v>
      </c>
      <c r="AE300" s="11">
        <v>10</v>
      </c>
      <c r="AF300" s="11">
        <v>10</v>
      </c>
    </row>
    <row r="301" spans="1:32" s="11" customFormat="1" x14ac:dyDescent="0.2">
      <c r="A301" s="11">
        <v>423</v>
      </c>
      <c r="F301" s="11" t="s">
        <v>16414</v>
      </c>
      <c r="G301" s="11" t="s">
        <v>16415</v>
      </c>
      <c r="H301" s="12">
        <v>69.400000000000006</v>
      </c>
      <c r="I301" s="11" t="s">
        <v>16404</v>
      </c>
      <c r="L301" s="11">
        <v>43.334000000000003</v>
      </c>
      <c r="M301" s="11">
        <v>35.398000000000003</v>
      </c>
      <c r="N301" s="11">
        <v>78.486999999999995</v>
      </c>
      <c r="O301" s="11">
        <v>78.772000000000006</v>
      </c>
      <c r="P301" s="11">
        <v>67.41</v>
      </c>
      <c r="Q301" s="11">
        <v>67.194000000000003</v>
      </c>
      <c r="R301" s="11">
        <v>102.855</v>
      </c>
      <c r="S301" s="11">
        <v>101.681</v>
      </c>
      <c r="T301" s="11">
        <v>66.405000000000001</v>
      </c>
      <c r="U301" s="11">
        <v>64.727000000000004</v>
      </c>
      <c r="V301" s="11">
        <v>33.594999999999999</v>
      </c>
      <c r="W301" s="11">
        <v>35.273000000000003</v>
      </c>
      <c r="X301" s="11">
        <v>16.443000000000001</v>
      </c>
      <c r="Y301" s="11">
        <v>15.337999999999999</v>
      </c>
      <c r="Z301" s="11">
        <v>35.273000000000003</v>
      </c>
      <c r="AA301" s="11">
        <v>33.594999999999999</v>
      </c>
      <c r="AB301" s="11">
        <v>16.734000000000002</v>
      </c>
      <c r="AC301" s="11">
        <v>14</v>
      </c>
      <c r="AD301" s="11">
        <v>12</v>
      </c>
      <c r="AE301" s="11">
        <v>12</v>
      </c>
      <c r="AF301" s="11">
        <v>12</v>
      </c>
    </row>
    <row r="302" spans="1:32" s="11" customFormat="1" x14ac:dyDescent="0.2">
      <c r="A302" s="11">
        <v>424</v>
      </c>
      <c r="F302" s="11" t="s">
        <v>16403</v>
      </c>
      <c r="G302" s="11" t="s">
        <v>16403</v>
      </c>
      <c r="H302" s="12">
        <v>999</v>
      </c>
      <c r="I302" s="11" t="s">
        <v>16403</v>
      </c>
      <c r="L302" s="11">
        <v>53.972000000000001</v>
      </c>
      <c r="M302" s="11">
        <v>55.996000000000002</v>
      </c>
      <c r="N302" s="11">
        <v>110.544</v>
      </c>
      <c r="O302" s="11">
        <v>109.023</v>
      </c>
      <c r="P302" s="11">
        <v>111.22</v>
      </c>
      <c r="Q302" s="11">
        <v>111.363</v>
      </c>
      <c r="R302" s="11">
        <v>120.776</v>
      </c>
      <c r="S302" s="11">
        <v>122.449</v>
      </c>
      <c r="T302" s="11">
        <v>60.896000000000001</v>
      </c>
      <c r="U302" s="11">
        <v>63.124000000000002</v>
      </c>
      <c r="V302" s="11">
        <v>39.103999999999999</v>
      </c>
      <c r="W302" s="11">
        <v>36.875999999999998</v>
      </c>
      <c r="X302" s="11">
        <v>12.726000000000001</v>
      </c>
      <c r="Y302" s="11">
        <v>11.55</v>
      </c>
      <c r="Z302" s="11">
        <v>36.875999999999998</v>
      </c>
      <c r="AA302" s="11">
        <v>39.103999999999999</v>
      </c>
      <c r="AB302" s="11">
        <v>10.194000000000001</v>
      </c>
      <c r="AC302" s="11">
        <v>10</v>
      </c>
      <c r="AD302" s="11">
        <v>10</v>
      </c>
      <c r="AE302" s="11">
        <v>10</v>
      </c>
      <c r="AF302" s="11">
        <v>10</v>
      </c>
    </row>
    <row r="303" spans="1:32" s="11" customFormat="1" x14ac:dyDescent="0.2">
      <c r="A303" s="11">
        <v>425</v>
      </c>
      <c r="F303" s="11" t="s">
        <v>16414</v>
      </c>
      <c r="G303" s="11" t="s">
        <v>16415</v>
      </c>
      <c r="H303" s="12">
        <v>58.9</v>
      </c>
      <c r="I303" s="11" t="s">
        <v>16407</v>
      </c>
      <c r="L303" s="11">
        <v>26.827999999999999</v>
      </c>
      <c r="M303" s="11">
        <v>27.035</v>
      </c>
      <c r="N303" s="11">
        <v>53.902000000000001</v>
      </c>
      <c r="O303" s="11">
        <v>53.689</v>
      </c>
      <c r="P303" s="11">
        <v>56.067999999999998</v>
      </c>
      <c r="Q303" s="11">
        <v>56.061999999999998</v>
      </c>
      <c r="R303" s="11">
        <v>124.614</v>
      </c>
      <c r="S303" s="11">
        <v>124.733</v>
      </c>
      <c r="T303" s="11">
        <v>68.248999999999995</v>
      </c>
      <c r="U303" s="11">
        <v>67.39</v>
      </c>
      <c r="V303" s="11">
        <v>31.751000000000001</v>
      </c>
      <c r="W303" s="11">
        <v>32.61</v>
      </c>
      <c r="X303" s="11">
        <v>17.736999999999998</v>
      </c>
      <c r="Y303" s="11">
        <v>17.806000000000001</v>
      </c>
      <c r="Z303" s="11">
        <v>32.61</v>
      </c>
      <c r="AA303" s="11">
        <v>31.751000000000001</v>
      </c>
      <c r="AB303" s="11">
        <v>23.988</v>
      </c>
      <c r="AC303" s="11">
        <v>19</v>
      </c>
      <c r="AD303" s="11">
        <v>18</v>
      </c>
      <c r="AE303" s="11">
        <v>18</v>
      </c>
      <c r="AF303" s="11">
        <v>18</v>
      </c>
    </row>
    <row r="304" spans="1:32" s="11" customFormat="1" x14ac:dyDescent="0.2">
      <c r="A304" s="11">
        <v>426</v>
      </c>
      <c r="F304" s="11" t="s">
        <v>16414</v>
      </c>
      <c r="G304" s="11" t="s">
        <v>16415</v>
      </c>
      <c r="H304" s="12">
        <v>57.7</v>
      </c>
      <c r="I304" s="11" t="s">
        <v>16404</v>
      </c>
      <c r="L304" s="11">
        <v>18.468</v>
      </c>
      <c r="M304" s="11">
        <v>17.003</v>
      </c>
      <c r="N304" s="11">
        <v>35.625999999999998</v>
      </c>
      <c r="O304" s="11">
        <v>36.19</v>
      </c>
      <c r="P304" s="11">
        <v>36.515000000000001</v>
      </c>
      <c r="Q304" s="11">
        <v>37.634</v>
      </c>
      <c r="R304" s="11">
        <v>124.334</v>
      </c>
      <c r="S304" s="11">
        <v>125.039</v>
      </c>
      <c r="T304" s="11">
        <v>70.477999999999994</v>
      </c>
      <c r="U304" s="11">
        <v>70.301000000000002</v>
      </c>
      <c r="V304" s="11">
        <v>29.521999999999998</v>
      </c>
      <c r="W304" s="11">
        <v>29.699000000000002</v>
      </c>
      <c r="X304" s="11">
        <v>26.995000000000001</v>
      </c>
      <c r="Y304" s="11">
        <v>15.962</v>
      </c>
      <c r="Z304" s="11">
        <v>29.699000000000002</v>
      </c>
      <c r="AA304" s="11">
        <v>29.521999999999998</v>
      </c>
      <c r="AB304" s="11">
        <v>12.898</v>
      </c>
      <c r="AC304" s="11">
        <v>32</v>
      </c>
      <c r="AD304" s="11">
        <v>30</v>
      </c>
      <c r="AE304" s="11">
        <v>30</v>
      </c>
      <c r="AF304" s="11">
        <v>30</v>
      </c>
    </row>
    <row r="305" spans="1:32" s="11" customFormat="1" x14ac:dyDescent="0.2">
      <c r="A305" s="11">
        <v>427</v>
      </c>
      <c r="F305" s="11" t="s">
        <v>16424</v>
      </c>
      <c r="G305" s="11" t="s">
        <v>16425</v>
      </c>
      <c r="H305" s="12">
        <v>63.7</v>
      </c>
      <c r="I305" s="11" t="s">
        <v>16404</v>
      </c>
      <c r="L305" s="11" t="s">
        <v>16403</v>
      </c>
      <c r="M305" s="11" t="s">
        <v>16403</v>
      </c>
      <c r="N305" s="11" t="s">
        <v>16403</v>
      </c>
      <c r="O305" s="11" t="s">
        <v>16403</v>
      </c>
      <c r="P305" s="11" t="s">
        <v>16403</v>
      </c>
      <c r="Q305" s="11" t="s">
        <v>16403</v>
      </c>
      <c r="R305" s="11" t="s">
        <v>16403</v>
      </c>
      <c r="S305" s="11" t="s">
        <v>16403</v>
      </c>
      <c r="T305" s="11" t="s">
        <v>16403</v>
      </c>
      <c r="U305" s="11" t="s">
        <v>16403</v>
      </c>
      <c r="V305" s="11" t="s">
        <v>16403</v>
      </c>
      <c r="W305" s="11" t="s">
        <v>16403</v>
      </c>
      <c r="X305" s="11" t="s">
        <v>16403</v>
      </c>
      <c r="Y305" s="11" t="s">
        <v>16403</v>
      </c>
      <c r="Z305" s="11" t="s">
        <v>16403</v>
      </c>
      <c r="AA305" s="11" t="s">
        <v>16403</v>
      </c>
      <c r="AB305" s="11" t="s">
        <v>16403</v>
      </c>
      <c r="AC305" s="11" t="s">
        <v>16403</v>
      </c>
      <c r="AD305" s="11" t="s">
        <v>16403</v>
      </c>
      <c r="AE305" s="11" t="s">
        <v>16403</v>
      </c>
      <c r="AF305" s="11" t="s">
        <v>16403</v>
      </c>
    </row>
    <row r="306" spans="1:32" s="11" customFormat="1" x14ac:dyDescent="0.2">
      <c r="A306" s="11">
        <v>428</v>
      </c>
      <c r="F306" s="11" t="s">
        <v>16420</v>
      </c>
      <c r="G306" s="11" t="s">
        <v>16421</v>
      </c>
      <c r="H306" s="12">
        <v>70.3</v>
      </c>
      <c r="I306" s="11" t="s">
        <v>16407</v>
      </c>
      <c r="L306" s="11">
        <v>54.646999999999998</v>
      </c>
      <c r="M306" s="11">
        <v>51.503</v>
      </c>
      <c r="N306" s="11">
        <v>106.843</v>
      </c>
      <c r="O306" s="11">
        <v>105.593</v>
      </c>
      <c r="P306" s="11">
        <v>91.986999999999995</v>
      </c>
      <c r="Q306" s="11">
        <v>91.302999999999997</v>
      </c>
      <c r="R306" s="11">
        <v>103.241</v>
      </c>
      <c r="S306" s="11">
        <v>103.69799999999999</v>
      </c>
      <c r="T306" s="11">
        <v>65.518000000000001</v>
      </c>
      <c r="U306" s="11">
        <v>64.188000000000002</v>
      </c>
      <c r="V306" s="11">
        <v>34.481999999999999</v>
      </c>
      <c r="W306" s="11">
        <v>35.811999999999998</v>
      </c>
      <c r="X306" s="11">
        <v>14.536</v>
      </c>
      <c r="Y306" s="11">
        <v>15.031000000000001</v>
      </c>
      <c r="Z306" s="11">
        <v>35.811999999999998</v>
      </c>
      <c r="AA306" s="11">
        <v>34.481999999999999</v>
      </c>
      <c r="AB306" s="11">
        <v>14.3</v>
      </c>
      <c r="AC306" s="11">
        <v>10</v>
      </c>
      <c r="AD306" s="11">
        <v>10</v>
      </c>
      <c r="AE306" s="11">
        <v>10</v>
      </c>
      <c r="AF306" s="11">
        <v>10</v>
      </c>
    </row>
    <row r="307" spans="1:32" s="11" customFormat="1" x14ac:dyDescent="0.2">
      <c r="A307" s="11">
        <v>429</v>
      </c>
      <c r="F307" s="11" t="s">
        <v>16403</v>
      </c>
      <c r="G307" s="11" t="s">
        <v>16403</v>
      </c>
      <c r="H307" s="12">
        <v>999</v>
      </c>
      <c r="I307" s="11" t="s">
        <v>16403</v>
      </c>
      <c r="L307" s="11">
        <v>38.781999999999996</v>
      </c>
      <c r="M307" s="11">
        <v>43.176000000000002</v>
      </c>
      <c r="N307" s="11">
        <v>81.763000000000005</v>
      </c>
      <c r="O307" s="11">
        <v>81.599999999999994</v>
      </c>
      <c r="P307" s="11">
        <v>76.918000000000006</v>
      </c>
      <c r="Q307" s="11">
        <v>77.450999999999993</v>
      </c>
      <c r="R307" s="11">
        <v>113.474</v>
      </c>
      <c r="S307" s="11">
        <v>113.727</v>
      </c>
      <c r="T307" s="11">
        <v>63.463000000000001</v>
      </c>
      <c r="U307" s="11">
        <v>64</v>
      </c>
      <c r="V307" s="11">
        <v>36.536999999999999</v>
      </c>
      <c r="W307" s="11">
        <v>36</v>
      </c>
      <c r="X307" s="11">
        <v>15.851000000000001</v>
      </c>
      <c r="Y307" s="11">
        <v>11.664</v>
      </c>
      <c r="Z307" s="11">
        <v>36</v>
      </c>
      <c r="AA307" s="11">
        <v>36.536999999999999</v>
      </c>
      <c r="AB307" s="11">
        <v>14.098000000000001</v>
      </c>
      <c r="AC307" s="11">
        <v>17</v>
      </c>
      <c r="AD307" s="11">
        <v>14</v>
      </c>
      <c r="AE307" s="11">
        <v>14</v>
      </c>
      <c r="AF307" s="11">
        <v>14</v>
      </c>
    </row>
    <row r="308" spans="1:32" s="11" customFormat="1" x14ac:dyDescent="0.2">
      <c r="A308" s="11">
        <v>430</v>
      </c>
      <c r="F308" s="11" t="s">
        <v>16420</v>
      </c>
      <c r="G308" s="11" t="s">
        <v>16421</v>
      </c>
      <c r="H308" s="12">
        <v>81.400000000000006</v>
      </c>
      <c r="I308" s="11" t="s">
        <v>16404</v>
      </c>
      <c r="L308" s="11">
        <v>55.970999999999997</v>
      </c>
      <c r="M308" s="11">
        <v>60.085000000000001</v>
      </c>
      <c r="N308" s="11">
        <v>116.39100000000001</v>
      </c>
      <c r="O308" s="11">
        <v>116.40300000000001</v>
      </c>
      <c r="P308" s="11">
        <v>96.218000000000004</v>
      </c>
      <c r="Q308" s="11">
        <v>96.703000000000003</v>
      </c>
      <c r="R308" s="11">
        <v>99.188000000000002</v>
      </c>
      <c r="S308" s="11">
        <v>98.942999999999998</v>
      </c>
      <c r="T308" s="11">
        <v>63.75</v>
      </c>
      <c r="U308" s="11">
        <v>62.639000000000003</v>
      </c>
      <c r="V308" s="11">
        <v>36.25</v>
      </c>
      <c r="W308" s="11">
        <v>37.360999999999997</v>
      </c>
      <c r="X308" s="11">
        <v>13.351000000000001</v>
      </c>
      <c r="Y308" s="11">
        <v>13.228999999999999</v>
      </c>
      <c r="Z308" s="11">
        <v>37.360999999999997</v>
      </c>
      <c r="AA308" s="11">
        <v>36.25</v>
      </c>
      <c r="AB308" s="11">
        <v>8.6199999999999992</v>
      </c>
      <c r="AC308" s="11">
        <v>9</v>
      </c>
      <c r="AD308" s="11">
        <v>10</v>
      </c>
      <c r="AE308" s="11">
        <v>9</v>
      </c>
      <c r="AF308" s="11">
        <v>9</v>
      </c>
    </row>
    <row r="309" spans="1:32" s="11" customFormat="1" x14ac:dyDescent="0.2">
      <c r="A309" s="11">
        <v>431</v>
      </c>
      <c r="F309" s="11" t="s">
        <v>16403</v>
      </c>
      <c r="G309" s="11" t="s">
        <v>16403</v>
      </c>
      <c r="H309" s="12">
        <v>999</v>
      </c>
      <c r="I309" s="11" t="s">
        <v>16403</v>
      </c>
      <c r="L309" s="11">
        <v>41.545000000000002</v>
      </c>
      <c r="M309" s="11">
        <v>40.229999999999997</v>
      </c>
      <c r="N309" s="11">
        <v>82.116</v>
      </c>
      <c r="O309" s="11">
        <v>80.384</v>
      </c>
      <c r="P309" s="11">
        <v>64.123999999999995</v>
      </c>
      <c r="Q309" s="11">
        <v>63.954999999999998</v>
      </c>
      <c r="R309" s="11">
        <v>94.873000000000005</v>
      </c>
      <c r="S309" s="11">
        <v>95.239000000000004</v>
      </c>
      <c r="T309" s="11">
        <v>65.759</v>
      </c>
      <c r="U309" s="11">
        <v>60.988999999999997</v>
      </c>
      <c r="V309" s="11">
        <v>34.241</v>
      </c>
      <c r="W309" s="11">
        <v>39.011000000000003</v>
      </c>
      <c r="X309" s="11">
        <v>15.144</v>
      </c>
      <c r="Y309" s="11">
        <v>12.287000000000001</v>
      </c>
      <c r="Z309" s="11">
        <v>39.011000000000003</v>
      </c>
      <c r="AA309" s="11">
        <v>34.241</v>
      </c>
      <c r="AB309" s="11">
        <v>10.776</v>
      </c>
      <c r="AC309" s="11">
        <v>15</v>
      </c>
      <c r="AD309" s="11">
        <v>15</v>
      </c>
      <c r="AE309" s="11">
        <v>15</v>
      </c>
      <c r="AF309" s="11">
        <v>15</v>
      </c>
    </row>
    <row r="310" spans="1:32" s="11" customFormat="1" x14ac:dyDescent="0.2">
      <c r="A310" s="11">
        <v>432</v>
      </c>
      <c r="F310" s="11" t="s">
        <v>16414</v>
      </c>
      <c r="G310" s="11" t="s">
        <v>16415</v>
      </c>
      <c r="H310" s="12">
        <v>52.6</v>
      </c>
      <c r="I310" s="11" t="s">
        <v>16404</v>
      </c>
      <c r="L310" s="11">
        <v>67.918999999999997</v>
      </c>
      <c r="M310" s="11">
        <v>65.198999999999998</v>
      </c>
      <c r="N310" s="11">
        <v>133.55000000000001</v>
      </c>
      <c r="O310" s="11">
        <v>132.577</v>
      </c>
      <c r="P310" s="11">
        <v>112.947</v>
      </c>
      <c r="Q310" s="11">
        <v>112.611</v>
      </c>
      <c r="R310" s="11">
        <v>100.867</v>
      </c>
      <c r="S310" s="11">
        <v>101.187</v>
      </c>
      <c r="T310" s="11">
        <v>62.475000000000001</v>
      </c>
      <c r="U310" s="11">
        <v>62.765999999999998</v>
      </c>
      <c r="V310" s="11">
        <v>37.524999999999999</v>
      </c>
      <c r="W310" s="11">
        <v>37.234000000000002</v>
      </c>
      <c r="X310" s="11">
        <v>11.619</v>
      </c>
      <c r="Y310" s="11">
        <v>13.462999999999999</v>
      </c>
      <c r="Z310" s="11">
        <v>37.234000000000002</v>
      </c>
      <c r="AA310" s="11">
        <v>37.524999999999999</v>
      </c>
      <c r="AB310" s="11">
        <v>19.704000000000001</v>
      </c>
      <c r="AC310" s="11">
        <v>10</v>
      </c>
      <c r="AD310" s="11">
        <v>6</v>
      </c>
      <c r="AE310" s="11">
        <v>6</v>
      </c>
      <c r="AF310" s="11">
        <v>6</v>
      </c>
    </row>
    <row r="311" spans="1:32" s="11" customFormat="1" x14ac:dyDescent="0.2">
      <c r="A311" s="11">
        <v>433</v>
      </c>
      <c r="F311" s="11" t="s">
        <v>16424</v>
      </c>
      <c r="G311" s="11" t="s">
        <v>16425</v>
      </c>
      <c r="H311" s="12">
        <v>42.3</v>
      </c>
      <c r="I311" s="11" t="s">
        <v>16404</v>
      </c>
      <c r="L311" s="11">
        <v>66.325999999999993</v>
      </c>
      <c r="M311" s="11">
        <v>66.456000000000003</v>
      </c>
      <c r="N311" s="11">
        <v>133.97900000000001</v>
      </c>
      <c r="O311" s="11">
        <v>132.28800000000001</v>
      </c>
      <c r="P311" s="11">
        <v>117.53100000000001</v>
      </c>
      <c r="Q311" s="11">
        <v>115.39100000000001</v>
      </c>
      <c r="R311" s="11">
        <v>105.16500000000001</v>
      </c>
      <c r="S311" s="11">
        <v>103.714</v>
      </c>
      <c r="T311" s="11">
        <v>61.939</v>
      </c>
      <c r="U311" s="11">
        <v>61.834000000000003</v>
      </c>
      <c r="V311" s="11">
        <v>38.061</v>
      </c>
      <c r="W311" s="11">
        <v>38.165999999999997</v>
      </c>
      <c r="X311" s="11">
        <v>12.397</v>
      </c>
      <c r="Y311" s="11">
        <v>11.696999999999999</v>
      </c>
      <c r="Z311" s="11">
        <v>38.165999999999997</v>
      </c>
      <c r="AA311" s="11">
        <v>38.061</v>
      </c>
      <c r="AB311" s="11">
        <v>10.086</v>
      </c>
      <c r="AC311" s="11">
        <v>7</v>
      </c>
      <c r="AD311" s="11">
        <v>8</v>
      </c>
      <c r="AE311" s="11">
        <v>7</v>
      </c>
      <c r="AF311" s="11">
        <v>7</v>
      </c>
    </row>
    <row r="312" spans="1:32" s="11" customFormat="1" x14ac:dyDescent="0.2">
      <c r="A312" s="11">
        <v>434</v>
      </c>
      <c r="F312" s="11" t="s">
        <v>16403</v>
      </c>
      <c r="G312" s="11" t="s">
        <v>16403</v>
      </c>
      <c r="H312" s="12">
        <v>999</v>
      </c>
      <c r="I312" s="11" t="s">
        <v>16403</v>
      </c>
      <c r="L312" s="11">
        <v>38.813000000000002</v>
      </c>
      <c r="M312" s="11">
        <v>31.201000000000001</v>
      </c>
      <c r="N312" s="11">
        <v>69.302999999999997</v>
      </c>
      <c r="O312" s="11">
        <v>70.457999999999998</v>
      </c>
      <c r="P312" s="11">
        <v>48.921999999999997</v>
      </c>
      <c r="Q312" s="11">
        <v>49.552</v>
      </c>
      <c r="R312" s="11">
        <v>83.168999999999997</v>
      </c>
      <c r="S312" s="11">
        <v>83.191999999999993</v>
      </c>
      <c r="T312" s="11">
        <v>71.162000000000006</v>
      </c>
      <c r="U312" s="11">
        <v>66.52</v>
      </c>
      <c r="V312" s="11">
        <v>28.838000000000001</v>
      </c>
      <c r="W312" s="11">
        <v>33.479999999999997</v>
      </c>
      <c r="X312" s="11">
        <v>21.626000000000001</v>
      </c>
      <c r="Y312" s="11">
        <v>15.601000000000001</v>
      </c>
      <c r="Z312" s="11">
        <v>33.479999999999997</v>
      </c>
      <c r="AA312" s="11">
        <v>28.838000000000001</v>
      </c>
      <c r="AB312" s="11">
        <v>10.882</v>
      </c>
      <c r="AC312" s="11">
        <v>15</v>
      </c>
      <c r="AD312" s="11">
        <v>15</v>
      </c>
      <c r="AE312" s="11">
        <v>15</v>
      </c>
      <c r="AF312" s="11">
        <v>15</v>
      </c>
    </row>
    <row r="313" spans="1:32" s="11" customFormat="1" x14ac:dyDescent="0.2">
      <c r="A313" s="11">
        <v>435</v>
      </c>
      <c r="F313" s="11" t="s">
        <v>16403</v>
      </c>
      <c r="G313" s="11" t="s">
        <v>16403</v>
      </c>
      <c r="H313" s="12">
        <v>999</v>
      </c>
      <c r="I313" s="11" t="s">
        <v>16403</v>
      </c>
      <c r="L313" s="11">
        <v>57.276000000000003</v>
      </c>
      <c r="M313" s="11">
        <v>49.972000000000001</v>
      </c>
      <c r="N313" s="11">
        <v>108.04900000000001</v>
      </c>
      <c r="O313" s="11">
        <v>107.379</v>
      </c>
      <c r="P313" s="11">
        <v>105.971</v>
      </c>
      <c r="Q313" s="11">
        <v>104.932</v>
      </c>
      <c r="R313" s="11">
        <v>116.57</v>
      </c>
      <c r="S313" s="11">
        <v>117.544</v>
      </c>
      <c r="T313" s="11">
        <v>64.352999999999994</v>
      </c>
      <c r="U313" s="11">
        <v>62.249000000000002</v>
      </c>
      <c r="V313" s="11">
        <v>35.646999999999998</v>
      </c>
      <c r="W313" s="11">
        <v>37.752000000000002</v>
      </c>
      <c r="X313" s="11">
        <v>14.407</v>
      </c>
      <c r="Y313" s="11">
        <v>12.561</v>
      </c>
      <c r="Z313" s="11">
        <v>37.752000000000002</v>
      </c>
      <c r="AA313" s="11">
        <v>35.646999999999998</v>
      </c>
      <c r="AB313" s="11">
        <v>17.152000000000001</v>
      </c>
      <c r="AC313" s="11">
        <v>11</v>
      </c>
      <c r="AD313" s="11">
        <v>10</v>
      </c>
      <c r="AE313" s="11">
        <v>10</v>
      </c>
      <c r="AF313" s="11">
        <v>10</v>
      </c>
    </row>
    <row r="314" spans="1:32" s="11" customFormat="1" x14ac:dyDescent="0.2">
      <c r="A314" s="11">
        <v>436</v>
      </c>
      <c r="F314" s="11" t="s">
        <v>16420</v>
      </c>
      <c r="G314" s="11" t="s">
        <v>16421</v>
      </c>
      <c r="H314" s="12">
        <v>72.8</v>
      </c>
      <c r="I314" s="11" t="s">
        <v>16404</v>
      </c>
      <c r="L314" s="11">
        <v>54.468000000000004</v>
      </c>
      <c r="M314" s="11">
        <v>55.85</v>
      </c>
      <c r="N314" s="11">
        <v>110.313</v>
      </c>
      <c r="O314" s="11">
        <v>110.77200000000001</v>
      </c>
      <c r="P314" s="11">
        <v>92.563999999999993</v>
      </c>
      <c r="Q314" s="11">
        <v>92.207999999999998</v>
      </c>
      <c r="R314" s="11">
        <v>100.432</v>
      </c>
      <c r="S314" s="11">
        <v>100.11499999999999</v>
      </c>
      <c r="T314" s="11">
        <v>64.429000000000002</v>
      </c>
      <c r="U314" s="11">
        <v>62.411999999999999</v>
      </c>
      <c r="V314" s="11">
        <v>35.570999999999998</v>
      </c>
      <c r="W314" s="11">
        <v>37.588000000000001</v>
      </c>
      <c r="X314" s="11">
        <v>13.523999999999999</v>
      </c>
      <c r="Y314" s="11">
        <v>13.193</v>
      </c>
      <c r="Z314" s="11">
        <v>37.588000000000001</v>
      </c>
      <c r="AA314" s="11">
        <v>35.570999999999998</v>
      </c>
      <c r="AB314" s="11">
        <v>17.399999999999999</v>
      </c>
      <c r="AC314" s="11">
        <v>10</v>
      </c>
      <c r="AD314" s="11">
        <v>10</v>
      </c>
      <c r="AE314" s="11">
        <v>10</v>
      </c>
      <c r="AF314" s="11">
        <v>10</v>
      </c>
    </row>
    <row r="315" spans="1:32" s="11" customFormat="1" x14ac:dyDescent="0.2">
      <c r="A315" s="11">
        <v>437</v>
      </c>
      <c r="F315" s="11" t="s">
        <v>16424</v>
      </c>
      <c r="G315" s="11" t="s">
        <v>16425</v>
      </c>
      <c r="H315" s="12">
        <v>72.400000000000006</v>
      </c>
      <c r="I315" s="11" t="s">
        <v>16407</v>
      </c>
      <c r="L315" s="11">
        <v>43.554000000000002</v>
      </c>
      <c r="M315" s="11">
        <v>40.975999999999999</v>
      </c>
      <c r="N315" s="11">
        <v>84.456000000000003</v>
      </c>
      <c r="O315" s="11">
        <v>84.683999999999997</v>
      </c>
      <c r="P315" s="11">
        <v>70.335999999999999</v>
      </c>
      <c r="Q315" s="11">
        <v>70.391000000000005</v>
      </c>
      <c r="R315" s="11">
        <v>99.903999999999996</v>
      </c>
      <c r="S315" s="11">
        <v>99.483999999999995</v>
      </c>
      <c r="T315" s="11">
        <v>64.912999999999997</v>
      </c>
      <c r="U315" s="11">
        <v>66.600999999999999</v>
      </c>
      <c r="V315" s="11">
        <v>35.087000000000003</v>
      </c>
      <c r="W315" s="11">
        <v>33.399000000000001</v>
      </c>
      <c r="X315" s="11">
        <v>15.888</v>
      </c>
      <c r="Y315" s="11">
        <v>16.254999999999999</v>
      </c>
      <c r="Z315" s="11">
        <v>33.399000000000001</v>
      </c>
      <c r="AA315" s="11">
        <v>35.087000000000003</v>
      </c>
      <c r="AB315" s="11">
        <v>12.172000000000001</v>
      </c>
      <c r="AC315" s="11">
        <v>12</v>
      </c>
      <c r="AD315" s="11">
        <v>11</v>
      </c>
      <c r="AE315" s="11">
        <v>11</v>
      </c>
      <c r="AF315" s="11">
        <v>11</v>
      </c>
    </row>
    <row r="316" spans="1:32" s="11" customFormat="1" x14ac:dyDescent="0.2">
      <c r="A316" s="11">
        <v>438</v>
      </c>
      <c r="F316" s="11" t="s">
        <v>16414</v>
      </c>
      <c r="G316" s="11" t="s">
        <v>16415</v>
      </c>
      <c r="H316" s="12">
        <v>65.2</v>
      </c>
      <c r="I316" s="11" t="s">
        <v>16404</v>
      </c>
      <c r="L316" s="11">
        <v>47.317</v>
      </c>
      <c r="M316" s="11">
        <v>44.375999999999998</v>
      </c>
      <c r="N316" s="11">
        <v>91.926000000000002</v>
      </c>
      <c r="O316" s="11">
        <v>91.700999999999993</v>
      </c>
      <c r="P316" s="11">
        <v>92.912999999999997</v>
      </c>
      <c r="Q316" s="11">
        <v>92.65</v>
      </c>
      <c r="R316" s="11">
        <v>121.367</v>
      </c>
      <c r="S316" s="11">
        <v>121.01900000000001</v>
      </c>
      <c r="T316" s="11">
        <v>62.969000000000001</v>
      </c>
      <c r="U316" s="11">
        <v>61.573999999999998</v>
      </c>
      <c r="V316" s="11">
        <v>37.030999999999999</v>
      </c>
      <c r="W316" s="11">
        <v>38.426000000000002</v>
      </c>
      <c r="X316" s="11">
        <v>12.308</v>
      </c>
      <c r="Y316" s="11">
        <v>12.46</v>
      </c>
      <c r="Z316" s="11">
        <v>38.426000000000002</v>
      </c>
      <c r="AA316" s="11">
        <v>37.030999999999999</v>
      </c>
      <c r="AB316" s="11">
        <v>9.9719999999999995</v>
      </c>
      <c r="AC316" s="11">
        <v>11</v>
      </c>
      <c r="AD316" s="11">
        <v>14</v>
      </c>
      <c r="AE316" s="11">
        <v>11</v>
      </c>
      <c r="AF316" s="11">
        <v>11</v>
      </c>
    </row>
    <row r="317" spans="1:32" s="11" customFormat="1" x14ac:dyDescent="0.2">
      <c r="A317" s="11">
        <v>439</v>
      </c>
      <c r="F317" s="11" t="s">
        <v>16414</v>
      </c>
      <c r="G317" s="11" t="s">
        <v>16415</v>
      </c>
      <c r="H317" s="12">
        <v>61.2</v>
      </c>
      <c r="I317" s="11" t="s">
        <v>16404</v>
      </c>
      <c r="L317" s="11">
        <v>39.972999999999999</v>
      </c>
      <c r="M317" s="11">
        <v>48.183999999999997</v>
      </c>
      <c r="N317" s="11">
        <v>89.102000000000004</v>
      </c>
      <c r="O317" s="11">
        <v>89.596000000000004</v>
      </c>
      <c r="P317" s="11">
        <v>100.52500000000001</v>
      </c>
      <c r="Q317" s="11">
        <v>100.459</v>
      </c>
      <c r="R317" s="11">
        <v>133.43199999999999</v>
      </c>
      <c r="S317" s="11">
        <v>134.047</v>
      </c>
      <c r="T317" s="11">
        <v>64.876999999999995</v>
      </c>
      <c r="U317" s="11">
        <v>61.063000000000002</v>
      </c>
      <c r="V317" s="11">
        <v>35.122999999999998</v>
      </c>
      <c r="W317" s="11">
        <v>38.936999999999998</v>
      </c>
      <c r="X317" s="11">
        <v>13.361000000000001</v>
      </c>
      <c r="Y317" s="11">
        <v>13.189</v>
      </c>
      <c r="Z317" s="11">
        <v>38.936999999999998</v>
      </c>
      <c r="AA317" s="11">
        <v>35.122999999999998</v>
      </c>
      <c r="AB317" s="11">
        <v>16.994</v>
      </c>
      <c r="AC317" s="11">
        <v>13</v>
      </c>
      <c r="AD317" s="11">
        <v>13</v>
      </c>
      <c r="AE317" s="11">
        <v>13</v>
      </c>
      <c r="AF317" s="11">
        <v>13</v>
      </c>
    </row>
    <row r="318" spans="1:32" s="11" customFormat="1" x14ac:dyDescent="0.2">
      <c r="A318" s="11">
        <v>440</v>
      </c>
      <c r="F318" s="11" t="s">
        <v>16403</v>
      </c>
      <c r="G318" s="11" t="s">
        <v>16403</v>
      </c>
      <c r="H318" s="12">
        <v>999</v>
      </c>
      <c r="I318" s="11" t="s">
        <v>16403</v>
      </c>
      <c r="L318" s="11" t="s">
        <v>16403</v>
      </c>
      <c r="M318" s="11" t="s">
        <v>16403</v>
      </c>
      <c r="N318" s="11" t="s">
        <v>16403</v>
      </c>
      <c r="O318" s="11" t="s">
        <v>16403</v>
      </c>
      <c r="P318" s="11" t="s">
        <v>16403</v>
      </c>
      <c r="Q318" s="11" t="s">
        <v>16403</v>
      </c>
      <c r="R318" s="11" t="s">
        <v>16403</v>
      </c>
      <c r="S318" s="11" t="s">
        <v>16403</v>
      </c>
      <c r="T318" s="11" t="s">
        <v>16403</v>
      </c>
      <c r="U318" s="11" t="s">
        <v>16403</v>
      </c>
      <c r="V318" s="11" t="s">
        <v>16403</v>
      </c>
      <c r="W318" s="11" t="s">
        <v>16403</v>
      </c>
      <c r="X318" s="11" t="s">
        <v>16403</v>
      </c>
      <c r="Y318" s="11" t="s">
        <v>16403</v>
      </c>
      <c r="Z318" s="11" t="s">
        <v>16403</v>
      </c>
      <c r="AA318" s="11" t="s">
        <v>16403</v>
      </c>
      <c r="AB318" s="11" t="s">
        <v>16403</v>
      </c>
      <c r="AC318" s="11" t="s">
        <v>16403</v>
      </c>
      <c r="AD318" s="11" t="s">
        <v>16403</v>
      </c>
      <c r="AE318" s="11" t="s">
        <v>16403</v>
      </c>
      <c r="AF318" s="11" t="s">
        <v>16403</v>
      </c>
    </row>
    <row r="319" spans="1:32" s="11" customFormat="1" x14ac:dyDescent="0.2">
      <c r="A319" s="11">
        <v>441</v>
      </c>
      <c r="F319" s="11" t="s">
        <v>16403</v>
      </c>
      <c r="G319" s="11" t="s">
        <v>16403</v>
      </c>
      <c r="H319" s="12">
        <v>999</v>
      </c>
      <c r="I319" s="11" t="s">
        <v>16403</v>
      </c>
      <c r="L319" s="11">
        <v>45.107999999999997</v>
      </c>
      <c r="M319" s="11">
        <v>51.755000000000003</v>
      </c>
      <c r="N319" s="11">
        <v>96.358000000000004</v>
      </c>
      <c r="O319" s="11">
        <v>97.106999999999999</v>
      </c>
      <c r="P319" s="11">
        <v>77.281999999999996</v>
      </c>
      <c r="Q319" s="11">
        <v>78.403999999999996</v>
      </c>
      <c r="R319" s="11">
        <v>96.438999999999993</v>
      </c>
      <c r="S319" s="11">
        <v>96.483999999999995</v>
      </c>
      <c r="T319" s="11">
        <v>64.646000000000001</v>
      </c>
      <c r="U319" s="11">
        <v>63.438000000000002</v>
      </c>
      <c r="V319" s="11">
        <v>35.353999999999999</v>
      </c>
      <c r="W319" s="11">
        <v>36.561999999999998</v>
      </c>
      <c r="X319" s="11">
        <v>14.525</v>
      </c>
      <c r="Y319" s="11">
        <v>13.586</v>
      </c>
      <c r="Z319" s="11">
        <v>36.561999999999998</v>
      </c>
      <c r="AA319" s="11">
        <v>35.353999999999999</v>
      </c>
      <c r="AB319" s="11">
        <v>12.86</v>
      </c>
      <c r="AC319" s="11">
        <v>14</v>
      </c>
      <c r="AD319" s="11">
        <v>13</v>
      </c>
      <c r="AE319" s="11">
        <v>13</v>
      </c>
      <c r="AF319" s="11">
        <v>13</v>
      </c>
    </row>
    <row r="320" spans="1:32" s="11" customFormat="1" x14ac:dyDescent="0.2">
      <c r="A320" s="11">
        <v>442</v>
      </c>
      <c r="F320" s="11" t="s">
        <v>16424</v>
      </c>
      <c r="G320" s="11" t="s">
        <v>16425</v>
      </c>
      <c r="H320" s="12">
        <v>62.6</v>
      </c>
      <c r="I320" s="11" t="s">
        <v>16407</v>
      </c>
      <c r="L320" s="11">
        <v>53.731999999999999</v>
      </c>
      <c r="M320" s="11">
        <v>48.307000000000002</v>
      </c>
      <c r="N320" s="11">
        <v>102.09399999999999</v>
      </c>
      <c r="O320" s="11">
        <v>101.86</v>
      </c>
      <c r="P320" s="11">
        <v>97.727999999999994</v>
      </c>
      <c r="Q320" s="11">
        <v>97.616</v>
      </c>
      <c r="R320" s="11">
        <v>114.218</v>
      </c>
      <c r="S320" s="11">
        <v>113.998</v>
      </c>
      <c r="T320" s="11">
        <v>65.427000000000007</v>
      </c>
      <c r="U320" s="11">
        <v>60.929000000000002</v>
      </c>
      <c r="V320" s="11">
        <v>34.573</v>
      </c>
      <c r="W320" s="11">
        <v>39.070999999999998</v>
      </c>
      <c r="X320" s="11">
        <v>14.430999999999999</v>
      </c>
      <c r="Y320" s="11">
        <v>12.516999999999999</v>
      </c>
      <c r="Z320" s="11">
        <v>39.070999999999998</v>
      </c>
      <c r="AA320" s="11">
        <v>34.573</v>
      </c>
      <c r="AB320" s="11">
        <v>10.8</v>
      </c>
      <c r="AC320" s="11">
        <v>10</v>
      </c>
      <c r="AD320" s="11">
        <v>11</v>
      </c>
      <c r="AE320" s="11">
        <v>10</v>
      </c>
      <c r="AF320" s="11">
        <v>10</v>
      </c>
    </row>
    <row r="321" spans="1:32" s="11" customFormat="1" x14ac:dyDescent="0.2">
      <c r="A321" s="11">
        <v>443</v>
      </c>
      <c r="F321" s="11" t="s">
        <v>16414</v>
      </c>
      <c r="G321" s="11" t="s">
        <v>16415</v>
      </c>
      <c r="H321" s="12">
        <v>65.599999999999994</v>
      </c>
      <c r="I321" s="11" t="s">
        <v>16404</v>
      </c>
      <c r="L321" s="11">
        <v>64.460999999999999</v>
      </c>
      <c r="M321" s="11">
        <v>73.010000000000005</v>
      </c>
      <c r="N321" s="11">
        <v>138.18299999999999</v>
      </c>
      <c r="O321" s="11">
        <v>137.70599999999999</v>
      </c>
      <c r="P321" s="11">
        <v>118.751</v>
      </c>
      <c r="Q321" s="11">
        <v>118.38800000000001</v>
      </c>
      <c r="R321" s="11">
        <v>102.9</v>
      </c>
      <c r="S321" s="11">
        <v>102.895</v>
      </c>
      <c r="T321" s="11">
        <v>63.587000000000003</v>
      </c>
      <c r="U321" s="11">
        <v>62.851999999999997</v>
      </c>
      <c r="V321" s="11">
        <v>36.412999999999997</v>
      </c>
      <c r="W321" s="11">
        <v>37.148000000000003</v>
      </c>
      <c r="X321" s="11">
        <v>12.513</v>
      </c>
      <c r="Y321" s="11">
        <v>13.769</v>
      </c>
      <c r="Z321" s="11">
        <v>37.148000000000003</v>
      </c>
      <c r="AA321" s="11">
        <v>36.412999999999997</v>
      </c>
      <c r="AB321" s="11">
        <v>11.444000000000001</v>
      </c>
      <c r="AC321" s="11">
        <v>10</v>
      </c>
      <c r="AD321" s="11">
        <v>7</v>
      </c>
      <c r="AE321" s="11">
        <v>7</v>
      </c>
      <c r="AF321" s="11">
        <v>7</v>
      </c>
    </row>
    <row r="322" spans="1:32" s="11" customFormat="1" x14ac:dyDescent="0.2">
      <c r="A322" s="11">
        <v>444</v>
      </c>
      <c r="F322" s="11" t="s">
        <v>16403</v>
      </c>
      <c r="G322" s="11" t="s">
        <v>16403</v>
      </c>
      <c r="H322" s="12">
        <v>999</v>
      </c>
      <c r="I322" s="11" t="s">
        <v>16403</v>
      </c>
      <c r="L322" s="11">
        <v>63.942</v>
      </c>
      <c r="M322" s="11">
        <v>61.444000000000003</v>
      </c>
      <c r="N322" s="11">
        <v>126.962</v>
      </c>
      <c r="O322" s="11">
        <v>124.774</v>
      </c>
      <c r="P322" s="11">
        <v>128.83799999999999</v>
      </c>
      <c r="Q322" s="11">
        <v>129.99199999999999</v>
      </c>
      <c r="R322" s="11">
        <v>122.255</v>
      </c>
      <c r="S322" s="11">
        <v>124.973</v>
      </c>
      <c r="T322" s="11">
        <v>59.137999999999998</v>
      </c>
      <c r="U322" s="11">
        <v>61.354999999999997</v>
      </c>
      <c r="V322" s="11">
        <v>40.862000000000002</v>
      </c>
      <c r="W322" s="11">
        <v>38.645000000000003</v>
      </c>
      <c r="X322" s="11">
        <v>10.420999999999999</v>
      </c>
      <c r="Y322" s="11">
        <v>11.547000000000001</v>
      </c>
      <c r="Z322" s="11">
        <v>38.645000000000003</v>
      </c>
      <c r="AA322" s="11">
        <v>40.862000000000002</v>
      </c>
      <c r="AB322" s="11">
        <v>13.648</v>
      </c>
      <c r="AC322" s="11">
        <v>7</v>
      </c>
      <c r="AD322" s="11">
        <v>10</v>
      </c>
      <c r="AE322" s="11">
        <v>7</v>
      </c>
      <c r="AF322" s="11">
        <v>7</v>
      </c>
    </row>
    <row r="323" spans="1:32" s="11" customFormat="1" x14ac:dyDescent="0.2">
      <c r="A323" s="11">
        <v>446</v>
      </c>
      <c r="F323" s="11" t="s">
        <v>16403</v>
      </c>
      <c r="G323" s="11" t="s">
        <v>16403</v>
      </c>
      <c r="H323" s="12">
        <v>999</v>
      </c>
      <c r="I323" s="11" t="s">
        <v>16403</v>
      </c>
      <c r="L323" s="11">
        <v>39.267000000000003</v>
      </c>
      <c r="M323" s="11">
        <v>46.362000000000002</v>
      </c>
      <c r="N323" s="11">
        <v>84.313000000000002</v>
      </c>
      <c r="O323" s="11">
        <v>85.275000000000006</v>
      </c>
      <c r="P323" s="11">
        <v>72.948999999999998</v>
      </c>
      <c r="Q323" s="11">
        <v>74.326999999999998</v>
      </c>
      <c r="R323" s="11">
        <v>103.136</v>
      </c>
      <c r="S323" s="11">
        <v>103.77800000000001</v>
      </c>
      <c r="T323" s="11">
        <v>63.615000000000002</v>
      </c>
      <c r="U323" s="11">
        <v>64.796000000000006</v>
      </c>
      <c r="V323" s="11">
        <v>36.384999999999998</v>
      </c>
      <c r="W323" s="11">
        <v>35.204000000000001</v>
      </c>
      <c r="X323" s="11">
        <v>15.217000000000001</v>
      </c>
      <c r="Y323" s="11">
        <v>13.763999999999999</v>
      </c>
      <c r="Z323" s="11">
        <v>35.204000000000001</v>
      </c>
      <c r="AA323" s="11">
        <v>36.384999999999998</v>
      </c>
      <c r="AB323" s="11">
        <v>9.2379999999999995</v>
      </c>
      <c r="AC323" s="11">
        <v>12</v>
      </c>
      <c r="AD323" s="11">
        <v>14</v>
      </c>
      <c r="AE323" s="11">
        <v>12</v>
      </c>
      <c r="AF323" s="11">
        <v>12</v>
      </c>
    </row>
    <row r="324" spans="1:32" s="11" customFormat="1" x14ac:dyDescent="0.2">
      <c r="A324" s="11">
        <v>447</v>
      </c>
      <c r="F324" s="11" t="s">
        <v>16403</v>
      </c>
      <c r="G324" s="11" t="s">
        <v>16403</v>
      </c>
      <c r="H324" s="12">
        <v>999</v>
      </c>
      <c r="I324" s="11" t="s">
        <v>16403</v>
      </c>
      <c r="L324" s="11">
        <v>67.888000000000005</v>
      </c>
      <c r="M324" s="11">
        <v>66.611999999999995</v>
      </c>
      <c r="N324" s="11">
        <v>135.178</v>
      </c>
      <c r="O324" s="11">
        <v>133.94499999999999</v>
      </c>
      <c r="P324" s="11">
        <v>130.88999999999999</v>
      </c>
      <c r="Q324" s="11">
        <v>130.42099999999999</v>
      </c>
      <c r="R324" s="11">
        <v>115.873</v>
      </c>
      <c r="S324" s="11">
        <v>116.774</v>
      </c>
      <c r="T324" s="11">
        <v>61.460999999999999</v>
      </c>
      <c r="U324" s="11">
        <v>60.271999999999998</v>
      </c>
      <c r="V324" s="11">
        <v>38.539000000000001</v>
      </c>
      <c r="W324" s="11">
        <v>39.728000000000002</v>
      </c>
      <c r="X324" s="11">
        <v>11.018000000000001</v>
      </c>
      <c r="Y324" s="11">
        <v>10.808999999999999</v>
      </c>
      <c r="Z324" s="11">
        <v>39.728000000000002</v>
      </c>
      <c r="AA324" s="11">
        <v>38.539000000000001</v>
      </c>
      <c r="AB324" s="11">
        <v>11.992000000000001</v>
      </c>
      <c r="AC324" s="11">
        <v>10</v>
      </c>
      <c r="AD324" s="11">
        <v>9</v>
      </c>
      <c r="AE324" s="11">
        <v>9</v>
      </c>
      <c r="AF324" s="11">
        <v>9</v>
      </c>
    </row>
    <row r="325" spans="1:32" s="11" customFormat="1" x14ac:dyDescent="0.2">
      <c r="A325" s="11">
        <v>448</v>
      </c>
      <c r="F325" s="11" t="s">
        <v>16438</v>
      </c>
      <c r="G325" s="11" t="s">
        <v>16439</v>
      </c>
      <c r="H325" s="12">
        <v>71.7</v>
      </c>
      <c r="I325" s="11" t="s">
        <v>16407</v>
      </c>
      <c r="L325" s="11">
        <v>42.634</v>
      </c>
      <c r="M325" s="11">
        <v>46.960999999999999</v>
      </c>
      <c r="N325" s="11">
        <v>89.674999999999997</v>
      </c>
      <c r="O325" s="11">
        <v>90.144000000000005</v>
      </c>
      <c r="P325" s="11">
        <v>56.418999999999997</v>
      </c>
      <c r="Q325" s="11">
        <v>56.996000000000002</v>
      </c>
      <c r="R325" s="11">
        <v>75.308999999999997</v>
      </c>
      <c r="S325" s="11">
        <v>75.316000000000003</v>
      </c>
      <c r="T325" s="11">
        <v>66.936000000000007</v>
      </c>
      <c r="U325" s="11">
        <v>67.510999999999996</v>
      </c>
      <c r="V325" s="11">
        <v>33.064</v>
      </c>
      <c r="W325" s="11">
        <v>32.488999999999997</v>
      </c>
      <c r="X325" s="11">
        <v>17.747</v>
      </c>
      <c r="Y325" s="11">
        <v>16.847999999999999</v>
      </c>
      <c r="Z325" s="11">
        <v>32.488999999999997</v>
      </c>
      <c r="AA325" s="11">
        <v>33.064</v>
      </c>
      <c r="AB325" s="11">
        <v>11.798</v>
      </c>
      <c r="AC325" s="11">
        <v>14</v>
      </c>
      <c r="AD325" s="11">
        <v>11</v>
      </c>
      <c r="AE325" s="11">
        <v>11</v>
      </c>
      <c r="AF325" s="11">
        <v>11</v>
      </c>
    </row>
    <row r="326" spans="1:32" s="11" customFormat="1" x14ac:dyDescent="0.2">
      <c r="A326" s="11">
        <v>449</v>
      </c>
      <c r="F326" s="11" t="s">
        <v>16403</v>
      </c>
      <c r="G326" s="11" t="s">
        <v>16403</v>
      </c>
      <c r="H326" s="12">
        <v>999</v>
      </c>
      <c r="I326" s="11" t="s">
        <v>16403</v>
      </c>
      <c r="L326" s="11">
        <v>69.613</v>
      </c>
      <c r="M326" s="11">
        <v>69.789000000000001</v>
      </c>
      <c r="N326" s="11">
        <v>138.79499999999999</v>
      </c>
      <c r="O326" s="11">
        <v>139.958</v>
      </c>
      <c r="P326" s="11">
        <v>132.16300000000001</v>
      </c>
      <c r="Q326" s="11">
        <v>132.346</v>
      </c>
      <c r="R326" s="11">
        <v>113.902</v>
      </c>
      <c r="S326" s="11">
        <v>113.05800000000001</v>
      </c>
      <c r="T326" s="11">
        <v>61.896999999999998</v>
      </c>
      <c r="U326" s="11">
        <v>60.533000000000001</v>
      </c>
      <c r="V326" s="11">
        <v>38.103000000000002</v>
      </c>
      <c r="W326" s="11">
        <v>39.466999999999999</v>
      </c>
      <c r="X326" s="11">
        <v>11.143000000000001</v>
      </c>
      <c r="Y326" s="11">
        <v>11.433</v>
      </c>
      <c r="Z326" s="11">
        <v>39.466999999999999</v>
      </c>
      <c r="AA326" s="11">
        <v>38.103000000000002</v>
      </c>
      <c r="AB326" s="11">
        <v>7.49</v>
      </c>
      <c r="AC326" s="11">
        <v>10</v>
      </c>
      <c r="AD326" s="11">
        <v>7</v>
      </c>
      <c r="AE326" s="11">
        <v>7</v>
      </c>
      <c r="AF326" s="11">
        <v>7</v>
      </c>
    </row>
    <row r="327" spans="1:32" s="11" customFormat="1" x14ac:dyDescent="0.2">
      <c r="A327" s="11">
        <v>450</v>
      </c>
      <c r="F327" s="11" t="s">
        <v>16420</v>
      </c>
      <c r="G327" s="11" t="s">
        <v>16421</v>
      </c>
      <c r="H327" s="12">
        <v>67.7</v>
      </c>
      <c r="I327" s="11" t="s">
        <v>16404</v>
      </c>
      <c r="L327" s="11">
        <v>63.372999999999998</v>
      </c>
      <c r="M327" s="11">
        <v>58.619</v>
      </c>
      <c r="N327" s="11">
        <v>121.89100000000001</v>
      </c>
      <c r="O327" s="11">
        <v>121.72499999999999</v>
      </c>
      <c r="P327" s="11">
        <v>92.066000000000003</v>
      </c>
      <c r="Q327" s="11">
        <v>93.070999999999998</v>
      </c>
      <c r="R327" s="11">
        <v>90.177000000000007</v>
      </c>
      <c r="S327" s="11">
        <v>91.004999999999995</v>
      </c>
      <c r="T327" s="11">
        <v>64.412999999999997</v>
      </c>
      <c r="U327" s="11">
        <v>63.365000000000002</v>
      </c>
      <c r="V327" s="11">
        <v>35.587000000000003</v>
      </c>
      <c r="W327" s="11">
        <v>36.634999999999998</v>
      </c>
      <c r="X327" s="11">
        <v>13.157</v>
      </c>
      <c r="Y327" s="11">
        <v>15.446</v>
      </c>
      <c r="Z327" s="11">
        <v>36.634999999999998</v>
      </c>
      <c r="AA327" s="11">
        <v>35.587000000000003</v>
      </c>
      <c r="AB327" s="11">
        <v>11.91</v>
      </c>
      <c r="AC327" s="11">
        <v>10</v>
      </c>
      <c r="AD327" s="11">
        <v>8</v>
      </c>
      <c r="AE327" s="11">
        <v>8</v>
      </c>
      <c r="AF327" s="11">
        <v>8</v>
      </c>
    </row>
    <row r="328" spans="1:32" s="11" customFormat="1" x14ac:dyDescent="0.2">
      <c r="A328" s="11">
        <v>451</v>
      </c>
      <c r="F328" s="11" t="s">
        <v>16420</v>
      </c>
      <c r="G328" s="11" t="s">
        <v>16421</v>
      </c>
      <c r="H328" s="12">
        <v>79.099999999999994</v>
      </c>
      <c r="I328" s="11" t="s">
        <v>16407</v>
      </c>
      <c r="L328" s="11" t="s">
        <v>16403</v>
      </c>
      <c r="M328" s="11" t="s">
        <v>16403</v>
      </c>
      <c r="N328" s="11" t="s">
        <v>16403</v>
      </c>
      <c r="O328" s="11" t="s">
        <v>16403</v>
      </c>
      <c r="P328" s="11" t="s">
        <v>16403</v>
      </c>
      <c r="Q328" s="11" t="s">
        <v>16403</v>
      </c>
      <c r="R328" s="11" t="s">
        <v>16403</v>
      </c>
      <c r="S328" s="11" t="s">
        <v>16403</v>
      </c>
      <c r="T328" s="11" t="s">
        <v>16403</v>
      </c>
      <c r="U328" s="11" t="s">
        <v>16403</v>
      </c>
      <c r="V328" s="11" t="s">
        <v>16403</v>
      </c>
      <c r="W328" s="11" t="s">
        <v>16403</v>
      </c>
      <c r="X328" s="11" t="s">
        <v>16403</v>
      </c>
      <c r="Y328" s="11" t="s">
        <v>16403</v>
      </c>
      <c r="Z328" s="11" t="s">
        <v>16403</v>
      </c>
      <c r="AA328" s="11" t="s">
        <v>16403</v>
      </c>
      <c r="AB328" s="11" t="s">
        <v>16403</v>
      </c>
      <c r="AC328" s="11" t="s">
        <v>16403</v>
      </c>
      <c r="AD328" s="11" t="s">
        <v>16403</v>
      </c>
      <c r="AE328" s="11" t="s">
        <v>16403</v>
      </c>
      <c r="AF328" s="11" t="s">
        <v>16403</v>
      </c>
    </row>
    <row r="329" spans="1:32" s="11" customFormat="1" x14ac:dyDescent="0.2">
      <c r="A329" s="11">
        <v>452</v>
      </c>
      <c r="F329" s="11" t="s">
        <v>16403</v>
      </c>
      <c r="G329" s="11" t="s">
        <v>16403</v>
      </c>
      <c r="H329" s="12">
        <v>999</v>
      </c>
      <c r="I329" s="11" t="s">
        <v>16403</v>
      </c>
      <c r="L329" s="11">
        <v>64.881</v>
      </c>
      <c r="M329" s="11">
        <v>65.724000000000004</v>
      </c>
      <c r="N329" s="11">
        <v>130.965</v>
      </c>
      <c r="O329" s="11">
        <v>130.19800000000001</v>
      </c>
      <c r="P329" s="11">
        <v>109.435</v>
      </c>
      <c r="Q329" s="11">
        <v>108.161</v>
      </c>
      <c r="R329" s="11">
        <v>100.098</v>
      </c>
      <c r="S329" s="11">
        <v>100.056</v>
      </c>
      <c r="T329" s="11">
        <v>64.076999999999998</v>
      </c>
      <c r="U329" s="11">
        <v>63.085999999999999</v>
      </c>
      <c r="V329" s="11">
        <v>35.923000000000002</v>
      </c>
      <c r="W329" s="11">
        <v>36.914000000000001</v>
      </c>
      <c r="X329" s="11">
        <v>14.04</v>
      </c>
      <c r="Y329" s="11">
        <v>13.779</v>
      </c>
      <c r="Z329" s="11">
        <v>36.914000000000001</v>
      </c>
      <c r="AA329" s="11">
        <v>35.923000000000002</v>
      </c>
      <c r="AB329" s="11">
        <v>12.497999999999999</v>
      </c>
      <c r="AC329" s="11">
        <v>10</v>
      </c>
      <c r="AD329" s="11">
        <v>7</v>
      </c>
      <c r="AE329" s="11">
        <v>7</v>
      </c>
      <c r="AF329" s="11">
        <v>7</v>
      </c>
    </row>
    <row r="330" spans="1:32" s="11" customFormat="1" x14ac:dyDescent="0.2">
      <c r="A330" s="11">
        <v>453</v>
      </c>
      <c r="F330" s="11" t="s">
        <v>16403</v>
      </c>
      <c r="G330" s="11" t="s">
        <v>16403</v>
      </c>
      <c r="H330" s="12">
        <v>999</v>
      </c>
      <c r="I330" s="11" t="s">
        <v>16403</v>
      </c>
      <c r="L330" s="11" t="s">
        <v>16403</v>
      </c>
      <c r="M330" s="11" t="s">
        <v>16403</v>
      </c>
      <c r="N330" s="11" t="s">
        <v>16403</v>
      </c>
      <c r="O330" s="11" t="s">
        <v>16403</v>
      </c>
      <c r="P330" s="11" t="s">
        <v>16403</v>
      </c>
      <c r="Q330" s="11" t="s">
        <v>16403</v>
      </c>
      <c r="R330" s="11" t="s">
        <v>16403</v>
      </c>
      <c r="S330" s="11" t="s">
        <v>16403</v>
      </c>
      <c r="T330" s="11" t="s">
        <v>16403</v>
      </c>
      <c r="U330" s="11" t="s">
        <v>16403</v>
      </c>
      <c r="V330" s="11" t="s">
        <v>16403</v>
      </c>
      <c r="W330" s="11" t="s">
        <v>16403</v>
      </c>
      <c r="X330" s="11" t="s">
        <v>16403</v>
      </c>
      <c r="Y330" s="11" t="s">
        <v>16403</v>
      </c>
      <c r="Z330" s="11" t="s">
        <v>16403</v>
      </c>
      <c r="AA330" s="11" t="s">
        <v>16403</v>
      </c>
      <c r="AB330" s="11" t="s">
        <v>16403</v>
      </c>
      <c r="AC330" s="11" t="s">
        <v>16403</v>
      </c>
      <c r="AD330" s="11" t="s">
        <v>16403</v>
      </c>
      <c r="AE330" s="11" t="s">
        <v>16403</v>
      </c>
      <c r="AF330" s="11" t="s">
        <v>16403</v>
      </c>
    </row>
    <row r="331" spans="1:32" s="11" customFormat="1" x14ac:dyDescent="0.2">
      <c r="A331" s="11">
        <v>454</v>
      </c>
      <c r="F331" s="11" t="s">
        <v>16403</v>
      </c>
      <c r="G331" s="11" t="s">
        <v>16403</v>
      </c>
      <c r="H331" s="12">
        <v>999</v>
      </c>
      <c r="I331" s="11" t="s">
        <v>16403</v>
      </c>
      <c r="L331" s="11">
        <v>38.643000000000001</v>
      </c>
      <c r="M331" s="11">
        <v>45.371000000000002</v>
      </c>
      <c r="N331" s="11">
        <v>84.07</v>
      </c>
      <c r="O331" s="11">
        <v>83.760999999999996</v>
      </c>
      <c r="P331" s="11">
        <v>88.331999999999994</v>
      </c>
      <c r="Q331" s="11">
        <v>88.286000000000001</v>
      </c>
      <c r="R331" s="11">
        <v>126.511</v>
      </c>
      <c r="S331" s="11">
        <v>126.38</v>
      </c>
      <c r="T331" s="11">
        <v>57.59</v>
      </c>
      <c r="U331" s="11">
        <v>62.180999999999997</v>
      </c>
      <c r="V331" s="11">
        <v>42.41</v>
      </c>
      <c r="W331" s="11">
        <v>37.819000000000003</v>
      </c>
      <c r="X331" s="11">
        <v>8.7430000000000003</v>
      </c>
      <c r="Y331" s="11">
        <v>11.801</v>
      </c>
      <c r="Z331" s="11">
        <v>37.819000000000003</v>
      </c>
      <c r="AA331" s="11">
        <v>42.41</v>
      </c>
      <c r="AB331" s="11">
        <v>10.798</v>
      </c>
      <c r="AC331" s="11">
        <v>13</v>
      </c>
      <c r="AD331" s="11">
        <v>13</v>
      </c>
      <c r="AE331" s="11">
        <v>13</v>
      </c>
      <c r="AF331" s="11">
        <v>13</v>
      </c>
    </row>
    <row r="332" spans="1:32" s="11" customFormat="1" x14ac:dyDescent="0.2">
      <c r="A332" s="11">
        <v>455</v>
      </c>
      <c r="F332" s="11" t="s">
        <v>16414</v>
      </c>
      <c r="G332" s="11" t="s">
        <v>16415</v>
      </c>
      <c r="H332" s="12">
        <v>60.4</v>
      </c>
      <c r="I332" s="11" t="s">
        <v>16407</v>
      </c>
      <c r="L332" s="11">
        <v>44.607999999999997</v>
      </c>
      <c r="M332" s="11">
        <v>39.801000000000002</v>
      </c>
      <c r="N332" s="11">
        <v>84.622</v>
      </c>
      <c r="O332" s="11">
        <v>84.706000000000003</v>
      </c>
      <c r="P332" s="11">
        <v>71.447999999999993</v>
      </c>
      <c r="Q332" s="11">
        <v>71.162999999999997</v>
      </c>
      <c r="R332" s="11">
        <v>101.877</v>
      </c>
      <c r="S332" s="11">
        <v>101.89700000000001</v>
      </c>
      <c r="T332" s="11">
        <v>64.736000000000004</v>
      </c>
      <c r="U332" s="11">
        <v>65.198999999999998</v>
      </c>
      <c r="V332" s="11">
        <v>35.264000000000003</v>
      </c>
      <c r="W332" s="11">
        <v>34.801000000000002</v>
      </c>
      <c r="X332" s="11">
        <v>15.736000000000001</v>
      </c>
      <c r="Y332" s="11">
        <v>14.898</v>
      </c>
      <c r="Z332" s="11">
        <v>34.801000000000002</v>
      </c>
      <c r="AA332" s="11">
        <v>35.264000000000003</v>
      </c>
      <c r="AB332" s="11">
        <v>6.5659999999999998</v>
      </c>
      <c r="AC332" s="11">
        <v>14</v>
      </c>
      <c r="AD332" s="11">
        <v>11</v>
      </c>
      <c r="AE332" s="11">
        <v>11</v>
      </c>
      <c r="AF332" s="11">
        <v>11</v>
      </c>
    </row>
    <row r="333" spans="1:32" s="11" customFormat="1" x14ac:dyDescent="0.2">
      <c r="A333" s="11">
        <v>456</v>
      </c>
      <c r="F333" s="11" t="s">
        <v>16414</v>
      </c>
      <c r="G333" s="11" t="s">
        <v>16415</v>
      </c>
      <c r="H333" s="12">
        <v>66.5</v>
      </c>
      <c r="I333" s="11" t="s">
        <v>16407</v>
      </c>
      <c r="L333" s="11">
        <v>56.514000000000003</v>
      </c>
      <c r="M333" s="11">
        <v>60.167000000000002</v>
      </c>
      <c r="N333" s="11">
        <v>117.077</v>
      </c>
      <c r="O333" s="11">
        <v>117.134</v>
      </c>
      <c r="P333" s="11">
        <v>96.337000000000003</v>
      </c>
      <c r="Q333" s="11">
        <v>96.227000000000004</v>
      </c>
      <c r="R333" s="11">
        <v>98.602000000000004</v>
      </c>
      <c r="S333" s="11">
        <v>98.299000000000007</v>
      </c>
      <c r="T333" s="11">
        <v>64.679000000000002</v>
      </c>
      <c r="U333" s="11">
        <v>59.277000000000001</v>
      </c>
      <c r="V333" s="11">
        <v>35.320999999999998</v>
      </c>
      <c r="W333" s="11">
        <v>40.722999999999999</v>
      </c>
      <c r="X333" s="11">
        <v>13.82</v>
      </c>
      <c r="Y333" s="11">
        <v>10.853999999999999</v>
      </c>
      <c r="Z333" s="11">
        <v>40.722999999999999</v>
      </c>
      <c r="AA333" s="11">
        <v>35.320999999999998</v>
      </c>
      <c r="AB333" s="11">
        <v>12.364000000000001</v>
      </c>
      <c r="AC333" s="11">
        <v>10</v>
      </c>
      <c r="AD333" s="11">
        <v>10</v>
      </c>
      <c r="AE333" s="11">
        <v>10</v>
      </c>
      <c r="AF333" s="11">
        <v>10</v>
      </c>
    </row>
    <row r="334" spans="1:32" s="11" customFormat="1" x14ac:dyDescent="0.2">
      <c r="A334" s="11">
        <v>457</v>
      </c>
      <c r="F334" s="11" t="s">
        <v>16424</v>
      </c>
      <c r="G334" s="11" t="s">
        <v>16425</v>
      </c>
      <c r="H334" s="12">
        <v>79</v>
      </c>
      <c r="I334" s="11" t="s">
        <v>16404</v>
      </c>
      <c r="L334" s="11">
        <v>46.753</v>
      </c>
      <c r="M334" s="11">
        <v>53.252000000000002</v>
      </c>
      <c r="N334" s="11">
        <v>99.805000000000007</v>
      </c>
      <c r="O334" s="11">
        <v>100.20099999999999</v>
      </c>
      <c r="P334" s="11">
        <v>72.692999999999998</v>
      </c>
      <c r="Q334" s="11">
        <v>73.460999999999999</v>
      </c>
      <c r="R334" s="11">
        <v>87.242000000000004</v>
      </c>
      <c r="S334" s="11">
        <v>87.652000000000001</v>
      </c>
      <c r="T334" s="11">
        <v>64.629000000000005</v>
      </c>
      <c r="U334" s="11">
        <v>67.224000000000004</v>
      </c>
      <c r="V334" s="11">
        <v>35.371000000000002</v>
      </c>
      <c r="W334" s="11">
        <v>32.776000000000003</v>
      </c>
      <c r="X334" s="11">
        <v>16.898</v>
      </c>
      <c r="Y334" s="11">
        <v>15.84</v>
      </c>
      <c r="Z334" s="11">
        <v>32.776000000000003</v>
      </c>
      <c r="AA334" s="11">
        <v>35.371000000000002</v>
      </c>
      <c r="AB334" s="11">
        <v>8.3339999999999996</v>
      </c>
      <c r="AC334" s="11">
        <v>10</v>
      </c>
      <c r="AD334" s="11">
        <v>10</v>
      </c>
      <c r="AE334" s="11">
        <v>10</v>
      </c>
      <c r="AF334" s="11">
        <v>10</v>
      </c>
    </row>
    <row r="335" spans="1:32" s="11" customFormat="1" x14ac:dyDescent="0.2">
      <c r="A335" s="11">
        <v>458</v>
      </c>
      <c r="F335" s="11" t="s">
        <v>16440</v>
      </c>
      <c r="G335" s="11" t="s">
        <v>16441</v>
      </c>
      <c r="H335" s="12">
        <v>66.400000000000006</v>
      </c>
      <c r="I335" s="11" t="s">
        <v>16404</v>
      </c>
      <c r="L335" s="11">
        <v>63.786000000000001</v>
      </c>
      <c r="M335" s="11">
        <v>62.491</v>
      </c>
      <c r="N335" s="11">
        <v>126.935</v>
      </c>
      <c r="O335" s="11">
        <v>126.462</v>
      </c>
      <c r="P335" s="11">
        <v>120.849</v>
      </c>
      <c r="Q335" s="11">
        <v>120.554</v>
      </c>
      <c r="R335" s="11">
        <v>114.848</v>
      </c>
      <c r="S335" s="11">
        <v>114.351</v>
      </c>
      <c r="T335" s="11">
        <v>62.369</v>
      </c>
      <c r="U335" s="11">
        <v>60.523000000000003</v>
      </c>
      <c r="V335" s="11">
        <v>37.631</v>
      </c>
      <c r="W335" s="11">
        <v>39.476999999999997</v>
      </c>
      <c r="X335" s="11">
        <v>11.869</v>
      </c>
      <c r="Y335" s="11">
        <v>11.295</v>
      </c>
      <c r="Z335" s="11">
        <v>39.476999999999997</v>
      </c>
      <c r="AA335" s="11">
        <v>37.631</v>
      </c>
      <c r="AB335" s="11">
        <v>14.468</v>
      </c>
      <c r="AC335" s="11">
        <v>9</v>
      </c>
      <c r="AD335" s="11">
        <v>8</v>
      </c>
      <c r="AE335" s="11">
        <v>8</v>
      </c>
      <c r="AF335" s="11">
        <v>8</v>
      </c>
    </row>
    <row r="336" spans="1:32" s="11" customFormat="1" x14ac:dyDescent="0.2">
      <c r="A336" s="11">
        <v>459</v>
      </c>
      <c r="F336" s="11" t="s">
        <v>16424</v>
      </c>
      <c r="G336" s="11" t="s">
        <v>16425</v>
      </c>
      <c r="H336" s="12">
        <v>75.3</v>
      </c>
      <c r="I336" s="11" t="s">
        <v>16404</v>
      </c>
      <c r="L336" s="11">
        <v>48.201999999999998</v>
      </c>
      <c r="M336" s="11">
        <v>45.387</v>
      </c>
      <c r="N336" s="11">
        <v>92.384</v>
      </c>
      <c r="O336" s="11">
        <v>94.332999999999998</v>
      </c>
      <c r="P336" s="11">
        <v>91.802999999999997</v>
      </c>
      <c r="Q336" s="11">
        <v>93.344999999999999</v>
      </c>
      <c r="R336" s="11">
        <v>119.64700000000001</v>
      </c>
      <c r="S336" s="11">
        <v>119.292</v>
      </c>
      <c r="T336" s="11">
        <v>65.078000000000003</v>
      </c>
      <c r="U336" s="11">
        <v>62.837000000000003</v>
      </c>
      <c r="V336" s="11">
        <v>34.921999999999997</v>
      </c>
      <c r="W336" s="11">
        <v>37.162999999999997</v>
      </c>
      <c r="X336" s="11">
        <v>14.611000000000001</v>
      </c>
      <c r="Y336" s="11">
        <v>13.864000000000001</v>
      </c>
      <c r="Z336" s="11">
        <v>37.162999999999997</v>
      </c>
      <c r="AA336" s="11">
        <v>34.921999999999997</v>
      </c>
      <c r="AB336" s="11">
        <v>12.096</v>
      </c>
      <c r="AC336" s="11">
        <v>12</v>
      </c>
      <c r="AD336" s="11">
        <v>13</v>
      </c>
      <c r="AE336" s="11">
        <v>12</v>
      </c>
      <c r="AF336" s="11">
        <v>12</v>
      </c>
    </row>
    <row r="337" spans="1:32" s="11" customFormat="1" x14ac:dyDescent="0.2">
      <c r="A337" s="11">
        <v>460</v>
      </c>
      <c r="F337" s="11" t="s">
        <v>16420</v>
      </c>
      <c r="G337" s="11" t="s">
        <v>16421</v>
      </c>
      <c r="H337" s="12">
        <v>66.5</v>
      </c>
      <c r="I337" s="11" t="s">
        <v>16407</v>
      </c>
      <c r="L337" s="11">
        <v>44.884</v>
      </c>
      <c r="M337" s="11">
        <v>45.814</v>
      </c>
      <c r="N337" s="11">
        <v>90.305000000000007</v>
      </c>
      <c r="O337" s="11">
        <v>90.542000000000002</v>
      </c>
      <c r="P337" s="11">
        <v>69.488</v>
      </c>
      <c r="Q337" s="11">
        <v>70.156000000000006</v>
      </c>
      <c r="R337" s="11">
        <v>92.78</v>
      </c>
      <c r="S337" s="11">
        <v>93.459000000000003</v>
      </c>
      <c r="T337" s="11">
        <v>65.119</v>
      </c>
      <c r="U337" s="11">
        <v>65.230999999999995</v>
      </c>
      <c r="V337" s="11">
        <v>34.881</v>
      </c>
      <c r="W337" s="11">
        <v>34.768999999999998</v>
      </c>
      <c r="X337" s="11">
        <v>16.135999999999999</v>
      </c>
      <c r="Y337" s="11">
        <v>14.686999999999999</v>
      </c>
      <c r="Z337" s="11">
        <v>34.768999999999998</v>
      </c>
      <c r="AA337" s="11">
        <v>34.881</v>
      </c>
      <c r="AB337" s="11">
        <v>16.588000000000001</v>
      </c>
      <c r="AC337" s="11">
        <v>13</v>
      </c>
      <c r="AD337" s="11">
        <v>12</v>
      </c>
      <c r="AE337" s="11">
        <v>12</v>
      </c>
      <c r="AF337" s="11">
        <v>12</v>
      </c>
    </row>
    <row r="338" spans="1:32" s="11" customFormat="1" x14ac:dyDescent="0.2">
      <c r="A338" s="11">
        <v>461</v>
      </c>
      <c r="F338" s="11" t="s">
        <v>16414</v>
      </c>
      <c r="G338" s="11" t="s">
        <v>16415</v>
      </c>
      <c r="H338" s="12">
        <v>78.3</v>
      </c>
      <c r="I338" s="11" t="s">
        <v>16404</v>
      </c>
      <c r="L338" s="11">
        <v>30.626000000000001</v>
      </c>
      <c r="M338" s="11">
        <v>23.89</v>
      </c>
      <c r="N338" s="11">
        <v>54.66</v>
      </c>
      <c r="O338" s="11">
        <v>54.811</v>
      </c>
      <c r="P338" s="11">
        <v>76.653000000000006</v>
      </c>
      <c r="Q338" s="11">
        <v>77.028999999999996</v>
      </c>
      <c r="R338" s="11">
        <v>167.56399999999999</v>
      </c>
      <c r="S338" s="11">
        <v>167.80799999999999</v>
      </c>
      <c r="T338" s="11">
        <v>64.088999999999999</v>
      </c>
      <c r="U338" s="11">
        <v>63.286999999999999</v>
      </c>
      <c r="V338" s="11">
        <v>35.911000000000001</v>
      </c>
      <c r="W338" s="11">
        <v>36.713000000000001</v>
      </c>
      <c r="X338" s="11">
        <v>15.287000000000001</v>
      </c>
      <c r="Y338" s="11">
        <v>12.035</v>
      </c>
      <c r="Z338" s="11">
        <v>36.713000000000001</v>
      </c>
      <c r="AA338" s="11">
        <v>35.911000000000001</v>
      </c>
      <c r="AB338" s="11">
        <v>10.885999999999999</v>
      </c>
      <c r="AC338" s="11">
        <v>23</v>
      </c>
      <c r="AD338" s="11">
        <v>22</v>
      </c>
      <c r="AE338" s="11">
        <v>22</v>
      </c>
      <c r="AF338" s="11">
        <v>22</v>
      </c>
    </row>
    <row r="339" spans="1:32" s="11" customFormat="1" x14ac:dyDescent="0.2">
      <c r="A339" s="11">
        <v>462</v>
      </c>
      <c r="F339" s="11" t="s">
        <v>16403</v>
      </c>
      <c r="G339" s="11" t="s">
        <v>16403</v>
      </c>
      <c r="H339" s="12">
        <v>999</v>
      </c>
      <c r="I339" s="11" t="s">
        <v>16403</v>
      </c>
      <c r="L339" s="11">
        <v>58.731999999999999</v>
      </c>
      <c r="M339" s="11">
        <v>57.944000000000003</v>
      </c>
      <c r="N339" s="11">
        <v>117.127</v>
      </c>
      <c r="O339" s="11">
        <v>116.923</v>
      </c>
      <c r="P339" s="11">
        <v>116.562</v>
      </c>
      <c r="Q339" s="11">
        <v>115.977</v>
      </c>
      <c r="R339" s="11">
        <v>118.92</v>
      </c>
      <c r="S339" s="11">
        <v>118.892</v>
      </c>
      <c r="T339" s="11">
        <v>61.219000000000001</v>
      </c>
      <c r="U339" s="11">
        <v>63.17</v>
      </c>
      <c r="V339" s="11">
        <v>38.780999999999999</v>
      </c>
      <c r="W339" s="11">
        <v>36.83</v>
      </c>
      <c r="X339" s="11">
        <v>12.696999999999999</v>
      </c>
      <c r="Y339" s="11">
        <v>12.816000000000001</v>
      </c>
      <c r="Z339" s="11">
        <v>36.83</v>
      </c>
      <c r="AA339" s="11">
        <v>38.780999999999999</v>
      </c>
      <c r="AB339" s="11">
        <v>10.029999999999999</v>
      </c>
      <c r="AC339" s="11">
        <v>10</v>
      </c>
      <c r="AD339" s="11">
        <v>11</v>
      </c>
      <c r="AE339" s="11">
        <v>10</v>
      </c>
      <c r="AF339" s="11">
        <v>10</v>
      </c>
    </row>
    <row r="340" spans="1:32" s="11" customFormat="1" x14ac:dyDescent="0.2">
      <c r="A340" s="11">
        <v>463</v>
      </c>
      <c r="F340" s="11" t="s">
        <v>16414</v>
      </c>
      <c r="G340" s="11" t="s">
        <v>16415</v>
      </c>
      <c r="H340" s="12">
        <v>63.3</v>
      </c>
      <c r="I340" s="11" t="s">
        <v>16404</v>
      </c>
      <c r="L340" s="11">
        <v>9.7880000000000003</v>
      </c>
      <c r="M340" s="11">
        <v>11.372</v>
      </c>
      <c r="N340" s="11">
        <v>21.190999999999999</v>
      </c>
      <c r="O340" s="11">
        <v>21.129000000000001</v>
      </c>
      <c r="P340" s="11">
        <v>28.411999999999999</v>
      </c>
      <c r="Q340" s="11">
        <v>28.332999999999998</v>
      </c>
      <c r="R340" s="11">
        <v>160.95699999999999</v>
      </c>
      <c r="S340" s="11">
        <v>161.56399999999999</v>
      </c>
      <c r="T340" s="11">
        <v>70.203000000000003</v>
      </c>
      <c r="U340" s="11">
        <v>69.995000000000005</v>
      </c>
      <c r="V340" s="11">
        <v>29.797000000000001</v>
      </c>
      <c r="W340" s="11">
        <v>30.004999999999999</v>
      </c>
      <c r="X340" s="11">
        <v>17.852</v>
      </c>
      <c r="Y340" s="11">
        <v>22.32</v>
      </c>
      <c r="Z340" s="11">
        <v>30.004999999999999</v>
      </c>
      <c r="AA340" s="11">
        <v>29.797000000000001</v>
      </c>
      <c r="AB340" s="11">
        <v>24.341999999999999</v>
      </c>
      <c r="AC340" s="11">
        <v>51</v>
      </c>
      <c r="AD340" s="11">
        <v>50</v>
      </c>
      <c r="AE340" s="11">
        <v>50</v>
      </c>
      <c r="AF340" s="11">
        <v>50</v>
      </c>
    </row>
    <row r="341" spans="1:32" s="11" customFormat="1" x14ac:dyDescent="0.2">
      <c r="A341" s="11">
        <v>464</v>
      </c>
      <c r="F341" s="11" t="s">
        <v>16420</v>
      </c>
      <c r="G341" s="11" t="s">
        <v>16421</v>
      </c>
      <c r="H341" s="12">
        <v>71.900000000000006</v>
      </c>
      <c r="I341" s="11" t="s">
        <v>16407</v>
      </c>
      <c r="L341" s="11">
        <v>53.802</v>
      </c>
      <c r="M341" s="11">
        <v>56.058999999999997</v>
      </c>
      <c r="N341" s="11">
        <v>110.681</v>
      </c>
      <c r="O341" s="11">
        <v>109.34699999999999</v>
      </c>
      <c r="P341" s="11">
        <v>88.754999999999995</v>
      </c>
      <c r="Q341" s="11">
        <v>87.968000000000004</v>
      </c>
      <c r="R341" s="11">
        <v>96.531000000000006</v>
      </c>
      <c r="S341" s="11">
        <v>96.561000000000007</v>
      </c>
      <c r="T341" s="11">
        <v>67.661000000000001</v>
      </c>
      <c r="U341" s="11">
        <v>66.131</v>
      </c>
      <c r="V341" s="11">
        <v>32.338999999999999</v>
      </c>
      <c r="W341" s="11">
        <v>33.869999999999997</v>
      </c>
      <c r="X341" s="11">
        <v>17.134</v>
      </c>
      <c r="Y341" s="11">
        <v>16.702999999999999</v>
      </c>
      <c r="Z341" s="11">
        <v>33.869999999999997</v>
      </c>
      <c r="AA341" s="11">
        <v>32.338999999999999</v>
      </c>
      <c r="AB341" s="11">
        <v>11.53</v>
      </c>
      <c r="AC341" s="11">
        <v>10</v>
      </c>
      <c r="AD341" s="11">
        <v>10</v>
      </c>
      <c r="AE341" s="11">
        <v>10</v>
      </c>
      <c r="AF341" s="11">
        <v>10</v>
      </c>
    </row>
    <row r="342" spans="1:32" s="11" customFormat="1" x14ac:dyDescent="0.2">
      <c r="A342" s="11">
        <v>465</v>
      </c>
      <c r="F342" s="11" t="s">
        <v>16403</v>
      </c>
      <c r="G342" s="11" t="s">
        <v>16403</v>
      </c>
      <c r="H342" s="12">
        <v>999</v>
      </c>
      <c r="I342" s="11" t="s">
        <v>16403</v>
      </c>
      <c r="L342" s="11">
        <v>61.500999999999998</v>
      </c>
      <c r="M342" s="11">
        <v>58.055999999999997</v>
      </c>
      <c r="N342" s="11">
        <v>119.416</v>
      </c>
      <c r="O342" s="11">
        <v>120.271</v>
      </c>
      <c r="P342" s="11">
        <v>108.974</v>
      </c>
      <c r="Q342" s="11">
        <v>109.69499999999999</v>
      </c>
      <c r="R342" s="11">
        <v>109.166</v>
      </c>
      <c r="S342" s="11">
        <v>109.155</v>
      </c>
      <c r="T342" s="11">
        <v>62.972000000000001</v>
      </c>
      <c r="U342" s="11">
        <v>62.054000000000002</v>
      </c>
      <c r="V342" s="11">
        <v>37.027999999999999</v>
      </c>
      <c r="W342" s="11">
        <v>37.945999999999998</v>
      </c>
      <c r="X342" s="11">
        <v>13.305999999999999</v>
      </c>
      <c r="Y342" s="11">
        <v>12.279</v>
      </c>
      <c r="Z342" s="11">
        <v>37.945999999999998</v>
      </c>
      <c r="AA342" s="11">
        <v>37.027999999999999</v>
      </c>
      <c r="AB342" s="11">
        <v>15.57</v>
      </c>
      <c r="AC342" s="11">
        <v>9</v>
      </c>
      <c r="AD342" s="11">
        <v>10</v>
      </c>
      <c r="AE342" s="11">
        <v>9</v>
      </c>
      <c r="AF342" s="11">
        <v>9</v>
      </c>
    </row>
    <row r="343" spans="1:32" s="11" customFormat="1" x14ac:dyDescent="0.2">
      <c r="A343" s="11">
        <v>466</v>
      </c>
      <c r="F343" s="11" t="s">
        <v>16403</v>
      </c>
      <c r="G343" s="11" t="s">
        <v>16403</v>
      </c>
      <c r="H343" s="12">
        <v>999</v>
      </c>
      <c r="I343" s="11" t="s">
        <v>16403</v>
      </c>
      <c r="L343" s="11">
        <v>52.005000000000003</v>
      </c>
      <c r="M343" s="11">
        <v>55.213999999999999</v>
      </c>
      <c r="N343" s="11">
        <v>106.55500000000001</v>
      </c>
      <c r="O343" s="11">
        <v>106.82899999999999</v>
      </c>
      <c r="P343" s="11">
        <v>97.344999999999999</v>
      </c>
      <c r="Q343" s="11">
        <v>97.322000000000003</v>
      </c>
      <c r="R343" s="11">
        <v>109.642</v>
      </c>
      <c r="S343" s="11">
        <v>108.846</v>
      </c>
      <c r="T343" s="11">
        <v>63.914999999999999</v>
      </c>
      <c r="U343" s="11">
        <v>63.328000000000003</v>
      </c>
      <c r="V343" s="11">
        <v>36.085000000000001</v>
      </c>
      <c r="W343" s="11">
        <v>36.671999999999997</v>
      </c>
      <c r="X343" s="11">
        <v>13.76</v>
      </c>
      <c r="Y343" s="11">
        <v>13.115</v>
      </c>
      <c r="Z343" s="11">
        <v>36.671999999999997</v>
      </c>
      <c r="AA343" s="11">
        <v>36.085000000000001</v>
      </c>
      <c r="AB343" s="11">
        <v>11.9</v>
      </c>
      <c r="AC343" s="11">
        <v>11</v>
      </c>
      <c r="AD343" s="11">
        <v>11</v>
      </c>
      <c r="AE343" s="11">
        <v>11</v>
      </c>
      <c r="AF343" s="11">
        <v>11</v>
      </c>
    </row>
    <row r="344" spans="1:32" s="11" customFormat="1" x14ac:dyDescent="0.2">
      <c r="A344" s="11">
        <v>467</v>
      </c>
      <c r="F344" s="11" t="s">
        <v>16403</v>
      </c>
      <c r="G344" s="11" t="s">
        <v>16403</v>
      </c>
      <c r="H344" s="12">
        <v>999</v>
      </c>
      <c r="I344" s="11" t="s">
        <v>16403</v>
      </c>
      <c r="L344" s="11">
        <v>27.516999999999999</v>
      </c>
      <c r="M344" s="11">
        <v>24.206</v>
      </c>
      <c r="N344" s="11">
        <v>51.936</v>
      </c>
      <c r="O344" s="11">
        <v>51.834000000000003</v>
      </c>
      <c r="P344" s="11">
        <v>44.308</v>
      </c>
      <c r="Q344" s="11">
        <v>44.585000000000001</v>
      </c>
      <c r="R344" s="11">
        <v>103.396</v>
      </c>
      <c r="S344" s="11">
        <v>103.709</v>
      </c>
      <c r="T344" s="11">
        <v>68.876999999999995</v>
      </c>
      <c r="U344" s="11">
        <v>68.013999999999996</v>
      </c>
      <c r="V344" s="11">
        <v>31.123000000000001</v>
      </c>
      <c r="W344" s="11">
        <v>31.986000000000001</v>
      </c>
      <c r="X344" s="11">
        <v>17.638999999999999</v>
      </c>
      <c r="Y344" s="11">
        <v>19.053000000000001</v>
      </c>
      <c r="Z344" s="11">
        <v>31.986000000000001</v>
      </c>
      <c r="AA344" s="11">
        <v>31.123000000000001</v>
      </c>
      <c r="AB344" s="11">
        <v>11.45</v>
      </c>
      <c r="AC344" s="11">
        <v>20</v>
      </c>
      <c r="AD344" s="11">
        <v>17</v>
      </c>
      <c r="AE344" s="11">
        <v>17</v>
      </c>
      <c r="AF344" s="11">
        <v>17</v>
      </c>
    </row>
    <row r="345" spans="1:32" s="11" customFormat="1" x14ac:dyDescent="0.2">
      <c r="A345" s="11">
        <v>468</v>
      </c>
      <c r="F345" s="11" t="s">
        <v>16403</v>
      </c>
      <c r="G345" s="11" t="s">
        <v>16403</v>
      </c>
      <c r="H345" s="12">
        <v>999</v>
      </c>
      <c r="I345" s="11" t="s">
        <v>16403</v>
      </c>
      <c r="L345" s="11">
        <v>30.885999999999999</v>
      </c>
      <c r="M345" s="11">
        <v>33.369</v>
      </c>
      <c r="N345" s="11">
        <v>64.108999999999995</v>
      </c>
      <c r="O345" s="11">
        <v>64.703000000000003</v>
      </c>
      <c r="P345" s="11">
        <v>71.28</v>
      </c>
      <c r="Q345" s="11">
        <v>71.239000000000004</v>
      </c>
      <c r="R345" s="11">
        <v>134.77600000000001</v>
      </c>
      <c r="S345" s="11">
        <v>133.55699999999999</v>
      </c>
      <c r="T345" s="11">
        <v>67.001000000000005</v>
      </c>
      <c r="U345" s="11">
        <v>67.611999999999995</v>
      </c>
      <c r="V345" s="11">
        <v>32.999000000000002</v>
      </c>
      <c r="W345" s="11">
        <v>32.387999999999998</v>
      </c>
      <c r="X345" s="11">
        <v>15.923999999999999</v>
      </c>
      <c r="Y345" s="11">
        <v>18.951000000000001</v>
      </c>
      <c r="Z345" s="11">
        <v>32.387999999999998</v>
      </c>
      <c r="AA345" s="11">
        <v>32.999000000000002</v>
      </c>
      <c r="AB345" s="11">
        <v>13.337999999999999</v>
      </c>
      <c r="AC345" s="11">
        <v>18</v>
      </c>
      <c r="AD345" s="11">
        <v>17</v>
      </c>
      <c r="AE345" s="11">
        <v>17</v>
      </c>
      <c r="AF345" s="11">
        <v>17</v>
      </c>
    </row>
    <row r="346" spans="1:32" s="11" customFormat="1" x14ac:dyDescent="0.2">
      <c r="A346" s="11">
        <v>469</v>
      </c>
      <c r="F346" s="11" t="s">
        <v>16424</v>
      </c>
      <c r="G346" s="11" t="s">
        <v>16425</v>
      </c>
      <c r="H346" s="12">
        <v>67</v>
      </c>
      <c r="I346" s="11" t="s">
        <v>16407</v>
      </c>
      <c r="L346" s="11">
        <v>55.621000000000002</v>
      </c>
      <c r="M346" s="11">
        <v>56.192999999999998</v>
      </c>
      <c r="N346" s="11">
        <v>111.25700000000001</v>
      </c>
      <c r="O346" s="11">
        <v>112.59</v>
      </c>
      <c r="P346" s="11">
        <v>111.038</v>
      </c>
      <c r="Q346" s="11">
        <v>111.411</v>
      </c>
      <c r="R346" s="11">
        <v>119.18899999999999</v>
      </c>
      <c r="S346" s="11">
        <v>118.95699999999999</v>
      </c>
      <c r="T346" s="11">
        <v>62.521999999999998</v>
      </c>
      <c r="U346" s="11">
        <v>62.094999999999999</v>
      </c>
      <c r="V346" s="11">
        <v>37.478000000000002</v>
      </c>
      <c r="W346" s="11">
        <v>37.905000000000001</v>
      </c>
      <c r="X346" s="11">
        <v>12.48</v>
      </c>
      <c r="Y346" s="11">
        <v>12.792999999999999</v>
      </c>
      <c r="Z346" s="11">
        <v>37.905000000000001</v>
      </c>
      <c r="AA346" s="11">
        <v>37.478000000000002</v>
      </c>
      <c r="AB346" s="11">
        <v>9.89</v>
      </c>
      <c r="AC346" s="11">
        <v>10</v>
      </c>
      <c r="AD346" s="11">
        <v>10</v>
      </c>
      <c r="AE346" s="11">
        <v>10</v>
      </c>
      <c r="AF346" s="11">
        <v>10</v>
      </c>
    </row>
    <row r="347" spans="1:32" s="11" customFormat="1" x14ac:dyDescent="0.2">
      <c r="A347" s="11">
        <v>470</v>
      </c>
      <c r="F347" s="11" t="s">
        <v>16424</v>
      </c>
      <c r="G347" s="11" t="s">
        <v>16425</v>
      </c>
      <c r="H347" s="12">
        <v>78.8</v>
      </c>
      <c r="I347" s="11" t="s">
        <v>16404</v>
      </c>
      <c r="L347" s="11">
        <v>53.7</v>
      </c>
      <c r="M347" s="11">
        <v>54.398000000000003</v>
      </c>
      <c r="N347" s="11">
        <v>108.39400000000001</v>
      </c>
      <c r="O347" s="11">
        <v>108.29900000000001</v>
      </c>
      <c r="P347" s="11">
        <v>100.401</v>
      </c>
      <c r="Q347" s="11">
        <v>100.794</v>
      </c>
      <c r="R347" s="11">
        <v>110.901</v>
      </c>
      <c r="S347" s="11">
        <v>110.976</v>
      </c>
      <c r="T347" s="11">
        <v>63.631</v>
      </c>
      <c r="U347" s="11">
        <v>64.066000000000003</v>
      </c>
      <c r="V347" s="11">
        <v>36.369</v>
      </c>
      <c r="W347" s="11">
        <v>35.933999999999997</v>
      </c>
      <c r="X347" s="11">
        <v>14.25</v>
      </c>
      <c r="Y347" s="11">
        <v>13.471</v>
      </c>
      <c r="Z347" s="11">
        <v>35.933999999999997</v>
      </c>
      <c r="AA347" s="11">
        <v>36.369</v>
      </c>
      <c r="AB347" s="11">
        <v>17.57</v>
      </c>
      <c r="AC347" s="11">
        <v>11</v>
      </c>
      <c r="AD347" s="11">
        <v>10</v>
      </c>
      <c r="AE347" s="11">
        <v>10</v>
      </c>
      <c r="AF347" s="11">
        <v>10</v>
      </c>
    </row>
    <row r="348" spans="1:32" s="11" customFormat="1" x14ac:dyDescent="0.2">
      <c r="A348" s="11">
        <v>471</v>
      </c>
      <c r="F348" s="11" t="s">
        <v>16424</v>
      </c>
      <c r="G348" s="11" t="s">
        <v>16425</v>
      </c>
      <c r="H348" s="12">
        <v>54.1</v>
      </c>
      <c r="I348" s="11" t="s">
        <v>16407</v>
      </c>
      <c r="L348" s="11">
        <v>57.350999999999999</v>
      </c>
      <c r="M348" s="11">
        <v>60.38</v>
      </c>
      <c r="N348" s="11">
        <v>117.35</v>
      </c>
      <c r="O348" s="11">
        <v>118.033</v>
      </c>
      <c r="P348" s="11">
        <v>105.742</v>
      </c>
      <c r="Q348" s="11">
        <v>105.327</v>
      </c>
      <c r="R348" s="11">
        <v>108.256</v>
      </c>
      <c r="S348" s="11">
        <v>107.491</v>
      </c>
      <c r="T348" s="11">
        <v>65.564999999999998</v>
      </c>
      <c r="U348" s="11">
        <v>64.010999999999996</v>
      </c>
      <c r="V348" s="11">
        <v>34.435000000000002</v>
      </c>
      <c r="W348" s="11">
        <v>35.988999999999997</v>
      </c>
      <c r="X348" s="11">
        <v>14.452</v>
      </c>
      <c r="Y348" s="11">
        <v>15.427</v>
      </c>
      <c r="Z348" s="11">
        <v>35.988999999999997</v>
      </c>
      <c r="AA348" s="11">
        <v>34.435000000000002</v>
      </c>
      <c r="AB348" s="11">
        <v>8.86</v>
      </c>
      <c r="AC348" s="11">
        <v>8</v>
      </c>
      <c r="AD348" s="11">
        <v>9</v>
      </c>
      <c r="AE348" s="11">
        <v>8</v>
      </c>
      <c r="AF348" s="11">
        <v>8</v>
      </c>
    </row>
    <row r="349" spans="1:32" s="11" customFormat="1" x14ac:dyDescent="0.2">
      <c r="A349" s="11">
        <v>472</v>
      </c>
      <c r="F349" s="11" t="s">
        <v>16424</v>
      </c>
      <c r="G349" s="11" t="s">
        <v>16425</v>
      </c>
      <c r="H349" s="12">
        <v>73.5</v>
      </c>
      <c r="I349" s="11" t="s">
        <v>16404</v>
      </c>
      <c r="L349" s="11">
        <v>44.771000000000001</v>
      </c>
      <c r="M349" s="11">
        <v>50.167999999999999</v>
      </c>
      <c r="N349" s="11">
        <v>95.075000000000003</v>
      </c>
      <c r="O349" s="11">
        <v>95.081000000000003</v>
      </c>
      <c r="P349" s="11">
        <v>91.468999999999994</v>
      </c>
      <c r="Q349" s="11">
        <v>90.542000000000002</v>
      </c>
      <c r="R349" s="11">
        <v>114.72799999999999</v>
      </c>
      <c r="S349" s="11">
        <v>114.852</v>
      </c>
      <c r="T349" s="11">
        <v>65.516000000000005</v>
      </c>
      <c r="U349" s="11">
        <v>66.510999999999996</v>
      </c>
      <c r="V349" s="11">
        <v>34.484000000000002</v>
      </c>
      <c r="W349" s="11">
        <v>33.488999999999997</v>
      </c>
      <c r="X349" s="11">
        <v>15.760999999999999</v>
      </c>
      <c r="Y349" s="11">
        <v>15.739000000000001</v>
      </c>
      <c r="Z349" s="11">
        <v>33.488999999999997</v>
      </c>
      <c r="AA349" s="11">
        <v>34.484000000000002</v>
      </c>
      <c r="AB349" s="11">
        <v>14.978</v>
      </c>
      <c r="AC349" s="11">
        <v>10</v>
      </c>
      <c r="AD349" s="11">
        <v>10</v>
      </c>
      <c r="AE349" s="11">
        <v>10</v>
      </c>
      <c r="AF349" s="11">
        <v>10</v>
      </c>
    </row>
    <row r="350" spans="1:32" s="11" customFormat="1" x14ac:dyDescent="0.2">
      <c r="A350" s="11">
        <v>473</v>
      </c>
      <c r="F350" s="11" t="s">
        <v>16442</v>
      </c>
      <c r="G350" s="11" t="s">
        <v>16443</v>
      </c>
      <c r="H350" s="12">
        <v>38.200000000000003</v>
      </c>
      <c r="I350" s="11" t="s">
        <v>16407</v>
      </c>
      <c r="L350" s="11">
        <v>53.731000000000002</v>
      </c>
      <c r="M350" s="11">
        <v>57.243000000000002</v>
      </c>
      <c r="N350" s="11">
        <v>110.392</v>
      </c>
      <c r="O350" s="11">
        <v>111.014</v>
      </c>
      <c r="P350" s="11">
        <v>111.76600000000001</v>
      </c>
      <c r="Q350" s="11">
        <v>111.15600000000001</v>
      </c>
      <c r="R350" s="11">
        <v>121.611</v>
      </c>
      <c r="S350" s="11">
        <v>119.92</v>
      </c>
      <c r="T350" s="11">
        <v>60.737000000000002</v>
      </c>
      <c r="U350" s="11">
        <v>62.863</v>
      </c>
      <c r="V350" s="11">
        <v>39.262999999999998</v>
      </c>
      <c r="W350" s="11">
        <v>37.137</v>
      </c>
      <c r="X350" s="11">
        <v>11.194000000000001</v>
      </c>
      <c r="Y350" s="11">
        <v>12.768000000000001</v>
      </c>
      <c r="Z350" s="11">
        <v>37.137</v>
      </c>
      <c r="AA350" s="11">
        <v>39.262999999999998</v>
      </c>
      <c r="AB350" s="11">
        <v>14.958</v>
      </c>
      <c r="AC350" s="11">
        <v>10</v>
      </c>
      <c r="AD350" s="11">
        <v>11</v>
      </c>
      <c r="AE350" s="11">
        <v>10</v>
      </c>
      <c r="AF350" s="11">
        <v>10</v>
      </c>
    </row>
    <row r="351" spans="1:32" s="11" customFormat="1" x14ac:dyDescent="0.2">
      <c r="A351" s="11">
        <v>474</v>
      </c>
      <c r="F351" s="11" t="s">
        <v>16420</v>
      </c>
      <c r="G351" s="11" t="s">
        <v>16421</v>
      </c>
      <c r="H351" s="12">
        <v>71.2</v>
      </c>
      <c r="I351" s="11" t="s">
        <v>16404</v>
      </c>
      <c r="L351" s="11">
        <v>48.72</v>
      </c>
      <c r="M351" s="11">
        <v>49.85</v>
      </c>
      <c r="N351" s="11">
        <v>99.338999999999999</v>
      </c>
      <c r="O351" s="11">
        <v>98.102000000000004</v>
      </c>
      <c r="P351" s="11">
        <v>96.543999999999997</v>
      </c>
      <c r="Q351" s="11">
        <v>95.817999999999998</v>
      </c>
      <c r="R351" s="11">
        <v>116.932</v>
      </c>
      <c r="S351" s="11">
        <v>116.252</v>
      </c>
      <c r="T351" s="11">
        <v>63.15</v>
      </c>
      <c r="U351" s="11">
        <v>64.088999999999999</v>
      </c>
      <c r="V351" s="11">
        <v>36.85</v>
      </c>
      <c r="W351" s="11">
        <v>35.911000000000001</v>
      </c>
      <c r="X351" s="11">
        <v>13.631</v>
      </c>
      <c r="Y351" s="11">
        <v>13.233000000000001</v>
      </c>
      <c r="Z351" s="11">
        <v>35.911000000000001</v>
      </c>
      <c r="AA351" s="11">
        <v>36.85</v>
      </c>
      <c r="AB351" s="11">
        <v>17.408000000000001</v>
      </c>
      <c r="AC351" s="11">
        <v>10</v>
      </c>
      <c r="AD351" s="11">
        <v>10</v>
      </c>
      <c r="AE351" s="11">
        <v>10</v>
      </c>
      <c r="AF351" s="11">
        <v>10</v>
      </c>
    </row>
    <row r="352" spans="1:32" s="11" customFormat="1" x14ac:dyDescent="0.2">
      <c r="A352" s="11">
        <v>475</v>
      </c>
      <c r="F352" s="11" t="s">
        <v>16424</v>
      </c>
      <c r="G352" s="11" t="s">
        <v>16425</v>
      </c>
      <c r="H352" s="12">
        <v>58</v>
      </c>
      <c r="I352" s="11" t="s">
        <v>16407</v>
      </c>
      <c r="L352" s="11">
        <v>53.741</v>
      </c>
      <c r="M352" s="11">
        <v>53.334000000000003</v>
      </c>
      <c r="N352" s="11">
        <v>106.473</v>
      </c>
      <c r="O352" s="11">
        <v>108.05500000000001</v>
      </c>
      <c r="P352" s="11">
        <v>114.86</v>
      </c>
      <c r="Q352" s="11">
        <v>116.626</v>
      </c>
      <c r="R352" s="11">
        <v>128.13999999999999</v>
      </c>
      <c r="S352" s="11">
        <v>127.961</v>
      </c>
      <c r="T352" s="11">
        <v>64.067999999999998</v>
      </c>
      <c r="U352" s="11">
        <v>61.984999999999999</v>
      </c>
      <c r="V352" s="11">
        <v>35.932000000000002</v>
      </c>
      <c r="W352" s="11">
        <v>38.015000000000001</v>
      </c>
      <c r="X352" s="11">
        <v>13.733000000000001</v>
      </c>
      <c r="Y352" s="11">
        <v>12.159000000000001</v>
      </c>
      <c r="Z352" s="11">
        <v>38.015000000000001</v>
      </c>
      <c r="AA352" s="11">
        <v>35.932000000000002</v>
      </c>
      <c r="AB352" s="11">
        <v>17.102</v>
      </c>
      <c r="AC352" s="11">
        <v>9</v>
      </c>
      <c r="AD352" s="11">
        <v>10</v>
      </c>
      <c r="AE352" s="11">
        <v>9</v>
      </c>
      <c r="AF352" s="11">
        <v>9</v>
      </c>
    </row>
    <row r="353" spans="1:32" s="11" customFormat="1" x14ac:dyDescent="0.2">
      <c r="A353" s="11">
        <v>476</v>
      </c>
      <c r="F353" s="11" t="s">
        <v>16424</v>
      </c>
      <c r="G353" s="11" t="s">
        <v>16425</v>
      </c>
      <c r="H353" s="12">
        <v>75.599999999999994</v>
      </c>
      <c r="I353" s="11" t="s">
        <v>16404</v>
      </c>
      <c r="L353" s="11">
        <v>64.700999999999993</v>
      </c>
      <c r="M353" s="11">
        <v>63.414000000000001</v>
      </c>
      <c r="N353" s="11">
        <v>129.67099999999999</v>
      </c>
      <c r="O353" s="11">
        <v>126.39400000000001</v>
      </c>
      <c r="P353" s="11">
        <v>123.80800000000001</v>
      </c>
      <c r="Q353" s="11">
        <v>122.035</v>
      </c>
      <c r="R353" s="11">
        <v>114.426</v>
      </c>
      <c r="S353" s="11">
        <v>115.97799999999999</v>
      </c>
      <c r="T353" s="11">
        <v>60.451000000000001</v>
      </c>
      <c r="U353" s="11">
        <v>59.57</v>
      </c>
      <c r="V353" s="11">
        <v>39.548999999999999</v>
      </c>
      <c r="W353" s="11">
        <v>40.43</v>
      </c>
      <c r="X353" s="11">
        <v>10.166</v>
      </c>
      <c r="Y353" s="11">
        <v>10.183</v>
      </c>
      <c r="Z353" s="11">
        <v>40.43</v>
      </c>
      <c r="AA353" s="11">
        <v>39.548999999999999</v>
      </c>
      <c r="AB353" s="11">
        <v>9.8439999999999994</v>
      </c>
      <c r="AC353" s="11">
        <v>10</v>
      </c>
      <c r="AD353" s="11">
        <v>9</v>
      </c>
      <c r="AE353" s="11">
        <v>9</v>
      </c>
      <c r="AF353" s="11">
        <v>9</v>
      </c>
    </row>
    <row r="354" spans="1:32" s="11" customFormat="1" x14ac:dyDescent="0.2">
      <c r="A354" s="11">
        <v>477</v>
      </c>
      <c r="F354" s="11" t="s">
        <v>16420</v>
      </c>
      <c r="G354" s="11" t="s">
        <v>16421</v>
      </c>
      <c r="H354" s="12">
        <v>78.400000000000006</v>
      </c>
      <c r="I354" s="11" t="s">
        <v>16404</v>
      </c>
      <c r="L354" s="11">
        <v>37.386000000000003</v>
      </c>
      <c r="M354" s="11">
        <v>34.564</v>
      </c>
      <c r="N354" s="11">
        <v>72.096000000000004</v>
      </c>
      <c r="O354" s="11">
        <v>71.012</v>
      </c>
      <c r="P354" s="11">
        <v>63.13</v>
      </c>
      <c r="Q354" s="11">
        <v>63.25</v>
      </c>
      <c r="R354" s="11">
        <v>106.526</v>
      </c>
      <c r="S354" s="11">
        <v>106.27200000000001</v>
      </c>
      <c r="T354" s="11">
        <v>65.614999999999995</v>
      </c>
      <c r="U354" s="11">
        <v>68.393000000000001</v>
      </c>
      <c r="V354" s="11">
        <v>34.384999999999998</v>
      </c>
      <c r="W354" s="11">
        <v>31.606999999999999</v>
      </c>
      <c r="X354" s="11">
        <v>16.968</v>
      </c>
      <c r="Y354" s="11">
        <v>16.940999999999999</v>
      </c>
      <c r="Z354" s="11">
        <v>31.606999999999999</v>
      </c>
      <c r="AA354" s="11">
        <v>34.384999999999998</v>
      </c>
      <c r="AB354" s="11">
        <v>9.94</v>
      </c>
      <c r="AC354" s="11">
        <v>14</v>
      </c>
      <c r="AD354" s="11">
        <v>13</v>
      </c>
      <c r="AE354" s="11">
        <v>13</v>
      </c>
      <c r="AF354" s="11">
        <v>13</v>
      </c>
    </row>
    <row r="355" spans="1:32" s="11" customFormat="1" x14ac:dyDescent="0.2">
      <c r="A355" s="11">
        <v>478</v>
      </c>
      <c r="F355" s="11" t="s">
        <v>16414</v>
      </c>
      <c r="G355" s="11" t="s">
        <v>16415</v>
      </c>
      <c r="H355" s="12">
        <v>66.400000000000006</v>
      </c>
      <c r="I355" s="11" t="s">
        <v>16404</v>
      </c>
      <c r="L355" s="11">
        <v>31.827000000000002</v>
      </c>
      <c r="M355" s="11">
        <v>35.868000000000002</v>
      </c>
      <c r="N355" s="11">
        <v>68.183000000000007</v>
      </c>
      <c r="O355" s="11">
        <v>67.756</v>
      </c>
      <c r="P355" s="11">
        <v>60.902999999999999</v>
      </c>
      <c r="Q355" s="11">
        <v>60.185000000000002</v>
      </c>
      <c r="R355" s="11">
        <v>106.221</v>
      </c>
      <c r="S355" s="11">
        <v>105.694</v>
      </c>
      <c r="T355" s="11">
        <v>67.686000000000007</v>
      </c>
      <c r="U355" s="11">
        <v>67.057000000000002</v>
      </c>
      <c r="V355" s="11">
        <v>32.314</v>
      </c>
      <c r="W355" s="11">
        <v>32.942999999999998</v>
      </c>
      <c r="X355" s="11">
        <v>18.239999999999998</v>
      </c>
      <c r="Y355" s="11">
        <v>16.364000000000001</v>
      </c>
      <c r="Z355" s="11">
        <v>32.942999999999998</v>
      </c>
      <c r="AA355" s="11">
        <v>32.314</v>
      </c>
      <c r="AB355" s="11">
        <v>12.818</v>
      </c>
      <c r="AC355" s="11">
        <v>15</v>
      </c>
      <c r="AD355" s="11">
        <v>15</v>
      </c>
      <c r="AE355" s="11">
        <v>15</v>
      </c>
      <c r="AF355" s="11">
        <v>15</v>
      </c>
    </row>
    <row r="356" spans="1:32" s="11" customFormat="1" x14ac:dyDescent="0.2">
      <c r="A356" s="11">
        <v>479</v>
      </c>
      <c r="F356" s="11" t="s">
        <v>16403</v>
      </c>
      <c r="G356" s="11" t="s">
        <v>16403</v>
      </c>
      <c r="H356" s="12">
        <v>999</v>
      </c>
      <c r="I356" s="11" t="s">
        <v>16403</v>
      </c>
      <c r="L356" s="11">
        <v>28.876999999999999</v>
      </c>
      <c r="M356" s="11">
        <v>29.318999999999999</v>
      </c>
      <c r="N356" s="11">
        <v>58.432000000000002</v>
      </c>
      <c r="O356" s="11">
        <v>58.554000000000002</v>
      </c>
      <c r="P356" s="11">
        <v>51.883000000000003</v>
      </c>
      <c r="Q356" s="11">
        <v>51.814</v>
      </c>
      <c r="R356" s="11">
        <v>104.866</v>
      </c>
      <c r="S356" s="11">
        <v>106.172</v>
      </c>
      <c r="T356" s="11">
        <v>65.242999999999995</v>
      </c>
      <c r="U356" s="11">
        <v>65.716999999999999</v>
      </c>
      <c r="V356" s="11">
        <v>34.756999999999998</v>
      </c>
      <c r="W356" s="11">
        <v>34.283000000000001</v>
      </c>
      <c r="X356" s="11">
        <v>13.651999999999999</v>
      </c>
      <c r="Y356" s="11">
        <v>17.303000000000001</v>
      </c>
      <c r="Z356" s="11">
        <v>34.283000000000001</v>
      </c>
      <c r="AA356" s="11">
        <v>34.756999999999998</v>
      </c>
      <c r="AB356" s="11">
        <v>10.15</v>
      </c>
      <c r="AC356" s="11">
        <v>17</v>
      </c>
      <c r="AD356" s="11">
        <v>16</v>
      </c>
      <c r="AE356" s="11">
        <v>16</v>
      </c>
      <c r="AF356" s="11">
        <v>16</v>
      </c>
    </row>
    <row r="357" spans="1:32" s="11" customFormat="1" x14ac:dyDescent="0.2">
      <c r="A357" s="11">
        <v>480</v>
      </c>
      <c r="F357" s="11" t="s">
        <v>16444</v>
      </c>
      <c r="G357" s="11" t="s">
        <v>16445</v>
      </c>
      <c r="H357" s="12">
        <v>71.400000000000006</v>
      </c>
      <c r="I357" s="11" t="s">
        <v>16404</v>
      </c>
      <c r="L357" s="11">
        <v>47.606999999999999</v>
      </c>
      <c r="M357" s="11">
        <v>50.220999999999997</v>
      </c>
      <c r="N357" s="11">
        <v>98.406000000000006</v>
      </c>
      <c r="O357" s="11">
        <v>97.605000000000004</v>
      </c>
      <c r="P357" s="11">
        <v>89.114000000000004</v>
      </c>
      <c r="Q357" s="11">
        <v>89.025000000000006</v>
      </c>
      <c r="R357" s="11">
        <v>108.184</v>
      </c>
      <c r="S357" s="11">
        <v>108.377</v>
      </c>
      <c r="T357" s="11">
        <v>64.174000000000007</v>
      </c>
      <c r="U357" s="11">
        <v>62.216999999999999</v>
      </c>
      <c r="V357" s="11">
        <v>35.826000000000001</v>
      </c>
      <c r="W357" s="11">
        <v>37.783000000000001</v>
      </c>
      <c r="X357" s="11">
        <v>13.608000000000001</v>
      </c>
      <c r="Y357" s="11">
        <v>13.134</v>
      </c>
      <c r="Z357" s="11">
        <v>37.783000000000001</v>
      </c>
      <c r="AA357" s="11">
        <v>35.826000000000001</v>
      </c>
      <c r="AB357" s="11">
        <v>11.726000000000001</v>
      </c>
      <c r="AC357" s="11">
        <v>13</v>
      </c>
      <c r="AD357" s="11">
        <v>13</v>
      </c>
      <c r="AE357" s="11">
        <v>13</v>
      </c>
      <c r="AF357" s="11">
        <v>13</v>
      </c>
    </row>
    <row r="358" spans="1:32" s="11" customFormat="1" x14ac:dyDescent="0.2">
      <c r="A358" s="11">
        <v>481</v>
      </c>
      <c r="F358" s="11" t="s">
        <v>16424</v>
      </c>
      <c r="G358" s="11" t="s">
        <v>16425</v>
      </c>
      <c r="H358" s="12">
        <v>65.2</v>
      </c>
      <c r="I358" s="11" t="s">
        <v>16404</v>
      </c>
      <c r="L358" s="11">
        <v>33.176000000000002</v>
      </c>
      <c r="M358" s="11">
        <v>30.931000000000001</v>
      </c>
      <c r="N358" s="11">
        <v>63.904000000000003</v>
      </c>
      <c r="O358" s="11">
        <v>63.673999999999999</v>
      </c>
      <c r="P358" s="11">
        <v>28.411000000000001</v>
      </c>
      <c r="Q358" s="11">
        <v>28.713000000000001</v>
      </c>
      <c r="R358" s="11">
        <v>53.078000000000003</v>
      </c>
      <c r="S358" s="11">
        <v>54.186</v>
      </c>
      <c r="T358" s="11">
        <v>74.701999999999998</v>
      </c>
      <c r="U358" s="11">
        <v>75.369</v>
      </c>
      <c r="V358" s="11">
        <v>25.297999999999998</v>
      </c>
      <c r="W358" s="11">
        <v>24.631</v>
      </c>
      <c r="X358" s="11">
        <v>25.747</v>
      </c>
      <c r="Y358" s="11">
        <v>24.568000000000001</v>
      </c>
      <c r="Z358" s="11">
        <v>24.631</v>
      </c>
      <c r="AA358" s="11">
        <v>25.297999999999998</v>
      </c>
      <c r="AB358" s="11">
        <v>13.648</v>
      </c>
      <c r="AC358" s="11">
        <v>14</v>
      </c>
      <c r="AD358" s="11">
        <v>14</v>
      </c>
      <c r="AE358" s="11">
        <v>14</v>
      </c>
      <c r="AF358" s="11">
        <v>14</v>
      </c>
    </row>
    <row r="359" spans="1:32" s="11" customFormat="1" x14ac:dyDescent="0.2">
      <c r="A359" s="11">
        <v>482</v>
      </c>
      <c r="F359" s="11" t="s">
        <v>16414</v>
      </c>
      <c r="G359" s="11" t="s">
        <v>16415</v>
      </c>
      <c r="H359" s="12">
        <v>61</v>
      </c>
      <c r="I359" s="11" t="s">
        <v>16404</v>
      </c>
      <c r="L359" s="11">
        <v>62.802</v>
      </c>
      <c r="M359" s="11">
        <v>62.844999999999999</v>
      </c>
      <c r="N359" s="11">
        <v>125.715</v>
      </c>
      <c r="O359" s="11">
        <v>125.63</v>
      </c>
      <c r="P359" s="11">
        <v>131.405</v>
      </c>
      <c r="Q359" s="11">
        <v>131.93799999999999</v>
      </c>
      <c r="R359" s="11">
        <v>124.59399999999999</v>
      </c>
      <c r="S359" s="11">
        <v>125.611</v>
      </c>
      <c r="T359" s="11">
        <v>60.555</v>
      </c>
      <c r="U359" s="11">
        <v>60.505000000000003</v>
      </c>
      <c r="V359" s="11">
        <v>39.445</v>
      </c>
      <c r="W359" s="11">
        <v>39.494999999999997</v>
      </c>
      <c r="X359" s="11">
        <v>11.074</v>
      </c>
      <c r="Y359" s="11">
        <v>10.803000000000001</v>
      </c>
      <c r="Z359" s="11">
        <v>39.494999999999997</v>
      </c>
      <c r="AA359" s="11">
        <v>39.445</v>
      </c>
      <c r="AB359" s="11">
        <v>16.295999999999999</v>
      </c>
      <c r="AC359" s="11">
        <v>10</v>
      </c>
      <c r="AD359" s="11">
        <v>10</v>
      </c>
      <c r="AE359" s="11">
        <v>10</v>
      </c>
      <c r="AF359" s="11">
        <v>10</v>
      </c>
    </row>
    <row r="360" spans="1:32" s="11" customFormat="1" x14ac:dyDescent="0.2">
      <c r="A360" s="11">
        <v>483</v>
      </c>
      <c r="F360" s="11" t="s">
        <v>16428</v>
      </c>
      <c r="G360" s="11" t="s">
        <v>16429</v>
      </c>
      <c r="H360" s="12">
        <v>51</v>
      </c>
      <c r="I360" s="11" t="s">
        <v>16404</v>
      </c>
      <c r="L360" s="11">
        <v>39.548999999999999</v>
      </c>
      <c r="M360" s="11">
        <v>37.972999999999999</v>
      </c>
      <c r="N360" s="11">
        <v>77.555000000000007</v>
      </c>
      <c r="O360" s="11">
        <v>77.647999999999996</v>
      </c>
      <c r="P360" s="11">
        <v>59.238999999999997</v>
      </c>
      <c r="Q360" s="11">
        <v>61.52</v>
      </c>
      <c r="R360" s="11">
        <v>94.082999999999998</v>
      </c>
      <c r="S360" s="11">
        <v>96.058999999999997</v>
      </c>
      <c r="T360" s="11">
        <v>64.849999999999994</v>
      </c>
      <c r="U360" s="11">
        <v>65.658000000000001</v>
      </c>
      <c r="V360" s="11">
        <v>35.15</v>
      </c>
      <c r="W360" s="11">
        <v>34.341999999999999</v>
      </c>
      <c r="X360" s="11">
        <v>17.395</v>
      </c>
      <c r="Y360" s="11">
        <v>12.243</v>
      </c>
      <c r="Z360" s="11">
        <v>34.341999999999999</v>
      </c>
      <c r="AA360" s="11">
        <v>35.15</v>
      </c>
      <c r="AB360" s="11">
        <v>12.256</v>
      </c>
      <c r="AC360" s="11">
        <v>14</v>
      </c>
      <c r="AD360" s="11">
        <v>11</v>
      </c>
      <c r="AE360" s="11">
        <v>11</v>
      </c>
      <c r="AF360" s="11">
        <v>11</v>
      </c>
    </row>
    <row r="361" spans="1:32" s="11" customFormat="1" x14ac:dyDescent="0.2">
      <c r="A361" s="11">
        <v>484</v>
      </c>
      <c r="F361" s="11" t="s">
        <v>16424</v>
      </c>
      <c r="G361" s="11" t="s">
        <v>16425</v>
      </c>
      <c r="H361" s="12">
        <v>66.8</v>
      </c>
      <c r="I361" s="11" t="s">
        <v>16407</v>
      </c>
      <c r="L361" s="11">
        <v>37.881999999999998</v>
      </c>
      <c r="M361" s="11">
        <v>37.634999999999998</v>
      </c>
      <c r="N361" s="11">
        <v>75.757999999999996</v>
      </c>
      <c r="O361" s="11">
        <v>75.316000000000003</v>
      </c>
      <c r="P361" s="11">
        <v>78.409000000000006</v>
      </c>
      <c r="Q361" s="11">
        <v>77.793000000000006</v>
      </c>
      <c r="R361" s="11">
        <v>123.979</v>
      </c>
      <c r="S361" s="11">
        <v>123.5</v>
      </c>
      <c r="T361" s="11">
        <v>67.465999999999994</v>
      </c>
      <c r="U361" s="11">
        <v>65.647000000000006</v>
      </c>
      <c r="V361" s="11">
        <v>32.533999999999999</v>
      </c>
      <c r="W361" s="11">
        <v>34.353000000000002</v>
      </c>
      <c r="X361" s="11">
        <v>15.926</v>
      </c>
      <c r="Y361" s="11">
        <v>17.420999999999999</v>
      </c>
      <c r="Z361" s="11">
        <v>34.353000000000002</v>
      </c>
      <c r="AA361" s="11">
        <v>32.533999999999999</v>
      </c>
      <c r="AB361" s="11">
        <v>9.07</v>
      </c>
      <c r="AC361" s="11">
        <v>15</v>
      </c>
      <c r="AD361" s="11">
        <v>16</v>
      </c>
      <c r="AE361" s="11">
        <v>15</v>
      </c>
      <c r="AF361" s="11">
        <v>15</v>
      </c>
    </row>
    <row r="362" spans="1:32" s="11" customFormat="1" x14ac:dyDescent="0.2">
      <c r="A362" s="11">
        <v>485</v>
      </c>
      <c r="F362" s="11" t="s">
        <v>16424</v>
      </c>
      <c r="G362" s="11" t="s">
        <v>16425</v>
      </c>
      <c r="H362" s="12">
        <v>33.9</v>
      </c>
      <c r="I362" s="11" t="s">
        <v>16407</v>
      </c>
      <c r="L362" s="11">
        <v>36.969000000000001</v>
      </c>
      <c r="M362" s="11">
        <v>38.543999999999997</v>
      </c>
      <c r="N362" s="11">
        <v>75.692999999999998</v>
      </c>
      <c r="O362" s="11">
        <v>75.19</v>
      </c>
      <c r="P362" s="11">
        <v>64.936999999999998</v>
      </c>
      <c r="Q362" s="11">
        <v>64.701999999999998</v>
      </c>
      <c r="R362" s="11">
        <v>103.93</v>
      </c>
      <c r="S362" s="11">
        <v>104.627</v>
      </c>
      <c r="T362" s="11">
        <v>73.100999999999999</v>
      </c>
      <c r="U362" s="11">
        <v>70.099000000000004</v>
      </c>
      <c r="V362" s="11">
        <v>26.899000000000001</v>
      </c>
      <c r="W362" s="11">
        <v>29.901</v>
      </c>
      <c r="X362" s="11">
        <v>25.012</v>
      </c>
      <c r="Y362" s="11">
        <v>18.667999999999999</v>
      </c>
      <c r="Z362" s="11">
        <v>29.901</v>
      </c>
      <c r="AA362" s="11">
        <v>26.899000000000001</v>
      </c>
      <c r="AB362" s="11">
        <v>23.933</v>
      </c>
      <c r="AC362" s="11">
        <v>9</v>
      </c>
      <c r="AD362" s="11">
        <v>7</v>
      </c>
      <c r="AE362" s="11">
        <v>7</v>
      </c>
      <c r="AF362" s="11">
        <v>7</v>
      </c>
    </row>
    <row r="363" spans="1:32" s="11" customFormat="1" x14ac:dyDescent="0.2">
      <c r="A363" s="11">
        <v>486</v>
      </c>
      <c r="F363" s="11" t="s">
        <v>16414</v>
      </c>
      <c r="G363" s="11" t="s">
        <v>16415</v>
      </c>
      <c r="H363" s="12">
        <v>72.2</v>
      </c>
      <c r="I363" s="11" t="s">
        <v>16404</v>
      </c>
      <c r="L363" s="11">
        <v>49.058</v>
      </c>
      <c r="M363" s="11">
        <v>52.51</v>
      </c>
      <c r="N363" s="11">
        <v>100.43300000000001</v>
      </c>
      <c r="O363" s="11">
        <v>102.72499999999999</v>
      </c>
      <c r="P363" s="11">
        <v>109.389</v>
      </c>
      <c r="Q363" s="11">
        <v>111.47199999999999</v>
      </c>
      <c r="R363" s="11">
        <v>130.273</v>
      </c>
      <c r="S363" s="11">
        <v>130.12700000000001</v>
      </c>
      <c r="T363" s="11">
        <v>61.936999999999998</v>
      </c>
      <c r="U363" s="11">
        <v>62.814999999999998</v>
      </c>
      <c r="V363" s="11">
        <v>38.063000000000002</v>
      </c>
      <c r="W363" s="11">
        <v>37.185000000000002</v>
      </c>
      <c r="X363" s="11">
        <v>12.081</v>
      </c>
      <c r="Y363" s="11">
        <v>13.154</v>
      </c>
      <c r="Z363" s="11">
        <v>37.185000000000002</v>
      </c>
      <c r="AA363" s="11">
        <v>38.063000000000002</v>
      </c>
      <c r="AB363" s="11">
        <v>10.992000000000001</v>
      </c>
      <c r="AC363" s="11">
        <v>11</v>
      </c>
      <c r="AD363" s="11">
        <v>10</v>
      </c>
      <c r="AE363" s="11">
        <v>10</v>
      </c>
      <c r="AF363" s="11">
        <v>10</v>
      </c>
    </row>
    <row r="364" spans="1:32" s="11" customFormat="1" x14ac:dyDescent="0.2">
      <c r="A364" s="11">
        <v>487</v>
      </c>
      <c r="F364" s="11" t="s">
        <v>16424</v>
      </c>
      <c r="G364" s="11" t="s">
        <v>16425</v>
      </c>
      <c r="H364" s="12">
        <v>79</v>
      </c>
      <c r="I364" s="11" t="s">
        <v>16404</v>
      </c>
      <c r="L364" s="11">
        <v>63.481000000000002</v>
      </c>
      <c r="M364" s="11">
        <v>55.835999999999999</v>
      </c>
      <c r="N364" s="11">
        <v>119.40600000000001</v>
      </c>
      <c r="O364" s="11">
        <v>119.355</v>
      </c>
      <c r="P364" s="11">
        <v>105.411</v>
      </c>
      <c r="Q364" s="11">
        <v>105.413</v>
      </c>
      <c r="R364" s="11">
        <v>105.53100000000001</v>
      </c>
      <c r="S364" s="11">
        <v>105.48699999999999</v>
      </c>
      <c r="T364" s="11">
        <v>63.292999999999999</v>
      </c>
      <c r="U364" s="11">
        <v>62.218000000000004</v>
      </c>
      <c r="V364" s="11">
        <v>36.707000000000001</v>
      </c>
      <c r="W364" s="11">
        <v>37.781999999999996</v>
      </c>
      <c r="X364" s="11">
        <v>10.597</v>
      </c>
      <c r="Y364" s="11">
        <v>15.148</v>
      </c>
      <c r="Z364" s="11">
        <v>37.781999999999996</v>
      </c>
      <c r="AA364" s="11">
        <v>36.707000000000001</v>
      </c>
      <c r="AB364" s="11">
        <v>13.564</v>
      </c>
      <c r="AC364" s="11">
        <v>10</v>
      </c>
      <c r="AD364" s="11">
        <v>10</v>
      </c>
      <c r="AE364" s="11">
        <v>10</v>
      </c>
      <c r="AF364" s="11">
        <v>10</v>
      </c>
    </row>
    <row r="365" spans="1:32" s="11" customFormat="1" x14ac:dyDescent="0.2">
      <c r="A365" s="11">
        <v>488</v>
      </c>
      <c r="F365" s="11" t="s">
        <v>16403</v>
      </c>
      <c r="G365" s="11" t="s">
        <v>16403</v>
      </c>
      <c r="H365" s="12">
        <v>999</v>
      </c>
      <c r="I365" s="11" t="s">
        <v>16403</v>
      </c>
      <c r="L365" s="11">
        <v>66.483000000000004</v>
      </c>
      <c r="M365" s="11">
        <v>59.664000000000001</v>
      </c>
      <c r="N365" s="11">
        <v>126.967</v>
      </c>
      <c r="O365" s="11">
        <v>125.596</v>
      </c>
      <c r="P365" s="11">
        <v>117.73</v>
      </c>
      <c r="Q365" s="11">
        <v>117.375</v>
      </c>
      <c r="R365" s="11">
        <v>110.89700000000001</v>
      </c>
      <c r="S365" s="11">
        <v>112.004</v>
      </c>
      <c r="T365" s="11">
        <v>62.274000000000001</v>
      </c>
      <c r="U365" s="11">
        <v>60.807000000000002</v>
      </c>
      <c r="V365" s="11">
        <v>37.725999999999999</v>
      </c>
      <c r="W365" s="11">
        <v>39.192999999999998</v>
      </c>
      <c r="X365" s="11">
        <v>13.475</v>
      </c>
      <c r="Y365" s="11">
        <v>10.103999999999999</v>
      </c>
      <c r="Z365" s="11">
        <v>39.192999999999998</v>
      </c>
      <c r="AA365" s="11">
        <v>37.725999999999999</v>
      </c>
      <c r="AB365" s="11">
        <v>9.1080000000000005</v>
      </c>
      <c r="AC365" s="11">
        <v>10</v>
      </c>
      <c r="AD365" s="11">
        <v>10</v>
      </c>
      <c r="AE365" s="11">
        <v>10</v>
      </c>
      <c r="AF365" s="11">
        <v>10</v>
      </c>
    </row>
    <row r="366" spans="1:32" s="11" customFormat="1" x14ac:dyDescent="0.2">
      <c r="A366" s="11">
        <v>489</v>
      </c>
      <c r="F366" s="11" t="s">
        <v>16446</v>
      </c>
      <c r="G366" s="11" t="s">
        <v>16447</v>
      </c>
      <c r="H366" s="12">
        <v>71</v>
      </c>
      <c r="I366" s="11" t="s">
        <v>16407</v>
      </c>
      <c r="L366" s="11">
        <v>59.110999999999997</v>
      </c>
      <c r="M366" s="11">
        <v>57.878</v>
      </c>
      <c r="N366" s="11">
        <v>117.128</v>
      </c>
      <c r="O366" s="11">
        <v>117.124</v>
      </c>
      <c r="P366" s="11">
        <v>115.911</v>
      </c>
      <c r="Q366" s="11">
        <v>116.696</v>
      </c>
      <c r="R366" s="11">
        <v>118.35599999999999</v>
      </c>
      <c r="S366" s="11">
        <v>119.23099999999999</v>
      </c>
      <c r="T366" s="11">
        <v>61.798999999999999</v>
      </c>
      <c r="U366" s="11">
        <v>63.408000000000001</v>
      </c>
      <c r="V366" s="11">
        <v>38.201000000000001</v>
      </c>
      <c r="W366" s="11">
        <v>36.591999999999999</v>
      </c>
      <c r="X366" s="11">
        <v>12.564</v>
      </c>
      <c r="Y366" s="11">
        <v>13.409000000000001</v>
      </c>
      <c r="Z366" s="11">
        <v>36.591999999999999</v>
      </c>
      <c r="AA366" s="11">
        <v>38.201000000000001</v>
      </c>
      <c r="AB366" s="11">
        <v>11.56</v>
      </c>
      <c r="AC366" s="11">
        <v>10</v>
      </c>
      <c r="AD366" s="11">
        <v>10</v>
      </c>
      <c r="AE366" s="11">
        <v>10</v>
      </c>
      <c r="AF366" s="11">
        <v>10</v>
      </c>
    </row>
    <row r="367" spans="1:32" s="11" customFormat="1" x14ac:dyDescent="0.2">
      <c r="A367" s="11">
        <v>490</v>
      </c>
      <c r="F367" s="11" t="s">
        <v>16420</v>
      </c>
      <c r="G367" s="11" t="s">
        <v>16421</v>
      </c>
      <c r="H367" s="12">
        <v>64.3</v>
      </c>
      <c r="I367" s="11" t="s">
        <v>16404</v>
      </c>
      <c r="L367" s="11">
        <v>67.754000000000005</v>
      </c>
      <c r="M367" s="11">
        <v>64.805000000000007</v>
      </c>
      <c r="N367" s="11">
        <v>132.71100000000001</v>
      </c>
      <c r="O367" s="11">
        <v>133.256</v>
      </c>
      <c r="P367" s="11">
        <v>109.81399999999999</v>
      </c>
      <c r="Q367" s="11">
        <v>109.81699999999999</v>
      </c>
      <c r="R367" s="11">
        <v>99.491</v>
      </c>
      <c r="S367" s="11">
        <v>98.760999999999996</v>
      </c>
      <c r="T367" s="11">
        <v>64.304000000000002</v>
      </c>
      <c r="U367" s="11">
        <v>63.75</v>
      </c>
      <c r="V367" s="11">
        <v>35.695999999999998</v>
      </c>
      <c r="W367" s="11">
        <v>36.25</v>
      </c>
      <c r="X367" s="11">
        <v>14.784000000000001</v>
      </c>
      <c r="Y367" s="11">
        <v>14.247999999999999</v>
      </c>
      <c r="Z367" s="11">
        <v>36.25</v>
      </c>
      <c r="AA367" s="11">
        <v>35.695999999999998</v>
      </c>
      <c r="AB367" s="11">
        <v>13.878</v>
      </c>
      <c r="AC367" s="11">
        <v>10</v>
      </c>
      <c r="AD367" s="11">
        <v>10</v>
      </c>
      <c r="AE367" s="11">
        <v>10</v>
      </c>
      <c r="AF367" s="11">
        <v>10</v>
      </c>
    </row>
    <row r="368" spans="1:32" s="11" customFormat="1" x14ac:dyDescent="0.2">
      <c r="A368" s="11">
        <v>491</v>
      </c>
      <c r="F368" s="11" t="s">
        <v>16414</v>
      </c>
      <c r="G368" s="11" t="s">
        <v>16415</v>
      </c>
      <c r="H368" s="12">
        <v>64.099999999999994</v>
      </c>
      <c r="I368" s="11" t="s">
        <v>16407</v>
      </c>
      <c r="L368" s="11">
        <v>40.81</v>
      </c>
      <c r="M368" s="11">
        <v>39.204999999999998</v>
      </c>
      <c r="N368" s="11">
        <v>79.997</v>
      </c>
      <c r="O368" s="11">
        <v>78.793000000000006</v>
      </c>
      <c r="P368" s="11">
        <v>79.814999999999998</v>
      </c>
      <c r="Q368" s="11">
        <v>78.724000000000004</v>
      </c>
      <c r="R368" s="11">
        <v>118.721</v>
      </c>
      <c r="S368" s="11">
        <v>118.676</v>
      </c>
      <c r="T368" s="11">
        <v>61.058999999999997</v>
      </c>
      <c r="U368" s="11">
        <v>62.182000000000002</v>
      </c>
      <c r="V368" s="11">
        <v>38.941000000000003</v>
      </c>
      <c r="W368" s="11">
        <v>37.817999999999998</v>
      </c>
      <c r="X368" s="11">
        <v>10.833</v>
      </c>
      <c r="Y368" s="11">
        <v>12.901</v>
      </c>
      <c r="Z368" s="11">
        <v>37.817999999999998</v>
      </c>
      <c r="AA368" s="11">
        <v>38.941000000000003</v>
      </c>
      <c r="AB368" s="11">
        <v>9.798</v>
      </c>
      <c r="AC368" s="11">
        <v>15</v>
      </c>
      <c r="AD368" s="11">
        <v>14</v>
      </c>
      <c r="AE368" s="11">
        <v>14</v>
      </c>
      <c r="AF368" s="11">
        <v>14</v>
      </c>
    </row>
    <row r="369" spans="1:32" s="11" customFormat="1" x14ac:dyDescent="0.2">
      <c r="A369" s="11">
        <v>492</v>
      </c>
      <c r="F369" s="11" t="s">
        <v>16414</v>
      </c>
      <c r="G369" s="11" t="s">
        <v>16415</v>
      </c>
      <c r="H369" s="12">
        <v>51.9</v>
      </c>
      <c r="I369" s="11" t="s">
        <v>16404</v>
      </c>
      <c r="L369" s="11">
        <v>44.692999999999998</v>
      </c>
      <c r="M369" s="11">
        <v>47.334000000000003</v>
      </c>
      <c r="N369" s="11">
        <v>91.826999999999998</v>
      </c>
      <c r="O369" s="11">
        <v>92.144000000000005</v>
      </c>
      <c r="P369" s="11">
        <v>93.789000000000001</v>
      </c>
      <c r="Q369" s="11">
        <v>93.626999999999995</v>
      </c>
      <c r="R369" s="11">
        <v>121.84099999999999</v>
      </c>
      <c r="S369" s="11">
        <v>121.364</v>
      </c>
      <c r="T369" s="11">
        <v>62.139000000000003</v>
      </c>
      <c r="U369" s="11">
        <v>63.835999999999999</v>
      </c>
      <c r="V369" s="11">
        <v>37.860999999999997</v>
      </c>
      <c r="W369" s="11">
        <v>36.164000000000001</v>
      </c>
      <c r="X369" s="11">
        <v>11.935</v>
      </c>
      <c r="Y369" s="11">
        <v>14.252000000000001</v>
      </c>
      <c r="Z369" s="11">
        <v>36.164000000000001</v>
      </c>
      <c r="AA369" s="11">
        <v>37.860999999999997</v>
      </c>
      <c r="AB369" s="11">
        <v>14.128</v>
      </c>
      <c r="AC369" s="11">
        <v>14</v>
      </c>
      <c r="AD369" s="11">
        <v>13</v>
      </c>
      <c r="AE369" s="11">
        <v>13</v>
      </c>
      <c r="AF369" s="11">
        <v>13</v>
      </c>
    </row>
    <row r="370" spans="1:32" s="11" customFormat="1" x14ac:dyDescent="0.2">
      <c r="A370" s="11">
        <v>493</v>
      </c>
      <c r="F370" s="11" t="s">
        <v>16414</v>
      </c>
      <c r="G370" s="11" t="s">
        <v>16415</v>
      </c>
      <c r="H370" s="12">
        <v>61.9</v>
      </c>
      <c r="I370" s="11" t="s">
        <v>16407</v>
      </c>
      <c r="L370" s="11">
        <v>17.263000000000002</v>
      </c>
      <c r="M370" s="11">
        <v>10.545999999999999</v>
      </c>
      <c r="N370" s="11">
        <v>27.777999999999999</v>
      </c>
      <c r="O370" s="11">
        <v>27.809000000000001</v>
      </c>
      <c r="P370" s="11">
        <v>30.518000000000001</v>
      </c>
      <c r="Q370" s="11">
        <v>30.507999999999999</v>
      </c>
      <c r="R370" s="11">
        <v>131.279</v>
      </c>
      <c r="S370" s="11">
        <v>131.398</v>
      </c>
      <c r="T370" s="11">
        <v>70.289000000000001</v>
      </c>
      <c r="U370" s="11">
        <v>70.588999999999999</v>
      </c>
      <c r="V370" s="11">
        <v>29.710999999999999</v>
      </c>
      <c r="W370" s="11">
        <v>29.411000000000001</v>
      </c>
      <c r="X370" s="11">
        <v>18.846</v>
      </c>
      <c r="Y370" s="11">
        <v>21.843</v>
      </c>
      <c r="Z370" s="11">
        <v>29.411000000000001</v>
      </c>
      <c r="AA370" s="11">
        <v>29.710999999999999</v>
      </c>
      <c r="AB370" s="11">
        <v>10.284000000000001</v>
      </c>
      <c r="AC370" s="11">
        <v>30</v>
      </c>
      <c r="AD370" s="11">
        <v>35</v>
      </c>
      <c r="AE370" s="11">
        <v>30</v>
      </c>
      <c r="AF370" s="11">
        <v>30</v>
      </c>
    </row>
    <row r="371" spans="1:32" s="11" customFormat="1" x14ac:dyDescent="0.2">
      <c r="A371" s="11">
        <v>494</v>
      </c>
      <c r="F371" s="11" t="s">
        <v>16424</v>
      </c>
      <c r="G371" s="11" t="s">
        <v>16425</v>
      </c>
      <c r="H371" s="12">
        <v>999</v>
      </c>
      <c r="I371" s="11" t="s">
        <v>16403</v>
      </c>
      <c r="L371" s="11">
        <v>57.793999999999997</v>
      </c>
      <c r="M371" s="11">
        <v>58.344999999999999</v>
      </c>
      <c r="N371" s="11">
        <v>116.14400000000001</v>
      </c>
      <c r="O371" s="11">
        <v>116.749</v>
      </c>
      <c r="P371" s="11">
        <v>111.26300000000001</v>
      </c>
      <c r="Q371" s="11">
        <v>111.137</v>
      </c>
      <c r="R371" s="11">
        <v>114.327</v>
      </c>
      <c r="S371" s="11">
        <v>113.989</v>
      </c>
      <c r="T371" s="11">
        <v>61.353000000000002</v>
      </c>
      <c r="U371" s="11">
        <v>60.371000000000002</v>
      </c>
      <c r="V371" s="11">
        <v>38.646999999999998</v>
      </c>
      <c r="W371" s="11">
        <v>39.628999999999998</v>
      </c>
      <c r="X371" s="11">
        <v>9.7579999999999991</v>
      </c>
      <c r="Y371" s="11">
        <v>11.702999999999999</v>
      </c>
      <c r="Z371" s="11">
        <v>39.628999999999998</v>
      </c>
      <c r="AA371" s="11">
        <v>38.646999999999998</v>
      </c>
      <c r="AB371" s="11">
        <v>8.8379999999999992</v>
      </c>
      <c r="AC371" s="11">
        <v>10</v>
      </c>
      <c r="AD371" s="11">
        <v>10</v>
      </c>
      <c r="AE371" s="11">
        <v>10</v>
      </c>
      <c r="AF371" s="11">
        <v>10</v>
      </c>
    </row>
    <row r="372" spans="1:32" s="11" customFormat="1" x14ac:dyDescent="0.2">
      <c r="A372" s="11">
        <v>495</v>
      </c>
      <c r="F372" s="11" t="s">
        <v>16424</v>
      </c>
      <c r="G372" s="11" t="s">
        <v>16425</v>
      </c>
      <c r="H372" s="12">
        <v>20.3</v>
      </c>
      <c r="I372" s="11" t="s">
        <v>16407</v>
      </c>
      <c r="L372" s="11">
        <v>62.463000000000001</v>
      </c>
      <c r="M372" s="11">
        <v>60.338000000000001</v>
      </c>
      <c r="N372" s="11">
        <v>123.69499999999999</v>
      </c>
      <c r="O372" s="11">
        <v>121.958</v>
      </c>
      <c r="P372" s="11">
        <v>118.23399999999999</v>
      </c>
      <c r="Q372" s="11">
        <v>116.985</v>
      </c>
      <c r="R372" s="11">
        <v>114.64700000000001</v>
      </c>
      <c r="S372" s="11">
        <v>114.643</v>
      </c>
      <c r="T372" s="11">
        <v>59.741</v>
      </c>
      <c r="U372" s="11">
        <v>62.420999999999999</v>
      </c>
      <c r="V372" s="11">
        <v>40.259</v>
      </c>
      <c r="W372" s="11">
        <v>37.579000000000001</v>
      </c>
      <c r="X372" s="11">
        <v>11.932</v>
      </c>
      <c r="Y372" s="11">
        <v>10.965999999999999</v>
      </c>
      <c r="Z372" s="11">
        <v>37.579000000000001</v>
      </c>
      <c r="AA372" s="11">
        <v>40.259</v>
      </c>
      <c r="AB372" s="11">
        <v>12.102</v>
      </c>
      <c r="AC372" s="11">
        <v>10</v>
      </c>
      <c r="AD372" s="11">
        <v>9</v>
      </c>
      <c r="AE372" s="11">
        <v>9</v>
      </c>
      <c r="AF372" s="11">
        <v>9</v>
      </c>
    </row>
    <row r="373" spans="1:32" s="11" customFormat="1" x14ac:dyDescent="0.2">
      <c r="A373" s="11">
        <v>496</v>
      </c>
      <c r="F373" s="11" t="s">
        <v>16432</v>
      </c>
      <c r="G373" s="11" t="s">
        <v>16433</v>
      </c>
      <c r="H373" s="12">
        <v>65.5</v>
      </c>
      <c r="I373" s="11" t="s">
        <v>16407</v>
      </c>
      <c r="L373" s="11">
        <v>34.447000000000003</v>
      </c>
      <c r="M373" s="11">
        <v>26.896000000000001</v>
      </c>
      <c r="N373" s="11">
        <v>61.070999999999998</v>
      </c>
      <c r="O373" s="11">
        <v>63.502000000000002</v>
      </c>
      <c r="P373" s="11">
        <v>57.247999999999998</v>
      </c>
      <c r="Q373" s="11">
        <v>60.189</v>
      </c>
      <c r="R373" s="11">
        <v>112.61799999999999</v>
      </c>
      <c r="S373" s="11">
        <v>114.483</v>
      </c>
      <c r="T373" s="11">
        <v>65.882999999999996</v>
      </c>
      <c r="U373" s="11">
        <v>65.912000000000006</v>
      </c>
      <c r="V373" s="11">
        <v>34.116999999999997</v>
      </c>
      <c r="W373" s="11">
        <v>34.088000000000001</v>
      </c>
      <c r="X373" s="11">
        <v>11.983000000000001</v>
      </c>
      <c r="Y373" s="11">
        <v>20.395</v>
      </c>
      <c r="Z373" s="11">
        <v>34.088000000000001</v>
      </c>
      <c r="AA373" s="11">
        <v>34.116999999999997</v>
      </c>
      <c r="AB373" s="11">
        <v>13.222</v>
      </c>
      <c r="AC373" s="11">
        <v>28</v>
      </c>
      <c r="AD373" s="11">
        <v>24</v>
      </c>
      <c r="AE373" s="11">
        <v>24</v>
      </c>
      <c r="AF373" s="11">
        <v>24</v>
      </c>
    </row>
    <row r="374" spans="1:32" s="11" customFormat="1" x14ac:dyDescent="0.2">
      <c r="A374" s="11">
        <v>497</v>
      </c>
      <c r="F374" s="11" t="s">
        <v>16403</v>
      </c>
      <c r="G374" s="11" t="s">
        <v>16403</v>
      </c>
      <c r="H374" s="12">
        <v>999</v>
      </c>
      <c r="I374" s="11" t="s">
        <v>16403</v>
      </c>
      <c r="L374" s="11">
        <v>56.914000000000001</v>
      </c>
      <c r="M374" s="11">
        <v>61.939</v>
      </c>
      <c r="N374" s="11">
        <v>119.001</v>
      </c>
      <c r="O374" s="11">
        <v>119.291</v>
      </c>
      <c r="P374" s="11">
        <v>79.388000000000005</v>
      </c>
      <c r="Q374" s="11">
        <v>78.924999999999997</v>
      </c>
      <c r="R374" s="11">
        <v>79.736999999999995</v>
      </c>
      <c r="S374" s="11">
        <v>79.325000000000003</v>
      </c>
      <c r="T374" s="11">
        <v>65.8</v>
      </c>
      <c r="U374" s="11">
        <v>65.649000000000001</v>
      </c>
      <c r="V374" s="11">
        <v>34.200000000000003</v>
      </c>
      <c r="W374" s="11">
        <v>34.350999999999999</v>
      </c>
      <c r="X374" s="11">
        <v>16.739000000000001</v>
      </c>
      <c r="Y374" s="11">
        <v>15.295</v>
      </c>
      <c r="Z374" s="11">
        <v>34.350999999999999</v>
      </c>
      <c r="AA374" s="11">
        <v>34.200000000000003</v>
      </c>
      <c r="AB374" s="11">
        <v>12.042999999999999</v>
      </c>
      <c r="AC374" s="11">
        <v>17</v>
      </c>
      <c r="AD374" s="11">
        <v>18</v>
      </c>
      <c r="AE374" s="11">
        <v>17</v>
      </c>
      <c r="AF374" s="11">
        <v>17</v>
      </c>
    </row>
    <row r="375" spans="1:32" s="11" customFormat="1" x14ac:dyDescent="0.2">
      <c r="A375" s="11">
        <v>498</v>
      </c>
      <c r="F375" s="11" t="s">
        <v>16414</v>
      </c>
      <c r="G375" s="11" t="s">
        <v>16415</v>
      </c>
      <c r="H375" s="12">
        <v>55.1</v>
      </c>
      <c r="I375" s="11" t="s">
        <v>16404</v>
      </c>
      <c r="L375" s="11">
        <v>60.146999999999998</v>
      </c>
      <c r="M375" s="11">
        <v>57.688000000000002</v>
      </c>
      <c r="N375" s="11">
        <v>118.41</v>
      </c>
      <c r="O375" s="11">
        <v>118.53</v>
      </c>
      <c r="P375" s="11">
        <v>115.215</v>
      </c>
      <c r="Q375" s="11">
        <v>114.69499999999999</v>
      </c>
      <c r="R375" s="11">
        <v>116.581</v>
      </c>
      <c r="S375" s="11">
        <v>115.971</v>
      </c>
      <c r="T375" s="11">
        <v>63.438000000000002</v>
      </c>
      <c r="U375" s="11">
        <v>63.491</v>
      </c>
      <c r="V375" s="11">
        <v>36.561999999999998</v>
      </c>
      <c r="W375" s="11">
        <v>36.509</v>
      </c>
      <c r="X375" s="11">
        <v>12.766</v>
      </c>
      <c r="Y375" s="11">
        <v>14.369</v>
      </c>
      <c r="Z375" s="11">
        <v>36.509</v>
      </c>
      <c r="AA375" s="11">
        <v>36.561999999999998</v>
      </c>
      <c r="AB375" s="11">
        <v>12.659000000000001</v>
      </c>
      <c r="AC375" s="11">
        <v>24</v>
      </c>
      <c r="AD375" s="11">
        <v>22</v>
      </c>
      <c r="AE375" s="11">
        <v>22</v>
      </c>
      <c r="AF375" s="11">
        <v>22</v>
      </c>
    </row>
    <row r="376" spans="1:32" s="11" customFormat="1" x14ac:dyDescent="0.2">
      <c r="A376" s="11">
        <v>499</v>
      </c>
      <c r="F376" s="11" t="s">
        <v>16414</v>
      </c>
      <c r="G376" s="11" t="s">
        <v>16415</v>
      </c>
      <c r="H376" s="12">
        <v>75.8</v>
      </c>
      <c r="I376" s="11" t="s">
        <v>16404</v>
      </c>
      <c r="L376" s="11">
        <v>22.321000000000002</v>
      </c>
      <c r="M376" s="11">
        <v>20.373999999999999</v>
      </c>
      <c r="N376" s="11">
        <v>42.103999999999999</v>
      </c>
      <c r="O376" s="11">
        <v>43.392000000000003</v>
      </c>
      <c r="P376" s="11">
        <v>46.563000000000002</v>
      </c>
      <c r="Q376" s="11">
        <v>47.192</v>
      </c>
      <c r="R376" s="11">
        <v>133.459</v>
      </c>
      <c r="S376" s="11">
        <v>130.84399999999999</v>
      </c>
      <c r="T376" s="11">
        <v>67.567999999999998</v>
      </c>
      <c r="U376" s="11">
        <v>68.281000000000006</v>
      </c>
      <c r="V376" s="11">
        <v>32.432000000000002</v>
      </c>
      <c r="W376" s="11">
        <v>31.719000000000001</v>
      </c>
      <c r="X376" s="11">
        <v>17.475999999999999</v>
      </c>
      <c r="Y376" s="11">
        <v>18.550999999999998</v>
      </c>
      <c r="Z376" s="11">
        <v>31.719000000000001</v>
      </c>
      <c r="AA376" s="11">
        <v>32.432000000000002</v>
      </c>
      <c r="AB376" s="11">
        <v>9.6150000000000002</v>
      </c>
      <c r="AC376" s="11">
        <v>15</v>
      </c>
      <c r="AD376" s="11">
        <v>15</v>
      </c>
      <c r="AE376" s="11">
        <v>15</v>
      </c>
      <c r="AF376" s="11">
        <v>15</v>
      </c>
    </row>
    <row r="377" spans="1:32" s="11" customFormat="1" x14ac:dyDescent="0.2">
      <c r="A377" s="11">
        <v>500</v>
      </c>
      <c r="F377" s="11" t="s">
        <v>16424</v>
      </c>
      <c r="G377" s="11" t="s">
        <v>16425</v>
      </c>
      <c r="H377" s="12">
        <v>71.900000000000006</v>
      </c>
      <c r="I377" s="11" t="s">
        <v>16407</v>
      </c>
      <c r="L377" s="11">
        <v>39.420999999999999</v>
      </c>
      <c r="M377" s="11">
        <v>42.654000000000003</v>
      </c>
      <c r="N377" s="11">
        <v>81.444000000000003</v>
      </c>
      <c r="O377" s="11">
        <v>81.796999999999997</v>
      </c>
      <c r="P377" s="11">
        <v>52.673000000000002</v>
      </c>
      <c r="Q377" s="11">
        <v>52.527999999999999</v>
      </c>
      <c r="R377" s="11">
        <v>77.441000000000003</v>
      </c>
      <c r="S377" s="11">
        <v>76.947000000000003</v>
      </c>
      <c r="T377" s="11">
        <v>64.584000000000003</v>
      </c>
      <c r="U377" s="11">
        <v>66.33</v>
      </c>
      <c r="V377" s="11">
        <v>35.415999999999997</v>
      </c>
      <c r="W377" s="11">
        <v>33.67</v>
      </c>
      <c r="X377" s="11">
        <v>18.088999999999999</v>
      </c>
      <c r="Y377" s="11">
        <v>13.016</v>
      </c>
      <c r="Z377" s="11">
        <v>33.67</v>
      </c>
      <c r="AA377" s="11">
        <v>35.415999999999997</v>
      </c>
      <c r="AB377" s="11">
        <v>10.6</v>
      </c>
      <c r="AC377" s="11">
        <v>12</v>
      </c>
      <c r="AD377" s="11">
        <v>14</v>
      </c>
      <c r="AE377" s="11">
        <v>12</v>
      </c>
      <c r="AF377" s="11">
        <v>12</v>
      </c>
    </row>
    <row r="378" spans="1:32" s="11" customFormat="1" x14ac:dyDescent="0.2">
      <c r="A378" s="11">
        <v>501</v>
      </c>
      <c r="F378" s="11" t="s">
        <v>16428</v>
      </c>
      <c r="G378" s="11" t="s">
        <v>16429</v>
      </c>
      <c r="H378" s="12">
        <v>22.9</v>
      </c>
      <c r="I378" s="11" t="s">
        <v>16407</v>
      </c>
      <c r="L378" s="11">
        <v>52.825000000000003</v>
      </c>
      <c r="M378" s="11">
        <v>51.161000000000001</v>
      </c>
      <c r="N378" s="11">
        <v>104.322</v>
      </c>
      <c r="O378" s="11">
        <v>105.038</v>
      </c>
      <c r="P378" s="11">
        <v>93.16</v>
      </c>
      <c r="Q378" s="11">
        <v>94.325999999999993</v>
      </c>
      <c r="R378" s="11">
        <v>107.422</v>
      </c>
      <c r="S378" s="11">
        <v>107.779</v>
      </c>
      <c r="T378" s="11">
        <v>63.338000000000001</v>
      </c>
      <c r="U378" s="11">
        <v>62.758000000000003</v>
      </c>
      <c r="V378" s="11">
        <v>36.661999999999999</v>
      </c>
      <c r="W378" s="11">
        <v>37.241</v>
      </c>
      <c r="X378" s="11">
        <v>14.747999999999999</v>
      </c>
      <c r="Y378" s="11">
        <v>11.661</v>
      </c>
      <c r="Z378" s="11">
        <v>37.241</v>
      </c>
      <c r="AA378" s="11">
        <v>36.661999999999999</v>
      </c>
      <c r="AB378" s="11">
        <v>9.3360000000000003</v>
      </c>
      <c r="AC378" s="11">
        <v>17</v>
      </c>
      <c r="AD378" s="11">
        <v>15</v>
      </c>
      <c r="AE378" s="11">
        <v>15</v>
      </c>
      <c r="AF378" s="11">
        <v>15</v>
      </c>
    </row>
    <row r="379" spans="1:32" s="11" customFormat="1" x14ac:dyDescent="0.2">
      <c r="A379" s="11">
        <v>502</v>
      </c>
      <c r="F379" s="11" t="s">
        <v>16403</v>
      </c>
      <c r="G379" s="11" t="s">
        <v>16403</v>
      </c>
      <c r="H379" s="12">
        <v>999</v>
      </c>
      <c r="I379" s="11" t="s">
        <v>16403</v>
      </c>
      <c r="L379" s="11">
        <v>48.716999999999999</v>
      </c>
      <c r="M379" s="11">
        <v>51.058999999999997</v>
      </c>
      <c r="N379" s="11">
        <v>99.816000000000003</v>
      </c>
      <c r="O379" s="11">
        <v>99.86</v>
      </c>
      <c r="P379" s="11">
        <v>90.962000000000003</v>
      </c>
      <c r="Q379" s="11">
        <v>91.224000000000004</v>
      </c>
      <c r="R379" s="11">
        <v>109.444</v>
      </c>
      <c r="S379" s="11">
        <v>109.548</v>
      </c>
      <c r="T379" s="11">
        <v>67.001000000000005</v>
      </c>
      <c r="U379" s="11">
        <v>65.116</v>
      </c>
      <c r="V379" s="11">
        <v>32.999000000000002</v>
      </c>
      <c r="W379" s="11">
        <v>34.884</v>
      </c>
      <c r="X379" s="11">
        <v>16.757999999999999</v>
      </c>
      <c r="Y379" s="11">
        <v>15.43</v>
      </c>
      <c r="Z379" s="11">
        <v>34.884</v>
      </c>
      <c r="AA379" s="11">
        <v>32.999000000000002</v>
      </c>
      <c r="AB379" s="11">
        <v>11.004</v>
      </c>
      <c r="AC379" s="11">
        <v>16</v>
      </c>
      <c r="AD379" s="11">
        <v>17</v>
      </c>
      <c r="AE379" s="11">
        <v>16</v>
      </c>
      <c r="AF379" s="11">
        <v>16</v>
      </c>
    </row>
    <row r="380" spans="1:32" s="11" customFormat="1" x14ac:dyDescent="0.2">
      <c r="A380" s="11">
        <v>503</v>
      </c>
      <c r="F380" s="11" t="s">
        <v>16403</v>
      </c>
      <c r="G380" s="11" t="s">
        <v>16403</v>
      </c>
      <c r="H380" s="12">
        <v>999</v>
      </c>
      <c r="I380" s="11" t="s">
        <v>16403</v>
      </c>
      <c r="L380" s="11">
        <v>46.743000000000002</v>
      </c>
      <c r="M380" s="11">
        <v>46.94</v>
      </c>
      <c r="N380" s="11">
        <v>93.317999999999998</v>
      </c>
      <c r="O380" s="11">
        <v>94.707999999999998</v>
      </c>
      <c r="P380" s="11">
        <v>84.179000000000002</v>
      </c>
      <c r="Q380" s="11">
        <v>85.009</v>
      </c>
      <c r="R380" s="11">
        <v>107.932</v>
      </c>
      <c r="S380" s="11">
        <v>107.872</v>
      </c>
      <c r="T380" s="11">
        <v>64.382999999999996</v>
      </c>
      <c r="U380" s="11">
        <v>64.25</v>
      </c>
      <c r="V380" s="11">
        <v>35.616999999999997</v>
      </c>
      <c r="W380" s="11">
        <v>35.75</v>
      </c>
      <c r="X380" s="11">
        <v>14.117000000000001</v>
      </c>
      <c r="Y380" s="11">
        <v>14.842000000000001</v>
      </c>
      <c r="Z380" s="11">
        <v>35.75</v>
      </c>
      <c r="AA380" s="11">
        <v>35.616999999999997</v>
      </c>
      <c r="AB380" s="11">
        <v>7.7350000000000003</v>
      </c>
      <c r="AC380" s="11">
        <v>13</v>
      </c>
      <c r="AD380" s="11">
        <v>13</v>
      </c>
      <c r="AE380" s="11">
        <v>13</v>
      </c>
      <c r="AF380" s="11">
        <v>13</v>
      </c>
    </row>
    <row r="381" spans="1:32" s="11" customFormat="1" x14ac:dyDescent="0.2">
      <c r="A381" s="11">
        <v>504</v>
      </c>
      <c r="F381" s="11" t="s">
        <v>16414</v>
      </c>
      <c r="G381" s="11" t="s">
        <v>16415</v>
      </c>
      <c r="H381" s="12">
        <v>69.400000000000006</v>
      </c>
      <c r="I381" s="11" t="s">
        <v>16404</v>
      </c>
      <c r="L381" s="11">
        <v>70.367000000000004</v>
      </c>
      <c r="M381" s="11">
        <v>64.245999999999995</v>
      </c>
      <c r="N381" s="11">
        <v>134.88999999999999</v>
      </c>
      <c r="O381" s="11">
        <v>135.26499999999999</v>
      </c>
      <c r="P381" s="11">
        <v>122.43300000000001</v>
      </c>
      <c r="Q381" s="11">
        <v>122.633</v>
      </c>
      <c r="R381" s="11">
        <v>108.51300000000001</v>
      </c>
      <c r="S381" s="11">
        <v>108.74</v>
      </c>
      <c r="T381" s="11">
        <v>61.179000000000002</v>
      </c>
      <c r="U381" s="11">
        <v>61.85</v>
      </c>
      <c r="V381" s="11">
        <v>38.820999999999998</v>
      </c>
      <c r="W381" s="11">
        <v>38.15</v>
      </c>
      <c r="X381" s="11">
        <v>12.509</v>
      </c>
      <c r="Y381" s="11">
        <v>11.071999999999999</v>
      </c>
      <c r="Z381" s="11">
        <v>38.15</v>
      </c>
      <c r="AA381" s="11">
        <v>38.820999999999998</v>
      </c>
      <c r="AB381" s="11">
        <v>9.07</v>
      </c>
      <c r="AC381" s="11">
        <v>15</v>
      </c>
      <c r="AD381" s="11">
        <v>15</v>
      </c>
      <c r="AE381" s="11">
        <v>15</v>
      </c>
      <c r="AF381" s="11">
        <v>15</v>
      </c>
    </row>
    <row r="382" spans="1:32" s="11" customFormat="1" x14ac:dyDescent="0.2">
      <c r="A382" s="11">
        <v>505</v>
      </c>
      <c r="F382" s="11" t="s">
        <v>16414</v>
      </c>
      <c r="G382" s="11" t="s">
        <v>16415</v>
      </c>
      <c r="H382" s="12">
        <v>55.6</v>
      </c>
      <c r="I382" s="11" t="s">
        <v>16404</v>
      </c>
      <c r="L382" s="11">
        <v>34.563000000000002</v>
      </c>
      <c r="M382" s="11">
        <v>29.260999999999999</v>
      </c>
      <c r="N382" s="11">
        <v>64.915000000000006</v>
      </c>
      <c r="O382" s="11">
        <v>63.085999999999999</v>
      </c>
      <c r="P382" s="11">
        <v>63.124000000000002</v>
      </c>
      <c r="Q382" s="11">
        <v>62.445</v>
      </c>
      <c r="R382" s="11">
        <v>115.666</v>
      </c>
      <c r="S382" s="11">
        <v>116.175</v>
      </c>
      <c r="T382" s="11">
        <v>63.222000000000001</v>
      </c>
      <c r="U382" s="11">
        <v>64.281000000000006</v>
      </c>
      <c r="V382" s="11">
        <v>36.777999999999999</v>
      </c>
      <c r="W382" s="11">
        <v>35.719000000000001</v>
      </c>
      <c r="X382" s="11">
        <v>14.262</v>
      </c>
      <c r="Y382" s="11">
        <v>13.635999999999999</v>
      </c>
      <c r="Z382" s="11">
        <v>35.719000000000001</v>
      </c>
      <c r="AA382" s="11">
        <v>36.777999999999999</v>
      </c>
      <c r="AB382" s="11">
        <v>9.8369999999999997</v>
      </c>
      <c r="AC382" s="11">
        <v>15</v>
      </c>
      <c r="AD382" s="11">
        <v>16</v>
      </c>
      <c r="AE382" s="11">
        <v>15</v>
      </c>
      <c r="AF382" s="11">
        <v>15</v>
      </c>
    </row>
    <row r="383" spans="1:32" s="11" customFormat="1" x14ac:dyDescent="0.2">
      <c r="A383" s="11">
        <v>506</v>
      </c>
      <c r="F383" s="11" t="s">
        <v>16414</v>
      </c>
      <c r="G383" s="11" t="s">
        <v>16415</v>
      </c>
      <c r="H383" s="12">
        <v>59.3</v>
      </c>
      <c r="I383" s="11" t="s">
        <v>16407</v>
      </c>
      <c r="L383" s="11">
        <v>49.677</v>
      </c>
      <c r="M383" s="11">
        <v>51.075000000000003</v>
      </c>
      <c r="N383" s="11">
        <v>101.16200000000001</v>
      </c>
      <c r="O383" s="11">
        <v>100.782</v>
      </c>
      <c r="P383" s="11">
        <v>92.436000000000007</v>
      </c>
      <c r="Q383" s="11">
        <v>92.850999999999999</v>
      </c>
      <c r="R383" s="11">
        <v>110.80800000000001</v>
      </c>
      <c r="S383" s="11">
        <v>109.98699999999999</v>
      </c>
      <c r="T383" s="11">
        <v>60.381999999999998</v>
      </c>
      <c r="U383" s="11">
        <v>62.845999999999997</v>
      </c>
      <c r="V383" s="11">
        <v>39.618000000000002</v>
      </c>
      <c r="W383" s="11">
        <v>37.154000000000003</v>
      </c>
      <c r="X383" s="11">
        <v>11.087</v>
      </c>
      <c r="Y383" s="11">
        <v>12.08</v>
      </c>
      <c r="Z383" s="11">
        <v>37.154000000000003</v>
      </c>
      <c r="AA383" s="11">
        <v>39.618000000000002</v>
      </c>
      <c r="AB383" s="11">
        <v>11.175000000000001</v>
      </c>
      <c r="AC383" s="11">
        <v>11</v>
      </c>
      <c r="AD383" s="11">
        <v>12</v>
      </c>
      <c r="AE383" s="11">
        <v>11</v>
      </c>
      <c r="AF383" s="11">
        <v>11</v>
      </c>
    </row>
    <row r="384" spans="1:32" s="11" customFormat="1" x14ac:dyDescent="0.2">
      <c r="A384" s="11">
        <v>507</v>
      </c>
      <c r="F384" s="11" t="s">
        <v>16414</v>
      </c>
      <c r="G384" s="11" t="s">
        <v>16415</v>
      </c>
      <c r="H384" s="12">
        <v>73</v>
      </c>
      <c r="I384" s="11" t="s">
        <v>16404</v>
      </c>
      <c r="L384" s="11">
        <v>52.703000000000003</v>
      </c>
      <c r="M384" s="11">
        <v>57.869</v>
      </c>
      <c r="N384" s="11">
        <v>110.60599999999999</v>
      </c>
      <c r="O384" s="11">
        <v>110.699</v>
      </c>
      <c r="P384" s="11">
        <v>107.3</v>
      </c>
      <c r="Q384" s="11">
        <v>107.289</v>
      </c>
      <c r="R384" s="11">
        <v>116.386</v>
      </c>
      <c r="S384" s="11">
        <v>116.45099999999999</v>
      </c>
      <c r="T384" s="11">
        <v>61.978999999999999</v>
      </c>
      <c r="U384" s="11">
        <v>62.999000000000002</v>
      </c>
      <c r="V384" s="11">
        <v>38.021000000000001</v>
      </c>
      <c r="W384" s="11">
        <v>37.000999999999998</v>
      </c>
      <c r="X384" s="11">
        <v>11.452999999999999</v>
      </c>
      <c r="Y384" s="11">
        <v>13.92</v>
      </c>
      <c r="Z384" s="11">
        <v>37.000999999999998</v>
      </c>
      <c r="AA384" s="11">
        <v>38.021000000000001</v>
      </c>
      <c r="AB384" s="11">
        <v>10.55</v>
      </c>
      <c r="AC384" s="11">
        <v>17</v>
      </c>
      <c r="AD384" s="11">
        <v>17</v>
      </c>
      <c r="AE384" s="11">
        <v>17</v>
      </c>
      <c r="AF384" s="11">
        <v>17</v>
      </c>
    </row>
    <row r="385" spans="1:32" s="11" customFormat="1" x14ac:dyDescent="0.2">
      <c r="A385" s="11">
        <v>508</v>
      </c>
      <c r="F385" s="11" t="s">
        <v>16414</v>
      </c>
      <c r="G385" s="11" t="s">
        <v>16415</v>
      </c>
      <c r="H385" s="12">
        <v>66.5</v>
      </c>
      <c r="I385" s="11" t="s">
        <v>16404</v>
      </c>
      <c r="L385" s="11">
        <v>60.786000000000001</v>
      </c>
      <c r="M385" s="11">
        <v>57.296999999999997</v>
      </c>
      <c r="N385" s="11">
        <v>118.001</v>
      </c>
      <c r="O385" s="11">
        <v>118.301</v>
      </c>
      <c r="P385" s="11">
        <v>112.242</v>
      </c>
      <c r="Q385" s="11">
        <v>112.818</v>
      </c>
      <c r="R385" s="11">
        <v>114.533</v>
      </c>
      <c r="S385" s="11">
        <v>114.545</v>
      </c>
      <c r="T385" s="11">
        <v>65.983000000000004</v>
      </c>
      <c r="U385" s="11">
        <v>61.886000000000003</v>
      </c>
      <c r="V385" s="11">
        <v>34.017000000000003</v>
      </c>
      <c r="W385" s="11">
        <v>38.113999999999997</v>
      </c>
      <c r="X385" s="11">
        <v>14.755000000000001</v>
      </c>
      <c r="Y385" s="11">
        <v>13.448</v>
      </c>
      <c r="Z385" s="11">
        <v>38.113999999999997</v>
      </c>
      <c r="AA385" s="11">
        <v>34.017000000000003</v>
      </c>
      <c r="AB385" s="11">
        <v>11.069000000000001</v>
      </c>
      <c r="AC385" s="11">
        <v>21</v>
      </c>
      <c r="AD385" s="11">
        <v>20</v>
      </c>
      <c r="AE385" s="11">
        <v>20</v>
      </c>
      <c r="AF385" s="11">
        <v>20</v>
      </c>
    </row>
    <row r="386" spans="1:32" s="11" customFormat="1" x14ac:dyDescent="0.2">
      <c r="A386" s="11">
        <v>509</v>
      </c>
      <c r="F386" s="11" t="s">
        <v>16420</v>
      </c>
      <c r="G386" s="11" t="s">
        <v>16421</v>
      </c>
      <c r="H386" s="12">
        <v>59.8</v>
      </c>
      <c r="I386" s="11" t="s">
        <v>16404</v>
      </c>
      <c r="L386" s="11">
        <v>41.399000000000001</v>
      </c>
      <c r="M386" s="11">
        <v>45.84</v>
      </c>
      <c r="N386" s="11">
        <v>88.113</v>
      </c>
      <c r="O386" s="11">
        <v>87.387</v>
      </c>
      <c r="P386" s="11">
        <v>66.19</v>
      </c>
      <c r="Q386" s="11">
        <v>66.132000000000005</v>
      </c>
      <c r="R386" s="11">
        <v>89.86</v>
      </c>
      <c r="S386" s="11">
        <v>90.587000000000003</v>
      </c>
      <c r="T386" s="11">
        <v>65.911000000000001</v>
      </c>
      <c r="U386" s="11">
        <v>62.354999999999997</v>
      </c>
      <c r="V386" s="11">
        <v>34.088999999999999</v>
      </c>
      <c r="W386" s="11">
        <v>37.645000000000003</v>
      </c>
      <c r="X386" s="11">
        <v>11.502000000000001</v>
      </c>
      <c r="Y386" s="11">
        <v>16.77</v>
      </c>
      <c r="Z386" s="11">
        <v>37.645000000000003</v>
      </c>
      <c r="AA386" s="11">
        <v>34.088999999999999</v>
      </c>
      <c r="AB386" s="11">
        <v>16.196999999999999</v>
      </c>
      <c r="AC386" s="11">
        <v>15</v>
      </c>
      <c r="AD386" s="11">
        <v>16</v>
      </c>
      <c r="AE386" s="11">
        <v>15</v>
      </c>
      <c r="AF386" s="11">
        <v>15</v>
      </c>
    </row>
    <row r="387" spans="1:32" s="11" customFormat="1" x14ac:dyDescent="0.2">
      <c r="A387" s="11">
        <v>510</v>
      </c>
      <c r="F387" s="11" t="s">
        <v>16403</v>
      </c>
      <c r="G387" s="11" t="s">
        <v>16403</v>
      </c>
      <c r="H387" s="12">
        <v>999</v>
      </c>
      <c r="I387" s="11" t="s">
        <v>16403</v>
      </c>
      <c r="L387" s="11" t="s">
        <v>16403</v>
      </c>
      <c r="M387" s="11" t="s">
        <v>16403</v>
      </c>
      <c r="N387" s="11" t="s">
        <v>16403</v>
      </c>
      <c r="O387" s="11" t="s">
        <v>16403</v>
      </c>
      <c r="P387" s="11" t="s">
        <v>16403</v>
      </c>
      <c r="Q387" s="11" t="s">
        <v>16403</v>
      </c>
      <c r="R387" s="11" t="s">
        <v>16403</v>
      </c>
      <c r="S387" s="11" t="s">
        <v>16403</v>
      </c>
      <c r="T387" s="11" t="s">
        <v>16403</v>
      </c>
      <c r="U387" s="11" t="s">
        <v>16403</v>
      </c>
      <c r="V387" s="11" t="s">
        <v>16403</v>
      </c>
      <c r="W387" s="11" t="s">
        <v>16403</v>
      </c>
      <c r="X387" s="11" t="s">
        <v>16403</v>
      </c>
      <c r="Y387" s="11" t="s">
        <v>16403</v>
      </c>
      <c r="Z387" s="11" t="s">
        <v>16403</v>
      </c>
      <c r="AA387" s="11" t="s">
        <v>16403</v>
      </c>
      <c r="AB387" s="11" t="s">
        <v>16403</v>
      </c>
      <c r="AC387" s="11" t="s">
        <v>16403</v>
      </c>
      <c r="AD387" s="11" t="s">
        <v>16403</v>
      </c>
      <c r="AE387" s="11" t="s">
        <v>16403</v>
      </c>
      <c r="AF387" s="11" t="s">
        <v>16403</v>
      </c>
    </row>
    <row r="388" spans="1:32" s="11" customFormat="1" x14ac:dyDescent="0.2">
      <c r="A388" s="11">
        <v>511</v>
      </c>
      <c r="F388" s="11" t="s">
        <v>16420</v>
      </c>
      <c r="G388" s="11" t="s">
        <v>16421</v>
      </c>
      <c r="H388" s="12">
        <v>65.2</v>
      </c>
      <c r="I388" s="11" t="s">
        <v>16407</v>
      </c>
      <c r="L388" s="11">
        <v>53.561</v>
      </c>
      <c r="M388" s="11">
        <v>55.506</v>
      </c>
      <c r="N388" s="11">
        <v>109.146</v>
      </c>
      <c r="O388" s="11">
        <v>109.367</v>
      </c>
      <c r="P388" s="11">
        <v>99.747</v>
      </c>
      <c r="Q388" s="11">
        <v>99.867000000000004</v>
      </c>
      <c r="R388" s="11">
        <v>109.68</v>
      </c>
      <c r="S388" s="11">
        <v>109.56100000000001</v>
      </c>
      <c r="T388" s="11">
        <v>63.573999999999998</v>
      </c>
      <c r="U388" s="11">
        <v>62.655000000000001</v>
      </c>
      <c r="V388" s="11">
        <v>36.426000000000002</v>
      </c>
      <c r="W388" s="11">
        <v>37.344999999999999</v>
      </c>
      <c r="X388" s="11">
        <v>13.295999999999999</v>
      </c>
      <c r="Y388" s="11">
        <v>12.935</v>
      </c>
      <c r="Z388" s="11">
        <v>37.344999999999999</v>
      </c>
      <c r="AA388" s="11">
        <v>36.426000000000002</v>
      </c>
      <c r="AB388" s="11">
        <v>6.8680000000000003</v>
      </c>
      <c r="AC388" s="11">
        <v>19</v>
      </c>
      <c r="AD388" s="11">
        <v>18</v>
      </c>
      <c r="AE388" s="11">
        <v>18</v>
      </c>
      <c r="AF388" s="11">
        <v>18</v>
      </c>
    </row>
    <row r="389" spans="1:32" s="11" customFormat="1" x14ac:dyDescent="0.2">
      <c r="A389" s="11">
        <v>512</v>
      </c>
      <c r="F389" s="11" t="s">
        <v>16420</v>
      </c>
      <c r="G389" s="11" t="s">
        <v>16421</v>
      </c>
      <c r="H389" s="12">
        <v>75.099999999999994</v>
      </c>
      <c r="I389" s="11" t="s">
        <v>16404</v>
      </c>
      <c r="L389" s="11">
        <v>27.895</v>
      </c>
      <c r="M389" s="11">
        <v>29.032</v>
      </c>
      <c r="N389" s="11">
        <v>57.018999999999998</v>
      </c>
      <c r="O389" s="11">
        <v>59.49</v>
      </c>
      <c r="P389" s="11">
        <v>32.369</v>
      </c>
      <c r="Q389" s="11">
        <v>32.44</v>
      </c>
      <c r="R389" s="11">
        <v>66.268000000000001</v>
      </c>
      <c r="S389" s="11">
        <v>67.039000000000001</v>
      </c>
      <c r="T389" s="11">
        <v>72.927000000000007</v>
      </c>
      <c r="U389" s="11">
        <v>71.927999999999997</v>
      </c>
      <c r="V389" s="11">
        <v>27.073</v>
      </c>
      <c r="W389" s="11">
        <v>28.071999999999999</v>
      </c>
      <c r="X389" s="11">
        <v>24.504000000000001</v>
      </c>
      <c r="Y389" s="11">
        <v>19.791</v>
      </c>
      <c r="Z389" s="11">
        <v>28.071999999999999</v>
      </c>
      <c r="AA389" s="11">
        <v>27.073</v>
      </c>
      <c r="AB389" s="11">
        <v>15.715</v>
      </c>
      <c r="AC389" s="11">
        <v>13</v>
      </c>
      <c r="AD389" s="11">
        <v>11</v>
      </c>
      <c r="AE389" s="11">
        <v>11</v>
      </c>
      <c r="AF389" s="11">
        <v>11</v>
      </c>
    </row>
    <row r="390" spans="1:32" s="11" customFormat="1" x14ac:dyDescent="0.2">
      <c r="A390" s="11">
        <v>513</v>
      </c>
      <c r="F390" s="11" t="s">
        <v>16420</v>
      </c>
      <c r="G390" s="11" t="s">
        <v>16421</v>
      </c>
      <c r="H390" s="12">
        <v>70.400000000000006</v>
      </c>
      <c r="I390" s="11" t="s">
        <v>16404</v>
      </c>
      <c r="L390" s="11">
        <v>52.91</v>
      </c>
      <c r="M390" s="11">
        <v>56.243000000000002</v>
      </c>
      <c r="N390" s="11">
        <v>109.044</v>
      </c>
      <c r="O390" s="11">
        <v>108.592</v>
      </c>
      <c r="P390" s="11">
        <v>85.423000000000002</v>
      </c>
      <c r="Q390" s="11">
        <v>84.518000000000001</v>
      </c>
      <c r="R390" s="11">
        <v>93.311000000000007</v>
      </c>
      <c r="S390" s="11">
        <v>92.96</v>
      </c>
      <c r="T390" s="11">
        <v>65.978999999999999</v>
      </c>
      <c r="U390" s="11">
        <v>64.69</v>
      </c>
      <c r="V390" s="11">
        <v>34.021000000000001</v>
      </c>
      <c r="W390" s="11">
        <v>35.31</v>
      </c>
      <c r="X390" s="11">
        <v>15.779</v>
      </c>
      <c r="Y390" s="11">
        <v>15.226000000000001</v>
      </c>
      <c r="Z390" s="11">
        <v>35.31</v>
      </c>
      <c r="AA390" s="11">
        <v>34.021000000000001</v>
      </c>
      <c r="AB390" s="11">
        <v>16.73</v>
      </c>
      <c r="AC390" s="11">
        <v>16</v>
      </c>
      <c r="AD390" s="11">
        <v>13</v>
      </c>
      <c r="AE390" s="11">
        <v>13</v>
      </c>
      <c r="AF390" s="11">
        <v>13</v>
      </c>
    </row>
    <row r="391" spans="1:32" s="11" customFormat="1" x14ac:dyDescent="0.2">
      <c r="A391" s="11">
        <v>514</v>
      </c>
      <c r="F391" s="11" t="s">
        <v>16420</v>
      </c>
      <c r="G391" s="11" t="s">
        <v>16421</v>
      </c>
      <c r="H391" s="12">
        <v>74.5</v>
      </c>
      <c r="I391" s="11" t="s">
        <v>16404</v>
      </c>
      <c r="L391" s="11">
        <v>58.279000000000003</v>
      </c>
      <c r="M391" s="11">
        <v>57.76</v>
      </c>
      <c r="N391" s="11">
        <v>117.724</v>
      </c>
      <c r="O391" s="11">
        <v>116.086</v>
      </c>
      <c r="P391" s="11">
        <v>88.433999999999997</v>
      </c>
      <c r="Q391" s="11">
        <v>87.644999999999996</v>
      </c>
      <c r="R391" s="11">
        <v>90.096999999999994</v>
      </c>
      <c r="S391" s="11">
        <v>90.076999999999998</v>
      </c>
      <c r="T391" s="11">
        <v>63.252000000000002</v>
      </c>
      <c r="U391" s="11">
        <v>65.409000000000006</v>
      </c>
      <c r="V391" s="11">
        <v>36.747999999999998</v>
      </c>
      <c r="W391" s="11">
        <v>34.591000000000001</v>
      </c>
      <c r="X391" s="11">
        <v>14.27</v>
      </c>
      <c r="Y391" s="11">
        <v>15.1</v>
      </c>
      <c r="Z391" s="11">
        <v>34.591000000000001</v>
      </c>
      <c r="AA391" s="11">
        <v>36.747999999999998</v>
      </c>
      <c r="AB391" s="11">
        <v>10.917999999999999</v>
      </c>
      <c r="AC391" s="11">
        <v>13</v>
      </c>
      <c r="AD391" s="11">
        <v>15</v>
      </c>
      <c r="AE391" s="11">
        <v>13</v>
      </c>
      <c r="AF391" s="11">
        <v>13</v>
      </c>
    </row>
    <row r="392" spans="1:32" s="11" customFormat="1" x14ac:dyDescent="0.2">
      <c r="A392" s="11">
        <v>515</v>
      </c>
      <c r="F392" s="11" t="s">
        <v>16420</v>
      </c>
      <c r="G392" s="11" t="s">
        <v>16421</v>
      </c>
      <c r="H392" s="12">
        <v>71.8</v>
      </c>
      <c r="I392" s="11" t="s">
        <v>16404</v>
      </c>
      <c r="L392" s="11">
        <v>55.838000000000001</v>
      </c>
      <c r="M392" s="11">
        <v>60.033999999999999</v>
      </c>
      <c r="N392" s="11">
        <v>116.67</v>
      </c>
      <c r="O392" s="11">
        <v>116.33499999999999</v>
      </c>
      <c r="P392" s="11">
        <v>121.358</v>
      </c>
      <c r="Q392" s="11">
        <v>121.285</v>
      </c>
      <c r="R392" s="11">
        <v>124.76600000000001</v>
      </c>
      <c r="S392" s="11">
        <v>124.68</v>
      </c>
      <c r="T392" s="11">
        <v>65.36</v>
      </c>
      <c r="U392" s="11">
        <v>61.030999999999999</v>
      </c>
      <c r="V392" s="11">
        <v>34.64</v>
      </c>
      <c r="W392" s="11">
        <v>38.969000000000001</v>
      </c>
      <c r="X392" s="11">
        <v>13.592000000000001</v>
      </c>
      <c r="Y392" s="11">
        <v>13.368</v>
      </c>
      <c r="Z392" s="11">
        <v>38.969000000000001</v>
      </c>
      <c r="AA392" s="11">
        <v>34.64</v>
      </c>
      <c r="AB392" s="11">
        <v>12.676</v>
      </c>
      <c r="AC392" s="11">
        <v>20</v>
      </c>
      <c r="AD392" s="11">
        <v>22</v>
      </c>
      <c r="AE392" s="11">
        <v>20</v>
      </c>
      <c r="AF392" s="11">
        <v>20</v>
      </c>
    </row>
    <row r="393" spans="1:32" s="11" customFormat="1" x14ac:dyDescent="0.2">
      <c r="A393" s="11">
        <v>516</v>
      </c>
      <c r="F393" s="11" t="s">
        <v>16414</v>
      </c>
      <c r="G393" s="11" t="s">
        <v>16415</v>
      </c>
      <c r="H393" s="12">
        <v>69.900000000000006</v>
      </c>
      <c r="I393" s="11" t="s">
        <v>16404</v>
      </c>
      <c r="L393" s="11">
        <v>62.070999999999998</v>
      </c>
      <c r="M393" s="11">
        <v>65.433000000000007</v>
      </c>
      <c r="N393" s="11">
        <v>127.16500000000001</v>
      </c>
      <c r="O393" s="11">
        <v>128.154</v>
      </c>
      <c r="P393" s="11">
        <v>127.90900000000001</v>
      </c>
      <c r="Q393" s="11">
        <v>129.30500000000001</v>
      </c>
      <c r="R393" s="11">
        <v>120.429</v>
      </c>
      <c r="S393" s="11">
        <v>121.089</v>
      </c>
      <c r="T393" s="11">
        <v>62.143000000000001</v>
      </c>
      <c r="U393" s="11">
        <v>63.325000000000003</v>
      </c>
      <c r="V393" s="11">
        <v>37.856999999999999</v>
      </c>
      <c r="W393" s="11">
        <v>36.674999999999997</v>
      </c>
      <c r="X393" s="11">
        <v>13.17</v>
      </c>
      <c r="Y393" s="11">
        <v>12.731999999999999</v>
      </c>
      <c r="Z393" s="11">
        <v>36.674999999999997</v>
      </c>
      <c r="AA393" s="11">
        <v>37.856999999999999</v>
      </c>
      <c r="AB393" s="11">
        <v>11.218</v>
      </c>
      <c r="AC393" s="11">
        <v>25</v>
      </c>
      <c r="AD393" s="11">
        <v>25</v>
      </c>
      <c r="AE393" s="11">
        <v>25</v>
      </c>
      <c r="AF393" s="11">
        <v>25</v>
      </c>
    </row>
    <row r="394" spans="1:32" s="11" customFormat="1" x14ac:dyDescent="0.2">
      <c r="A394" s="11">
        <v>517</v>
      </c>
      <c r="F394" s="11" t="s">
        <v>16420</v>
      </c>
      <c r="G394" s="11" t="s">
        <v>16421</v>
      </c>
      <c r="H394" s="12">
        <v>69.3</v>
      </c>
      <c r="I394" s="11" t="s">
        <v>16407</v>
      </c>
      <c r="L394" s="11">
        <v>57.959000000000003</v>
      </c>
      <c r="M394" s="11">
        <v>56.015000000000001</v>
      </c>
      <c r="N394" s="11">
        <v>113.724</v>
      </c>
      <c r="O394" s="11">
        <v>114.56</v>
      </c>
      <c r="P394" s="11">
        <v>101.069</v>
      </c>
      <c r="Q394" s="11">
        <v>102.515</v>
      </c>
      <c r="R394" s="11">
        <v>106.917</v>
      </c>
      <c r="S394" s="11">
        <v>107.268</v>
      </c>
      <c r="T394" s="11">
        <v>60.643000000000001</v>
      </c>
      <c r="U394" s="11">
        <v>62.128999999999998</v>
      </c>
      <c r="V394" s="11">
        <v>39.356999999999999</v>
      </c>
      <c r="W394" s="11">
        <v>37.871000000000002</v>
      </c>
      <c r="X394" s="11">
        <v>11.132</v>
      </c>
      <c r="Y394" s="11">
        <v>12.117000000000001</v>
      </c>
      <c r="Z394" s="11">
        <v>37.871000000000002</v>
      </c>
      <c r="AA394" s="11">
        <v>39.356999999999999</v>
      </c>
      <c r="AB394" s="11">
        <v>10.564</v>
      </c>
      <c r="AC394" s="11">
        <v>22</v>
      </c>
      <c r="AD394" s="11">
        <v>18</v>
      </c>
      <c r="AE394" s="11">
        <v>18</v>
      </c>
      <c r="AF394" s="11">
        <v>18</v>
      </c>
    </row>
    <row r="395" spans="1:32" s="11" customFormat="1" x14ac:dyDescent="0.2">
      <c r="A395" s="11">
        <v>518</v>
      </c>
      <c r="F395" s="11" t="s">
        <v>16414</v>
      </c>
      <c r="G395" s="11" t="s">
        <v>16415</v>
      </c>
      <c r="H395" s="12">
        <v>83.3</v>
      </c>
      <c r="I395" s="11" t="s">
        <v>16404</v>
      </c>
      <c r="L395" s="11">
        <v>52.82</v>
      </c>
      <c r="M395" s="11">
        <v>51.167999999999999</v>
      </c>
      <c r="N395" s="11">
        <v>103.25</v>
      </c>
      <c r="O395" s="11">
        <v>104.3</v>
      </c>
      <c r="P395" s="11">
        <v>100.339</v>
      </c>
      <c r="Q395" s="11">
        <v>100.78</v>
      </c>
      <c r="R395" s="11">
        <v>115.91</v>
      </c>
      <c r="S395" s="11">
        <v>115.753</v>
      </c>
      <c r="T395" s="11">
        <v>63.734000000000002</v>
      </c>
      <c r="U395" s="11">
        <v>63.579000000000001</v>
      </c>
      <c r="V395" s="11">
        <v>36.265999999999998</v>
      </c>
      <c r="W395" s="11">
        <v>36.420999999999999</v>
      </c>
      <c r="X395" s="11">
        <v>13.962</v>
      </c>
      <c r="Y395" s="11">
        <v>13.327</v>
      </c>
      <c r="Z395" s="11">
        <v>36.420999999999999</v>
      </c>
      <c r="AA395" s="11">
        <v>36.265999999999998</v>
      </c>
      <c r="AB395" s="11">
        <v>9.5129999999999999</v>
      </c>
      <c r="AC395" s="11">
        <v>20</v>
      </c>
      <c r="AD395" s="11">
        <v>22</v>
      </c>
      <c r="AE395" s="11">
        <v>20</v>
      </c>
      <c r="AF395" s="11">
        <v>20</v>
      </c>
    </row>
    <row r="396" spans="1:32" s="11" customFormat="1" x14ac:dyDescent="0.2">
      <c r="A396" s="11">
        <v>519</v>
      </c>
      <c r="F396" s="11" t="s">
        <v>16414</v>
      </c>
      <c r="G396" s="11" t="s">
        <v>16415</v>
      </c>
      <c r="H396" s="12">
        <v>65.2</v>
      </c>
      <c r="I396" s="11" t="s">
        <v>16404</v>
      </c>
      <c r="L396" s="11">
        <v>63.241</v>
      </c>
      <c r="M396" s="11">
        <v>68.885000000000005</v>
      </c>
      <c r="N396" s="11">
        <v>131.66</v>
      </c>
      <c r="O396" s="11">
        <v>134.11199999999999</v>
      </c>
      <c r="P396" s="11">
        <v>126.017</v>
      </c>
      <c r="Q396" s="11">
        <v>127.523</v>
      </c>
      <c r="R396" s="11">
        <v>114.48099999999999</v>
      </c>
      <c r="S396" s="11">
        <v>114.32899999999999</v>
      </c>
      <c r="T396" s="11">
        <v>62.87</v>
      </c>
      <c r="U396" s="11">
        <v>63.527000000000001</v>
      </c>
      <c r="V396" s="11">
        <v>37.130000000000003</v>
      </c>
      <c r="W396" s="11">
        <v>36.472999999999999</v>
      </c>
      <c r="X396" s="11">
        <v>13.066000000000001</v>
      </c>
      <c r="Y396" s="11">
        <v>13.917999999999999</v>
      </c>
      <c r="Z396" s="11">
        <v>36.472999999999999</v>
      </c>
      <c r="AA396" s="11">
        <v>37.130000000000003</v>
      </c>
      <c r="AB396" s="11">
        <v>10.401999999999999</v>
      </c>
      <c r="AC396" s="11">
        <v>22</v>
      </c>
      <c r="AD396" s="11">
        <v>20</v>
      </c>
      <c r="AE396" s="11">
        <v>20</v>
      </c>
      <c r="AF396" s="11">
        <v>20</v>
      </c>
    </row>
    <row r="397" spans="1:32" s="11" customFormat="1" x14ac:dyDescent="0.2">
      <c r="A397" s="11">
        <v>520</v>
      </c>
      <c r="F397" s="11" t="s">
        <v>16414</v>
      </c>
      <c r="G397" s="11" t="s">
        <v>16415</v>
      </c>
      <c r="H397" s="12">
        <v>64.099999999999994</v>
      </c>
      <c r="I397" s="11" t="s">
        <v>16404</v>
      </c>
      <c r="L397" s="11">
        <v>60.642000000000003</v>
      </c>
      <c r="M397" s="11">
        <v>51.643999999999998</v>
      </c>
      <c r="N397" s="11">
        <v>111.806</v>
      </c>
      <c r="O397" s="11">
        <v>112.938</v>
      </c>
      <c r="P397" s="11">
        <v>95.305999999999997</v>
      </c>
      <c r="Q397" s="11">
        <v>95.370999999999995</v>
      </c>
      <c r="R397" s="11">
        <v>102.087</v>
      </c>
      <c r="S397" s="11">
        <v>101.48</v>
      </c>
      <c r="T397" s="11">
        <v>62.588999999999999</v>
      </c>
      <c r="U397" s="11">
        <v>63.588000000000001</v>
      </c>
      <c r="V397" s="11">
        <v>37.411000000000001</v>
      </c>
      <c r="W397" s="11">
        <v>36.411999999999999</v>
      </c>
      <c r="X397" s="11">
        <v>12.631</v>
      </c>
      <c r="Y397" s="11">
        <v>14.175000000000001</v>
      </c>
      <c r="Z397" s="11">
        <v>36.411999999999999</v>
      </c>
      <c r="AA397" s="11">
        <v>37.411000000000001</v>
      </c>
      <c r="AB397" s="11">
        <v>8.4969999999999999</v>
      </c>
      <c r="AC397" s="11">
        <v>21</v>
      </c>
      <c r="AD397" s="11">
        <v>21</v>
      </c>
      <c r="AE397" s="11">
        <v>21</v>
      </c>
      <c r="AF397" s="11">
        <v>21</v>
      </c>
    </row>
    <row r="398" spans="1:32" s="11" customFormat="1" x14ac:dyDescent="0.2">
      <c r="A398" s="11">
        <v>521</v>
      </c>
      <c r="F398" s="11" t="s">
        <v>16420</v>
      </c>
      <c r="G398" s="11" t="s">
        <v>16421</v>
      </c>
      <c r="H398" s="12">
        <v>78.7</v>
      </c>
      <c r="I398" s="11" t="s">
        <v>16404</v>
      </c>
      <c r="L398" s="11">
        <v>60.64</v>
      </c>
      <c r="M398" s="11">
        <v>59.683</v>
      </c>
      <c r="N398" s="11">
        <v>120.798</v>
      </c>
      <c r="O398" s="11">
        <v>120.259</v>
      </c>
      <c r="P398" s="11">
        <v>106.604</v>
      </c>
      <c r="Q398" s="11">
        <v>106.562</v>
      </c>
      <c r="R398" s="11">
        <v>106.267</v>
      </c>
      <c r="S398" s="11">
        <v>106.08799999999999</v>
      </c>
      <c r="T398" s="11">
        <v>62.411000000000001</v>
      </c>
      <c r="U398" s="11">
        <v>63.58</v>
      </c>
      <c r="V398" s="11">
        <v>37.588999999999999</v>
      </c>
      <c r="W398" s="11">
        <v>36.42</v>
      </c>
      <c r="X398" s="11">
        <v>12.615</v>
      </c>
      <c r="Y398" s="11">
        <v>13.619</v>
      </c>
      <c r="Z398" s="11">
        <v>36.42</v>
      </c>
      <c r="AA398" s="11">
        <v>37.588999999999999</v>
      </c>
      <c r="AB398" s="11">
        <v>14.313000000000001</v>
      </c>
      <c r="AC398" s="11">
        <v>20</v>
      </c>
      <c r="AD398" s="11">
        <v>18</v>
      </c>
      <c r="AE398" s="11">
        <v>18</v>
      </c>
      <c r="AF398" s="11">
        <v>18</v>
      </c>
    </row>
    <row r="399" spans="1:32" s="11" customFormat="1" x14ac:dyDescent="0.2">
      <c r="A399" s="11">
        <v>522</v>
      </c>
      <c r="F399" s="11" t="s">
        <v>16420</v>
      </c>
      <c r="G399" s="11" t="s">
        <v>16421</v>
      </c>
      <c r="H399" s="12">
        <v>56.4</v>
      </c>
      <c r="I399" s="11" t="s">
        <v>16404</v>
      </c>
      <c r="L399" s="11">
        <v>67.097999999999999</v>
      </c>
      <c r="M399" s="11">
        <v>71.484999999999999</v>
      </c>
      <c r="N399" s="11">
        <v>137.91200000000001</v>
      </c>
      <c r="O399" s="11">
        <v>139.83500000000001</v>
      </c>
      <c r="P399" s="11">
        <v>129.07300000000001</v>
      </c>
      <c r="Q399" s="11">
        <v>129.91399999999999</v>
      </c>
      <c r="R399" s="11">
        <v>111.384</v>
      </c>
      <c r="S399" s="11">
        <v>110.982</v>
      </c>
      <c r="T399" s="11">
        <v>59.695999999999998</v>
      </c>
      <c r="U399" s="11">
        <v>62.156999999999996</v>
      </c>
      <c r="V399" s="11">
        <v>40.304000000000002</v>
      </c>
      <c r="W399" s="11">
        <v>37.843000000000004</v>
      </c>
      <c r="X399" s="11">
        <v>10.358000000000001</v>
      </c>
      <c r="Y399" s="11">
        <v>11.497</v>
      </c>
      <c r="Z399" s="11">
        <v>37.843000000000004</v>
      </c>
      <c r="AA399" s="11">
        <v>40.304000000000002</v>
      </c>
      <c r="AB399" s="11">
        <v>11.494999999999999</v>
      </c>
      <c r="AC399" s="11">
        <v>15</v>
      </c>
      <c r="AD399" s="11">
        <v>17</v>
      </c>
      <c r="AE399" s="11">
        <v>15</v>
      </c>
      <c r="AF399" s="11">
        <v>15</v>
      </c>
    </row>
    <row r="400" spans="1:32" s="11" customFormat="1" x14ac:dyDescent="0.2">
      <c r="A400" s="11">
        <v>523</v>
      </c>
      <c r="F400" s="11" t="s">
        <v>16420</v>
      </c>
      <c r="G400" s="11" t="s">
        <v>16421</v>
      </c>
      <c r="H400" s="12">
        <v>72.3</v>
      </c>
      <c r="I400" s="11" t="s">
        <v>16404</v>
      </c>
      <c r="L400" s="11">
        <v>44.805999999999997</v>
      </c>
      <c r="M400" s="11">
        <v>45.161000000000001</v>
      </c>
      <c r="N400" s="11">
        <v>90.542000000000002</v>
      </c>
      <c r="O400" s="11">
        <v>89.709000000000003</v>
      </c>
      <c r="P400" s="11">
        <v>71.596000000000004</v>
      </c>
      <c r="Q400" s="11">
        <v>70.765000000000001</v>
      </c>
      <c r="R400" s="11">
        <v>94.846999999999994</v>
      </c>
      <c r="S400" s="11">
        <v>94.442999999999998</v>
      </c>
      <c r="T400" s="11">
        <v>67.864000000000004</v>
      </c>
      <c r="U400" s="11">
        <v>65.254999999999995</v>
      </c>
      <c r="V400" s="11">
        <v>32.136000000000003</v>
      </c>
      <c r="W400" s="11">
        <v>34.744999999999997</v>
      </c>
      <c r="X400" s="11">
        <v>16.945</v>
      </c>
      <c r="Y400" s="11">
        <v>16.007000000000001</v>
      </c>
      <c r="Z400" s="11">
        <v>34.744999999999997</v>
      </c>
      <c r="AA400" s="11">
        <v>32.136000000000003</v>
      </c>
      <c r="AB400" s="11">
        <v>12.401999999999999</v>
      </c>
      <c r="AC400" s="11">
        <v>15</v>
      </c>
      <c r="AD400" s="11">
        <v>17</v>
      </c>
      <c r="AE400" s="11">
        <v>15</v>
      </c>
      <c r="AF400" s="11">
        <v>15</v>
      </c>
    </row>
    <row r="401" spans="1:32" s="11" customFormat="1" x14ac:dyDescent="0.2">
      <c r="A401" s="11">
        <v>524</v>
      </c>
      <c r="F401" s="11" t="s">
        <v>16414</v>
      </c>
      <c r="G401" s="11" t="s">
        <v>16415</v>
      </c>
      <c r="H401" s="12">
        <v>69.2</v>
      </c>
      <c r="I401" s="11" t="s">
        <v>16404</v>
      </c>
      <c r="L401" s="11">
        <v>48.381999999999998</v>
      </c>
      <c r="M401" s="11">
        <v>46.271999999999998</v>
      </c>
      <c r="N401" s="11">
        <v>94.911000000000001</v>
      </c>
      <c r="O401" s="11">
        <v>94.825999999999993</v>
      </c>
      <c r="P401" s="11">
        <v>91.912999999999997</v>
      </c>
      <c r="Q401" s="11">
        <v>91.471999999999994</v>
      </c>
      <c r="R401" s="11">
        <v>116.875</v>
      </c>
      <c r="S401" s="11">
        <v>115.9</v>
      </c>
      <c r="T401" s="11">
        <v>65.233000000000004</v>
      </c>
      <c r="U401" s="11">
        <v>64.513999999999996</v>
      </c>
      <c r="V401" s="11">
        <v>34.767000000000003</v>
      </c>
      <c r="W401" s="11">
        <v>35.485999999999997</v>
      </c>
      <c r="X401" s="11">
        <v>15.199</v>
      </c>
      <c r="Y401" s="11">
        <v>14.648</v>
      </c>
      <c r="Z401" s="11">
        <v>35.485999999999997</v>
      </c>
      <c r="AA401" s="11">
        <v>34.767000000000003</v>
      </c>
      <c r="AB401" s="11">
        <v>10.807</v>
      </c>
      <c r="AC401" s="11">
        <v>24</v>
      </c>
      <c r="AD401" s="11">
        <v>24</v>
      </c>
      <c r="AE401" s="11">
        <v>24</v>
      </c>
      <c r="AF401" s="11">
        <v>24</v>
      </c>
    </row>
    <row r="402" spans="1:32" s="11" customFormat="1" x14ac:dyDescent="0.2">
      <c r="A402" s="11">
        <v>525</v>
      </c>
      <c r="F402" s="11" t="s">
        <v>16416</v>
      </c>
      <c r="G402" s="11" t="s">
        <v>16417</v>
      </c>
      <c r="H402" s="12">
        <v>73.599999999999994</v>
      </c>
      <c r="I402" s="11" t="s">
        <v>16404</v>
      </c>
      <c r="L402" s="11">
        <v>53.506</v>
      </c>
      <c r="M402" s="11">
        <v>57.554000000000002</v>
      </c>
      <c r="N402" s="11">
        <v>110.633</v>
      </c>
      <c r="O402" s="11">
        <v>111.322</v>
      </c>
      <c r="P402" s="11">
        <v>84.313000000000002</v>
      </c>
      <c r="Q402" s="11">
        <v>84.382999999999996</v>
      </c>
      <c r="R402" s="11">
        <v>91.031000000000006</v>
      </c>
      <c r="S402" s="11">
        <v>90.977999999999994</v>
      </c>
      <c r="T402" s="11">
        <v>64.543000000000006</v>
      </c>
      <c r="U402" s="11">
        <v>63.811999999999998</v>
      </c>
      <c r="V402" s="11">
        <v>35.457000000000001</v>
      </c>
      <c r="W402" s="11">
        <v>36.188000000000002</v>
      </c>
      <c r="X402" s="11">
        <v>13.496</v>
      </c>
      <c r="Y402" s="11">
        <v>14.827999999999999</v>
      </c>
      <c r="Z402" s="11">
        <v>36.188000000000002</v>
      </c>
      <c r="AA402" s="11">
        <v>35.457000000000001</v>
      </c>
      <c r="AB402" s="11">
        <v>12.28</v>
      </c>
      <c r="AC402" s="11">
        <v>17</v>
      </c>
      <c r="AD402" s="11">
        <v>17</v>
      </c>
      <c r="AE402" s="11">
        <v>17</v>
      </c>
      <c r="AF402" s="11">
        <v>17</v>
      </c>
    </row>
    <row r="403" spans="1:32" s="11" customFormat="1" x14ac:dyDescent="0.2">
      <c r="A403" s="11">
        <v>526</v>
      </c>
      <c r="F403" s="11" t="s">
        <v>16414</v>
      </c>
      <c r="G403" s="11" t="s">
        <v>16415</v>
      </c>
      <c r="H403" s="12">
        <v>69.8</v>
      </c>
      <c r="I403" s="11" t="s">
        <v>16407</v>
      </c>
      <c r="L403" s="11">
        <v>36.100999999999999</v>
      </c>
      <c r="M403" s="11">
        <v>38.765999999999998</v>
      </c>
      <c r="N403" s="11">
        <v>74.936000000000007</v>
      </c>
      <c r="O403" s="11">
        <v>75.623999999999995</v>
      </c>
      <c r="P403" s="11">
        <v>67.625</v>
      </c>
      <c r="Q403" s="11">
        <v>67.355999999999995</v>
      </c>
      <c r="R403" s="11">
        <v>107.944</v>
      </c>
      <c r="S403" s="11">
        <v>107.22799999999999</v>
      </c>
      <c r="T403" s="11">
        <v>63.204999999999998</v>
      </c>
      <c r="U403" s="11">
        <v>65.341999999999999</v>
      </c>
      <c r="V403" s="11">
        <v>36.795000000000002</v>
      </c>
      <c r="W403" s="11">
        <v>34.658000000000001</v>
      </c>
      <c r="X403" s="11">
        <v>13.686999999999999</v>
      </c>
      <c r="Y403" s="11">
        <v>15.074</v>
      </c>
      <c r="Z403" s="11">
        <v>34.658000000000001</v>
      </c>
      <c r="AA403" s="11">
        <v>36.795000000000002</v>
      </c>
      <c r="AB403" s="11">
        <v>12.287000000000001</v>
      </c>
      <c r="AC403" s="11">
        <v>20</v>
      </c>
      <c r="AD403" s="11">
        <v>19</v>
      </c>
      <c r="AE403" s="11">
        <v>19</v>
      </c>
      <c r="AF403" s="11">
        <v>19</v>
      </c>
    </row>
    <row r="404" spans="1:32" s="11" customFormat="1" x14ac:dyDescent="0.2">
      <c r="A404" s="11">
        <v>527</v>
      </c>
      <c r="F404" s="11" t="s">
        <v>16420</v>
      </c>
      <c r="G404" s="11" t="s">
        <v>16421</v>
      </c>
      <c r="H404" s="12">
        <v>73.900000000000006</v>
      </c>
      <c r="I404" s="11" t="s">
        <v>16407</v>
      </c>
      <c r="L404" s="11">
        <v>52.311</v>
      </c>
      <c r="M404" s="11">
        <v>49.993000000000002</v>
      </c>
      <c r="N404" s="11">
        <v>102.399</v>
      </c>
      <c r="O404" s="11">
        <v>103.047</v>
      </c>
      <c r="P404" s="11">
        <v>98.774000000000001</v>
      </c>
      <c r="Q404" s="11">
        <v>98.733000000000004</v>
      </c>
      <c r="R404" s="11">
        <v>115.749</v>
      </c>
      <c r="S404" s="11">
        <v>114.879</v>
      </c>
      <c r="T404" s="11">
        <v>61.692999999999998</v>
      </c>
      <c r="U404" s="11">
        <v>63.790999999999997</v>
      </c>
      <c r="V404" s="11">
        <v>38.307000000000002</v>
      </c>
      <c r="W404" s="11">
        <v>36.209000000000003</v>
      </c>
      <c r="X404" s="11">
        <v>13.186999999999999</v>
      </c>
      <c r="Y404" s="11">
        <v>12.757</v>
      </c>
      <c r="Z404" s="11">
        <v>36.209000000000003</v>
      </c>
      <c r="AA404" s="11">
        <v>38.307000000000002</v>
      </c>
      <c r="AB404" s="11">
        <v>12.382</v>
      </c>
      <c r="AC404" s="11">
        <v>22</v>
      </c>
      <c r="AD404" s="11">
        <v>22</v>
      </c>
      <c r="AE404" s="11">
        <v>22</v>
      </c>
      <c r="AF404" s="11">
        <v>22</v>
      </c>
    </row>
    <row r="405" spans="1:32" s="11" customFormat="1" x14ac:dyDescent="0.2">
      <c r="A405" s="11">
        <v>528</v>
      </c>
      <c r="F405" s="11" t="s">
        <v>16420</v>
      </c>
      <c r="G405" s="11" t="s">
        <v>16421</v>
      </c>
      <c r="H405" s="12">
        <v>45.1</v>
      </c>
      <c r="I405" s="11" t="s">
        <v>16407</v>
      </c>
      <c r="L405" s="11">
        <v>54.582999999999998</v>
      </c>
      <c r="M405" s="11">
        <v>53.884</v>
      </c>
      <c r="N405" s="11">
        <v>108.364</v>
      </c>
      <c r="O405" s="11">
        <v>108.77</v>
      </c>
      <c r="P405" s="11">
        <v>90.965000000000003</v>
      </c>
      <c r="Q405" s="11">
        <v>90.863</v>
      </c>
      <c r="R405" s="11">
        <v>100.834</v>
      </c>
      <c r="S405" s="11">
        <v>100.258</v>
      </c>
      <c r="T405" s="11">
        <v>63.787999999999997</v>
      </c>
      <c r="U405" s="11">
        <v>63.981999999999999</v>
      </c>
      <c r="V405" s="11">
        <v>36.213000000000001</v>
      </c>
      <c r="W405" s="11">
        <v>36.018000000000001</v>
      </c>
      <c r="X405" s="11">
        <v>13.815</v>
      </c>
      <c r="Y405" s="11">
        <v>13.901999999999999</v>
      </c>
      <c r="Z405" s="11">
        <v>36.018000000000001</v>
      </c>
      <c r="AA405" s="11">
        <v>36.213000000000001</v>
      </c>
      <c r="AB405" s="11">
        <v>12.185</v>
      </c>
      <c r="AC405" s="11">
        <v>14</v>
      </c>
      <c r="AD405" s="11">
        <v>15</v>
      </c>
      <c r="AE405" s="11">
        <v>14</v>
      </c>
      <c r="AF405" s="11">
        <v>14</v>
      </c>
    </row>
    <row r="406" spans="1:32" s="11" customFormat="1" x14ac:dyDescent="0.2">
      <c r="A406" s="11">
        <v>529</v>
      </c>
      <c r="F406" s="11" t="s">
        <v>16428</v>
      </c>
      <c r="G406" s="11" t="s">
        <v>16429</v>
      </c>
      <c r="H406" s="12">
        <v>45.3</v>
      </c>
      <c r="I406" s="11" t="s">
        <v>16407</v>
      </c>
      <c r="L406" s="11">
        <v>30.62</v>
      </c>
      <c r="M406" s="11">
        <v>30.981999999999999</v>
      </c>
      <c r="N406" s="11">
        <v>61.511000000000003</v>
      </c>
      <c r="O406" s="11">
        <v>61.838999999999999</v>
      </c>
      <c r="P406" s="11">
        <v>45.625</v>
      </c>
      <c r="Q406" s="11">
        <v>45.198999999999998</v>
      </c>
      <c r="R406" s="11">
        <v>88.563999999999993</v>
      </c>
      <c r="S406" s="11">
        <v>88.632000000000005</v>
      </c>
      <c r="T406" s="11">
        <v>71.546999999999997</v>
      </c>
      <c r="U406" s="11">
        <v>70.662000000000006</v>
      </c>
      <c r="V406" s="11">
        <v>28.452999999999999</v>
      </c>
      <c r="W406" s="11">
        <v>29.338000000000001</v>
      </c>
      <c r="X406" s="11">
        <v>20.949000000000002</v>
      </c>
      <c r="Y406" s="11">
        <v>20.629000000000001</v>
      </c>
      <c r="Z406" s="11">
        <v>29.338000000000001</v>
      </c>
      <c r="AA406" s="11">
        <v>28.452999999999999</v>
      </c>
      <c r="AB406" s="11">
        <v>22.213000000000001</v>
      </c>
      <c r="AC406" s="11">
        <v>23</v>
      </c>
      <c r="AD406" s="11">
        <v>23</v>
      </c>
      <c r="AE406" s="11">
        <v>23</v>
      </c>
      <c r="AF406" s="11">
        <v>23</v>
      </c>
    </row>
    <row r="407" spans="1:32" s="11" customFormat="1" x14ac:dyDescent="0.2">
      <c r="A407" s="11">
        <v>530</v>
      </c>
      <c r="F407" s="11" t="s">
        <v>16403</v>
      </c>
      <c r="G407" s="11" t="s">
        <v>16403</v>
      </c>
      <c r="H407" s="12">
        <v>999</v>
      </c>
      <c r="I407" s="11" t="s">
        <v>16403</v>
      </c>
      <c r="L407" s="11">
        <v>43.223999999999997</v>
      </c>
      <c r="M407" s="11">
        <v>45.212000000000003</v>
      </c>
      <c r="N407" s="11">
        <v>87.846999999999994</v>
      </c>
      <c r="O407" s="11">
        <v>89.143000000000001</v>
      </c>
      <c r="P407" s="11">
        <v>76.492999999999995</v>
      </c>
      <c r="Q407" s="11">
        <v>76.781000000000006</v>
      </c>
      <c r="R407" s="11">
        <v>103.816</v>
      </c>
      <c r="S407" s="11">
        <v>102.816</v>
      </c>
      <c r="T407" s="11">
        <v>65.334000000000003</v>
      </c>
      <c r="U407" s="11">
        <v>66.715000000000003</v>
      </c>
      <c r="V407" s="11">
        <v>34.665999999999997</v>
      </c>
      <c r="W407" s="11">
        <v>33.284999999999997</v>
      </c>
      <c r="X407" s="11">
        <v>15.731</v>
      </c>
      <c r="Y407" s="11">
        <v>16.446000000000002</v>
      </c>
      <c r="Z407" s="11">
        <v>33.284999999999997</v>
      </c>
      <c r="AA407" s="11">
        <v>34.665999999999997</v>
      </c>
      <c r="AB407" s="11">
        <v>12.417999999999999</v>
      </c>
      <c r="AC407" s="11">
        <v>15</v>
      </c>
      <c r="AD407" s="11">
        <v>16</v>
      </c>
      <c r="AE407" s="11">
        <v>15</v>
      </c>
      <c r="AF407" s="11">
        <v>15</v>
      </c>
    </row>
    <row r="408" spans="1:32" s="11" customFormat="1" x14ac:dyDescent="0.2">
      <c r="A408" s="11">
        <v>531</v>
      </c>
      <c r="F408" s="11" t="s">
        <v>16414</v>
      </c>
      <c r="G408" s="11" t="s">
        <v>16415</v>
      </c>
      <c r="H408" s="12">
        <v>50.5</v>
      </c>
      <c r="I408" s="11" t="s">
        <v>16407</v>
      </c>
      <c r="L408" s="11" t="s">
        <v>16403</v>
      </c>
      <c r="M408" s="11" t="s">
        <v>16403</v>
      </c>
      <c r="N408" s="11" t="s">
        <v>16403</v>
      </c>
      <c r="O408" s="11" t="s">
        <v>16403</v>
      </c>
      <c r="P408" s="11" t="s">
        <v>16403</v>
      </c>
      <c r="Q408" s="11" t="s">
        <v>16403</v>
      </c>
      <c r="R408" s="11" t="s">
        <v>16403</v>
      </c>
      <c r="S408" s="11" t="s">
        <v>16403</v>
      </c>
      <c r="T408" s="11" t="s">
        <v>16403</v>
      </c>
      <c r="U408" s="11" t="s">
        <v>16403</v>
      </c>
      <c r="V408" s="11" t="s">
        <v>16403</v>
      </c>
      <c r="W408" s="11" t="s">
        <v>16403</v>
      </c>
      <c r="X408" s="11" t="s">
        <v>16403</v>
      </c>
      <c r="Y408" s="11" t="s">
        <v>16403</v>
      </c>
      <c r="Z408" s="11" t="s">
        <v>16403</v>
      </c>
      <c r="AA408" s="11" t="s">
        <v>16403</v>
      </c>
      <c r="AB408" s="11" t="s">
        <v>16403</v>
      </c>
      <c r="AC408" s="11" t="s">
        <v>16403</v>
      </c>
      <c r="AD408" s="11" t="s">
        <v>16403</v>
      </c>
      <c r="AE408" s="11" t="s">
        <v>16403</v>
      </c>
      <c r="AF408" s="11" t="s">
        <v>16403</v>
      </c>
    </row>
    <row r="409" spans="1:32" s="11" customFormat="1" x14ac:dyDescent="0.2">
      <c r="A409" s="11">
        <v>532</v>
      </c>
      <c r="F409" s="11" t="s">
        <v>16414</v>
      </c>
      <c r="G409" s="11" t="s">
        <v>16415</v>
      </c>
      <c r="H409" s="12">
        <v>62.6</v>
      </c>
      <c r="I409" s="11" t="s">
        <v>16404</v>
      </c>
      <c r="L409" s="11" t="s">
        <v>16403</v>
      </c>
      <c r="M409" s="11" t="s">
        <v>16403</v>
      </c>
      <c r="N409" s="11" t="s">
        <v>16403</v>
      </c>
      <c r="O409" s="11" t="s">
        <v>16403</v>
      </c>
      <c r="P409" s="11" t="s">
        <v>16403</v>
      </c>
      <c r="Q409" s="11" t="s">
        <v>16403</v>
      </c>
      <c r="R409" s="11" t="s">
        <v>16403</v>
      </c>
      <c r="S409" s="11" t="s">
        <v>16403</v>
      </c>
      <c r="T409" s="11" t="s">
        <v>16403</v>
      </c>
      <c r="U409" s="11" t="s">
        <v>16403</v>
      </c>
      <c r="V409" s="11" t="s">
        <v>16403</v>
      </c>
      <c r="W409" s="11" t="s">
        <v>16403</v>
      </c>
      <c r="X409" s="11" t="s">
        <v>16403</v>
      </c>
      <c r="Y409" s="11" t="s">
        <v>16403</v>
      </c>
      <c r="Z409" s="11" t="s">
        <v>16403</v>
      </c>
      <c r="AA409" s="11" t="s">
        <v>16403</v>
      </c>
      <c r="AB409" s="11" t="s">
        <v>16403</v>
      </c>
      <c r="AC409" s="11" t="s">
        <v>16403</v>
      </c>
      <c r="AD409" s="11" t="s">
        <v>16403</v>
      </c>
      <c r="AE409" s="11" t="s">
        <v>16403</v>
      </c>
      <c r="AF409" s="11" t="s">
        <v>16403</v>
      </c>
    </row>
    <row r="410" spans="1:32" s="11" customFormat="1" x14ac:dyDescent="0.2">
      <c r="A410" s="11">
        <v>533</v>
      </c>
      <c r="F410" s="11" t="s">
        <v>16403</v>
      </c>
      <c r="G410" s="11" t="s">
        <v>16403</v>
      </c>
      <c r="H410" s="12">
        <v>999</v>
      </c>
      <c r="I410" s="11" t="s">
        <v>16403</v>
      </c>
      <c r="L410" s="11" t="s">
        <v>16403</v>
      </c>
      <c r="M410" s="11" t="s">
        <v>16403</v>
      </c>
      <c r="N410" s="11" t="s">
        <v>16403</v>
      </c>
      <c r="O410" s="11" t="s">
        <v>16403</v>
      </c>
      <c r="P410" s="11" t="s">
        <v>16403</v>
      </c>
      <c r="Q410" s="11" t="s">
        <v>16403</v>
      </c>
      <c r="R410" s="11" t="s">
        <v>16403</v>
      </c>
      <c r="S410" s="11" t="s">
        <v>16403</v>
      </c>
      <c r="T410" s="11" t="s">
        <v>16403</v>
      </c>
      <c r="U410" s="11" t="s">
        <v>16403</v>
      </c>
      <c r="V410" s="11" t="s">
        <v>16403</v>
      </c>
      <c r="W410" s="11" t="s">
        <v>16403</v>
      </c>
      <c r="X410" s="11" t="s">
        <v>16403</v>
      </c>
      <c r="Y410" s="11" t="s">
        <v>16403</v>
      </c>
      <c r="Z410" s="11" t="s">
        <v>16403</v>
      </c>
      <c r="AA410" s="11" t="s">
        <v>16403</v>
      </c>
      <c r="AB410" s="11" t="s">
        <v>16403</v>
      </c>
      <c r="AC410" s="11" t="s">
        <v>16403</v>
      </c>
      <c r="AD410" s="11" t="s">
        <v>16403</v>
      </c>
      <c r="AE410" s="11" t="s">
        <v>16403</v>
      </c>
      <c r="AF410" s="11" t="s">
        <v>16403</v>
      </c>
    </row>
    <row r="411" spans="1:32" s="11" customFormat="1" x14ac:dyDescent="0.2">
      <c r="A411" s="11">
        <v>534</v>
      </c>
      <c r="F411" s="11" t="s">
        <v>16403</v>
      </c>
      <c r="G411" s="11" t="s">
        <v>16403</v>
      </c>
      <c r="H411" s="12">
        <v>999</v>
      </c>
      <c r="I411" s="11" t="s">
        <v>16403</v>
      </c>
      <c r="L411" s="11" t="s">
        <v>16403</v>
      </c>
      <c r="M411" s="11" t="s">
        <v>16403</v>
      </c>
      <c r="N411" s="11" t="s">
        <v>16403</v>
      </c>
      <c r="O411" s="11" t="s">
        <v>16403</v>
      </c>
      <c r="P411" s="11" t="s">
        <v>16403</v>
      </c>
      <c r="Q411" s="11" t="s">
        <v>16403</v>
      </c>
      <c r="R411" s="11" t="s">
        <v>16403</v>
      </c>
      <c r="S411" s="11" t="s">
        <v>16403</v>
      </c>
      <c r="T411" s="11" t="s">
        <v>16403</v>
      </c>
      <c r="U411" s="11" t="s">
        <v>16403</v>
      </c>
      <c r="V411" s="11" t="s">
        <v>16403</v>
      </c>
      <c r="W411" s="11" t="s">
        <v>16403</v>
      </c>
      <c r="X411" s="11" t="s">
        <v>16403</v>
      </c>
      <c r="Y411" s="11" t="s">
        <v>16403</v>
      </c>
      <c r="Z411" s="11" t="s">
        <v>16403</v>
      </c>
      <c r="AA411" s="11" t="s">
        <v>16403</v>
      </c>
      <c r="AB411" s="11" t="s">
        <v>16403</v>
      </c>
      <c r="AC411" s="11" t="s">
        <v>16403</v>
      </c>
      <c r="AD411" s="11" t="s">
        <v>16403</v>
      </c>
      <c r="AE411" s="11" t="s">
        <v>16403</v>
      </c>
      <c r="AF411" s="11" t="s">
        <v>16403</v>
      </c>
    </row>
    <row r="412" spans="1:32" s="11" customFormat="1" x14ac:dyDescent="0.2">
      <c r="A412" s="11">
        <v>535</v>
      </c>
      <c r="F412" s="11" t="s">
        <v>16420</v>
      </c>
      <c r="G412" s="11" t="s">
        <v>16421</v>
      </c>
      <c r="H412" s="12">
        <v>73.5</v>
      </c>
      <c r="I412" s="11" t="s">
        <v>16407</v>
      </c>
      <c r="L412" s="11">
        <v>41.963000000000001</v>
      </c>
      <c r="M412" s="11">
        <v>40.906999999999996</v>
      </c>
      <c r="N412" s="11">
        <v>82.763999999999996</v>
      </c>
      <c r="O412" s="11">
        <v>83.046000000000006</v>
      </c>
      <c r="P412" s="11">
        <v>67.286000000000001</v>
      </c>
      <c r="Q412" s="11">
        <v>67.519000000000005</v>
      </c>
      <c r="R412" s="11">
        <v>97.515000000000001</v>
      </c>
      <c r="S412" s="11">
        <v>97.489000000000004</v>
      </c>
      <c r="T412" s="11">
        <v>66.716999999999999</v>
      </c>
      <c r="U412" s="11">
        <v>68.156999999999996</v>
      </c>
      <c r="V412" s="11">
        <v>33.283000000000001</v>
      </c>
      <c r="W412" s="11">
        <v>31.843</v>
      </c>
      <c r="X412" s="11">
        <v>16.431999999999999</v>
      </c>
      <c r="Y412" s="11">
        <v>18.137</v>
      </c>
      <c r="Z412" s="11">
        <v>31.843</v>
      </c>
      <c r="AA412" s="11">
        <v>33.283000000000001</v>
      </c>
      <c r="AB412" s="11">
        <v>5.5250000000000004</v>
      </c>
      <c r="AC412" s="11">
        <v>20</v>
      </c>
      <c r="AD412" s="11">
        <v>17</v>
      </c>
      <c r="AE412" s="11">
        <v>17</v>
      </c>
      <c r="AF412" s="11">
        <v>17</v>
      </c>
    </row>
    <row r="413" spans="1:32" s="11" customFormat="1" x14ac:dyDescent="0.2">
      <c r="A413" s="11">
        <v>536</v>
      </c>
      <c r="F413" s="11" t="s">
        <v>16414</v>
      </c>
      <c r="G413" s="11" t="s">
        <v>16415</v>
      </c>
      <c r="H413" s="12">
        <v>61.9</v>
      </c>
      <c r="I413" s="11" t="s">
        <v>16404</v>
      </c>
      <c r="L413" s="11">
        <v>37.701000000000001</v>
      </c>
      <c r="M413" s="11">
        <v>27.983000000000001</v>
      </c>
      <c r="N413" s="11">
        <v>65.596999999999994</v>
      </c>
      <c r="O413" s="11">
        <v>65.614000000000004</v>
      </c>
      <c r="P413" s="11">
        <v>62.773000000000003</v>
      </c>
      <c r="Q413" s="11">
        <v>62.893000000000001</v>
      </c>
      <c r="R413" s="11">
        <v>113.435</v>
      </c>
      <c r="S413" s="11">
        <v>114.215</v>
      </c>
      <c r="T413" s="11">
        <v>65.525000000000006</v>
      </c>
      <c r="U413" s="11">
        <v>64.028000000000006</v>
      </c>
      <c r="V413" s="11">
        <v>34.475000000000001</v>
      </c>
      <c r="W413" s="11">
        <v>35.972000000000001</v>
      </c>
      <c r="X413" s="11">
        <v>14.353</v>
      </c>
      <c r="Y413" s="11">
        <v>14.823</v>
      </c>
      <c r="Z413" s="11">
        <v>35.972000000000001</v>
      </c>
      <c r="AA413" s="11">
        <v>34.475000000000001</v>
      </c>
      <c r="AB413" s="11">
        <v>12.935</v>
      </c>
      <c r="AC413" s="11">
        <v>17</v>
      </c>
      <c r="AD413" s="11">
        <v>18</v>
      </c>
      <c r="AE413" s="11">
        <v>17</v>
      </c>
      <c r="AF413" s="11">
        <v>17</v>
      </c>
    </row>
    <row r="414" spans="1:32" s="11" customFormat="1" x14ac:dyDescent="0.2">
      <c r="A414" s="11">
        <v>537</v>
      </c>
      <c r="F414" s="11" t="s">
        <v>16420</v>
      </c>
      <c r="G414" s="11" t="s">
        <v>16421</v>
      </c>
      <c r="H414" s="12">
        <v>42.4</v>
      </c>
      <c r="I414" s="11" t="s">
        <v>16404</v>
      </c>
      <c r="L414" s="11">
        <v>80.709000000000003</v>
      </c>
      <c r="M414" s="11">
        <v>76.475999999999999</v>
      </c>
      <c r="N414" s="11">
        <v>157.471</v>
      </c>
      <c r="O414" s="11">
        <v>157.84299999999999</v>
      </c>
      <c r="P414" s="11">
        <v>145.602</v>
      </c>
      <c r="Q414" s="11">
        <v>146.00399999999999</v>
      </c>
      <c r="R414" s="11">
        <v>110.754</v>
      </c>
      <c r="S414" s="11">
        <v>110.173</v>
      </c>
      <c r="T414" s="11">
        <v>60.488</v>
      </c>
      <c r="U414" s="11">
        <v>59.664999999999999</v>
      </c>
      <c r="V414" s="11">
        <v>39.512</v>
      </c>
      <c r="W414" s="11">
        <v>40.335000000000001</v>
      </c>
      <c r="X414" s="11">
        <v>9.1319999999999997</v>
      </c>
      <c r="Y414" s="11">
        <v>11.444000000000001</v>
      </c>
      <c r="Z414" s="11">
        <v>40.335000000000001</v>
      </c>
      <c r="AA414" s="11">
        <v>39.512</v>
      </c>
      <c r="AB414" s="11">
        <v>17.684999999999999</v>
      </c>
      <c r="AC414" s="11">
        <v>10</v>
      </c>
      <c r="AD414" s="11">
        <v>12</v>
      </c>
      <c r="AE414" s="11">
        <v>10</v>
      </c>
      <c r="AF414" s="11">
        <v>10</v>
      </c>
    </row>
    <row r="415" spans="1:32" s="11" customFormat="1" x14ac:dyDescent="0.2">
      <c r="A415" s="11">
        <v>538</v>
      </c>
      <c r="F415" s="11" t="s">
        <v>16414</v>
      </c>
      <c r="G415" s="11" t="s">
        <v>16415</v>
      </c>
      <c r="H415" s="12">
        <v>69.900000000000006</v>
      </c>
      <c r="I415" s="11" t="s">
        <v>16407</v>
      </c>
      <c r="L415" s="11">
        <v>51.231000000000002</v>
      </c>
      <c r="M415" s="11">
        <v>48.332000000000001</v>
      </c>
      <c r="N415" s="11">
        <v>99.906000000000006</v>
      </c>
      <c r="O415" s="11">
        <v>99.513999999999996</v>
      </c>
      <c r="P415" s="11">
        <v>106.46899999999999</v>
      </c>
      <c r="Q415" s="11">
        <v>106.99</v>
      </c>
      <c r="R415" s="11">
        <v>127.946</v>
      </c>
      <c r="S415" s="11">
        <v>128.38999999999999</v>
      </c>
      <c r="T415" s="11">
        <v>60.881999999999998</v>
      </c>
      <c r="U415" s="11">
        <v>60.622999999999998</v>
      </c>
      <c r="V415" s="11">
        <v>39.118000000000002</v>
      </c>
      <c r="W415" s="11">
        <v>39.377000000000002</v>
      </c>
      <c r="X415" s="11">
        <v>11.244999999999999</v>
      </c>
      <c r="Y415" s="11">
        <v>10.255000000000001</v>
      </c>
      <c r="Z415" s="11">
        <v>39.377000000000002</v>
      </c>
      <c r="AA415" s="11">
        <v>39.118000000000002</v>
      </c>
      <c r="AB415" s="11">
        <v>11.833</v>
      </c>
      <c r="AC415" s="11">
        <v>21</v>
      </c>
      <c r="AD415" s="11">
        <v>21</v>
      </c>
      <c r="AE415" s="11">
        <v>21</v>
      </c>
      <c r="AF415" s="11">
        <v>21</v>
      </c>
    </row>
    <row r="416" spans="1:32" s="11" customFormat="1" x14ac:dyDescent="0.2">
      <c r="A416" s="11">
        <v>539</v>
      </c>
      <c r="F416" s="11" t="s">
        <v>16432</v>
      </c>
      <c r="G416" s="11" t="s">
        <v>16433</v>
      </c>
      <c r="H416" s="12">
        <v>59.6</v>
      </c>
      <c r="I416" s="11" t="s">
        <v>16404</v>
      </c>
      <c r="L416" s="11">
        <v>39.942</v>
      </c>
      <c r="M416" s="11">
        <v>35.28</v>
      </c>
      <c r="N416" s="11">
        <v>75.606999999999999</v>
      </c>
      <c r="O416" s="11">
        <v>75.253</v>
      </c>
      <c r="P416" s="11">
        <v>54.715000000000003</v>
      </c>
      <c r="Q416" s="11">
        <v>53.920999999999999</v>
      </c>
      <c r="R416" s="11">
        <v>85.540999999999997</v>
      </c>
      <c r="S416" s="11">
        <v>85.105999999999995</v>
      </c>
      <c r="T416" s="11">
        <v>70.774000000000001</v>
      </c>
      <c r="U416" s="11">
        <v>69.569999999999993</v>
      </c>
      <c r="V416" s="11">
        <v>29.225999999999999</v>
      </c>
      <c r="W416" s="11">
        <v>30.43</v>
      </c>
      <c r="X416" s="11">
        <v>17.917000000000002</v>
      </c>
      <c r="Y416" s="11">
        <v>21.073</v>
      </c>
      <c r="Z416" s="11">
        <v>30.43</v>
      </c>
      <c r="AA416" s="11">
        <v>29.225999999999999</v>
      </c>
      <c r="AB416" s="11">
        <v>17.285</v>
      </c>
      <c r="AC416" s="11">
        <v>15</v>
      </c>
      <c r="AD416" s="11">
        <v>18</v>
      </c>
      <c r="AE416" s="11">
        <v>15</v>
      </c>
      <c r="AF416" s="11">
        <v>15</v>
      </c>
    </row>
    <row r="417" spans="1:32" s="11" customFormat="1" x14ac:dyDescent="0.2">
      <c r="A417" s="11">
        <v>540</v>
      </c>
      <c r="F417" s="11" t="s">
        <v>16444</v>
      </c>
      <c r="G417" s="11" t="s">
        <v>16445</v>
      </c>
      <c r="H417" s="12">
        <v>79.900000000000006</v>
      </c>
      <c r="I417" s="11" t="s">
        <v>16404</v>
      </c>
      <c r="L417" s="11">
        <v>45.929000000000002</v>
      </c>
      <c r="M417" s="11">
        <v>45.401000000000003</v>
      </c>
      <c r="N417" s="11">
        <v>91.489000000000004</v>
      </c>
      <c r="O417" s="11">
        <v>91.367999999999995</v>
      </c>
      <c r="P417" s="11">
        <v>66.965000000000003</v>
      </c>
      <c r="Q417" s="11">
        <v>67.016999999999996</v>
      </c>
      <c r="R417" s="11">
        <v>87.638000000000005</v>
      </c>
      <c r="S417" s="11">
        <v>87.900999999999996</v>
      </c>
      <c r="T417" s="11">
        <v>67.903999999999996</v>
      </c>
      <c r="U417" s="11">
        <v>65.950999999999993</v>
      </c>
      <c r="V417" s="11">
        <v>32.095999999999997</v>
      </c>
      <c r="W417" s="11">
        <v>34.048999999999999</v>
      </c>
      <c r="X417" s="11">
        <v>18.152999999999999</v>
      </c>
      <c r="Y417" s="11">
        <v>15.976000000000001</v>
      </c>
      <c r="Z417" s="11">
        <v>34.048999999999999</v>
      </c>
      <c r="AA417" s="11">
        <v>32.095999999999997</v>
      </c>
      <c r="AB417" s="11">
        <v>12.31</v>
      </c>
      <c r="AC417" s="11">
        <v>14</v>
      </c>
      <c r="AD417" s="11">
        <v>15</v>
      </c>
      <c r="AE417" s="11">
        <v>14</v>
      </c>
      <c r="AF417" s="11">
        <v>14</v>
      </c>
    </row>
    <row r="418" spans="1:32" s="11" customFormat="1" x14ac:dyDescent="0.2">
      <c r="A418" s="11">
        <v>541</v>
      </c>
      <c r="F418" s="11" t="s">
        <v>16414</v>
      </c>
      <c r="G418" s="11" t="s">
        <v>16415</v>
      </c>
      <c r="H418" s="12">
        <v>74.900000000000006</v>
      </c>
      <c r="I418" s="11" t="s">
        <v>16407</v>
      </c>
      <c r="L418" s="11">
        <v>27.387</v>
      </c>
      <c r="M418" s="11">
        <v>24.574999999999999</v>
      </c>
      <c r="N418" s="11">
        <v>52.32</v>
      </c>
      <c r="O418" s="11">
        <v>51.515999999999998</v>
      </c>
      <c r="P418" s="11">
        <v>47.220999999999997</v>
      </c>
      <c r="Q418" s="11">
        <v>46.356000000000002</v>
      </c>
      <c r="R418" s="11">
        <v>107.941</v>
      </c>
      <c r="S418" s="11">
        <v>108.107</v>
      </c>
      <c r="T418" s="11">
        <v>67.56</v>
      </c>
      <c r="U418" s="11">
        <v>67.129000000000005</v>
      </c>
      <c r="V418" s="11">
        <v>32.44</v>
      </c>
      <c r="W418" s="11">
        <v>32.871000000000002</v>
      </c>
      <c r="X418" s="11">
        <v>16.308</v>
      </c>
      <c r="Y418" s="11">
        <v>18.702999999999999</v>
      </c>
      <c r="Z418" s="11">
        <v>32.871000000000002</v>
      </c>
      <c r="AA418" s="11">
        <v>32.44</v>
      </c>
      <c r="AB418" s="11">
        <v>11.782999999999999</v>
      </c>
      <c r="AC418" s="11">
        <v>18</v>
      </c>
      <c r="AD418" s="11">
        <v>18</v>
      </c>
      <c r="AE418" s="11">
        <v>18</v>
      </c>
      <c r="AF418" s="11">
        <v>18</v>
      </c>
    </row>
    <row r="419" spans="1:32" s="11" customFormat="1" x14ac:dyDescent="0.2">
      <c r="A419" s="11">
        <v>542</v>
      </c>
      <c r="F419" s="11" t="s">
        <v>16432</v>
      </c>
      <c r="G419" s="11" t="s">
        <v>16433</v>
      </c>
      <c r="H419" s="12">
        <v>49</v>
      </c>
      <c r="I419" s="11" t="s">
        <v>16404</v>
      </c>
      <c r="L419" s="11">
        <v>62.445</v>
      </c>
      <c r="M419" s="11">
        <v>69.766000000000005</v>
      </c>
      <c r="N419" s="11">
        <v>132.98500000000001</v>
      </c>
      <c r="O419" s="11">
        <v>132.54400000000001</v>
      </c>
      <c r="P419" s="11">
        <v>113.214</v>
      </c>
      <c r="Q419" s="11">
        <v>112.43899999999999</v>
      </c>
      <c r="R419" s="11">
        <v>102.694</v>
      </c>
      <c r="S419" s="11">
        <v>102.48099999999999</v>
      </c>
      <c r="T419" s="11">
        <v>63.366</v>
      </c>
      <c r="U419" s="11">
        <v>61.832000000000001</v>
      </c>
      <c r="V419" s="11">
        <v>36.634</v>
      </c>
      <c r="W419" s="11">
        <v>38.167999999999999</v>
      </c>
      <c r="X419" s="11">
        <v>11.803000000000001</v>
      </c>
      <c r="Y419" s="11">
        <v>13.398999999999999</v>
      </c>
      <c r="Z419" s="11">
        <v>38.167999999999999</v>
      </c>
      <c r="AA419" s="11">
        <v>36.634</v>
      </c>
      <c r="AB419" s="11">
        <v>13.276</v>
      </c>
      <c r="AC419" s="11">
        <v>16</v>
      </c>
      <c r="AD419" s="11">
        <v>20</v>
      </c>
      <c r="AE419" s="11">
        <v>16</v>
      </c>
      <c r="AF419" s="11">
        <v>16</v>
      </c>
    </row>
    <row r="420" spans="1:32" s="11" customFormat="1" x14ac:dyDescent="0.2">
      <c r="A420" s="11">
        <v>543</v>
      </c>
      <c r="F420" s="11" t="s">
        <v>16403</v>
      </c>
      <c r="G420" s="11" t="s">
        <v>16403</v>
      </c>
      <c r="H420" s="12">
        <v>999</v>
      </c>
      <c r="I420" s="11" t="s">
        <v>16403</v>
      </c>
      <c r="L420" s="11" t="s">
        <v>16403</v>
      </c>
      <c r="M420" s="11" t="s">
        <v>16403</v>
      </c>
      <c r="N420" s="11" t="s">
        <v>16403</v>
      </c>
      <c r="O420" s="11" t="s">
        <v>16403</v>
      </c>
      <c r="P420" s="11" t="s">
        <v>16403</v>
      </c>
      <c r="Q420" s="11" t="s">
        <v>16403</v>
      </c>
      <c r="R420" s="11" t="s">
        <v>16403</v>
      </c>
      <c r="S420" s="11" t="s">
        <v>16403</v>
      </c>
      <c r="T420" s="11" t="s">
        <v>16403</v>
      </c>
      <c r="U420" s="11" t="s">
        <v>16403</v>
      </c>
      <c r="V420" s="11" t="s">
        <v>16403</v>
      </c>
      <c r="W420" s="11" t="s">
        <v>16403</v>
      </c>
      <c r="X420" s="11" t="s">
        <v>16403</v>
      </c>
      <c r="Y420" s="11" t="s">
        <v>16403</v>
      </c>
      <c r="Z420" s="11" t="s">
        <v>16403</v>
      </c>
      <c r="AA420" s="11" t="s">
        <v>16403</v>
      </c>
      <c r="AB420" s="11" t="s">
        <v>16403</v>
      </c>
      <c r="AC420" s="11" t="s">
        <v>16403</v>
      </c>
      <c r="AD420" s="11" t="s">
        <v>16403</v>
      </c>
      <c r="AE420" s="11" t="s">
        <v>16403</v>
      </c>
      <c r="AF420" s="11" t="s">
        <v>16403</v>
      </c>
    </row>
    <row r="421" spans="1:32" s="11" customFormat="1" x14ac:dyDescent="0.2">
      <c r="A421" s="11">
        <v>544</v>
      </c>
      <c r="F421" s="11" t="s">
        <v>16414</v>
      </c>
      <c r="G421" s="11" t="s">
        <v>16415</v>
      </c>
      <c r="H421" s="12">
        <v>58.8</v>
      </c>
      <c r="I421" s="11" t="s">
        <v>16407</v>
      </c>
      <c r="L421" s="11">
        <v>42.204000000000001</v>
      </c>
      <c r="M421" s="11">
        <v>44.369</v>
      </c>
      <c r="N421" s="11">
        <v>86.421000000000006</v>
      </c>
      <c r="O421" s="11">
        <v>86.742000000000004</v>
      </c>
      <c r="P421" s="11">
        <v>84.477999999999994</v>
      </c>
      <c r="Q421" s="11">
        <v>84.385000000000005</v>
      </c>
      <c r="R421" s="11">
        <v>116.91500000000001</v>
      </c>
      <c r="S421" s="11">
        <v>116.754</v>
      </c>
      <c r="T421" s="11">
        <v>60.781999999999996</v>
      </c>
      <c r="U421" s="11">
        <v>65.210999999999999</v>
      </c>
      <c r="V421" s="11">
        <v>39.218000000000004</v>
      </c>
      <c r="W421" s="11">
        <v>34.789000000000001</v>
      </c>
      <c r="X421" s="11">
        <v>14.656000000000001</v>
      </c>
      <c r="Y421" s="11">
        <v>11.622999999999999</v>
      </c>
      <c r="Z421" s="11">
        <v>34.789000000000001</v>
      </c>
      <c r="AA421" s="11">
        <v>39.218000000000004</v>
      </c>
      <c r="AB421" s="11">
        <v>14.836</v>
      </c>
      <c r="AC421" s="11">
        <v>17</v>
      </c>
      <c r="AD421" s="11">
        <v>17</v>
      </c>
      <c r="AE421" s="11">
        <v>17</v>
      </c>
      <c r="AF421" s="11">
        <v>17</v>
      </c>
    </row>
    <row r="422" spans="1:32" s="11" customFormat="1" x14ac:dyDescent="0.2">
      <c r="A422" s="11">
        <v>545</v>
      </c>
      <c r="F422" s="11" t="s">
        <v>16414</v>
      </c>
      <c r="G422" s="11" t="s">
        <v>16415</v>
      </c>
      <c r="H422" s="12">
        <v>54.8</v>
      </c>
      <c r="I422" s="11" t="s">
        <v>16407</v>
      </c>
      <c r="L422" s="11">
        <v>11.407</v>
      </c>
      <c r="M422" s="11">
        <v>-1.5589999999999999</v>
      </c>
      <c r="N422" s="11">
        <v>9.6880000000000006</v>
      </c>
      <c r="O422" s="11">
        <v>9.9139999999999997</v>
      </c>
      <c r="P422" s="11">
        <v>6.9880000000000004</v>
      </c>
      <c r="Q422" s="11">
        <v>6.9189999999999996</v>
      </c>
      <c r="R422" s="11">
        <v>85.614000000000004</v>
      </c>
      <c r="S422" s="11">
        <v>82.406999999999996</v>
      </c>
      <c r="T422" s="11">
        <v>85.001000000000005</v>
      </c>
      <c r="U422" s="11">
        <v>83.400999999999996</v>
      </c>
      <c r="V422" s="11">
        <v>14.999000000000001</v>
      </c>
      <c r="W422" s="11">
        <v>16.599</v>
      </c>
      <c r="X422" s="11">
        <v>25.606000000000002</v>
      </c>
      <c r="Y422" s="11">
        <v>43.58</v>
      </c>
      <c r="Z422" s="11">
        <v>16.599</v>
      </c>
      <c r="AA422" s="11">
        <v>14.999000000000001</v>
      </c>
      <c r="AB422" s="11">
        <v>12.2</v>
      </c>
      <c r="AC422" s="11">
        <v>25</v>
      </c>
      <c r="AD422" s="11">
        <v>26</v>
      </c>
      <c r="AE422" s="11">
        <v>25</v>
      </c>
      <c r="AF422" s="11">
        <v>25</v>
      </c>
    </row>
    <row r="423" spans="1:32" s="11" customFormat="1" x14ac:dyDescent="0.2">
      <c r="A423" s="11">
        <v>546</v>
      </c>
      <c r="F423" s="11" t="s">
        <v>16426</v>
      </c>
      <c r="G423" s="11" t="s">
        <v>16427</v>
      </c>
      <c r="H423" s="12">
        <v>53.7</v>
      </c>
      <c r="I423" s="11" t="s">
        <v>16404</v>
      </c>
      <c r="L423" s="11">
        <v>27.672000000000001</v>
      </c>
      <c r="M423" s="11">
        <v>0</v>
      </c>
      <c r="N423" s="11">
        <v>58.029000000000003</v>
      </c>
      <c r="O423" s="11">
        <v>0</v>
      </c>
      <c r="P423" s="11">
        <v>48.338999999999999</v>
      </c>
      <c r="Q423" s="11">
        <v>0</v>
      </c>
      <c r="R423" s="11">
        <v>100.517</v>
      </c>
      <c r="S423" s="11">
        <v>0</v>
      </c>
      <c r="T423" s="11">
        <v>72.688000000000002</v>
      </c>
      <c r="U423" s="11">
        <v>0</v>
      </c>
      <c r="V423" s="11">
        <v>27.312000000000001</v>
      </c>
      <c r="W423" s="11">
        <v>0</v>
      </c>
      <c r="X423" s="11">
        <v>15.343999999999999</v>
      </c>
      <c r="Y423" s="11">
        <v>0</v>
      </c>
      <c r="Z423" s="11">
        <v>39.08</v>
      </c>
      <c r="AA423" s="11">
        <v>0</v>
      </c>
      <c r="AB423" s="11">
        <v>19.997</v>
      </c>
      <c r="AC423" s="11">
        <v>22</v>
      </c>
      <c r="AD423" s="11">
        <v>23</v>
      </c>
      <c r="AE423" s="11">
        <v>21</v>
      </c>
      <c r="AF423" s="11">
        <v>20</v>
      </c>
    </row>
    <row r="424" spans="1:32" s="11" customFormat="1" x14ac:dyDescent="0.2">
      <c r="A424" s="11">
        <v>547</v>
      </c>
      <c r="F424" s="11" t="s">
        <v>16420</v>
      </c>
      <c r="G424" s="11" t="s">
        <v>16421</v>
      </c>
      <c r="H424" s="12">
        <v>59.5</v>
      </c>
      <c r="I424" s="11" t="s">
        <v>16404</v>
      </c>
      <c r="L424" s="11">
        <v>64.608999999999995</v>
      </c>
      <c r="M424" s="11">
        <v>62.796999999999997</v>
      </c>
      <c r="N424" s="11">
        <v>127.622</v>
      </c>
      <c r="O424" s="11">
        <v>126.639</v>
      </c>
      <c r="P424" s="11">
        <v>110.131</v>
      </c>
      <c r="Q424" s="11">
        <v>109.468</v>
      </c>
      <c r="R424" s="11">
        <v>104.036</v>
      </c>
      <c r="S424" s="11">
        <v>104.11499999999999</v>
      </c>
      <c r="T424" s="11">
        <v>62.460999999999999</v>
      </c>
      <c r="U424" s="11">
        <v>62.171999999999997</v>
      </c>
      <c r="V424" s="11">
        <v>37.539000000000001</v>
      </c>
      <c r="W424" s="11">
        <v>37.828000000000003</v>
      </c>
      <c r="X424" s="11">
        <v>12.794</v>
      </c>
      <c r="Y424" s="11">
        <v>12.968999999999999</v>
      </c>
      <c r="Z424" s="11">
        <v>37.828000000000003</v>
      </c>
      <c r="AA424" s="11">
        <v>37.539000000000001</v>
      </c>
      <c r="AB424" s="11">
        <v>13.971</v>
      </c>
      <c r="AC424" s="11">
        <v>14</v>
      </c>
      <c r="AD424" s="11">
        <v>14</v>
      </c>
      <c r="AE424" s="11">
        <v>14</v>
      </c>
      <c r="AF424" s="11">
        <v>14</v>
      </c>
    </row>
    <row r="425" spans="1:32" s="11" customFormat="1" x14ac:dyDescent="0.2">
      <c r="A425" s="11">
        <v>548</v>
      </c>
      <c r="F425" s="11" t="s">
        <v>16420</v>
      </c>
      <c r="G425" s="11" t="s">
        <v>16421</v>
      </c>
      <c r="H425" s="12">
        <v>73.400000000000006</v>
      </c>
      <c r="I425" s="11" t="s">
        <v>16407</v>
      </c>
      <c r="L425" s="11">
        <v>57.973999999999997</v>
      </c>
      <c r="M425" s="11">
        <v>56.790999999999997</v>
      </c>
      <c r="N425" s="11">
        <v>114.95399999999999</v>
      </c>
      <c r="O425" s="11">
        <v>115.73699999999999</v>
      </c>
      <c r="P425" s="11">
        <v>113.279</v>
      </c>
      <c r="Q425" s="11">
        <v>114.00700000000001</v>
      </c>
      <c r="R425" s="11">
        <v>117.976</v>
      </c>
      <c r="S425" s="11">
        <v>117.804</v>
      </c>
      <c r="T425" s="11">
        <v>61.656999999999996</v>
      </c>
      <c r="U425" s="11">
        <v>62.067999999999998</v>
      </c>
      <c r="V425" s="11">
        <v>38.343000000000004</v>
      </c>
      <c r="W425" s="11">
        <v>37.932000000000002</v>
      </c>
      <c r="X425" s="11">
        <v>12.228999999999999</v>
      </c>
      <c r="Y425" s="11">
        <v>11.994999999999999</v>
      </c>
      <c r="Z425" s="11">
        <v>37.932000000000002</v>
      </c>
      <c r="AA425" s="11">
        <v>38.343000000000004</v>
      </c>
      <c r="AB425" s="11">
        <v>9.4529999999999994</v>
      </c>
      <c r="AC425" s="11">
        <v>17</v>
      </c>
      <c r="AD425" s="11">
        <v>13</v>
      </c>
      <c r="AE425" s="11">
        <v>13</v>
      </c>
      <c r="AF425" s="11">
        <v>13</v>
      </c>
    </row>
    <row r="426" spans="1:32" s="11" customFormat="1" x14ac:dyDescent="0.2">
      <c r="A426" s="11">
        <v>549</v>
      </c>
      <c r="F426" s="11" t="s">
        <v>16403</v>
      </c>
      <c r="G426" s="11" t="s">
        <v>16403</v>
      </c>
      <c r="H426" s="12">
        <v>999</v>
      </c>
      <c r="I426" s="11" t="s">
        <v>16403</v>
      </c>
      <c r="L426" s="11">
        <v>34.036000000000001</v>
      </c>
      <c r="M426" s="11">
        <v>30.484999999999999</v>
      </c>
      <c r="N426" s="11">
        <v>64.804000000000002</v>
      </c>
      <c r="O426" s="11">
        <v>64.650000000000006</v>
      </c>
      <c r="P426" s="11">
        <v>60.698</v>
      </c>
      <c r="Q426" s="11">
        <v>60.566000000000003</v>
      </c>
      <c r="R426" s="11">
        <v>112.405</v>
      </c>
      <c r="S426" s="11">
        <v>112.547</v>
      </c>
      <c r="T426" s="11">
        <v>64.353999999999999</v>
      </c>
      <c r="U426" s="11">
        <v>64.938999999999993</v>
      </c>
      <c r="V426" s="11">
        <v>35.646000000000001</v>
      </c>
      <c r="W426" s="11">
        <v>35.061</v>
      </c>
      <c r="X426" s="11">
        <v>13.981999999999999</v>
      </c>
      <c r="Y426" s="11">
        <v>15.305</v>
      </c>
      <c r="Z426" s="11">
        <v>35.061</v>
      </c>
      <c r="AA426" s="11">
        <v>35.646000000000001</v>
      </c>
      <c r="AB426" s="11">
        <v>12.122</v>
      </c>
      <c r="AC426" s="11">
        <v>18</v>
      </c>
      <c r="AD426" s="11">
        <v>19</v>
      </c>
      <c r="AE426" s="11">
        <v>18</v>
      </c>
      <c r="AF426" s="11">
        <v>18</v>
      </c>
    </row>
    <row r="427" spans="1:32" s="11" customFormat="1" x14ac:dyDescent="0.2">
      <c r="A427" s="11">
        <v>550</v>
      </c>
      <c r="F427" s="11" t="s">
        <v>16403</v>
      </c>
      <c r="G427" s="11" t="s">
        <v>16403</v>
      </c>
      <c r="H427" s="12">
        <v>999</v>
      </c>
      <c r="I427" s="11" t="s">
        <v>16403</v>
      </c>
      <c r="L427" s="11">
        <v>43.420999999999999</v>
      </c>
      <c r="M427" s="11">
        <v>42.918999999999997</v>
      </c>
      <c r="N427" s="11">
        <v>86.781000000000006</v>
      </c>
      <c r="O427" s="11">
        <v>86.873000000000005</v>
      </c>
      <c r="P427" s="11">
        <v>72.903000000000006</v>
      </c>
      <c r="Q427" s="11">
        <v>73.096999999999994</v>
      </c>
      <c r="R427" s="11">
        <v>100.28700000000001</v>
      </c>
      <c r="S427" s="11">
        <v>100.45399999999999</v>
      </c>
      <c r="T427" s="11">
        <v>64.448999999999998</v>
      </c>
      <c r="U427" s="11">
        <v>64.477000000000004</v>
      </c>
      <c r="V427" s="11">
        <v>35.551000000000002</v>
      </c>
      <c r="W427" s="11">
        <v>35.523000000000003</v>
      </c>
      <c r="X427" s="11">
        <v>14.564</v>
      </c>
      <c r="Y427" s="11">
        <v>14.481</v>
      </c>
      <c r="Z427" s="11">
        <v>35.523000000000003</v>
      </c>
      <c r="AA427" s="11">
        <v>35.551000000000002</v>
      </c>
      <c r="AB427" s="11">
        <v>13.72</v>
      </c>
      <c r="AC427" s="11">
        <v>14</v>
      </c>
      <c r="AD427" s="11">
        <v>13</v>
      </c>
      <c r="AE427" s="11">
        <v>13</v>
      </c>
      <c r="AF427" s="11">
        <v>13</v>
      </c>
    </row>
    <row r="428" spans="1:32" s="11" customFormat="1" x14ac:dyDescent="0.2">
      <c r="A428" s="11">
        <v>551</v>
      </c>
      <c r="F428" s="11" t="s">
        <v>16403</v>
      </c>
      <c r="G428" s="11" t="s">
        <v>16403</v>
      </c>
      <c r="H428" s="12">
        <v>999</v>
      </c>
      <c r="I428" s="11" t="s">
        <v>16403</v>
      </c>
      <c r="L428" s="11" t="s">
        <v>16403</v>
      </c>
      <c r="M428" s="11" t="s">
        <v>16403</v>
      </c>
      <c r="N428" s="11" t="s">
        <v>16403</v>
      </c>
      <c r="O428" s="11" t="s">
        <v>16403</v>
      </c>
      <c r="P428" s="11" t="s">
        <v>16403</v>
      </c>
      <c r="Q428" s="11" t="s">
        <v>16403</v>
      </c>
      <c r="R428" s="11" t="s">
        <v>16403</v>
      </c>
      <c r="S428" s="11" t="s">
        <v>16403</v>
      </c>
      <c r="T428" s="11" t="s">
        <v>16403</v>
      </c>
      <c r="U428" s="11" t="s">
        <v>16403</v>
      </c>
      <c r="V428" s="11" t="s">
        <v>16403</v>
      </c>
      <c r="W428" s="11" t="s">
        <v>16403</v>
      </c>
      <c r="X428" s="11" t="s">
        <v>16403</v>
      </c>
      <c r="Y428" s="11" t="s">
        <v>16403</v>
      </c>
      <c r="Z428" s="11" t="s">
        <v>16403</v>
      </c>
      <c r="AA428" s="11" t="s">
        <v>16403</v>
      </c>
      <c r="AB428" s="11" t="s">
        <v>16403</v>
      </c>
      <c r="AC428" s="11" t="s">
        <v>16403</v>
      </c>
      <c r="AD428" s="11" t="s">
        <v>16403</v>
      </c>
      <c r="AE428" s="11" t="s">
        <v>16403</v>
      </c>
      <c r="AF428" s="11" t="s">
        <v>16403</v>
      </c>
    </row>
    <row r="429" spans="1:32" s="11" customFormat="1" x14ac:dyDescent="0.2">
      <c r="A429" s="11">
        <v>552</v>
      </c>
      <c r="F429" s="11" t="s">
        <v>16414</v>
      </c>
      <c r="G429" s="11" t="s">
        <v>16415</v>
      </c>
      <c r="H429" s="12">
        <v>57.2</v>
      </c>
      <c r="I429" s="11" t="s">
        <v>16407</v>
      </c>
      <c r="L429" s="11">
        <v>49.695999999999998</v>
      </c>
      <c r="M429" s="11">
        <v>48.704999999999998</v>
      </c>
      <c r="N429" s="11">
        <v>99.105999999999995</v>
      </c>
      <c r="O429" s="11">
        <v>98.400999999999996</v>
      </c>
      <c r="P429" s="11">
        <v>102.491</v>
      </c>
      <c r="Q429" s="11">
        <v>101.453</v>
      </c>
      <c r="R429" s="11">
        <v>123.498</v>
      </c>
      <c r="S429" s="11">
        <v>124.021</v>
      </c>
      <c r="T429" s="11">
        <v>64.447999999999993</v>
      </c>
      <c r="U429" s="11">
        <v>62.438000000000002</v>
      </c>
      <c r="V429" s="11">
        <v>35.552</v>
      </c>
      <c r="W429" s="11">
        <v>37.561999999999998</v>
      </c>
      <c r="X429" s="11">
        <v>13.023</v>
      </c>
      <c r="Y429" s="11">
        <v>13.471</v>
      </c>
      <c r="Z429" s="11">
        <v>37.561999999999998</v>
      </c>
      <c r="AA429" s="11">
        <v>35.552</v>
      </c>
      <c r="AB429" s="11">
        <v>9.0920000000000005</v>
      </c>
      <c r="AC429" s="11">
        <v>12</v>
      </c>
      <c r="AD429" s="11">
        <v>18</v>
      </c>
      <c r="AE429" s="11">
        <v>12</v>
      </c>
      <c r="AF429" s="11">
        <v>12</v>
      </c>
    </row>
    <row r="430" spans="1:32" s="11" customFormat="1" x14ac:dyDescent="0.2">
      <c r="A430" s="11">
        <v>553</v>
      </c>
      <c r="F430" s="11" t="s">
        <v>16444</v>
      </c>
      <c r="G430" s="11" t="s">
        <v>16445</v>
      </c>
      <c r="H430" s="12">
        <v>18.100000000000001</v>
      </c>
      <c r="I430" s="11" t="s">
        <v>16407</v>
      </c>
      <c r="L430" s="11">
        <v>58.320999999999998</v>
      </c>
      <c r="M430" s="11">
        <v>60.570999999999998</v>
      </c>
      <c r="N430" s="11">
        <v>118.85599999999999</v>
      </c>
      <c r="O430" s="11">
        <v>118.72199999999999</v>
      </c>
      <c r="P430" s="11">
        <v>102.846</v>
      </c>
      <c r="Q430" s="11">
        <v>102.741</v>
      </c>
      <c r="R430" s="11">
        <v>103.10899999999999</v>
      </c>
      <c r="S430" s="11">
        <v>103.09</v>
      </c>
      <c r="T430" s="11">
        <v>62.606999999999999</v>
      </c>
      <c r="U430" s="11">
        <v>62.792999999999999</v>
      </c>
      <c r="V430" s="11">
        <v>37.393000000000001</v>
      </c>
      <c r="W430" s="11">
        <v>37.207000000000001</v>
      </c>
      <c r="X430" s="11">
        <v>12.332000000000001</v>
      </c>
      <c r="Y430" s="11">
        <v>13.007999999999999</v>
      </c>
      <c r="Z430" s="11">
        <v>37.207000000000001</v>
      </c>
      <c r="AA430" s="11">
        <v>37.393000000000001</v>
      </c>
      <c r="AB430" s="11">
        <v>8.3930000000000007</v>
      </c>
      <c r="AC430" s="11">
        <v>17</v>
      </c>
      <c r="AD430" s="11">
        <v>16</v>
      </c>
      <c r="AE430" s="11">
        <v>16</v>
      </c>
      <c r="AF430" s="11">
        <v>16</v>
      </c>
    </row>
    <row r="431" spans="1:32" s="11" customFormat="1" x14ac:dyDescent="0.2">
      <c r="A431" s="11">
        <v>554</v>
      </c>
      <c r="F431" s="11" t="s">
        <v>16414</v>
      </c>
      <c r="G431" s="11" t="s">
        <v>16415</v>
      </c>
      <c r="H431" s="12">
        <v>78.599999999999994</v>
      </c>
      <c r="I431" s="11" t="s">
        <v>16404</v>
      </c>
      <c r="L431" s="11">
        <v>65.44</v>
      </c>
      <c r="M431" s="11">
        <v>66.938000000000002</v>
      </c>
      <c r="N431" s="11">
        <v>131.57900000000001</v>
      </c>
      <c r="O431" s="11">
        <v>132.17599999999999</v>
      </c>
      <c r="P431" s="11">
        <v>123.244</v>
      </c>
      <c r="Q431" s="11">
        <v>122.914</v>
      </c>
      <c r="R431" s="11">
        <v>112.333</v>
      </c>
      <c r="S431" s="11">
        <v>111.61499999999999</v>
      </c>
      <c r="T431" s="11">
        <v>61.642000000000003</v>
      </c>
      <c r="U431" s="11">
        <v>63.195</v>
      </c>
      <c r="V431" s="11">
        <v>38.357999999999997</v>
      </c>
      <c r="W431" s="11">
        <v>36.805</v>
      </c>
      <c r="X431" s="11">
        <v>12.837</v>
      </c>
      <c r="Y431" s="11">
        <v>12.236000000000001</v>
      </c>
      <c r="Z431" s="11">
        <v>36.805</v>
      </c>
      <c r="AA431" s="11">
        <v>38.357999999999997</v>
      </c>
      <c r="AB431" s="11">
        <v>10.704000000000001</v>
      </c>
      <c r="AC431" s="11">
        <v>15</v>
      </c>
      <c r="AD431" s="11">
        <v>15</v>
      </c>
      <c r="AE431" s="11">
        <v>15</v>
      </c>
      <c r="AF431" s="11">
        <v>15</v>
      </c>
    </row>
    <row r="432" spans="1:32" s="11" customFormat="1" x14ac:dyDescent="0.2">
      <c r="A432" s="11">
        <v>555</v>
      </c>
      <c r="F432" s="11" t="s">
        <v>16414</v>
      </c>
      <c r="G432" s="11" t="s">
        <v>16415</v>
      </c>
      <c r="H432" s="12">
        <v>68.099999999999994</v>
      </c>
      <c r="I432" s="11" t="s">
        <v>16404</v>
      </c>
      <c r="L432" s="11">
        <v>65.379000000000005</v>
      </c>
      <c r="M432" s="11">
        <v>66.052000000000007</v>
      </c>
      <c r="N432" s="11">
        <v>132.35</v>
      </c>
      <c r="O432" s="11">
        <v>130.98599999999999</v>
      </c>
      <c r="P432" s="11">
        <v>109.08</v>
      </c>
      <c r="Q432" s="11">
        <v>108.021</v>
      </c>
      <c r="R432" s="11">
        <v>98.77</v>
      </c>
      <c r="S432" s="11">
        <v>98.492000000000004</v>
      </c>
      <c r="T432" s="11">
        <v>60.091000000000001</v>
      </c>
      <c r="U432" s="11">
        <v>60.74</v>
      </c>
      <c r="V432" s="11">
        <v>39.908999999999999</v>
      </c>
      <c r="W432" s="11">
        <v>39.26</v>
      </c>
      <c r="X432" s="11">
        <v>11.113</v>
      </c>
      <c r="Y432" s="11">
        <v>10.352</v>
      </c>
      <c r="Z432" s="11">
        <v>39.26</v>
      </c>
      <c r="AA432" s="11">
        <v>39.908999999999999</v>
      </c>
      <c r="AB432" s="11">
        <v>7.98</v>
      </c>
      <c r="AC432" s="11">
        <v>14</v>
      </c>
      <c r="AD432" s="11">
        <v>14</v>
      </c>
      <c r="AE432" s="11">
        <v>14</v>
      </c>
      <c r="AF432" s="11">
        <v>14</v>
      </c>
    </row>
    <row r="433" spans="1:32" s="11" customFormat="1" x14ac:dyDescent="0.2">
      <c r="A433" s="11">
        <v>556</v>
      </c>
      <c r="F433" s="11" t="s">
        <v>16403</v>
      </c>
      <c r="G433" s="11" t="s">
        <v>16403</v>
      </c>
      <c r="H433" s="12">
        <v>999</v>
      </c>
      <c r="I433" s="11" t="s">
        <v>16403</v>
      </c>
      <c r="L433" s="11">
        <v>64.2</v>
      </c>
      <c r="M433" s="11">
        <v>63.408999999999999</v>
      </c>
      <c r="N433" s="11">
        <v>127.357</v>
      </c>
      <c r="O433" s="11">
        <v>128.215</v>
      </c>
      <c r="P433" s="11">
        <v>117.17</v>
      </c>
      <c r="Q433" s="11">
        <v>117.649</v>
      </c>
      <c r="R433" s="11">
        <v>109.788</v>
      </c>
      <c r="S433" s="11">
        <v>109.979</v>
      </c>
      <c r="T433" s="11">
        <v>61.726999999999997</v>
      </c>
      <c r="U433" s="11">
        <v>62.427999999999997</v>
      </c>
      <c r="V433" s="11">
        <v>38.273000000000003</v>
      </c>
      <c r="W433" s="11">
        <v>37.572000000000003</v>
      </c>
      <c r="X433" s="11">
        <v>12.728</v>
      </c>
      <c r="Y433" s="11">
        <v>11.821999999999999</v>
      </c>
      <c r="Z433" s="11">
        <v>37.572000000000003</v>
      </c>
      <c r="AA433" s="11">
        <v>38.273000000000003</v>
      </c>
      <c r="AB433" s="11">
        <v>14.581</v>
      </c>
      <c r="AC433" s="11">
        <v>14</v>
      </c>
      <c r="AD433" s="11">
        <v>14</v>
      </c>
      <c r="AE433" s="11">
        <v>14</v>
      </c>
      <c r="AF433" s="11">
        <v>14</v>
      </c>
    </row>
    <row r="434" spans="1:32" s="11" customFormat="1" x14ac:dyDescent="0.2">
      <c r="A434" s="11">
        <v>557</v>
      </c>
      <c r="F434" s="11" t="s">
        <v>16414</v>
      </c>
      <c r="G434" s="11" t="s">
        <v>16415</v>
      </c>
      <c r="H434" s="12">
        <v>72.5</v>
      </c>
      <c r="I434" s="11" t="s">
        <v>16404</v>
      </c>
      <c r="L434" s="11">
        <v>47.505000000000003</v>
      </c>
      <c r="M434" s="11">
        <v>57.804000000000002</v>
      </c>
      <c r="N434" s="11">
        <v>105.55200000000001</v>
      </c>
      <c r="O434" s="11">
        <v>104.501</v>
      </c>
      <c r="P434" s="11">
        <v>82.596999999999994</v>
      </c>
      <c r="Q434" s="11">
        <v>81.088999999999999</v>
      </c>
      <c r="R434" s="11">
        <v>93.906000000000006</v>
      </c>
      <c r="S434" s="11">
        <v>92.915999999999997</v>
      </c>
      <c r="T434" s="11">
        <v>64.436999999999998</v>
      </c>
      <c r="U434" s="11">
        <v>67.748000000000005</v>
      </c>
      <c r="V434" s="11">
        <v>35.563000000000002</v>
      </c>
      <c r="W434" s="11">
        <v>32.252000000000002</v>
      </c>
      <c r="X434" s="11">
        <v>13.781000000000001</v>
      </c>
      <c r="Y434" s="11">
        <v>18.076000000000001</v>
      </c>
      <c r="Z434" s="11">
        <v>32.252000000000002</v>
      </c>
      <c r="AA434" s="11">
        <v>35.563000000000002</v>
      </c>
      <c r="AB434" s="11">
        <v>19.684000000000001</v>
      </c>
      <c r="AC434" s="11">
        <v>12</v>
      </c>
      <c r="AD434" s="11">
        <v>13</v>
      </c>
      <c r="AE434" s="11">
        <v>12</v>
      </c>
      <c r="AF434" s="11">
        <v>12</v>
      </c>
    </row>
    <row r="435" spans="1:32" s="11" customFormat="1" x14ac:dyDescent="0.2">
      <c r="A435" s="11">
        <v>558</v>
      </c>
      <c r="F435" s="11" t="s">
        <v>16444</v>
      </c>
      <c r="G435" s="11" t="s">
        <v>16445</v>
      </c>
      <c r="H435" s="12">
        <v>78.900000000000006</v>
      </c>
      <c r="I435" s="11" t="s">
        <v>16407</v>
      </c>
      <c r="L435" s="11">
        <v>30.126999999999999</v>
      </c>
      <c r="M435" s="11">
        <v>24.408000000000001</v>
      </c>
      <c r="N435" s="11">
        <v>54.832999999999998</v>
      </c>
      <c r="O435" s="11">
        <v>54.609000000000002</v>
      </c>
      <c r="P435" s="11">
        <v>35.090000000000003</v>
      </c>
      <c r="Q435" s="11">
        <v>34.649000000000001</v>
      </c>
      <c r="R435" s="11">
        <v>76.355999999999995</v>
      </c>
      <c r="S435" s="11">
        <v>75.861000000000004</v>
      </c>
      <c r="T435" s="11">
        <v>72.448999999999998</v>
      </c>
      <c r="U435" s="11">
        <v>75.790000000000006</v>
      </c>
      <c r="V435" s="11">
        <v>27.550999999999998</v>
      </c>
      <c r="W435" s="11">
        <v>24.21</v>
      </c>
      <c r="X435" s="11">
        <v>25.207000000000001</v>
      </c>
      <c r="Y435" s="11">
        <v>23.225000000000001</v>
      </c>
      <c r="Z435" s="11">
        <v>24.21</v>
      </c>
      <c r="AA435" s="11">
        <v>27.550999999999998</v>
      </c>
      <c r="AB435" s="11">
        <v>16.228000000000002</v>
      </c>
      <c r="AC435" s="11">
        <v>17</v>
      </c>
      <c r="AD435" s="11">
        <v>18</v>
      </c>
      <c r="AE435" s="11">
        <v>17</v>
      </c>
      <c r="AF435" s="11">
        <v>17</v>
      </c>
    </row>
    <row r="436" spans="1:32" s="11" customFormat="1" x14ac:dyDescent="0.2">
      <c r="A436" s="11">
        <v>559</v>
      </c>
      <c r="F436" s="11" t="s">
        <v>16420</v>
      </c>
      <c r="G436" s="11" t="s">
        <v>16421</v>
      </c>
      <c r="H436" s="12">
        <v>60.4</v>
      </c>
      <c r="I436" s="11" t="s">
        <v>16407</v>
      </c>
      <c r="L436" s="11">
        <v>35.122999999999998</v>
      </c>
      <c r="M436" s="11">
        <v>31.984000000000002</v>
      </c>
      <c r="N436" s="11">
        <v>67.783000000000001</v>
      </c>
      <c r="O436" s="11">
        <v>66.766000000000005</v>
      </c>
      <c r="P436" s="11">
        <v>65.210999999999999</v>
      </c>
      <c r="Q436" s="11">
        <v>64.853999999999999</v>
      </c>
      <c r="R436" s="11">
        <v>116.327</v>
      </c>
      <c r="S436" s="11">
        <v>116.10599999999999</v>
      </c>
      <c r="T436" s="11">
        <v>64.751999999999995</v>
      </c>
      <c r="U436" s="11">
        <v>70.168999999999997</v>
      </c>
      <c r="V436" s="11">
        <v>35.247999999999998</v>
      </c>
      <c r="W436" s="11">
        <v>29.831</v>
      </c>
      <c r="X436" s="11">
        <v>17.651</v>
      </c>
      <c r="Y436" s="11">
        <v>17.114999999999998</v>
      </c>
      <c r="Z436" s="11">
        <v>29.831</v>
      </c>
      <c r="AA436" s="11">
        <v>35.247999999999998</v>
      </c>
      <c r="AB436" s="11">
        <v>22.25</v>
      </c>
      <c r="AC436" s="11">
        <v>19</v>
      </c>
      <c r="AD436" s="11">
        <v>19</v>
      </c>
      <c r="AE436" s="11">
        <v>19</v>
      </c>
      <c r="AF436" s="11">
        <v>19</v>
      </c>
    </row>
    <row r="437" spans="1:32" s="11" customFormat="1" x14ac:dyDescent="0.2">
      <c r="A437" s="11">
        <v>560</v>
      </c>
      <c r="F437" s="11" t="s">
        <v>16414</v>
      </c>
      <c r="G437" s="11" t="s">
        <v>16415</v>
      </c>
      <c r="H437" s="12">
        <v>63.2</v>
      </c>
      <c r="I437" s="11" t="s">
        <v>16404</v>
      </c>
      <c r="L437" s="11" t="s">
        <v>16403</v>
      </c>
      <c r="M437" s="11" t="s">
        <v>16403</v>
      </c>
      <c r="N437" s="11" t="s">
        <v>16403</v>
      </c>
      <c r="O437" s="11" t="s">
        <v>16403</v>
      </c>
      <c r="P437" s="11" t="s">
        <v>16403</v>
      </c>
      <c r="Q437" s="11" t="s">
        <v>16403</v>
      </c>
      <c r="R437" s="11" t="s">
        <v>16403</v>
      </c>
      <c r="S437" s="11" t="s">
        <v>16403</v>
      </c>
      <c r="T437" s="11" t="s">
        <v>16403</v>
      </c>
      <c r="U437" s="11" t="s">
        <v>16403</v>
      </c>
      <c r="V437" s="11" t="s">
        <v>16403</v>
      </c>
      <c r="W437" s="11" t="s">
        <v>16403</v>
      </c>
      <c r="X437" s="11" t="s">
        <v>16403</v>
      </c>
      <c r="Y437" s="11" t="s">
        <v>16403</v>
      </c>
      <c r="Z437" s="11" t="s">
        <v>16403</v>
      </c>
      <c r="AA437" s="11" t="s">
        <v>16403</v>
      </c>
      <c r="AB437" s="11" t="s">
        <v>16403</v>
      </c>
      <c r="AC437" s="11" t="s">
        <v>16403</v>
      </c>
      <c r="AD437" s="11" t="s">
        <v>16403</v>
      </c>
      <c r="AE437" s="11" t="s">
        <v>16403</v>
      </c>
      <c r="AF437" s="11" t="s">
        <v>16403</v>
      </c>
    </row>
    <row r="438" spans="1:32" s="11" customFormat="1" x14ac:dyDescent="0.2">
      <c r="A438" s="11">
        <v>561</v>
      </c>
      <c r="F438" s="11" t="s">
        <v>16403</v>
      </c>
      <c r="G438" s="11" t="s">
        <v>16403</v>
      </c>
      <c r="H438" s="12">
        <v>999</v>
      </c>
      <c r="I438" s="11" t="s">
        <v>16403</v>
      </c>
      <c r="L438" s="11" t="s">
        <v>16403</v>
      </c>
      <c r="M438" s="11" t="s">
        <v>16403</v>
      </c>
      <c r="N438" s="11" t="s">
        <v>16403</v>
      </c>
      <c r="O438" s="11" t="s">
        <v>16403</v>
      </c>
      <c r="P438" s="11" t="s">
        <v>16403</v>
      </c>
      <c r="Q438" s="11" t="s">
        <v>16403</v>
      </c>
      <c r="R438" s="11" t="s">
        <v>16403</v>
      </c>
      <c r="S438" s="11" t="s">
        <v>16403</v>
      </c>
      <c r="T438" s="11" t="s">
        <v>16403</v>
      </c>
      <c r="U438" s="11" t="s">
        <v>16403</v>
      </c>
      <c r="V438" s="11" t="s">
        <v>16403</v>
      </c>
      <c r="W438" s="11" t="s">
        <v>16403</v>
      </c>
      <c r="X438" s="11" t="s">
        <v>16403</v>
      </c>
      <c r="Y438" s="11" t="s">
        <v>16403</v>
      </c>
      <c r="Z438" s="11" t="s">
        <v>16403</v>
      </c>
      <c r="AA438" s="11" t="s">
        <v>16403</v>
      </c>
      <c r="AB438" s="11" t="s">
        <v>16403</v>
      </c>
      <c r="AC438" s="11" t="s">
        <v>16403</v>
      </c>
      <c r="AD438" s="11" t="s">
        <v>16403</v>
      </c>
      <c r="AE438" s="11" t="s">
        <v>16403</v>
      </c>
      <c r="AF438" s="11" t="s">
        <v>16403</v>
      </c>
    </row>
    <row r="439" spans="1:32" s="11" customFormat="1" x14ac:dyDescent="0.2">
      <c r="A439" s="11">
        <v>562</v>
      </c>
      <c r="F439" s="11" t="s">
        <v>16414</v>
      </c>
      <c r="G439" s="11" t="s">
        <v>16415</v>
      </c>
      <c r="H439" s="12">
        <v>49.7</v>
      </c>
      <c r="I439" s="11" t="s">
        <v>16407</v>
      </c>
      <c r="L439" s="11">
        <v>52.335000000000001</v>
      </c>
      <c r="M439" s="11">
        <v>56.427</v>
      </c>
      <c r="N439" s="11">
        <v>108.44799999999999</v>
      </c>
      <c r="O439" s="11">
        <v>109.60299999999999</v>
      </c>
      <c r="P439" s="11">
        <v>106.88200000000001</v>
      </c>
      <c r="Q439" s="11">
        <v>108.029</v>
      </c>
      <c r="R439" s="11">
        <v>118.47</v>
      </c>
      <c r="S439" s="11">
        <v>117.11199999999999</v>
      </c>
      <c r="T439" s="11">
        <v>63.936</v>
      </c>
      <c r="U439" s="11">
        <v>63.850999999999999</v>
      </c>
      <c r="V439" s="11">
        <v>36.064</v>
      </c>
      <c r="W439" s="11">
        <v>36.149000000000001</v>
      </c>
      <c r="X439" s="11">
        <v>15.138999999999999</v>
      </c>
      <c r="Y439" s="11">
        <v>13.428000000000001</v>
      </c>
      <c r="Z439" s="11">
        <v>36.149000000000001</v>
      </c>
      <c r="AA439" s="11">
        <v>36.064</v>
      </c>
      <c r="AB439" s="11">
        <v>12.313000000000001</v>
      </c>
      <c r="AC439" s="11">
        <v>21</v>
      </c>
      <c r="AD439" s="11">
        <v>20</v>
      </c>
      <c r="AE439" s="11">
        <v>20</v>
      </c>
      <c r="AF439" s="11">
        <v>20</v>
      </c>
    </row>
    <row r="440" spans="1:32" s="11" customFormat="1" x14ac:dyDescent="0.2">
      <c r="A440" s="11">
        <v>563</v>
      </c>
      <c r="F440" s="11" t="s">
        <v>16414</v>
      </c>
      <c r="G440" s="11" t="s">
        <v>16415</v>
      </c>
      <c r="H440" s="12">
        <v>73.8</v>
      </c>
      <c r="I440" s="11" t="s">
        <v>16404</v>
      </c>
      <c r="L440" s="11">
        <v>53.795000000000002</v>
      </c>
      <c r="M440" s="11">
        <v>54.624000000000002</v>
      </c>
      <c r="N440" s="11">
        <v>110.748</v>
      </c>
      <c r="O440" s="11">
        <v>106.008</v>
      </c>
      <c r="P440" s="11">
        <v>79.885999999999996</v>
      </c>
      <c r="Q440" s="11">
        <v>80.215000000000003</v>
      </c>
      <c r="R440" s="11">
        <v>88.572999999999993</v>
      </c>
      <c r="S440" s="11">
        <v>89.271000000000001</v>
      </c>
      <c r="T440" s="11">
        <v>63.552999999999997</v>
      </c>
      <c r="U440" s="11">
        <v>64.760000000000005</v>
      </c>
      <c r="V440" s="11">
        <v>36.447000000000003</v>
      </c>
      <c r="W440" s="11">
        <v>35.24</v>
      </c>
      <c r="X440" s="11">
        <v>12.695</v>
      </c>
      <c r="Y440" s="11">
        <v>15.401999999999999</v>
      </c>
      <c r="Z440" s="11">
        <v>35.24</v>
      </c>
      <c r="AA440" s="11">
        <v>36.447000000000003</v>
      </c>
      <c r="AB440" s="11">
        <v>10.89</v>
      </c>
      <c r="AC440" s="11">
        <v>15</v>
      </c>
      <c r="AD440" s="11">
        <v>13</v>
      </c>
      <c r="AE440" s="11">
        <v>13</v>
      </c>
      <c r="AF440" s="11">
        <v>13</v>
      </c>
    </row>
    <row r="441" spans="1:32" s="11" customFormat="1" x14ac:dyDescent="0.2">
      <c r="A441" s="11">
        <v>564</v>
      </c>
      <c r="F441" s="11" t="s">
        <v>16420</v>
      </c>
      <c r="G441" s="11" t="s">
        <v>16421</v>
      </c>
      <c r="H441" s="12">
        <v>67.900000000000006</v>
      </c>
      <c r="I441" s="11" t="s">
        <v>16407</v>
      </c>
      <c r="L441" s="11" t="s">
        <v>16403</v>
      </c>
      <c r="M441" s="11" t="s">
        <v>16403</v>
      </c>
      <c r="N441" s="11" t="s">
        <v>16403</v>
      </c>
      <c r="O441" s="11" t="s">
        <v>16403</v>
      </c>
      <c r="P441" s="11" t="s">
        <v>16403</v>
      </c>
      <c r="Q441" s="11" t="s">
        <v>16403</v>
      </c>
      <c r="R441" s="11" t="s">
        <v>16403</v>
      </c>
      <c r="S441" s="11" t="s">
        <v>16403</v>
      </c>
      <c r="T441" s="11" t="s">
        <v>16403</v>
      </c>
      <c r="U441" s="11" t="s">
        <v>16403</v>
      </c>
      <c r="V441" s="11" t="s">
        <v>16403</v>
      </c>
      <c r="W441" s="11" t="s">
        <v>16403</v>
      </c>
      <c r="X441" s="11" t="s">
        <v>16403</v>
      </c>
      <c r="Y441" s="11" t="s">
        <v>16403</v>
      </c>
      <c r="Z441" s="11" t="s">
        <v>16403</v>
      </c>
      <c r="AA441" s="11" t="s">
        <v>16403</v>
      </c>
      <c r="AB441" s="11" t="s">
        <v>16403</v>
      </c>
      <c r="AC441" s="11" t="s">
        <v>16403</v>
      </c>
      <c r="AD441" s="11" t="s">
        <v>16403</v>
      </c>
      <c r="AE441" s="11" t="s">
        <v>16403</v>
      </c>
      <c r="AF441" s="11" t="s">
        <v>16403</v>
      </c>
    </row>
    <row r="442" spans="1:32" s="11" customFormat="1" x14ac:dyDescent="0.2">
      <c r="A442" s="11">
        <v>565</v>
      </c>
      <c r="F442" s="11" t="s">
        <v>16420</v>
      </c>
      <c r="G442" s="11" t="s">
        <v>16421</v>
      </c>
      <c r="H442" s="12">
        <v>70.5</v>
      </c>
      <c r="I442" s="11" t="s">
        <v>16407</v>
      </c>
      <c r="L442" s="11">
        <v>49.49</v>
      </c>
      <c r="M442" s="11">
        <v>52.847999999999999</v>
      </c>
      <c r="N442" s="11">
        <v>102.28400000000001</v>
      </c>
      <c r="O442" s="11">
        <v>102.806</v>
      </c>
      <c r="P442" s="11">
        <v>97.742000000000004</v>
      </c>
      <c r="Q442" s="11">
        <v>97.754999999999995</v>
      </c>
      <c r="R442" s="11">
        <v>114.658</v>
      </c>
      <c r="S442" s="11">
        <v>114.26</v>
      </c>
      <c r="T442" s="11">
        <v>63.042000000000002</v>
      </c>
      <c r="U442" s="11">
        <v>64.171999999999997</v>
      </c>
      <c r="V442" s="11">
        <v>36.957999999999998</v>
      </c>
      <c r="W442" s="11">
        <v>35.828000000000003</v>
      </c>
      <c r="X442" s="11">
        <v>13.679</v>
      </c>
      <c r="Y442" s="11">
        <v>13.432</v>
      </c>
      <c r="Z442" s="11">
        <v>35.828000000000003</v>
      </c>
      <c r="AA442" s="11">
        <v>36.957999999999998</v>
      </c>
      <c r="AB442" s="11">
        <v>9.66</v>
      </c>
      <c r="AC442" s="11">
        <v>20</v>
      </c>
      <c r="AD442" s="11">
        <v>22</v>
      </c>
      <c r="AE442" s="11">
        <v>20</v>
      </c>
      <c r="AF442" s="11">
        <v>20</v>
      </c>
    </row>
    <row r="443" spans="1:32" s="11" customFormat="1" x14ac:dyDescent="0.2">
      <c r="A443" s="11">
        <v>566</v>
      </c>
      <c r="F443" s="11" t="s">
        <v>16403</v>
      </c>
      <c r="G443" s="11" t="s">
        <v>16403</v>
      </c>
      <c r="H443" s="12">
        <v>999</v>
      </c>
      <c r="I443" s="11" t="s">
        <v>16403</v>
      </c>
      <c r="L443" s="11">
        <v>60.935000000000002</v>
      </c>
      <c r="M443" s="11">
        <v>65.191000000000003</v>
      </c>
      <c r="N443" s="11">
        <v>126.166</v>
      </c>
      <c r="O443" s="11">
        <v>126.67</v>
      </c>
      <c r="P443" s="11">
        <v>110.767</v>
      </c>
      <c r="Q443" s="11">
        <v>111.218</v>
      </c>
      <c r="R443" s="11">
        <v>105.60299999999999</v>
      </c>
      <c r="S443" s="11">
        <v>105.18600000000001</v>
      </c>
      <c r="T443" s="11">
        <v>63.384999999999998</v>
      </c>
      <c r="U443" s="11">
        <v>64.724000000000004</v>
      </c>
      <c r="V443" s="11">
        <v>36.615000000000002</v>
      </c>
      <c r="W443" s="11">
        <v>35.276000000000003</v>
      </c>
      <c r="X443" s="11">
        <v>14.164</v>
      </c>
      <c r="Y443" s="11">
        <v>13.878</v>
      </c>
      <c r="Z443" s="11">
        <v>35.276000000000003</v>
      </c>
      <c r="AA443" s="11">
        <v>36.615000000000002</v>
      </c>
      <c r="AB443" s="11">
        <v>10.48</v>
      </c>
      <c r="AC443" s="11">
        <v>16</v>
      </c>
      <c r="AD443" s="11">
        <v>13</v>
      </c>
      <c r="AE443" s="11">
        <v>13</v>
      </c>
      <c r="AF443" s="11">
        <v>13</v>
      </c>
    </row>
    <row r="444" spans="1:32" s="11" customFormat="1" x14ac:dyDescent="0.2">
      <c r="A444" s="11">
        <v>567</v>
      </c>
      <c r="F444" s="11" t="s">
        <v>16432</v>
      </c>
      <c r="G444" s="11" t="s">
        <v>16433</v>
      </c>
      <c r="H444" s="12">
        <v>71.099999999999994</v>
      </c>
      <c r="I444" s="11" t="s">
        <v>16407</v>
      </c>
      <c r="L444" s="11">
        <v>62.646000000000001</v>
      </c>
      <c r="M444" s="11">
        <v>62.43</v>
      </c>
      <c r="N444" s="11">
        <v>125.50700000000001</v>
      </c>
      <c r="O444" s="11">
        <v>125.20699999999999</v>
      </c>
      <c r="P444" s="11">
        <v>121.03100000000001</v>
      </c>
      <c r="Q444" s="11">
        <v>120.697</v>
      </c>
      <c r="R444" s="11">
        <v>115.77200000000001</v>
      </c>
      <c r="S444" s="11">
        <v>115.181</v>
      </c>
      <c r="T444" s="11">
        <v>62.662999999999997</v>
      </c>
      <c r="U444" s="11">
        <v>63.64</v>
      </c>
      <c r="V444" s="11">
        <v>37.337000000000003</v>
      </c>
      <c r="W444" s="11">
        <v>36.36</v>
      </c>
      <c r="X444" s="11">
        <v>13.65</v>
      </c>
      <c r="Y444" s="11">
        <v>12.826000000000001</v>
      </c>
      <c r="Z444" s="11">
        <v>36.36</v>
      </c>
      <c r="AA444" s="11">
        <v>37.337000000000003</v>
      </c>
      <c r="AB444" s="11">
        <v>10.019</v>
      </c>
      <c r="AC444" s="11">
        <v>17</v>
      </c>
      <c r="AD444" s="11">
        <v>21</v>
      </c>
      <c r="AE444" s="11">
        <v>17</v>
      </c>
      <c r="AF444" s="11">
        <v>17</v>
      </c>
    </row>
    <row r="445" spans="1:32" s="11" customFormat="1" x14ac:dyDescent="0.2">
      <c r="A445" s="11">
        <v>568</v>
      </c>
      <c r="F445" s="11" t="s">
        <v>16403</v>
      </c>
      <c r="G445" s="11" t="s">
        <v>16403</v>
      </c>
      <c r="H445" s="12">
        <v>999</v>
      </c>
      <c r="I445" s="11" t="s">
        <v>16403</v>
      </c>
      <c r="L445" s="11" t="s">
        <v>16403</v>
      </c>
      <c r="M445" s="11" t="s">
        <v>16403</v>
      </c>
      <c r="N445" s="11" t="s">
        <v>16403</v>
      </c>
      <c r="O445" s="11" t="s">
        <v>16403</v>
      </c>
      <c r="P445" s="11" t="s">
        <v>16403</v>
      </c>
      <c r="Q445" s="11" t="s">
        <v>16403</v>
      </c>
      <c r="R445" s="11" t="s">
        <v>16403</v>
      </c>
      <c r="S445" s="11" t="s">
        <v>16403</v>
      </c>
      <c r="T445" s="11" t="s">
        <v>16403</v>
      </c>
      <c r="U445" s="11" t="s">
        <v>16403</v>
      </c>
      <c r="V445" s="11" t="s">
        <v>16403</v>
      </c>
      <c r="W445" s="11" t="s">
        <v>16403</v>
      </c>
      <c r="X445" s="11" t="s">
        <v>16403</v>
      </c>
      <c r="Y445" s="11" t="s">
        <v>16403</v>
      </c>
      <c r="Z445" s="11" t="s">
        <v>16403</v>
      </c>
      <c r="AA445" s="11" t="s">
        <v>16403</v>
      </c>
      <c r="AB445" s="11" t="s">
        <v>16403</v>
      </c>
      <c r="AC445" s="11" t="s">
        <v>16403</v>
      </c>
      <c r="AD445" s="11" t="s">
        <v>16403</v>
      </c>
      <c r="AE445" s="11" t="s">
        <v>16403</v>
      </c>
      <c r="AF445" s="11" t="s">
        <v>16403</v>
      </c>
    </row>
    <row r="446" spans="1:32" s="11" customFormat="1" x14ac:dyDescent="0.2">
      <c r="A446" s="11">
        <v>569</v>
      </c>
      <c r="F446" s="11" t="s">
        <v>16414</v>
      </c>
      <c r="G446" s="11" t="s">
        <v>16415</v>
      </c>
      <c r="H446" s="12">
        <v>64.7</v>
      </c>
      <c r="I446" s="11" t="s">
        <v>16407</v>
      </c>
      <c r="L446" s="11">
        <v>45.156999999999996</v>
      </c>
      <c r="M446" s="11">
        <v>49.948999999999998</v>
      </c>
      <c r="N446" s="11">
        <v>97.091999999999999</v>
      </c>
      <c r="O446" s="11">
        <v>94.84</v>
      </c>
      <c r="P446" s="11">
        <v>58.713000000000001</v>
      </c>
      <c r="Q446" s="11">
        <v>57.731000000000002</v>
      </c>
      <c r="R446" s="11">
        <v>73.951999999999998</v>
      </c>
      <c r="S446" s="11">
        <v>74.195999999999998</v>
      </c>
      <c r="T446" s="11">
        <v>68.108000000000004</v>
      </c>
      <c r="U446" s="11">
        <v>66.102999999999994</v>
      </c>
      <c r="V446" s="11">
        <v>31.891999999999999</v>
      </c>
      <c r="W446" s="11">
        <v>33.896999999999998</v>
      </c>
      <c r="X446" s="11">
        <v>17.029</v>
      </c>
      <c r="Y446" s="11">
        <v>17.565000000000001</v>
      </c>
      <c r="Z446" s="11">
        <v>33.896999999999998</v>
      </c>
      <c r="AA446" s="11">
        <v>31.891999999999999</v>
      </c>
      <c r="AB446" s="11">
        <v>6.3440000000000003</v>
      </c>
      <c r="AC446" s="11">
        <v>15</v>
      </c>
      <c r="AD446" s="11">
        <v>16</v>
      </c>
      <c r="AE446" s="11">
        <v>15</v>
      </c>
      <c r="AF446" s="11">
        <v>15</v>
      </c>
    </row>
    <row r="447" spans="1:32" s="11" customFormat="1" x14ac:dyDescent="0.2">
      <c r="A447" s="11">
        <v>570</v>
      </c>
      <c r="F447" s="11" t="s">
        <v>16414</v>
      </c>
      <c r="G447" s="11" t="s">
        <v>16415</v>
      </c>
      <c r="H447" s="12">
        <v>57.9</v>
      </c>
      <c r="I447" s="11" t="s">
        <v>16404</v>
      </c>
      <c r="L447" s="11">
        <v>43.085000000000001</v>
      </c>
      <c r="M447" s="11">
        <v>48.273000000000003</v>
      </c>
      <c r="N447" s="11">
        <v>91.423000000000002</v>
      </c>
      <c r="O447" s="11">
        <v>91.245999999999995</v>
      </c>
      <c r="P447" s="11">
        <v>108.416</v>
      </c>
      <c r="Q447" s="11">
        <v>108.18</v>
      </c>
      <c r="R447" s="11">
        <v>142.125</v>
      </c>
      <c r="S447" s="11">
        <v>141.99600000000001</v>
      </c>
      <c r="T447" s="11">
        <v>60.624000000000002</v>
      </c>
      <c r="U447" s="11">
        <v>61.319000000000003</v>
      </c>
      <c r="V447" s="11">
        <v>39.375999999999998</v>
      </c>
      <c r="W447" s="11">
        <v>38.680999999999997</v>
      </c>
      <c r="X447" s="11">
        <v>9.68</v>
      </c>
      <c r="Y447" s="11">
        <v>12.422000000000001</v>
      </c>
      <c r="Z447" s="11">
        <v>38.680999999999997</v>
      </c>
      <c r="AA447" s="11">
        <v>39.375999999999998</v>
      </c>
      <c r="AB447" s="11">
        <v>13.425000000000001</v>
      </c>
      <c r="AC447" s="11">
        <v>23</v>
      </c>
      <c r="AD447" s="11">
        <v>23</v>
      </c>
      <c r="AE447" s="11">
        <v>23</v>
      </c>
      <c r="AF447" s="11">
        <v>23</v>
      </c>
    </row>
    <row r="448" spans="1:32" s="11" customFormat="1" x14ac:dyDescent="0.2">
      <c r="A448" s="11">
        <v>571</v>
      </c>
      <c r="F448" s="11" t="s">
        <v>16414</v>
      </c>
      <c r="G448" s="11" t="s">
        <v>16415</v>
      </c>
      <c r="H448" s="12">
        <v>56.7</v>
      </c>
      <c r="I448" s="11" t="s">
        <v>16407</v>
      </c>
      <c r="L448" s="11">
        <v>56.881</v>
      </c>
      <c r="M448" s="11">
        <v>61.837000000000003</v>
      </c>
      <c r="N448" s="11">
        <v>118.768</v>
      </c>
      <c r="O448" s="11">
        <v>118.78400000000001</v>
      </c>
      <c r="P448" s="11">
        <v>94.78</v>
      </c>
      <c r="Q448" s="11">
        <v>94.905000000000001</v>
      </c>
      <c r="R448" s="11">
        <v>95.706000000000003</v>
      </c>
      <c r="S448" s="11">
        <v>96.323999999999998</v>
      </c>
      <c r="T448" s="11">
        <v>63.088999999999999</v>
      </c>
      <c r="U448" s="11">
        <v>61.536000000000001</v>
      </c>
      <c r="V448" s="11">
        <v>36.911000000000001</v>
      </c>
      <c r="W448" s="11">
        <v>38.463999999999999</v>
      </c>
      <c r="X448" s="11">
        <v>12.117000000000001</v>
      </c>
      <c r="Y448" s="11">
        <v>13.215</v>
      </c>
      <c r="Z448" s="11">
        <v>38.463999999999999</v>
      </c>
      <c r="AA448" s="11">
        <v>36.911000000000001</v>
      </c>
      <c r="AB448" s="11">
        <v>8.91</v>
      </c>
      <c r="AC448" s="11">
        <v>8</v>
      </c>
      <c r="AD448" s="11">
        <v>9</v>
      </c>
      <c r="AE448" s="11">
        <v>8</v>
      </c>
      <c r="AF448" s="11">
        <v>8</v>
      </c>
    </row>
    <row r="449" spans="1:32" s="11" customFormat="1" x14ac:dyDescent="0.2">
      <c r="A449" s="11">
        <v>572</v>
      </c>
      <c r="F449" s="11" t="s">
        <v>16414</v>
      </c>
      <c r="G449" s="11" t="s">
        <v>16415</v>
      </c>
      <c r="H449" s="12">
        <v>73</v>
      </c>
      <c r="I449" s="11" t="s">
        <v>16404</v>
      </c>
      <c r="L449" s="11">
        <v>60.052</v>
      </c>
      <c r="M449" s="11">
        <v>63.643000000000001</v>
      </c>
      <c r="N449" s="11">
        <v>123.55</v>
      </c>
      <c r="O449" s="11">
        <v>124.98399999999999</v>
      </c>
      <c r="P449" s="11">
        <v>117.123</v>
      </c>
      <c r="Q449" s="11">
        <v>117.736</v>
      </c>
      <c r="R449" s="11">
        <v>113.76600000000001</v>
      </c>
      <c r="S449" s="11">
        <v>113.117</v>
      </c>
      <c r="T449" s="11">
        <v>63.176000000000002</v>
      </c>
      <c r="U449" s="11">
        <v>62.125</v>
      </c>
      <c r="V449" s="11">
        <v>36.823999999999998</v>
      </c>
      <c r="W449" s="11">
        <v>37.875</v>
      </c>
      <c r="X449" s="11">
        <v>13.192</v>
      </c>
      <c r="Y449" s="11">
        <v>12</v>
      </c>
      <c r="Z449" s="11">
        <v>37.875</v>
      </c>
      <c r="AA449" s="11">
        <v>36.823999999999998</v>
      </c>
      <c r="AB449" s="11">
        <v>8.4009999999999998</v>
      </c>
      <c r="AC449" s="11">
        <v>21</v>
      </c>
      <c r="AD449" s="11">
        <v>17</v>
      </c>
      <c r="AE449" s="11">
        <v>17</v>
      </c>
      <c r="AF449" s="11">
        <v>17</v>
      </c>
    </row>
    <row r="450" spans="1:32" s="11" customFormat="1" x14ac:dyDescent="0.2">
      <c r="A450" s="11">
        <v>573</v>
      </c>
      <c r="F450" s="11" t="s">
        <v>16414</v>
      </c>
      <c r="G450" s="11" t="s">
        <v>16415</v>
      </c>
      <c r="H450" s="12">
        <v>79.7</v>
      </c>
      <c r="I450" s="11" t="s">
        <v>16404</v>
      </c>
      <c r="L450" s="11" t="s">
        <v>16403</v>
      </c>
      <c r="M450" s="11" t="s">
        <v>16403</v>
      </c>
      <c r="N450" s="11" t="s">
        <v>16403</v>
      </c>
      <c r="O450" s="11" t="s">
        <v>16403</v>
      </c>
      <c r="P450" s="11" t="s">
        <v>16403</v>
      </c>
      <c r="Q450" s="11" t="s">
        <v>16403</v>
      </c>
      <c r="R450" s="11" t="s">
        <v>16403</v>
      </c>
      <c r="S450" s="11" t="s">
        <v>16403</v>
      </c>
      <c r="T450" s="11" t="s">
        <v>16403</v>
      </c>
      <c r="U450" s="11" t="s">
        <v>16403</v>
      </c>
      <c r="V450" s="11" t="s">
        <v>16403</v>
      </c>
      <c r="W450" s="11" t="s">
        <v>16403</v>
      </c>
      <c r="X450" s="11" t="s">
        <v>16403</v>
      </c>
      <c r="Y450" s="11" t="s">
        <v>16403</v>
      </c>
      <c r="Z450" s="11" t="s">
        <v>16403</v>
      </c>
      <c r="AA450" s="11" t="s">
        <v>16403</v>
      </c>
      <c r="AB450" s="11" t="s">
        <v>16403</v>
      </c>
      <c r="AC450" s="11" t="s">
        <v>16403</v>
      </c>
      <c r="AD450" s="11" t="s">
        <v>16403</v>
      </c>
      <c r="AE450" s="11" t="s">
        <v>16403</v>
      </c>
      <c r="AF450" s="11" t="s">
        <v>16403</v>
      </c>
    </row>
    <row r="451" spans="1:32" s="11" customFormat="1" x14ac:dyDescent="0.2">
      <c r="A451" s="11">
        <v>574</v>
      </c>
      <c r="F451" s="11" t="s">
        <v>16416</v>
      </c>
      <c r="G451" s="11" t="s">
        <v>16417</v>
      </c>
      <c r="H451" s="12">
        <v>83.4</v>
      </c>
      <c r="I451" s="11" t="s">
        <v>16407</v>
      </c>
      <c r="L451" s="11" t="s">
        <v>16403</v>
      </c>
      <c r="M451" s="11" t="s">
        <v>16403</v>
      </c>
      <c r="N451" s="11" t="s">
        <v>16403</v>
      </c>
      <c r="O451" s="11" t="s">
        <v>16403</v>
      </c>
      <c r="P451" s="11" t="s">
        <v>16403</v>
      </c>
      <c r="Q451" s="11" t="s">
        <v>16403</v>
      </c>
      <c r="R451" s="11" t="s">
        <v>16403</v>
      </c>
      <c r="S451" s="11" t="s">
        <v>16403</v>
      </c>
      <c r="T451" s="11" t="s">
        <v>16403</v>
      </c>
      <c r="U451" s="11" t="s">
        <v>16403</v>
      </c>
      <c r="V451" s="11" t="s">
        <v>16403</v>
      </c>
      <c r="W451" s="11" t="s">
        <v>16403</v>
      </c>
      <c r="X451" s="11" t="s">
        <v>16403</v>
      </c>
      <c r="Y451" s="11" t="s">
        <v>16403</v>
      </c>
      <c r="Z451" s="11" t="s">
        <v>16403</v>
      </c>
      <c r="AA451" s="11" t="s">
        <v>16403</v>
      </c>
      <c r="AB451" s="11" t="s">
        <v>16403</v>
      </c>
      <c r="AC451" s="11" t="s">
        <v>16403</v>
      </c>
      <c r="AD451" s="11" t="s">
        <v>16403</v>
      </c>
      <c r="AE451" s="11" t="s">
        <v>16403</v>
      </c>
      <c r="AF451" s="11" t="s">
        <v>16403</v>
      </c>
    </row>
    <row r="452" spans="1:32" s="11" customFormat="1" x14ac:dyDescent="0.2">
      <c r="A452" s="11">
        <v>575</v>
      </c>
      <c r="F452" s="11" t="s">
        <v>16414</v>
      </c>
      <c r="G452" s="11" t="s">
        <v>16415</v>
      </c>
      <c r="H452" s="12">
        <v>78.5</v>
      </c>
      <c r="I452" s="11" t="s">
        <v>16407</v>
      </c>
      <c r="L452" s="11" t="s">
        <v>16403</v>
      </c>
      <c r="M452" s="11" t="s">
        <v>16403</v>
      </c>
      <c r="N452" s="11" t="s">
        <v>16403</v>
      </c>
      <c r="O452" s="11" t="s">
        <v>16403</v>
      </c>
      <c r="P452" s="11" t="s">
        <v>16403</v>
      </c>
      <c r="Q452" s="11" t="s">
        <v>16403</v>
      </c>
      <c r="R452" s="11" t="s">
        <v>16403</v>
      </c>
      <c r="S452" s="11" t="s">
        <v>16403</v>
      </c>
      <c r="T452" s="11" t="s">
        <v>16403</v>
      </c>
      <c r="U452" s="11" t="s">
        <v>16403</v>
      </c>
      <c r="V452" s="11" t="s">
        <v>16403</v>
      </c>
      <c r="W452" s="11" t="s">
        <v>16403</v>
      </c>
      <c r="X452" s="11" t="s">
        <v>16403</v>
      </c>
      <c r="Y452" s="11" t="s">
        <v>16403</v>
      </c>
      <c r="Z452" s="11" t="s">
        <v>16403</v>
      </c>
      <c r="AA452" s="11" t="s">
        <v>16403</v>
      </c>
      <c r="AB452" s="11" t="s">
        <v>16403</v>
      </c>
      <c r="AC452" s="11" t="s">
        <v>16403</v>
      </c>
      <c r="AD452" s="11" t="s">
        <v>16403</v>
      </c>
      <c r="AE452" s="11" t="s">
        <v>16403</v>
      </c>
      <c r="AF452" s="11" t="s">
        <v>16403</v>
      </c>
    </row>
    <row r="453" spans="1:32" s="11" customFormat="1" x14ac:dyDescent="0.2">
      <c r="A453" s="11">
        <v>578</v>
      </c>
      <c r="F453" s="11" t="s">
        <v>16414</v>
      </c>
      <c r="G453" s="11" t="s">
        <v>16415</v>
      </c>
      <c r="H453" s="12">
        <v>63.1</v>
      </c>
      <c r="I453" s="11" t="s">
        <v>16404</v>
      </c>
      <c r="L453" s="11" t="s">
        <v>16403</v>
      </c>
      <c r="M453" s="11" t="s">
        <v>16403</v>
      </c>
      <c r="N453" s="11" t="s">
        <v>16403</v>
      </c>
      <c r="O453" s="11" t="s">
        <v>16403</v>
      </c>
      <c r="P453" s="11" t="s">
        <v>16403</v>
      </c>
      <c r="Q453" s="11" t="s">
        <v>16403</v>
      </c>
      <c r="R453" s="11" t="s">
        <v>16403</v>
      </c>
      <c r="S453" s="11" t="s">
        <v>16403</v>
      </c>
      <c r="T453" s="11" t="s">
        <v>16403</v>
      </c>
      <c r="U453" s="11" t="s">
        <v>16403</v>
      </c>
      <c r="V453" s="11" t="s">
        <v>16403</v>
      </c>
      <c r="W453" s="11" t="s">
        <v>16403</v>
      </c>
      <c r="X453" s="11" t="s">
        <v>16403</v>
      </c>
      <c r="Y453" s="11" t="s">
        <v>16403</v>
      </c>
      <c r="Z453" s="11" t="s">
        <v>16403</v>
      </c>
      <c r="AA453" s="11" t="s">
        <v>16403</v>
      </c>
      <c r="AB453" s="11" t="s">
        <v>16403</v>
      </c>
      <c r="AC453" s="11" t="s">
        <v>16403</v>
      </c>
      <c r="AD453" s="11" t="s">
        <v>16403</v>
      </c>
      <c r="AE453" s="11" t="s">
        <v>16403</v>
      </c>
      <c r="AF453" s="11" t="s">
        <v>16403</v>
      </c>
    </row>
    <row r="454" spans="1:32" s="11" customFormat="1" x14ac:dyDescent="0.2">
      <c r="A454" s="11">
        <v>579</v>
      </c>
      <c r="F454" s="11" t="s">
        <v>16414</v>
      </c>
      <c r="G454" s="11" t="s">
        <v>16415</v>
      </c>
      <c r="H454" s="12">
        <v>60.8</v>
      </c>
      <c r="I454" s="11" t="s">
        <v>16407</v>
      </c>
      <c r="L454" s="11" t="s">
        <v>16403</v>
      </c>
      <c r="M454" s="11" t="s">
        <v>16403</v>
      </c>
      <c r="N454" s="11" t="s">
        <v>16403</v>
      </c>
      <c r="O454" s="11" t="s">
        <v>16403</v>
      </c>
      <c r="P454" s="11" t="s">
        <v>16403</v>
      </c>
      <c r="Q454" s="11" t="s">
        <v>16403</v>
      </c>
      <c r="R454" s="11" t="s">
        <v>16403</v>
      </c>
      <c r="S454" s="11" t="s">
        <v>16403</v>
      </c>
      <c r="T454" s="11" t="s">
        <v>16403</v>
      </c>
      <c r="U454" s="11" t="s">
        <v>16403</v>
      </c>
      <c r="V454" s="11" t="s">
        <v>16403</v>
      </c>
      <c r="W454" s="11" t="s">
        <v>16403</v>
      </c>
      <c r="X454" s="11" t="s">
        <v>16403</v>
      </c>
      <c r="Y454" s="11" t="s">
        <v>16403</v>
      </c>
      <c r="Z454" s="11" t="s">
        <v>16403</v>
      </c>
      <c r="AA454" s="11" t="s">
        <v>16403</v>
      </c>
      <c r="AB454" s="11" t="s">
        <v>16403</v>
      </c>
      <c r="AC454" s="11" t="s">
        <v>16403</v>
      </c>
      <c r="AD454" s="11" t="s">
        <v>16403</v>
      </c>
      <c r="AE454" s="11" t="s">
        <v>16403</v>
      </c>
      <c r="AF454" s="11" t="s">
        <v>16403</v>
      </c>
    </row>
    <row r="455" spans="1:32" s="11" customFormat="1" x14ac:dyDescent="0.2">
      <c r="A455" s="11">
        <v>580</v>
      </c>
      <c r="F455" s="11" t="s">
        <v>16403</v>
      </c>
      <c r="G455" s="11" t="s">
        <v>16403</v>
      </c>
      <c r="H455" s="12">
        <v>999</v>
      </c>
      <c r="I455" s="11" t="s">
        <v>16403</v>
      </c>
      <c r="L455" s="11" t="s">
        <v>16403</v>
      </c>
      <c r="M455" s="11" t="s">
        <v>16403</v>
      </c>
      <c r="N455" s="11" t="s">
        <v>16403</v>
      </c>
      <c r="O455" s="11" t="s">
        <v>16403</v>
      </c>
      <c r="P455" s="11" t="s">
        <v>16403</v>
      </c>
      <c r="Q455" s="11" t="s">
        <v>16403</v>
      </c>
      <c r="R455" s="11" t="s">
        <v>16403</v>
      </c>
      <c r="S455" s="11" t="s">
        <v>16403</v>
      </c>
      <c r="T455" s="11" t="s">
        <v>16403</v>
      </c>
      <c r="U455" s="11" t="s">
        <v>16403</v>
      </c>
      <c r="V455" s="11" t="s">
        <v>16403</v>
      </c>
      <c r="W455" s="11" t="s">
        <v>16403</v>
      </c>
      <c r="X455" s="11" t="s">
        <v>16403</v>
      </c>
      <c r="Y455" s="11" t="s">
        <v>16403</v>
      </c>
      <c r="Z455" s="11" t="s">
        <v>16403</v>
      </c>
      <c r="AA455" s="11" t="s">
        <v>16403</v>
      </c>
      <c r="AB455" s="11" t="s">
        <v>16403</v>
      </c>
      <c r="AC455" s="11" t="s">
        <v>16403</v>
      </c>
      <c r="AD455" s="11" t="s">
        <v>16403</v>
      </c>
      <c r="AE455" s="11" t="s">
        <v>16403</v>
      </c>
      <c r="AF455" s="11" t="s">
        <v>16403</v>
      </c>
    </row>
    <row r="456" spans="1:32" s="11" customFormat="1" x14ac:dyDescent="0.2">
      <c r="A456" s="11">
        <v>581</v>
      </c>
      <c r="F456" s="11" t="s">
        <v>16420</v>
      </c>
      <c r="G456" s="11" t="s">
        <v>16421</v>
      </c>
      <c r="H456" s="12">
        <v>68</v>
      </c>
      <c r="I456" s="11" t="s">
        <v>16407</v>
      </c>
      <c r="L456" s="11" t="s">
        <v>16403</v>
      </c>
      <c r="M456" s="11" t="s">
        <v>16403</v>
      </c>
      <c r="N456" s="11" t="s">
        <v>16403</v>
      </c>
      <c r="O456" s="11" t="s">
        <v>16403</v>
      </c>
      <c r="P456" s="11" t="s">
        <v>16403</v>
      </c>
      <c r="Q456" s="11" t="s">
        <v>16403</v>
      </c>
      <c r="R456" s="11" t="s">
        <v>16403</v>
      </c>
      <c r="S456" s="11" t="s">
        <v>16403</v>
      </c>
      <c r="T456" s="11" t="s">
        <v>16403</v>
      </c>
      <c r="U456" s="11" t="s">
        <v>16403</v>
      </c>
      <c r="V456" s="11" t="s">
        <v>16403</v>
      </c>
      <c r="W456" s="11" t="s">
        <v>16403</v>
      </c>
      <c r="X456" s="11" t="s">
        <v>16403</v>
      </c>
      <c r="Y456" s="11" t="s">
        <v>16403</v>
      </c>
      <c r="Z456" s="11" t="s">
        <v>16403</v>
      </c>
      <c r="AA456" s="11" t="s">
        <v>16403</v>
      </c>
      <c r="AB456" s="11" t="s">
        <v>16403</v>
      </c>
      <c r="AC456" s="11" t="s">
        <v>16403</v>
      </c>
      <c r="AD456" s="11" t="s">
        <v>16403</v>
      </c>
      <c r="AE456" s="11" t="s">
        <v>16403</v>
      </c>
      <c r="AF456" s="11" t="s">
        <v>16403</v>
      </c>
    </row>
    <row r="457" spans="1:32" s="11" customFormat="1" x14ac:dyDescent="0.2">
      <c r="A457" s="11">
        <v>582</v>
      </c>
      <c r="F457" s="11" t="s">
        <v>16424</v>
      </c>
      <c r="G457" s="11" t="s">
        <v>16425</v>
      </c>
      <c r="H457" s="12">
        <v>39.200000000000003</v>
      </c>
      <c r="I457" s="11" t="s">
        <v>16407</v>
      </c>
      <c r="L457" s="11" t="s">
        <v>16403</v>
      </c>
      <c r="M457" s="11" t="s">
        <v>16403</v>
      </c>
      <c r="N457" s="11" t="s">
        <v>16403</v>
      </c>
      <c r="O457" s="11" t="s">
        <v>16403</v>
      </c>
      <c r="P457" s="11" t="s">
        <v>16403</v>
      </c>
      <c r="Q457" s="11" t="s">
        <v>16403</v>
      </c>
      <c r="R457" s="11" t="s">
        <v>16403</v>
      </c>
      <c r="S457" s="11" t="s">
        <v>16403</v>
      </c>
      <c r="T457" s="11" t="s">
        <v>16403</v>
      </c>
      <c r="U457" s="11" t="s">
        <v>16403</v>
      </c>
      <c r="V457" s="11" t="s">
        <v>16403</v>
      </c>
      <c r="W457" s="11" t="s">
        <v>16403</v>
      </c>
      <c r="X457" s="11" t="s">
        <v>16403</v>
      </c>
      <c r="Y457" s="11" t="s">
        <v>16403</v>
      </c>
      <c r="Z457" s="11" t="s">
        <v>16403</v>
      </c>
      <c r="AA457" s="11" t="s">
        <v>16403</v>
      </c>
      <c r="AB457" s="11" t="s">
        <v>16403</v>
      </c>
      <c r="AC457" s="11" t="s">
        <v>16403</v>
      </c>
      <c r="AD457" s="11" t="s">
        <v>16403</v>
      </c>
      <c r="AE457" s="11" t="s">
        <v>16403</v>
      </c>
      <c r="AF457" s="11" t="s">
        <v>16403</v>
      </c>
    </row>
    <row r="458" spans="1:32" s="11" customFormat="1" x14ac:dyDescent="0.2">
      <c r="A458" s="11">
        <v>583</v>
      </c>
      <c r="F458" s="11" t="s">
        <v>16448</v>
      </c>
      <c r="G458" s="11" t="s">
        <v>16449</v>
      </c>
      <c r="H458" s="12">
        <v>61.2</v>
      </c>
      <c r="I458" s="11" t="s">
        <v>16407</v>
      </c>
      <c r="L458" s="11" t="s">
        <v>16403</v>
      </c>
      <c r="M458" s="11" t="s">
        <v>16403</v>
      </c>
      <c r="N458" s="11" t="s">
        <v>16403</v>
      </c>
      <c r="O458" s="11" t="s">
        <v>16403</v>
      </c>
      <c r="P458" s="11" t="s">
        <v>16403</v>
      </c>
      <c r="Q458" s="11" t="s">
        <v>16403</v>
      </c>
      <c r="R458" s="11" t="s">
        <v>16403</v>
      </c>
      <c r="S458" s="11" t="s">
        <v>16403</v>
      </c>
      <c r="T458" s="11" t="s">
        <v>16403</v>
      </c>
      <c r="U458" s="11" t="s">
        <v>16403</v>
      </c>
      <c r="V458" s="11" t="s">
        <v>16403</v>
      </c>
      <c r="W458" s="11" t="s">
        <v>16403</v>
      </c>
      <c r="X458" s="11" t="s">
        <v>16403</v>
      </c>
      <c r="Y458" s="11" t="s">
        <v>16403</v>
      </c>
      <c r="Z458" s="11" t="s">
        <v>16403</v>
      </c>
      <c r="AA458" s="11" t="s">
        <v>16403</v>
      </c>
      <c r="AB458" s="11" t="s">
        <v>16403</v>
      </c>
      <c r="AC458" s="11" t="s">
        <v>16403</v>
      </c>
      <c r="AD458" s="11" t="s">
        <v>16403</v>
      </c>
      <c r="AE458" s="11" t="s">
        <v>16403</v>
      </c>
      <c r="AF458" s="11" t="s">
        <v>16403</v>
      </c>
    </row>
    <row r="459" spans="1:32" s="11" customFormat="1" x14ac:dyDescent="0.2">
      <c r="A459" s="11">
        <v>584</v>
      </c>
      <c r="F459" s="11" t="s">
        <v>16414</v>
      </c>
      <c r="G459" s="11" t="s">
        <v>16415</v>
      </c>
      <c r="H459" s="12">
        <v>60.5</v>
      </c>
      <c r="I459" s="11" t="s">
        <v>16404</v>
      </c>
      <c r="L459" s="11" t="s">
        <v>16403</v>
      </c>
      <c r="M459" s="11" t="s">
        <v>16403</v>
      </c>
      <c r="N459" s="11" t="s">
        <v>16403</v>
      </c>
      <c r="O459" s="11" t="s">
        <v>16403</v>
      </c>
      <c r="P459" s="11" t="s">
        <v>16403</v>
      </c>
      <c r="Q459" s="11" t="s">
        <v>16403</v>
      </c>
      <c r="R459" s="11" t="s">
        <v>16403</v>
      </c>
      <c r="S459" s="11" t="s">
        <v>16403</v>
      </c>
      <c r="T459" s="11" t="s">
        <v>16403</v>
      </c>
      <c r="U459" s="11" t="s">
        <v>16403</v>
      </c>
      <c r="V459" s="11" t="s">
        <v>16403</v>
      </c>
      <c r="W459" s="11" t="s">
        <v>16403</v>
      </c>
      <c r="X459" s="11" t="s">
        <v>16403</v>
      </c>
      <c r="Y459" s="11" t="s">
        <v>16403</v>
      </c>
      <c r="Z459" s="11" t="s">
        <v>16403</v>
      </c>
      <c r="AA459" s="11" t="s">
        <v>16403</v>
      </c>
      <c r="AB459" s="11" t="s">
        <v>16403</v>
      </c>
      <c r="AC459" s="11" t="s">
        <v>16403</v>
      </c>
      <c r="AD459" s="11" t="s">
        <v>16403</v>
      </c>
      <c r="AE459" s="11" t="s">
        <v>16403</v>
      </c>
      <c r="AF459" s="11" t="s">
        <v>16403</v>
      </c>
    </row>
    <row r="460" spans="1:32" s="11" customFormat="1" x14ac:dyDescent="0.2">
      <c r="A460" s="11">
        <v>585</v>
      </c>
      <c r="F460" s="11" t="s">
        <v>16428</v>
      </c>
      <c r="G460" s="11" t="s">
        <v>16429</v>
      </c>
      <c r="H460" s="12">
        <v>44.5</v>
      </c>
      <c r="I460" s="11" t="s">
        <v>16404</v>
      </c>
      <c r="L460" s="11" t="s">
        <v>16403</v>
      </c>
      <c r="M460" s="11" t="s">
        <v>16403</v>
      </c>
      <c r="N460" s="11" t="s">
        <v>16403</v>
      </c>
      <c r="O460" s="11" t="s">
        <v>16403</v>
      </c>
      <c r="P460" s="11" t="s">
        <v>16403</v>
      </c>
      <c r="Q460" s="11" t="s">
        <v>16403</v>
      </c>
      <c r="R460" s="11" t="s">
        <v>16403</v>
      </c>
      <c r="S460" s="11" t="s">
        <v>16403</v>
      </c>
      <c r="T460" s="11" t="s">
        <v>16403</v>
      </c>
      <c r="U460" s="11" t="s">
        <v>16403</v>
      </c>
      <c r="V460" s="11" t="s">
        <v>16403</v>
      </c>
      <c r="W460" s="11" t="s">
        <v>16403</v>
      </c>
      <c r="X460" s="11" t="s">
        <v>16403</v>
      </c>
      <c r="Y460" s="11" t="s">
        <v>16403</v>
      </c>
      <c r="Z460" s="11" t="s">
        <v>16403</v>
      </c>
      <c r="AA460" s="11" t="s">
        <v>16403</v>
      </c>
      <c r="AB460" s="11" t="s">
        <v>16403</v>
      </c>
      <c r="AC460" s="11" t="s">
        <v>16403</v>
      </c>
      <c r="AD460" s="11" t="s">
        <v>16403</v>
      </c>
      <c r="AE460" s="11" t="s">
        <v>16403</v>
      </c>
      <c r="AF460" s="11" t="s">
        <v>16403</v>
      </c>
    </row>
    <row r="461" spans="1:32" s="11" customFormat="1" x14ac:dyDescent="0.2">
      <c r="A461" s="11">
        <v>586</v>
      </c>
      <c r="F461" s="11" t="s">
        <v>16414</v>
      </c>
      <c r="G461" s="11" t="s">
        <v>16415</v>
      </c>
      <c r="H461" s="12">
        <v>80.5</v>
      </c>
      <c r="I461" s="11" t="s">
        <v>16407</v>
      </c>
      <c r="L461" s="11" t="s">
        <v>16403</v>
      </c>
      <c r="M461" s="11" t="s">
        <v>16403</v>
      </c>
      <c r="N461" s="11" t="s">
        <v>16403</v>
      </c>
      <c r="O461" s="11" t="s">
        <v>16403</v>
      </c>
      <c r="P461" s="11" t="s">
        <v>16403</v>
      </c>
      <c r="Q461" s="11" t="s">
        <v>16403</v>
      </c>
      <c r="R461" s="11" t="s">
        <v>16403</v>
      </c>
      <c r="S461" s="11" t="s">
        <v>16403</v>
      </c>
      <c r="T461" s="11" t="s">
        <v>16403</v>
      </c>
      <c r="U461" s="11" t="s">
        <v>16403</v>
      </c>
      <c r="V461" s="11" t="s">
        <v>16403</v>
      </c>
      <c r="W461" s="11" t="s">
        <v>16403</v>
      </c>
      <c r="X461" s="11" t="s">
        <v>16403</v>
      </c>
      <c r="Y461" s="11" t="s">
        <v>16403</v>
      </c>
      <c r="Z461" s="11" t="s">
        <v>16403</v>
      </c>
      <c r="AA461" s="11" t="s">
        <v>16403</v>
      </c>
      <c r="AB461" s="11" t="s">
        <v>16403</v>
      </c>
      <c r="AC461" s="11" t="s">
        <v>16403</v>
      </c>
      <c r="AD461" s="11" t="s">
        <v>16403</v>
      </c>
      <c r="AE461" s="11" t="s">
        <v>16403</v>
      </c>
      <c r="AF461" s="11" t="s">
        <v>16403</v>
      </c>
    </row>
    <row r="462" spans="1:32" s="11" customFormat="1" x14ac:dyDescent="0.2">
      <c r="A462" s="11">
        <v>587</v>
      </c>
      <c r="F462" s="11" t="s">
        <v>16420</v>
      </c>
      <c r="G462" s="11" t="s">
        <v>16421</v>
      </c>
      <c r="H462" s="12">
        <v>21</v>
      </c>
      <c r="I462" s="11" t="s">
        <v>16407</v>
      </c>
      <c r="L462" s="11" t="s">
        <v>16403</v>
      </c>
      <c r="M462" s="11" t="s">
        <v>16403</v>
      </c>
      <c r="N462" s="11" t="s">
        <v>16403</v>
      </c>
      <c r="O462" s="11" t="s">
        <v>16403</v>
      </c>
      <c r="P462" s="11" t="s">
        <v>16403</v>
      </c>
      <c r="Q462" s="11" t="s">
        <v>16403</v>
      </c>
      <c r="R462" s="11" t="s">
        <v>16403</v>
      </c>
      <c r="S462" s="11" t="s">
        <v>16403</v>
      </c>
      <c r="T462" s="11" t="s">
        <v>16403</v>
      </c>
      <c r="U462" s="11" t="s">
        <v>16403</v>
      </c>
      <c r="V462" s="11" t="s">
        <v>16403</v>
      </c>
      <c r="W462" s="11" t="s">
        <v>16403</v>
      </c>
      <c r="X462" s="11" t="s">
        <v>16403</v>
      </c>
      <c r="Y462" s="11" t="s">
        <v>16403</v>
      </c>
      <c r="Z462" s="11" t="s">
        <v>16403</v>
      </c>
      <c r="AA462" s="11" t="s">
        <v>16403</v>
      </c>
      <c r="AB462" s="11" t="s">
        <v>16403</v>
      </c>
      <c r="AC462" s="11" t="s">
        <v>16403</v>
      </c>
      <c r="AD462" s="11" t="s">
        <v>16403</v>
      </c>
      <c r="AE462" s="11" t="s">
        <v>16403</v>
      </c>
      <c r="AF462" s="11" t="s">
        <v>16403</v>
      </c>
    </row>
    <row r="463" spans="1:32" s="11" customFormat="1" x14ac:dyDescent="0.2">
      <c r="A463" s="11">
        <v>588</v>
      </c>
      <c r="F463" s="11" t="s">
        <v>16420</v>
      </c>
      <c r="G463" s="11" t="s">
        <v>16421</v>
      </c>
      <c r="H463" s="12">
        <v>77.599999999999994</v>
      </c>
      <c r="I463" s="11" t="s">
        <v>16407</v>
      </c>
      <c r="L463" s="11">
        <v>69.405000000000001</v>
      </c>
      <c r="M463" s="11">
        <v>70.48</v>
      </c>
      <c r="N463" s="11">
        <v>140.00800000000001</v>
      </c>
      <c r="O463" s="11">
        <v>139.881</v>
      </c>
      <c r="P463" s="11">
        <v>145.59100000000001</v>
      </c>
      <c r="Q463" s="11">
        <v>145.64099999999999</v>
      </c>
      <c r="R463" s="11">
        <v>124.929</v>
      </c>
      <c r="S463" s="11">
        <v>125.407</v>
      </c>
      <c r="T463" s="11">
        <v>60.326999999999998</v>
      </c>
      <c r="U463" s="11">
        <v>59.600999999999999</v>
      </c>
      <c r="V463" s="11">
        <v>39.673000000000002</v>
      </c>
      <c r="W463" s="11">
        <v>40.399000000000001</v>
      </c>
      <c r="X463" s="11">
        <v>10.234</v>
      </c>
      <c r="Y463" s="11">
        <v>9.7539999999999996</v>
      </c>
      <c r="Z463" s="11">
        <v>40.399000000000001</v>
      </c>
      <c r="AA463" s="11">
        <v>39.673000000000002</v>
      </c>
      <c r="AB463" s="11">
        <v>8.1679999999999993</v>
      </c>
      <c r="AC463" s="11">
        <v>21</v>
      </c>
      <c r="AD463" s="11">
        <v>24</v>
      </c>
      <c r="AE463" s="11">
        <v>21</v>
      </c>
      <c r="AF463" s="11">
        <v>21</v>
      </c>
    </row>
    <row r="464" spans="1:32" s="11" customFormat="1" x14ac:dyDescent="0.2">
      <c r="A464" s="11">
        <v>589</v>
      </c>
      <c r="F464" s="11" t="s">
        <v>16420</v>
      </c>
      <c r="G464" s="11" t="s">
        <v>16421</v>
      </c>
      <c r="H464" s="12">
        <v>72.099999999999994</v>
      </c>
      <c r="I464" s="11" t="s">
        <v>16404</v>
      </c>
      <c r="L464" s="11">
        <v>58.866</v>
      </c>
      <c r="M464" s="11">
        <v>61.31</v>
      </c>
      <c r="N464" s="11">
        <v>120.226</v>
      </c>
      <c r="O464" s="11">
        <v>120.855</v>
      </c>
      <c r="P464" s="11">
        <v>106.08499999999999</v>
      </c>
      <c r="Q464" s="11">
        <v>106.474</v>
      </c>
      <c r="R464" s="11">
        <v>105.40300000000001</v>
      </c>
      <c r="S464" s="11">
        <v>105.419</v>
      </c>
      <c r="T464" s="11">
        <v>63.484999999999999</v>
      </c>
      <c r="U464" s="11">
        <v>63.969000000000001</v>
      </c>
      <c r="V464" s="11">
        <v>36.515000000000001</v>
      </c>
      <c r="W464" s="11">
        <v>36.030999999999999</v>
      </c>
      <c r="X464" s="11">
        <v>12.722</v>
      </c>
      <c r="Y464" s="11">
        <v>15.035</v>
      </c>
      <c r="Z464" s="11">
        <v>36.030999999999999</v>
      </c>
      <c r="AA464" s="11">
        <v>36.515000000000001</v>
      </c>
      <c r="AB464" s="11">
        <v>11.186</v>
      </c>
      <c r="AC464" s="11">
        <v>21</v>
      </c>
      <c r="AD464" s="11">
        <v>22</v>
      </c>
      <c r="AE464" s="11">
        <v>21</v>
      </c>
      <c r="AF464" s="11">
        <v>21</v>
      </c>
    </row>
    <row r="465" spans="1:32" s="11" customFormat="1" x14ac:dyDescent="0.2">
      <c r="A465" s="11">
        <v>590</v>
      </c>
      <c r="F465" s="11" t="s">
        <v>16414</v>
      </c>
      <c r="G465" s="11" t="s">
        <v>16415</v>
      </c>
      <c r="H465" s="12">
        <v>40.799999999999997</v>
      </c>
      <c r="I465" s="11" t="s">
        <v>16404</v>
      </c>
      <c r="L465" s="11">
        <v>68.332999999999998</v>
      </c>
      <c r="M465" s="11">
        <v>56.789000000000001</v>
      </c>
      <c r="N465" s="11">
        <v>125.77800000000001</v>
      </c>
      <c r="O465" s="11">
        <v>125.117</v>
      </c>
      <c r="P465" s="11">
        <v>114.379</v>
      </c>
      <c r="Q465" s="11">
        <v>114.057</v>
      </c>
      <c r="R465" s="11">
        <v>109.941</v>
      </c>
      <c r="S465" s="11">
        <v>109.438</v>
      </c>
      <c r="T465" s="11">
        <v>62.378</v>
      </c>
      <c r="U465" s="11">
        <v>61.360999999999997</v>
      </c>
      <c r="V465" s="11">
        <v>37.622</v>
      </c>
      <c r="W465" s="11">
        <v>38.639000000000003</v>
      </c>
      <c r="X465" s="11">
        <v>10.135</v>
      </c>
      <c r="Y465" s="11">
        <v>13.903</v>
      </c>
      <c r="Z465" s="11">
        <v>38.639000000000003</v>
      </c>
      <c r="AA465" s="11">
        <v>37.622</v>
      </c>
      <c r="AB465" s="11">
        <v>15.946</v>
      </c>
      <c r="AC465" s="11">
        <v>18</v>
      </c>
      <c r="AD465" s="11">
        <v>20</v>
      </c>
      <c r="AE465" s="11">
        <v>18</v>
      </c>
      <c r="AF465" s="11">
        <v>18</v>
      </c>
    </row>
    <row r="466" spans="1:32" s="11" customFormat="1" x14ac:dyDescent="0.2">
      <c r="A466" s="11">
        <v>591</v>
      </c>
      <c r="F466" s="11" t="s">
        <v>16414</v>
      </c>
      <c r="G466" s="11" t="s">
        <v>16415</v>
      </c>
      <c r="H466" s="12">
        <v>71.5</v>
      </c>
      <c r="I466" s="11" t="s">
        <v>16404</v>
      </c>
      <c r="L466" s="11">
        <v>8.6419999999999995</v>
      </c>
      <c r="M466" s="11">
        <v>15.788</v>
      </c>
      <c r="N466" s="11">
        <v>25.44</v>
      </c>
      <c r="O466" s="11">
        <v>24.138999999999999</v>
      </c>
      <c r="P466" s="11">
        <v>28.187000000000001</v>
      </c>
      <c r="Q466" s="11">
        <v>27.097999999999999</v>
      </c>
      <c r="R466" s="11">
        <v>137.941</v>
      </c>
      <c r="S466" s="11">
        <v>139.898</v>
      </c>
      <c r="T466" s="11">
        <v>74.099000000000004</v>
      </c>
      <c r="U466" s="11">
        <v>72.400999999999996</v>
      </c>
      <c r="V466" s="11">
        <v>25.901</v>
      </c>
      <c r="W466" s="11">
        <v>27.599</v>
      </c>
      <c r="X466" s="11">
        <v>23.812999999999999</v>
      </c>
      <c r="Y466" s="11">
        <v>22.402999999999999</v>
      </c>
      <c r="Z466" s="11">
        <v>27.599</v>
      </c>
      <c r="AA466" s="11">
        <v>25.901</v>
      </c>
      <c r="AB466" s="11">
        <v>15.84</v>
      </c>
      <c r="AC466" s="11">
        <v>18</v>
      </c>
      <c r="AD466" s="11">
        <v>19</v>
      </c>
      <c r="AE466" s="11">
        <v>18</v>
      </c>
      <c r="AF466" s="11">
        <v>18</v>
      </c>
    </row>
    <row r="467" spans="1:32" s="11" customFormat="1" x14ac:dyDescent="0.2">
      <c r="A467" s="11">
        <v>592</v>
      </c>
      <c r="F467" s="11" t="s">
        <v>16414</v>
      </c>
      <c r="G467" s="11" t="s">
        <v>16415</v>
      </c>
      <c r="H467" s="12">
        <v>58</v>
      </c>
      <c r="I467" s="11" t="s">
        <v>16404</v>
      </c>
      <c r="L467" s="11">
        <v>67.587000000000003</v>
      </c>
      <c r="M467" s="11">
        <v>71.481999999999999</v>
      </c>
      <c r="N467" s="11">
        <v>139.65299999999999</v>
      </c>
      <c r="O467" s="11">
        <v>138.77799999999999</v>
      </c>
      <c r="P467" s="11">
        <v>127.084</v>
      </c>
      <c r="Q467" s="11">
        <v>125.923</v>
      </c>
      <c r="R467" s="11">
        <v>108.9</v>
      </c>
      <c r="S467" s="11">
        <v>108.84099999999999</v>
      </c>
      <c r="T467" s="11">
        <v>60.377000000000002</v>
      </c>
      <c r="U467" s="11">
        <v>60.287999999999997</v>
      </c>
      <c r="V467" s="11">
        <v>39.622999999999998</v>
      </c>
      <c r="W467" s="11">
        <v>39.712000000000003</v>
      </c>
      <c r="X467" s="11">
        <v>10.631</v>
      </c>
      <c r="Y467" s="11">
        <v>10.385</v>
      </c>
      <c r="Z467" s="11">
        <v>39.712000000000003</v>
      </c>
      <c r="AA467" s="11">
        <v>39.622999999999998</v>
      </c>
      <c r="AB467" s="11">
        <v>8.6519999999999992</v>
      </c>
      <c r="AC467" s="11">
        <v>15</v>
      </c>
      <c r="AD467" s="11">
        <v>16</v>
      </c>
      <c r="AE467" s="11">
        <v>15</v>
      </c>
      <c r="AF467" s="11">
        <v>15</v>
      </c>
    </row>
    <row r="468" spans="1:32" s="11" customFormat="1" x14ac:dyDescent="0.2">
      <c r="A468" s="11">
        <v>593</v>
      </c>
      <c r="F468" s="11" t="s">
        <v>16420</v>
      </c>
      <c r="G468" s="11" t="s">
        <v>16421</v>
      </c>
      <c r="H468" s="12">
        <v>66.900000000000006</v>
      </c>
      <c r="I468" s="11" t="s">
        <v>16407</v>
      </c>
      <c r="L468" s="11" t="s">
        <v>16403</v>
      </c>
      <c r="M468" s="11" t="s">
        <v>16403</v>
      </c>
      <c r="N468" s="11" t="s">
        <v>16403</v>
      </c>
      <c r="O468" s="11" t="s">
        <v>16403</v>
      </c>
      <c r="P468" s="11" t="s">
        <v>16403</v>
      </c>
      <c r="Q468" s="11" t="s">
        <v>16403</v>
      </c>
      <c r="R468" s="11" t="s">
        <v>16403</v>
      </c>
      <c r="S468" s="11" t="s">
        <v>16403</v>
      </c>
      <c r="T468" s="11" t="s">
        <v>16403</v>
      </c>
      <c r="U468" s="11" t="s">
        <v>16403</v>
      </c>
      <c r="V468" s="11" t="s">
        <v>16403</v>
      </c>
      <c r="W468" s="11" t="s">
        <v>16403</v>
      </c>
      <c r="X468" s="11" t="s">
        <v>16403</v>
      </c>
      <c r="Y468" s="11" t="s">
        <v>16403</v>
      </c>
      <c r="Z468" s="11" t="s">
        <v>16403</v>
      </c>
      <c r="AA468" s="11" t="s">
        <v>16403</v>
      </c>
      <c r="AB468" s="11" t="s">
        <v>16403</v>
      </c>
      <c r="AC468" s="11" t="s">
        <v>16403</v>
      </c>
      <c r="AD468" s="11" t="s">
        <v>16403</v>
      </c>
      <c r="AE468" s="11" t="s">
        <v>16403</v>
      </c>
      <c r="AF468" s="11" t="s">
        <v>16403</v>
      </c>
    </row>
    <row r="469" spans="1:32" s="11" customFormat="1" x14ac:dyDescent="0.2">
      <c r="A469" s="11">
        <v>594</v>
      </c>
      <c r="F469" s="11" t="s">
        <v>16414</v>
      </c>
      <c r="G469" s="11" t="s">
        <v>16415</v>
      </c>
      <c r="H469" s="12">
        <v>69.8</v>
      </c>
      <c r="I469" s="11" t="s">
        <v>16404</v>
      </c>
      <c r="L469" s="11">
        <v>65.850999999999999</v>
      </c>
      <c r="M469" s="11">
        <v>66.302999999999997</v>
      </c>
      <c r="N469" s="11">
        <v>133.11199999999999</v>
      </c>
      <c r="O469" s="11">
        <v>132.31200000000001</v>
      </c>
      <c r="P469" s="11">
        <v>124.782</v>
      </c>
      <c r="Q469" s="11">
        <v>124.643</v>
      </c>
      <c r="R469" s="11">
        <v>113.20699999999999</v>
      </c>
      <c r="S469" s="11">
        <v>113.47799999999999</v>
      </c>
      <c r="T469" s="11">
        <v>62.654000000000003</v>
      </c>
      <c r="U469" s="11">
        <v>62.826999999999998</v>
      </c>
      <c r="V469" s="11">
        <v>37.345999999999997</v>
      </c>
      <c r="W469" s="11">
        <v>37.173000000000002</v>
      </c>
      <c r="X469" s="11">
        <v>13.715999999999999</v>
      </c>
      <c r="Y469" s="11">
        <v>12.029</v>
      </c>
      <c r="Z469" s="11">
        <v>37.173000000000002</v>
      </c>
      <c r="AA469" s="11">
        <v>37.345999999999997</v>
      </c>
      <c r="AB469" s="11">
        <v>13.788</v>
      </c>
      <c r="AC469" s="11">
        <v>15</v>
      </c>
      <c r="AD469" s="11">
        <v>18</v>
      </c>
      <c r="AE469" s="11">
        <v>15</v>
      </c>
      <c r="AF469" s="11">
        <v>15</v>
      </c>
    </row>
    <row r="470" spans="1:32" s="11" customFormat="1" x14ac:dyDescent="0.2">
      <c r="A470" s="11">
        <v>595</v>
      </c>
      <c r="F470" s="11" t="s">
        <v>16420</v>
      </c>
      <c r="G470" s="11" t="s">
        <v>16421</v>
      </c>
      <c r="H470" s="12">
        <v>67.5</v>
      </c>
      <c r="I470" s="11" t="s">
        <v>16407</v>
      </c>
      <c r="L470" s="11">
        <v>56.488</v>
      </c>
      <c r="M470" s="11">
        <v>56.435000000000002</v>
      </c>
      <c r="N470" s="11">
        <v>113.29300000000001</v>
      </c>
      <c r="O470" s="11">
        <v>113.22199999999999</v>
      </c>
      <c r="P470" s="11">
        <v>108.64100000000001</v>
      </c>
      <c r="Q470" s="11">
        <v>108.554</v>
      </c>
      <c r="R470" s="11">
        <v>115.23399999999999</v>
      </c>
      <c r="S470" s="11">
        <v>114.511</v>
      </c>
      <c r="T470" s="11">
        <v>61.65</v>
      </c>
      <c r="U470" s="11">
        <v>62.561</v>
      </c>
      <c r="V470" s="11">
        <v>38.35</v>
      </c>
      <c r="W470" s="11">
        <v>37.439</v>
      </c>
      <c r="X470" s="11">
        <v>12.513</v>
      </c>
      <c r="Y470" s="11">
        <v>11.996</v>
      </c>
      <c r="Z470" s="11">
        <v>37.439</v>
      </c>
      <c r="AA470" s="11">
        <v>38.35</v>
      </c>
      <c r="AB470" s="11">
        <v>7.42</v>
      </c>
      <c r="AC470" s="11">
        <v>16</v>
      </c>
      <c r="AD470" s="11">
        <v>17</v>
      </c>
      <c r="AE470" s="11">
        <v>16</v>
      </c>
      <c r="AF470" s="11">
        <v>16</v>
      </c>
    </row>
    <row r="471" spans="1:32" s="11" customFormat="1" x14ac:dyDescent="0.2">
      <c r="A471" s="11">
        <v>596</v>
      </c>
      <c r="F471" s="11" t="s">
        <v>16414</v>
      </c>
      <c r="G471" s="11" t="s">
        <v>16415</v>
      </c>
      <c r="H471" s="12">
        <v>73.400000000000006</v>
      </c>
      <c r="I471" s="11" t="s">
        <v>16404</v>
      </c>
      <c r="L471" s="11">
        <v>45.167999999999999</v>
      </c>
      <c r="M471" s="11">
        <v>44.338000000000001</v>
      </c>
      <c r="N471" s="11">
        <v>89.584000000000003</v>
      </c>
      <c r="O471" s="11">
        <v>89.795000000000002</v>
      </c>
      <c r="P471" s="11">
        <v>77.561999999999998</v>
      </c>
      <c r="Q471" s="11">
        <v>77.784000000000006</v>
      </c>
      <c r="R471" s="11">
        <v>103.764</v>
      </c>
      <c r="S471" s="11">
        <v>103.714</v>
      </c>
      <c r="T471" s="11">
        <v>64.103999999999999</v>
      </c>
      <c r="U471" s="11">
        <v>62.835999999999999</v>
      </c>
      <c r="V471" s="11">
        <v>35.896000000000001</v>
      </c>
      <c r="W471" s="11">
        <v>37.164000000000001</v>
      </c>
      <c r="X471" s="11">
        <v>12.606999999999999</v>
      </c>
      <c r="Y471" s="11">
        <v>14.327</v>
      </c>
      <c r="Z471" s="11">
        <v>37.164000000000001</v>
      </c>
      <c r="AA471" s="11">
        <v>35.896000000000001</v>
      </c>
      <c r="AB471" s="11">
        <v>10.352</v>
      </c>
      <c r="AC471" s="11">
        <v>23</v>
      </c>
      <c r="AD471" s="11">
        <v>22</v>
      </c>
      <c r="AE471" s="11">
        <v>22</v>
      </c>
      <c r="AF471" s="11">
        <v>22</v>
      </c>
    </row>
    <row r="472" spans="1:32" s="11" customFormat="1" x14ac:dyDescent="0.2">
      <c r="A472" s="11">
        <v>597</v>
      </c>
      <c r="F472" s="11" t="s">
        <v>16428</v>
      </c>
      <c r="G472" s="11" t="s">
        <v>16429</v>
      </c>
      <c r="H472" s="12">
        <v>61.9</v>
      </c>
      <c r="I472" s="11" t="s">
        <v>16404</v>
      </c>
      <c r="L472" s="11">
        <v>28.344999999999999</v>
      </c>
      <c r="M472" s="11">
        <v>41.783000000000001</v>
      </c>
      <c r="N472" s="11">
        <v>69.66</v>
      </c>
      <c r="O472" s="11">
        <v>70.156999999999996</v>
      </c>
      <c r="P472" s="11">
        <v>37.341999999999999</v>
      </c>
      <c r="Q472" s="11">
        <v>37.731000000000002</v>
      </c>
      <c r="R472" s="11">
        <v>63.994999999999997</v>
      </c>
      <c r="S472" s="11">
        <v>64.572999999999993</v>
      </c>
      <c r="T472" s="11">
        <v>55.134</v>
      </c>
      <c r="U472" s="11">
        <v>73.513000000000005</v>
      </c>
      <c r="V472" s="11">
        <v>44.866</v>
      </c>
      <c r="W472" s="11">
        <v>26.486999999999998</v>
      </c>
      <c r="X472" s="11">
        <v>13.098000000000001</v>
      </c>
      <c r="Y472" s="11">
        <v>16.024000000000001</v>
      </c>
      <c r="Z472" s="11">
        <v>26.486999999999998</v>
      </c>
      <c r="AA472" s="11">
        <v>44.866</v>
      </c>
      <c r="AB472" s="11">
        <v>23.385000000000002</v>
      </c>
      <c r="AC472" s="11">
        <v>12</v>
      </c>
      <c r="AD472" s="11">
        <v>13</v>
      </c>
      <c r="AE472" s="11">
        <v>12</v>
      </c>
      <c r="AF472" s="11">
        <v>12</v>
      </c>
    </row>
    <row r="473" spans="1:32" s="11" customFormat="1" x14ac:dyDescent="0.2">
      <c r="A473" s="11">
        <v>598</v>
      </c>
      <c r="F473" s="11" t="s">
        <v>16420</v>
      </c>
      <c r="G473" s="11" t="s">
        <v>16421</v>
      </c>
      <c r="H473" s="12">
        <v>73.3</v>
      </c>
      <c r="I473" s="11" t="s">
        <v>16404</v>
      </c>
      <c r="L473" s="11">
        <v>66.183000000000007</v>
      </c>
      <c r="M473" s="11">
        <v>60.88</v>
      </c>
      <c r="N473" s="11">
        <v>127.099</v>
      </c>
      <c r="O473" s="11">
        <v>127.279</v>
      </c>
      <c r="P473" s="11">
        <v>121.786</v>
      </c>
      <c r="Q473" s="11">
        <v>121.94499999999999</v>
      </c>
      <c r="R473" s="11">
        <v>114.38</v>
      </c>
      <c r="S473" s="11">
        <v>114.49</v>
      </c>
      <c r="T473" s="11">
        <v>62.996000000000002</v>
      </c>
      <c r="U473" s="11">
        <v>61.802999999999997</v>
      </c>
      <c r="V473" s="11">
        <v>37.003999999999998</v>
      </c>
      <c r="W473" s="11">
        <v>38.197000000000003</v>
      </c>
      <c r="X473" s="11">
        <v>13.069000000000001</v>
      </c>
      <c r="Y473" s="11">
        <v>12.481</v>
      </c>
      <c r="Z473" s="11">
        <v>38.197000000000003</v>
      </c>
      <c r="AA473" s="11">
        <v>37.003999999999998</v>
      </c>
      <c r="AB473" s="11">
        <v>13.504</v>
      </c>
      <c r="AC473" s="11">
        <v>15</v>
      </c>
      <c r="AD473" s="11">
        <v>17</v>
      </c>
      <c r="AE473" s="11">
        <v>15</v>
      </c>
      <c r="AF473" s="11">
        <v>15</v>
      </c>
    </row>
    <row r="474" spans="1:32" s="11" customFormat="1" x14ac:dyDescent="0.2">
      <c r="A474" s="11">
        <v>599</v>
      </c>
      <c r="F474" s="11" t="s">
        <v>16414</v>
      </c>
      <c r="G474" s="11" t="s">
        <v>16415</v>
      </c>
      <c r="H474" s="12">
        <v>54.4</v>
      </c>
      <c r="I474" s="11" t="s">
        <v>16404</v>
      </c>
      <c r="L474" s="11">
        <v>50.238</v>
      </c>
      <c r="M474" s="11">
        <v>59.17</v>
      </c>
      <c r="N474" s="11">
        <v>109.842</v>
      </c>
      <c r="O474" s="11">
        <v>110.251</v>
      </c>
      <c r="P474" s="11">
        <v>98.677999999999997</v>
      </c>
      <c r="Q474" s="11">
        <v>98.82</v>
      </c>
      <c r="R474" s="11">
        <v>107.545</v>
      </c>
      <c r="S474" s="11">
        <v>107.26900000000001</v>
      </c>
      <c r="T474" s="11">
        <v>63.04</v>
      </c>
      <c r="U474" s="11">
        <v>63.476999999999997</v>
      </c>
      <c r="V474" s="11">
        <v>36.96</v>
      </c>
      <c r="W474" s="11">
        <v>36.523000000000003</v>
      </c>
      <c r="X474" s="11">
        <v>12.412000000000001</v>
      </c>
      <c r="Y474" s="11">
        <v>14.276999999999999</v>
      </c>
      <c r="Z474" s="11">
        <v>36.523000000000003</v>
      </c>
      <c r="AA474" s="11">
        <v>36.96</v>
      </c>
      <c r="AB474" s="11">
        <v>12.577999999999999</v>
      </c>
      <c r="AC474" s="11">
        <v>22</v>
      </c>
      <c r="AD474" s="11">
        <v>22</v>
      </c>
      <c r="AE474" s="11">
        <v>22</v>
      </c>
      <c r="AF474" s="11">
        <v>22</v>
      </c>
    </row>
    <row r="475" spans="1:32" s="11" customFormat="1" x14ac:dyDescent="0.2">
      <c r="A475" s="11">
        <v>600</v>
      </c>
      <c r="F475" s="11" t="s">
        <v>16414</v>
      </c>
      <c r="G475" s="11" t="s">
        <v>16415</v>
      </c>
      <c r="H475" s="12">
        <v>54</v>
      </c>
      <c r="I475" s="11" t="s">
        <v>16407</v>
      </c>
      <c r="L475" s="11">
        <v>64.353999999999999</v>
      </c>
      <c r="M475" s="11">
        <v>58.533000000000001</v>
      </c>
      <c r="N475" s="11">
        <v>123.583</v>
      </c>
      <c r="O475" s="11">
        <v>122.71299999999999</v>
      </c>
      <c r="P475" s="11">
        <v>114.718</v>
      </c>
      <c r="Q475" s="11">
        <v>113.626</v>
      </c>
      <c r="R475" s="11">
        <v>111.06399999999999</v>
      </c>
      <c r="S475" s="11">
        <v>110.911</v>
      </c>
      <c r="T475" s="11">
        <v>64.597999999999999</v>
      </c>
      <c r="U475" s="11">
        <v>63.412999999999997</v>
      </c>
      <c r="V475" s="11">
        <v>35.402000000000001</v>
      </c>
      <c r="W475" s="11">
        <v>36.587000000000003</v>
      </c>
      <c r="X475" s="11">
        <v>12.944000000000001</v>
      </c>
      <c r="Y475" s="11">
        <v>15.233000000000001</v>
      </c>
      <c r="Z475" s="11">
        <v>36.587000000000003</v>
      </c>
      <c r="AA475" s="11">
        <v>35.402000000000001</v>
      </c>
      <c r="AB475" s="11">
        <v>11.003</v>
      </c>
      <c r="AC475" s="11">
        <v>19</v>
      </c>
      <c r="AD475" s="11">
        <v>19</v>
      </c>
      <c r="AE475" s="11">
        <v>19</v>
      </c>
      <c r="AF475" s="11">
        <v>19</v>
      </c>
    </row>
    <row r="476" spans="1:32" s="11" customFormat="1" x14ac:dyDescent="0.2">
      <c r="A476" s="11">
        <v>601</v>
      </c>
      <c r="F476" s="11" t="s">
        <v>16426</v>
      </c>
      <c r="G476" s="11" t="s">
        <v>16427</v>
      </c>
      <c r="H476" s="12">
        <v>999</v>
      </c>
      <c r="I476" s="11" t="s">
        <v>16403</v>
      </c>
      <c r="L476" s="11">
        <v>21.061</v>
      </c>
      <c r="M476" s="11">
        <v>33.814999999999998</v>
      </c>
      <c r="N476" s="11">
        <v>55.698</v>
      </c>
      <c r="O476" s="11">
        <v>54.649000000000001</v>
      </c>
      <c r="P476" s="11">
        <v>32.209000000000003</v>
      </c>
      <c r="Q476" s="11">
        <v>32.228000000000002</v>
      </c>
      <c r="R476" s="11">
        <v>69.783000000000001</v>
      </c>
      <c r="S476" s="11">
        <v>70.412999999999997</v>
      </c>
      <c r="T476" s="11">
        <v>80.316000000000003</v>
      </c>
      <c r="U476" s="11">
        <v>73.614999999999995</v>
      </c>
      <c r="V476" s="11">
        <v>19.684000000000001</v>
      </c>
      <c r="W476" s="11">
        <v>26.385000000000002</v>
      </c>
      <c r="X476" s="11">
        <v>28.748999999999999</v>
      </c>
      <c r="Y476" s="11">
        <v>25.454999999999998</v>
      </c>
      <c r="Z476" s="11">
        <v>26.385000000000002</v>
      </c>
      <c r="AA476" s="11">
        <v>19.684000000000001</v>
      </c>
      <c r="AB476" s="11">
        <v>13.172000000000001</v>
      </c>
      <c r="AC476" s="11">
        <v>22</v>
      </c>
      <c r="AD476" s="11">
        <v>23</v>
      </c>
      <c r="AE476" s="11">
        <v>22</v>
      </c>
      <c r="AF476" s="11">
        <v>22</v>
      </c>
    </row>
    <row r="477" spans="1:32" s="11" customFormat="1" x14ac:dyDescent="0.2">
      <c r="A477" s="11">
        <v>602</v>
      </c>
      <c r="F477" s="11" t="s">
        <v>16420</v>
      </c>
      <c r="G477" s="11" t="s">
        <v>16421</v>
      </c>
      <c r="H477" s="12">
        <v>67.3</v>
      </c>
      <c r="I477" s="11" t="s">
        <v>16407</v>
      </c>
      <c r="L477" s="11">
        <v>41.292000000000002</v>
      </c>
      <c r="M477" s="11">
        <v>42.610999999999997</v>
      </c>
      <c r="N477" s="11">
        <v>83.388999999999996</v>
      </c>
      <c r="O477" s="11">
        <v>84.176000000000002</v>
      </c>
      <c r="P477" s="11">
        <v>65.17</v>
      </c>
      <c r="Q477" s="11">
        <v>65.274000000000001</v>
      </c>
      <c r="R477" s="11">
        <v>93.349000000000004</v>
      </c>
      <c r="S477" s="11">
        <v>92.983999999999995</v>
      </c>
      <c r="T477" s="11">
        <v>65.269000000000005</v>
      </c>
      <c r="U477" s="11">
        <v>65.647000000000006</v>
      </c>
      <c r="V477" s="11">
        <v>34.731000000000002</v>
      </c>
      <c r="W477" s="11">
        <v>34.353000000000002</v>
      </c>
      <c r="X477" s="11">
        <v>15.989000000000001</v>
      </c>
      <c r="Y477" s="11">
        <v>14.766</v>
      </c>
      <c r="Z477" s="11">
        <v>34.353000000000002</v>
      </c>
      <c r="AA477" s="11">
        <v>34.731000000000002</v>
      </c>
      <c r="AB477" s="11">
        <v>11.43</v>
      </c>
      <c r="AC477" s="11">
        <v>13</v>
      </c>
      <c r="AD477" s="11">
        <v>16</v>
      </c>
      <c r="AE477" s="11">
        <v>13</v>
      </c>
      <c r="AF477" s="11">
        <v>13</v>
      </c>
    </row>
    <row r="478" spans="1:32" s="11" customFormat="1" x14ac:dyDescent="0.2">
      <c r="A478" s="11">
        <v>603</v>
      </c>
      <c r="F478" s="11" t="s">
        <v>16420</v>
      </c>
      <c r="G478" s="11" t="s">
        <v>16421</v>
      </c>
      <c r="H478" s="12">
        <v>73.3</v>
      </c>
      <c r="I478" s="11" t="s">
        <v>16407</v>
      </c>
      <c r="L478" s="11">
        <v>44.447000000000003</v>
      </c>
      <c r="M478" s="11">
        <v>42.938000000000002</v>
      </c>
      <c r="N478" s="11">
        <v>87.387</v>
      </c>
      <c r="O478" s="11">
        <v>87.734999999999999</v>
      </c>
      <c r="P478" s="11">
        <v>77.527000000000001</v>
      </c>
      <c r="Q478" s="11">
        <v>78.194000000000003</v>
      </c>
      <c r="R478" s="11">
        <v>106.268</v>
      </c>
      <c r="S478" s="11">
        <v>106.416</v>
      </c>
      <c r="T478" s="11">
        <v>63.414000000000001</v>
      </c>
      <c r="U478" s="11">
        <v>63.423999999999999</v>
      </c>
      <c r="V478" s="11">
        <v>36.585999999999999</v>
      </c>
      <c r="W478" s="11">
        <v>36.576000000000001</v>
      </c>
      <c r="X478" s="11">
        <v>14.49</v>
      </c>
      <c r="Y478" s="11">
        <v>12.644</v>
      </c>
      <c r="Z478" s="11">
        <v>36.576000000000001</v>
      </c>
      <c r="AA478" s="11">
        <v>36.585999999999999</v>
      </c>
      <c r="AB478" s="11">
        <v>17.216999999999999</v>
      </c>
      <c r="AC478" s="11">
        <v>23</v>
      </c>
      <c r="AD478" s="11">
        <v>18</v>
      </c>
      <c r="AE478" s="11">
        <v>18</v>
      </c>
      <c r="AF478" s="11">
        <v>18</v>
      </c>
    </row>
    <row r="479" spans="1:32" s="11" customFormat="1" x14ac:dyDescent="0.2">
      <c r="A479" s="11">
        <v>604</v>
      </c>
      <c r="F479" s="11" t="s">
        <v>16414</v>
      </c>
      <c r="G479" s="11" t="s">
        <v>16415</v>
      </c>
      <c r="H479" s="12">
        <v>75.7</v>
      </c>
      <c r="I479" s="11" t="s">
        <v>16404</v>
      </c>
      <c r="L479" s="11">
        <v>67.298000000000002</v>
      </c>
      <c r="M479" s="11">
        <v>67.3</v>
      </c>
      <c r="N479" s="11">
        <v>133.00200000000001</v>
      </c>
      <c r="O479" s="11">
        <v>135.28700000000001</v>
      </c>
      <c r="P479" s="11">
        <v>113.544</v>
      </c>
      <c r="Q479" s="11">
        <v>113.61</v>
      </c>
      <c r="R479" s="11">
        <v>102.42700000000001</v>
      </c>
      <c r="S479" s="11">
        <v>101.202</v>
      </c>
      <c r="T479" s="11">
        <v>63.689</v>
      </c>
      <c r="U479" s="11">
        <v>61.863</v>
      </c>
      <c r="V479" s="11">
        <v>36.311</v>
      </c>
      <c r="W479" s="11">
        <v>38.137</v>
      </c>
      <c r="X479" s="11">
        <v>14.637</v>
      </c>
      <c r="Y479" s="11">
        <v>12.122</v>
      </c>
      <c r="Z479" s="11">
        <v>38.137</v>
      </c>
      <c r="AA479" s="11">
        <v>36.311</v>
      </c>
      <c r="AB479" s="11">
        <v>10.766999999999999</v>
      </c>
      <c r="AC479" s="11">
        <v>14</v>
      </c>
      <c r="AD479" s="11">
        <v>15</v>
      </c>
      <c r="AE479" s="11">
        <v>14</v>
      </c>
      <c r="AF479" s="11">
        <v>14</v>
      </c>
    </row>
    <row r="480" spans="1:32" s="11" customFormat="1" x14ac:dyDescent="0.2">
      <c r="A480" s="11">
        <v>605</v>
      </c>
      <c r="F480" s="11" t="s">
        <v>16432</v>
      </c>
      <c r="G480" s="11" t="s">
        <v>16433</v>
      </c>
      <c r="H480" s="12">
        <v>29.3</v>
      </c>
      <c r="I480" s="11" t="s">
        <v>16407</v>
      </c>
      <c r="L480" s="11">
        <v>61.264000000000003</v>
      </c>
      <c r="M480" s="11">
        <v>58.832000000000001</v>
      </c>
      <c r="N480" s="11">
        <v>119.914</v>
      </c>
      <c r="O480" s="11">
        <v>120.401</v>
      </c>
      <c r="P480" s="11">
        <v>135.58799999999999</v>
      </c>
      <c r="Q480" s="11">
        <v>136.22300000000001</v>
      </c>
      <c r="R480" s="11">
        <v>135.88300000000001</v>
      </c>
      <c r="S480" s="11">
        <v>136.38300000000001</v>
      </c>
      <c r="T480" s="11">
        <v>60.598999999999997</v>
      </c>
      <c r="U480" s="11">
        <v>59.22</v>
      </c>
      <c r="V480" s="11">
        <v>39.401000000000003</v>
      </c>
      <c r="W480" s="11">
        <v>40.78</v>
      </c>
      <c r="X480" s="11">
        <v>9.8119999999999994</v>
      </c>
      <c r="Y480" s="11">
        <v>10.361000000000001</v>
      </c>
      <c r="Z480" s="11">
        <v>40.78</v>
      </c>
      <c r="AA480" s="11">
        <v>39.401000000000003</v>
      </c>
      <c r="AB480" s="11">
        <v>12.116</v>
      </c>
      <c r="AC480" s="11">
        <v>21</v>
      </c>
      <c r="AD480" s="11">
        <v>23</v>
      </c>
      <c r="AE480" s="11">
        <v>21</v>
      </c>
      <c r="AF480" s="11">
        <v>21</v>
      </c>
    </row>
    <row r="481" spans="1:32" s="11" customFormat="1" x14ac:dyDescent="0.2">
      <c r="A481" s="11">
        <v>606</v>
      </c>
      <c r="F481" s="11" t="s">
        <v>16414</v>
      </c>
      <c r="G481" s="11" t="s">
        <v>16415</v>
      </c>
      <c r="H481" s="12">
        <v>46.6</v>
      </c>
      <c r="I481" s="11" t="s">
        <v>16404</v>
      </c>
      <c r="L481" s="11">
        <v>76.724999999999994</v>
      </c>
      <c r="M481" s="11">
        <v>77.009</v>
      </c>
      <c r="N481" s="11">
        <v>154.053</v>
      </c>
      <c r="O481" s="11">
        <v>154.369</v>
      </c>
      <c r="P481" s="11">
        <v>141.97800000000001</v>
      </c>
      <c r="Q481" s="11">
        <v>143.41200000000001</v>
      </c>
      <c r="R481" s="11">
        <v>109.90600000000001</v>
      </c>
      <c r="S481" s="11">
        <v>110.887</v>
      </c>
      <c r="T481" s="11">
        <v>61.42</v>
      </c>
      <c r="U481" s="11">
        <v>61.582999999999998</v>
      </c>
      <c r="V481" s="11">
        <v>38.58</v>
      </c>
      <c r="W481" s="11">
        <v>38.417000000000002</v>
      </c>
      <c r="X481" s="11">
        <v>12.042999999999999</v>
      </c>
      <c r="Y481" s="11">
        <v>11.863</v>
      </c>
      <c r="Z481" s="11">
        <v>38.417000000000002</v>
      </c>
      <c r="AA481" s="11">
        <v>38.58</v>
      </c>
      <c r="AB481" s="11">
        <v>14.705</v>
      </c>
      <c r="AC481" s="11">
        <v>14</v>
      </c>
      <c r="AD481" s="11">
        <v>12</v>
      </c>
      <c r="AE481" s="11">
        <v>12</v>
      </c>
      <c r="AF481" s="11">
        <v>12</v>
      </c>
    </row>
    <row r="482" spans="1:32" s="11" customFormat="1" x14ac:dyDescent="0.2">
      <c r="A482" s="11">
        <v>607</v>
      </c>
      <c r="F482" s="11" t="s">
        <v>16432</v>
      </c>
      <c r="G482" s="11" t="s">
        <v>16433</v>
      </c>
      <c r="H482" s="12">
        <v>66.5</v>
      </c>
      <c r="I482" s="11" t="s">
        <v>16407</v>
      </c>
      <c r="L482" s="11">
        <v>54.920999999999999</v>
      </c>
      <c r="M482" s="11">
        <v>56.36</v>
      </c>
      <c r="N482" s="11">
        <v>111.11499999999999</v>
      </c>
      <c r="O482" s="11">
        <v>111.69</v>
      </c>
      <c r="P482" s="11">
        <v>90.287999999999997</v>
      </c>
      <c r="Q482" s="11">
        <v>90.028000000000006</v>
      </c>
      <c r="R482" s="11">
        <v>96.867999999999995</v>
      </c>
      <c r="S482" s="11">
        <v>96.257999999999996</v>
      </c>
      <c r="T482" s="11">
        <v>63.960999999999999</v>
      </c>
      <c r="U482" s="11">
        <v>64.661000000000001</v>
      </c>
      <c r="V482" s="11">
        <v>36.039000000000001</v>
      </c>
      <c r="W482" s="11">
        <v>35.338999999999999</v>
      </c>
      <c r="X482" s="11">
        <v>14.776</v>
      </c>
      <c r="Y482" s="11">
        <v>14.35</v>
      </c>
      <c r="Z482" s="11">
        <v>35.338999999999999</v>
      </c>
      <c r="AA482" s="11">
        <v>36.039000000000001</v>
      </c>
      <c r="AB482" s="11">
        <v>8.9</v>
      </c>
      <c r="AC482" s="11">
        <v>10</v>
      </c>
      <c r="AD482" s="11">
        <v>10</v>
      </c>
      <c r="AE482" s="11">
        <v>10</v>
      </c>
      <c r="AF482" s="11">
        <v>10</v>
      </c>
    </row>
    <row r="483" spans="1:32" s="11" customFormat="1" x14ac:dyDescent="0.2">
      <c r="A483" s="11">
        <v>608</v>
      </c>
      <c r="F483" s="11" t="s">
        <v>16403</v>
      </c>
      <c r="G483" s="11" t="s">
        <v>16403</v>
      </c>
      <c r="H483" s="12">
        <v>999</v>
      </c>
      <c r="I483" s="11" t="s">
        <v>16403</v>
      </c>
      <c r="L483" s="11">
        <v>63.552</v>
      </c>
      <c r="M483" s="11">
        <v>64.486999999999995</v>
      </c>
      <c r="N483" s="11">
        <v>128.435</v>
      </c>
      <c r="O483" s="11">
        <v>128.59899999999999</v>
      </c>
      <c r="P483" s="11">
        <v>122.169</v>
      </c>
      <c r="Q483" s="11">
        <v>122.24299999999999</v>
      </c>
      <c r="R483" s="11">
        <v>114.82599999999999</v>
      </c>
      <c r="S483" s="11">
        <v>114.461</v>
      </c>
      <c r="T483" s="11">
        <v>60.658000000000001</v>
      </c>
      <c r="U483" s="11">
        <v>61.151000000000003</v>
      </c>
      <c r="V483" s="11">
        <v>39.341999999999999</v>
      </c>
      <c r="W483" s="11">
        <v>38.848999999999997</v>
      </c>
      <c r="X483" s="11">
        <v>10.557</v>
      </c>
      <c r="Y483" s="11">
        <v>11.602</v>
      </c>
      <c r="Z483" s="11">
        <v>38.848999999999997</v>
      </c>
      <c r="AA483" s="11">
        <v>39.341999999999999</v>
      </c>
      <c r="AB483" s="11">
        <v>14.393000000000001</v>
      </c>
      <c r="AC483" s="11">
        <v>20</v>
      </c>
      <c r="AD483" s="11">
        <v>20</v>
      </c>
      <c r="AE483" s="11">
        <v>20</v>
      </c>
      <c r="AF483" s="11">
        <v>20</v>
      </c>
    </row>
    <row r="484" spans="1:32" s="11" customFormat="1" x14ac:dyDescent="0.2">
      <c r="A484" s="11">
        <v>609</v>
      </c>
      <c r="F484" s="11" t="s">
        <v>16420</v>
      </c>
      <c r="G484" s="11" t="s">
        <v>16421</v>
      </c>
      <c r="H484" s="12">
        <v>44.9</v>
      </c>
      <c r="I484" s="11" t="s">
        <v>16404</v>
      </c>
      <c r="L484" s="11">
        <v>56.78</v>
      </c>
      <c r="M484" s="11">
        <v>55.064</v>
      </c>
      <c r="N484" s="11">
        <v>112.312</v>
      </c>
      <c r="O484" s="11">
        <v>111.685</v>
      </c>
      <c r="P484" s="11">
        <v>100.511</v>
      </c>
      <c r="Q484" s="11">
        <v>100.533</v>
      </c>
      <c r="R484" s="11">
        <v>107.628</v>
      </c>
      <c r="S484" s="11">
        <v>108.30500000000001</v>
      </c>
      <c r="T484" s="11">
        <v>61.66</v>
      </c>
      <c r="U484" s="11">
        <v>63.689</v>
      </c>
      <c r="V484" s="11">
        <v>38.340000000000003</v>
      </c>
      <c r="W484" s="11">
        <v>36.311</v>
      </c>
      <c r="X484" s="11">
        <v>13.711</v>
      </c>
      <c r="Y484" s="11">
        <v>11.95</v>
      </c>
      <c r="Z484" s="11">
        <v>36.311</v>
      </c>
      <c r="AA484" s="11">
        <v>38.340000000000003</v>
      </c>
      <c r="AB484" s="11">
        <v>12.851000000000001</v>
      </c>
      <c r="AC484" s="11">
        <v>20</v>
      </c>
      <c r="AD484" s="11">
        <v>19</v>
      </c>
      <c r="AE484" s="11">
        <v>19</v>
      </c>
      <c r="AF484" s="11">
        <v>19</v>
      </c>
    </row>
    <row r="485" spans="1:32" s="11" customFormat="1" x14ac:dyDescent="0.2">
      <c r="A485" s="11">
        <v>610</v>
      </c>
      <c r="F485" s="11" t="s">
        <v>16414</v>
      </c>
      <c r="G485" s="11" t="s">
        <v>16415</v>
      </c>
      <c r="H485" s="12">
        <v>67.400000000000006</v>
      </c>
      <c r="I485" s="11" t="s">
        <v>16407</v>
      </c>
      <c r="L485" s="11">
        <v>50.271999999999998</v>
      </c>
      <c r="M485" s="11">
        <v>54.533000000000001</v>
      </c>
      <c r="N485" s="11">
        <v>104.89100000000001</v>
      </c>
      <c r="O485" s="11">
        <v>105.518</v>
      </c>
      <c r="P485" s="11">
        <v>100.239</v>
      </c>
      <c r="Q485" s="11">
        <v>101.012</v>
      </c>
      <c r="R485" s="11">
        <v>114.846</v>
      </c>
      <c r="S485" s="11">
        <v>114.547</v>
      </c>
      <c r="T485" s="11">
        <v>63.668999999999997</v>
      </c>
      <c r="U485" s="11">
        <v>62.481000000000002</v>
      </c>
      <c r="V485" s="11">
        <v>36.331000000000003</v>
      </c>
      <c r="W485" s="11">
        <v>37.518999999999998</v>
      </c>
      <c r="X485" s="11">
        <v>15.026999999999999</v>
      </c>
      <c r="Y485" s="11">
        <v>11.218999999999999</v>
      </c>
      <c r="Z485" s="11">
        <v>37.518999999999998</v>
      </c>
      <c r="AA485" s="11">
        <v>36.331000000000003</v>
      </c>
      <c r="AB485" s="11">
        <v>13.558</v>
      </c>
      <c r="AC485" s="11">
        <v>14</v>
      </c>
      <c r="AD485" s="11">
        <v>17</v>
      </c>
      <c r="AE485" s="11">
        <v>14</v>
      </c>
      <c r="AF485" s="11">
        <v>14</v>
      </c>
    </row>
    <row r="486" spans="1:32" s="11" customFormat="1" x14ac:dyDescent="0.2">
      <c r="A486" s="11">
        <v>611</v>
      </c>
      <c r="F486" s="11" t="s">
        <v>16432</v>
      </c>
      <c r="G486" s="11" t="s">
        <v>16433</v>
      </c>
      <c r="H486" s="12">
        <v>67.5</v>
      </c>
      <c r="I486" s="11" t="s">
        <v>16407</v>
      </c>
      <c r="L486" s="11">
        <v>45.491</v>
      </c>
      <c r="M486" s="11">
        <v>42.61</v>
      </c>
      <c r="N486" s="11">
        <v>87.944999999999993</v>
      </c>
      <c r="O486" s="11">
        <v>88.724999999999994</v>
      </c>
      <c r="P486" s="11">
        <v>73.948999999999998</v>
      </c>
      <c r="Q486" s="11">
        <v>73.975999999999999</v>
      </c>
      <c r="R486" s="11">
        <v>100.89100000000001</v>
      </c>
      <c r="S486" s="11">
        <v>100.78700000000001</v>
      </c>
      <c r="T486" s="11">
        <v>66.691000000000003</v>
      </c>
      <c r="U486" s="11">
        <v>64.869</v>
      </c>
      <c r="V486" s="11">
        <v>33.308999999999997</v>
      </c>
      <c r="W486" s="11">
        <v>35.131</v>
      </c>
      <c r="X486" s="11">
        <v>15.295999999999999</v>
      </c>
      <c r="Y486" s="11">
        <v>16.068999999999999</v>
      </c>
      <c r="Z486" s="11">
        <v>35.131</v>
      </c>
      <c r="AA486" s="11">
        <v>33.308999999999997</v>
      </c>
      <c r="AB486" s="11">
        <v>19.334</v>
      </c>
      <c r="AC486" s="11">
        <v>18</v>
      </c>
      <c r="AD486" s="11">
        <v>19</v>
      </c>
      <c r="AE486" s="11">
        <v>18</v>
      </c>
      <c r="AF486" s="11">
        <v>18</v>
      </c>
    </row>
    <row r="487" spans="1:32" s="11" customFormat="1" x14ac:dyDescent="0.2">
      <c r="A487" s="11">
        <v>612</v>
      </c>
      <c r="F487" s="11" t="s">
        <v>16414</v>
      </c>
      <c r="G487" s="11" t="s">
        <v>16415</v>
      </c>
      <c r="H487" s="12">
        <v>55.5</v>
      </c>
      <c r="I487" s="11" t="s">
        <v>16404</v>
      </c>
      <c r="L487" s="11">
        <v>59.36</v>
      </c>
      <c r="M487" s="11">
        <v>60.451999999999998</v>
      </c>
      <c r="N487" s="11">
        <v>119.678</v>
      </c>
      <c r="O487" s="11">
        <v>119.661</v>
      </c>
      <c r="P487" s="11">
        <v>128.83699999999999</v>
      </c>
      <c r="Q487" s="11">
        <v>128.38800000000001</v>
      </c>
      <c r="R487" s="11">
        <v>129.35900000000001</v>
      </c>
      <c r="S487" s="11">
        <v>128.96100000000001</v>
      </c>
      <c r="T487" s="11">
        <v>60.951999999999998</v>
      </c>
      <c r="U487" s="11">
        <v>64.290999999999997</v>
      </c>
      <c r="V487" s="11">
        <v>39.048000000000002</v>
      </c>
      <c r="W487" s="11">
        <v>35.709000000000003</v>
      </c>
      <c r="X487" s="11">
        <v>13.317</v>
      </c>
      <c r="Y487" s="11">
        <v>12.372999999999999</v>
      </c>
      <c r="Z487" s="11">
        <v>35.709000000000003</v>
      </c>
      <c r="AA487" s="11">
        <v>39.048000000000002</v>
      </c>
      <c r="AB487" s="11">
        <v>13.127000000000001</v>
      </c>
      <c r="AC487" s="11">
        <v>18</v>
      </c>
      <c r="AD487" s="11">
        <v>19</v>
      </c>
      <c r="AE487" s="11">
        <v>18</v>
      </c>
      <c r="AF487" s="11">
        <v>18</v>
      </c>
    </row>
    <row r="488" spans="1:32" s="11" customFormat="1" x14ac:dyDescent="0.2">
      <c r="A488" s="11">
        <v>613</v>
      </c>
      <c r="F488" s="11" t="s">
        <v>16428</v>
      </c>
      <c r="G488" s="11" t="s">
        <v>16429</v>
      </c>
      <c r="H488" s="12">
        <v>32.4</v>
      </c>
      <c r="I488" s="11" t="s">
        <v>16404</v>
      </c>
      <c r="L488" s="11">
        <v>62.698</v>
      </c>
      <c r="M488" s="11">
        <v>64.572999999999993</v>
      </c>
      <c r="N488" s="11">
        <v>127.239</v>
      </c>
      <c r="O488" s="11">
        <v>127.123</v>
      </c>
      <c r="P488" s="11">
        <v>97.253</v>
      </c>
      <c r="Q488" s="11">
        <v>96.944000000000003</v>
      </c>
      <c r="R488" s="11">
        <v>92.022000000000006</v>
      </c>
      <c r="S488" s="11">
        <v>91.274000000000001</v>
      </c>
      <c r="T488" s="11">
        <v>59.555</v>
      </c>
      <c r="U488" s="11">
        <v>63.570999999999998</v>
      </c>
      <c r="V488" s="11">
        <v>40.445</v>
      </c>
      <c r="W488" s="11">
        <v>36.429000000000002</v>
      </c>
      <c r="X488" s="11">
        <v>8.68</v>
      </c>
      <c r="Y488" s="11">
        <v>14.215</v>
      </c>
      <c r="Z488" s="11">
        <v>36.429000000000002</v>
      </c>
      <c r="AA488" s="11">
        <v>40.445</v>
      </c>
      <c r="AB488" s="11">
        <v>15.82</v>
      </c>
      <c r="AC488" s="11">
        <v>10</v>
      </c>
      <c r="AD488" s="11">
        <v>12</v>
      </c>
      <c r="AE488" s="11">
        <v>10</v>
      </c>
      <c r="AF488" s="11">
        <v>10</v>
      </c>
    </row>
    <row r="489" spans="1:32" s="11" customFormat="1" x14ac:dyDescent="0.2">
      <c r="A489" s="11">
        <v>615</v>
      </c>
      <c r="F489" s="11" t="s">
        <v>16424</v>
      </c>
      <c r="G489" s="11" t="s">
        <v>16425</v>
      </c>
      <c r="H489" s="12">
        <v>48.8</v>
      </c>
      <c r="I489" s="11" t="s">
        <v>16404</v>
      </c>
      <c r="L489" s="11">
        <v>43.56</v>
      </c>
      <c r="M489" s="11">
        <v>52.125</v>
      </c>
      <c r="N489" s="11">
        <v>95.795000000000002</v>
      </c>
      <c r="O489" s="11">
        <v>95.963999999999999</v>
      </c>
      <c r="P489" s="11">
        <v>66.093000000000004</v>
      </c>
      <c r="Q489" s="11">
        <v>66.668999999999997</v>
      </c>
      <c r="R489" s="11">
        <v>83.143000000000001</v>
      </c>
      <c r="S489" s="11">
        <v>83.335999999999999</v>
      </c>
      <c r="T489" s="11">
        <v>74.265000000000001</v>
      </c>
      <c r="U489" s="11">
        <v>58.468000000000004</v>
      </c>
      <c r="V489" s="11">
        <v>25.734999999999999</v>
      </c>
      <c r="W489" s="11">
        <v>41.531999999999996</v>
      </c>
      <c r="X489" s="11">
        <v>18.393000000000001</v>
      </c>
      <c r="Y489" s="11">
        <v>14.525</v>
      </c>
      <c r="Z489" s="11">
        <v>41.531999999999996</v>
      </c>
      <c r="AA489" s="11">
        <v>25.734999999999999</v>
      </c>
      <c r="AB489" s="11">
        <v>16.524000000000001</v>
      </c>
      <c r="AC489" s="11">
        <v>18</v>
      </c>
      <c r="AD489" s="11">
        <v>17</v>
      </c>
      <c r="AE489" s="11">
        <v>17</v>
      </c>
      <c r="AF489" s="11">
        <v>17</v>
      </c>
    </row>
    <row r="490" spans="1:32" s="11" customFormat="1" x14ac:dyDescent="0.2">
      <c r="A490" s="11">
        <v>616</v>
      </c>
      <c r="F490" s="11" t="s">
        <v>16420</v>
      </c>
      <c r="G490" s="11" t="s">
        <v>16421</v>
      </c>
      <c r="H490" s="12">
        <v>59.4</v>
      </c>
      <c r="I490" s="11" t="s">
        <v>16404</v>
      </c>
      <c r="L490" s="11">
        <v>39.798999999999999</v>
      </c>
      <c r="M490" s="11">
        <v>43.234999999999999</v>
      </c>
      <c r="N490" s="11">
        <v>83.355999999999995</v>
      </c>
      <c r="O490" s="11">
        <v>82.951999999999998</v>
      </c>
      <c r="P490" s="11">
        <v>75.707999999999998</v>
      </c>
      <c r="Q490" s="11">
        <v>75.558999999999997</v>
      </c>
      <c r="R490" s="11">
        <v>109.506</v>
      </c>
      <c r="S490" s="11">
        <v>109.449</v>
      </c>
      <c r="T490" s="11">
        <v>63.357999999999997</v>
      </c>
      <c r="U490" s="11">
        <v>70.638000000000005</v>
      </c>
      <c r="V490" s="11">
        <v>36.642000000000003</v>
      </c>
      <c r="W490" s="11">
        <v>29.361999999999998</v>
      </c>
      <c r="X490" s="11">
        <v>20.32</v>
      </c>
      <c r="Y490" s="11">
        <v>13.801</v>
      </c>
      <c r="Z490" s="11">
        <v>29.361999999999998</v>
      </c>
      <c r="AA490" s="11">
        <v>36.642000000000003</v>
      </c>
      <c r="AB490" s="11">
        <v>22.876000000000001</v>
      </c>
      <c r="AC490" s="11">
        <v>20</v>
      </c>
      <c r="AD490" s="11">
        <v>20</v>
      </c>
      <c r="AE490" s="11">
        <v>20</v>
      </c>
      <c r="AF490" s="11">
        <v>20</v>
      </c>
    </row>
    <row r="491" spans="1:32" s="11" customFormat="1" x14ac:dyDescent="0.2">
      <c r="A491" s="11">
        <v>617</v>
      </c>
      <c r="F491" s="11" t="s">
        <v>16428</v>
      </c>
      <c r="G491" s="11" t="s">
        <v>16429</v>
      </c>
      <c r="H491" s="12">
        <v>71.7</v>
      </c>
      <c r="I491" s="11" t="s">
        <v>16404</v>
      </c>
      <c r="L491" s="11">
        <v>58.210999999999999</v>
      </c>
      <c r="M491" s="11">
        <v>57.482999999999997</v>
      </c>
      <c r="N491" s="11">
        <v>115.99</v>
      </c>
      <c r="O491" s="11">
        <v>115.14400000000001</v>
      </c>
      <c r="P491" s="11">
        <v>106.72499999999999</v>
      </c>
      <c r="Q491" s="11">
        <v>106.21</v>
      </c>
      <c r="R491" s="11">
        <v>110.373</v>
      </c>
      <c r="S491" s="11">
        <v>110.461</v>
      </c>
      <c r="T491" s="11">
        <v>62.777999999999999</v>
      </c>
      <c r="U491" s="11">
        <v>61.029000000000003</v>
      </c>
      <c r="V491" s="11">
        <v>37.222000000000001</v>
      </c>
      <c r="W491" s="11">
        <v>38.970999999999997</v>
      </c>
      <c r="X491" s="11">
        <v>11.956</v>
      </c>
      <c r="Y491" s="11">
        <v>11.894</v>
      </c>
      <c r="Z491" s="11">
        <v>38.970999999999997</v>
      </c>
      <c r="AA491" s="11">
        <v>37.222000000000001</v>
      </c>
      <c r="AB491" s="11">
        <v>12.295999999999999</v>
      </c>
      <c r="AC491" s="11">
        <v>26</v>
      </c>
      <c r="AD491" s="11">
        <v>23</v>
      </c>
      <c r="AE491" s="11">
        <v>23</v>
      </c>
      <c r="AF491" s="11">
        <v>23</v>
      </c>
    </row>
    <row r="492" spans="1:32" s="11" customFormat="1" x14ac:dyDescent="0.2">
      <c r="A492" s="11">
        <v>618</v>
      </c>
      <c r="F492" s="11" t="s">
        <v>16424</v>
      </c>
      <c r="G492" s="11" t="s">
        <v>16425</v>
      </c>
      <c r="H492" s="12">
        <v>55.4</v>
      </c>
      <c r="I492" s="11" t="s">
        <v>16407</v>
      </c>
      <c r="L492" s="11">
        <v>57.683</v>
      </c>
      <c r="M492" s="11">
        <v>60.356000000000002</v>
      </c>
      <c r="N492" s="11">
        <v>118.07899999999999</v>
      </c>
      <c r="O492" s="11">
        <v>117.974</v>
      </c>
      <c r="P492" s="11">
        <v>119.491</v>
      </c>
      <c r="Q492" s="11">
        <v>119.636</v>
      </c>
      <c r="R492" s="11">
        <v>121.786</v>
      </c>
      <c r="S492" s="11">
        <v>121.664</v>
      </c>
      <c r="T492" s="11">
        <v>61.069000000000003</v>
      </c>
      <c r="U492" s="11">
        <v>62.668999999999997</v>
      </c>
      <c r="V492" s="11">
        <v>38.930999999999997</v>
      </c>
      <c r="W492" s="11">
        <v>37.331000000000003</v>
      </c>
      <c r="X492" s="11">
        <v>12.303000000000001</v>
      </c>
      <c r="Y492" s="11">
        <v>11.372</v>
      </c>
      <c r="Z492" s="11">
        <v>37.331000000000003</v>
      </c>
      <c r="AA492" s="11">
        <v>38.930999999999997</v>
      </c>
      <c r="AB492" s="11">
        <v>10.842000000000001</v>
      </c>
      <c r="AC492" s="11">
        <v>18</v>
      </c>
      <c r="AD492" s="11">
        <v>15</v>
      </c>
      <c r="AE492" s="11">
        <v>15</v>
      </c>
      <c r="AF492" s="11">
        <v>15</v>
      </c>
    </row>
    <row r="493" spans="1:32" s="11" customFormat="1" x14ac:dyDescent="0.2">
      <c r="A493" s="11">
        <v>619</v>
      </c>
      <c r="F493" s="11" t="s">
        <v>16414</v>
      </c>
      <c r="G493" s="11" t="s">
        <v>16415</v>
      </c>
      <c r="H493" s="12">
        <v>54.1</v>
      </c>
      <c r="I493" s="11" t="s">
        <v>16404</v>
      </c>
      <c r="L493" s="11">
        <v>48.97</v>
      </c>
      <c r="M493" s="11">
        <v>50.459000000000003</v>
      </c>
      <c r="N493" s="11">
        <v>99.31</v>
      </c>
      <c r="O493" s="11">
        <v>99.438000000000002</v>
      </c>
      <c r="P493" s="11">
        <v>94.885000000000005</v>
      </c>
      <c r="Q493" s="11">
        <v>95.155000000000001</v>
      </c>
      <c r="R493" s="11">
        <v>114.452</v>
      </c>
      <c r="S493" s="11">
        <v>114.303</v>
      </c>
      <c r="T493" s="11">
        <v>60.609000000000002</v>
      </c>
      <c r="U493" s="11">
        <v>63.1</v>
      </c>
      <c r="V493" s="11">
        <v>39.390999999999998</v>
      </c>
      <c r="W493" s="11">
        <v>36.9</v>
      </c>
      <c r="X493" s="11">
        <v>12.061999999999999</v>
      </c>
      <c r="Y493" s="11">
        <v>11.744999999999999</v>
      </c>
      <c r="Z493" s="11">
        <v>36.9</v>
      </c>
      <c r="AA493" s="11">
        <v>39.390999999999998</v>
      </c>
      <c r="AB493" s="11">
        <v>15.525</v>
      </c>
      <c r="AC493" s="11">
        <v>20</v>
      </c>
      <c r="AD493" s="11">
        <v>20</v>
      </c>
      <c r="AE493" s="11">
        <v>20</v>
      </c>
      <c r="AF493" s="11">
        <v>20</v>
      </c>
    </row>
    <row r="494" spans="1:32" s="11" customFormat="1" x14ac:dyDescent="0.2">
      <c r="A494" s="11">
        <v>620</v>
      </c>
      <c r="F494" s="11" t="s">
        <v>16450</v>
      </c>
      <c r="G494" s="11" t="s">
        <v>16451</v>
      </c>
      <c r="H494" s="12">
        <v>24.8</v>
      </c>
      <c r="I494" s="11" t="s">
        <v>16407</v>
      </c>
      <c r="L494" s="11">
        <v>38.908999999999999</v>
      </c>
      <c r="M494" s="11">
        <v>27.562999999999999</v>
      </c>
      <c r="N494" s="11">
        <v>70.945999999999998</v>
      </c>
      <c r="O494" s="11">
        <v>67.668999999999997</v>
      </c>
      <c r="P494" s="11">
        <v>37.99</v>
      </c>
      <c r="Q494" s="11">
        <v>37.728999999999999</v>
      </c>
      <c r="R494" s="11">
        <v>61.110999999999997</v>
      </c>
      <c r="S494" s="11">
        <v>62.195</v>
      </c>
      <c r="T494" s="11">
        <v>72.956000000000003</v>
      </c>
      <c r="U494" s="11">
        <v>77.334000000000003</v>
      </c>
      <c r="V494" s="11">
        <v>27.044</v>
      </c>
      <c r="W494" s="11">
        <v>22.666</v>
      </c>
      <c r="X494" s="11">
        <v>20.754999999999999</v>
      </c>
      <c r="Y494" s="11">
        <v>30.074999999999999</v>
      </c>
      <c r="Z494" s="11">
        <v>22.666</v>
      </c>
      <c r="AA494" s="11">
        <v>27.044</v>
      </c>
      <c r="AB494" s="11">
        <v>23.545000000000002</v>
      </c>
      <c r="AC494" s="11">
        <v>10</v>
      </c>
      <c r="AD494" s="11">
        <v>12</v>
      </c>
      <c r="AE494" s="11">
        <v>10</v>
      </c>
      <c r="AF494" s="11">
        <v>10</v>
      </c>
    </row>
    <row r="495" spans="1:32" s="11" customFormat="1" x14ac:dyDescent="0.2">
      <c r="A495" s="11">
        <v>621</v>
      </c>
      <c r="F495" s="11" t="s">
        <v>16414</v>
      </c>
      <c r="G495" s="11" t="s">
        <v>16415</v>
      </c>
      <c r="H495" s="12">
        <v>65.2</v>
      </c>
      <c r="I495" s="11" t="s">
        <v>16404</v>
      </c>
      <c r="L495" s="11">
        <v>66.929000000000002</v>
      </c>
      <c r="M495" s="11">
        <v>61.655999999999999</v>
      </c>
      <c r="N495" s="11">
        <v>128.50299999999999</v>
      </c>
      <c r="O495" s="11">
        <v>129.541</v>
      </c>
      <c r="P495" s="11">
        <v>97.165999999999997</v>
      </c>
      <c r="Q495" s="11">
        <v>96.965000000000003</v>
      </c>
      <c r="R495" s="11">
        <v>90.474999999999994</v>
      </c>
      <c r="S495" s="11">
        <v>90.185000000000002</v>
      </c>
      <c r="T495" s="11">
        <v>61.847000000000001</v>
      </c>
      <c r="U495" s="11">
        <v>64.016999999999996</v>
      </c>
      <c r="V495" s="11">
        <v>38.152999999999999</v>
      </c>
      <c r="W495" s="11">
        <v>35.982999999999997</v>
      </c>
      <c r="X495" s="11">
        <v>11.301</v>
      </c>
      <c r="Y495" s="11">
        <v>14.971</v>
      </c>
      <c r="Z495" s="11">
        <v>35.982999999999997</v>
      </c>
      <c r="AA495" s="11">
        <v>38.152999999999999</v>
      </c>
      <c r="AB495" s="11">
        <v>12.773</v>
      </c>
      <c r="AC495" s="11">
        <v>16</v>
      </c>
      <c r="AD495" s="11">
        <v>15</v>
      </c>
      <c r="AE495" s="11">
        <v>15</v>
      </c>
      <c r="AF495" s="11">
        <v>15</v>
      </c>
    </row>
    <row r="496" spans="1:32" s="11" customFormat="1" x14ac:dyDescent="0.2">
      <c r="A496" s="11">
        <v>622</v>
      </c>
      <c r="F496" s="11" t="s">
        <v>16452</v>
      </c>
      <c r="G496" s="11" t="s">
        <v>16453</v>
      </c>
      <c r="H496" s="12">
        <v>17.5</v>
      </c>
      <c r="I496" s="11" t="s">
        <v>16407</v>
      </c>
      <c r="L496" s="11">
        <v>67.591999999999999</v>
      </c>
      <c r="M496" s="11">
        <v>72.906000000000006</v>
      </c>
      <c r="N496" s="11">
        <v>142.02500000000001</v>
      </c>
      <c r="O496" s="11">
        <v>140.351</v>
      </c>
      <c r="P496" s="11">
        <v>144.19900000000001</v>
      </c>
      <c r="Q496" s="11">
        <v>142.589</v>
      </c>
      <c r="R496" s="11">
        <v>123.312</v>
      </c>
      <c r="S496" s="11">
        <v>123.369</v>
      </c>
      <c r="T496" s="11">
        <v>62.984000000000002</v>
      </c>
      <c r="U496" s="11">
        <v>63.551000000000002</v>
      </c>
      <c r="V496" s="11">
        <v>37.015999999999998</v>
      </c>
      <c r="W496" s="11">
        <v>36.448999999999998</v>
      </c>
      <c r="X496" s="11">
        <v>14.263999999999999</v>
      </c>
      <c r="Y496" s="11">
        <v>12.292</v>
      </c>
      <c r="Z496" s="11">
        <v>36.448999999999998</v>
      </c>
      <c r="AA496" s="11">
        <v>37.015999999999998</v>
      </c>
      <c r="AB496" s="11">
        <v>14.04</v>
      </c>
      <c r="AC496" s="11">
        <v>18</v>
      </c>
      <c r="AD496" s="11">
        <v>17</v>
      </c>
      <c r="AE496" s="11">
        <v>17</v>
      </c>
      <c r="AF496" s="11">
        <v>17</v>
      </c>
    </row>
    <row r="497" spans="1:32" s="11" customFormat="1" x14ac:dyDescent="0.2">
      <c r="A497" s="11">
        <v>623</v>
      </c>
      <c r="F497" s="11" t="s">
        <v>16414</v>
      </c>
      <c r="G497" s="11" t="s">
        <v>16415</v>
      </c>
      <c r="H497" s="12">
        <v>63.6</v>
      </c>
      <c r="I497" s="11" t="s">
        <v>16404</v>
      </c>
      <c r="L497" s="11">
        <v>67.167000000000002</v>
      </c>
      <c r="M497" s="11">
        <v>70.334000000000003</v>
      </c>
      <c r="N497" s="11">
        <v>137.94999999999999</v>
      </c>
      <c r="O497" s="11">
        <v>137.18100000000001</v>
      </c>
      <c r="P497" s="11">
        <v>123.429</v>
      </c>
      <c r="Q497" s="11">
        <v>124.318</v>
      </c>
      <c r="R497" s="11">
        <v>107.441</v>
      </c>
      <c r="S497" s="11">
        <v>108.29900000000001</v>
      </c>
      <c r="T497" s="11">
        <v>62.606999999999999</v>
      </c>
      <c r="U497" s="11">
        <v>61.603999999999999</v>
      </c>
      <c r="V497" s="11">
        <v>37.393000000000001</v>
      </c>
      <c r="W497" s="11">
        <v>38.396000000000001</v>
      </c>
      <c r="X497" s="11">
        <v>11.743</v>
      </c>
      <c r="Y497" s="11">
        <v>12.239000000000001</v>
      </c>
      <c r="Z497" s="11">
        <v>38.396000000000001</v>
      </c>
      <c r="AA497" s="11">
        <v>37.393000000000001</v>
      </c>
      <c r="AB497" s="11">
        <v>10.250999999999999</v>
      </c>
      <c r="AC497" s="11">
        <v>16</v>
      </c>
      <c r="AD497" s="11">
        <v>14</v>
      </c>
      <c r="AE497" s="11">
        <v>14</v>
      </c>
      <c r="AF497" s="11">
        <v>14</v>
      </c>
    </row>
    <row r="498" spans="1:32" s="11" customFormat="1" x14ac:dyDescent="0.2">
      <c r="A498" s="11">
        <v>624</v>
      </c>
      <c r="F498" s="11" t="s">
        <v>16414</v>
      </c>
      <c r="G498" s="11" t="s">
        <v>16415</v>
      </c>
      <c r="H498" s="12">
        <v>69.400000000000006</v>
      </c>
      <c r="I498" s="11" t="s">
        <v>16404</v>
      </c>
      <c r="L498" s="11">
        <v>50.774000000000001</v>
      </c>
      <c r="M498" s="11">
        <v>50.207999999999998</v>
      </c>
      <c r="N498" s="11">
        <v>101.361</v>
      </c>
      <c r="O498" s="11">
        <v>100.84399999999999</v>
      </c>
      <c r="P498" s="11">
        <v>101.28700000000001</v>
      </c>
      <c r="Q498" s="11">
        <v>99.058000000000007</v>
      </c>
      <c r="R498" s="11">
        <v>120.61199999999999</v>
      </c>
      <c r="S498" s="11">
        <v>118.726</v>
      </c>
      <c r="T498" s="11">
        <v>64.120999999999995</v>
      </c>
      <c r="U498" s="11">
        <v>64.983000000000004</v>
      </c>
      <c r="V498" s="11">
        <v>35.878999999999998</v>
      </c>
      <c r="W498" s="11">
        <v>35.017000000000003</v>
      </c>
      <c r="X498" s="11">
        <v>14.651999999999999</v>
      </c>
      <c r="Y498" s="11">
        <v>14.943</v>
      </c>
      <c r="Z498" s="11">
        <v>35.017000000000003</v>
      </c>
      <c r="AA498" s="11">
        <v>35.878999999999998</v>
      </c>
      <c r="AB498" s="11">
        <v>7.6970000000000001</v>
      </c>
      <c r="AC498" s="11">
        <v>19</v>
      </c>
      <c r="AD498" s="11">
        <v>21</v>
      </c>
      <c r="AE498" s="11">
        <v>19</v>
      </c>
      <c r="AF498" s="11">
        <v>19</v>
      </c>
    </row>
    <row r="499" spans="1:32" s="11" customFormat="1" x14ac:dyDescent="0.2">
      <c r="A499" s="11">
        <v>625</v>
      </c>
      <c r="F499" s="11" t="s">
        <v>16414</v>
      </c>
      <c r="G499" s="11" t="s">
        <v>16415</v>
      </c>
      <c r="H499" s="12">
        <v>44</v>
      </c>
      <c r="I499" s="11" t="s">
        <v>16407</v>
      </c>
      <c r="L499" s="11">
        <v>53.74</v>
      </c>
      <c r="M499" s="11">
        <v>55.554000000000002</v>
      </c>
      <c r="N499" s="11">
        <v>109.146</v>
      </c>
      <c r="O499" s="11">
        <v>109.422</v>
      </c>
      <c r="P499" s="11">
        <v>97.063000000000002</v>
      </c>
      <c r="Q499" s="11">
        <v>97.597999999999999</v>
      </c>
      <c r="R499" s="11">
        <v>106.71599999999999</v>
      </c>
      <c r="S499" s="11">
        <v>106.886</v>
      </c>
      <c r="T499" s="11">
        <v>63.914000000000001</v>
      </c>
      <c r="U499" s="11">
        <v>64.165999999999997</v>
      </c>
      <c r="V499" s="11">
        <v>36.085999999999999</v>
      </c>
      <c r="W499" s="11">
        <v>35.834000000000003</v>
      </c>
      <c r="X499" s="11">
        <v>13.831</v>
      </c>
      <c r="Y499" s="11">
        <v>14.754</v>
      </c>
      <c r="Z499" s="11">
        <v>35.834000000000003</v>
      </c>
      <c r="AA499" s="11">
        <v>36.085999999999999</v>
      </c>
      <c r="AB499" s="11">
        <v>14.477</v>
      </c>
      <c r="AC499" s="11">
        <v>18</v>
      </c>
      <c r="AD499" s="11">
        <v>20</v>
      </c>
      <c r="AE499" s="11">
        <v>18</v>
      </c>
      <c r="AF499" s="11">
        <v>18</v>
      </c>
    </row>
    <row r="500" spans="1:32" s="11" customFormat="1" x14ac:dyDescent="0.2">
      <c r="A500" s="11">
        <v>626</v>
      </c>
      <c r="F500" s="11" t="s">
        <v>16414</v>
      </c>
      <c r="G500" s="11" t="s">
        <v>16415</v>
      </c>
      <c r="H500" s="12">
        <v>54.5</v>
      </c>
      <c r="I500" s="11" t="s">
        <v>16407</v>
      </c>
      <c r="L500" s="11" t="s">
        <v>16403</v>
      </c>
      <c r="M500" s="11" t="s">
        <v>16403</v>
      </c>
      <c r="N500" s="11" t="s">
        <v>16403</v>
      </c>
      <c r="O500" s="11" t="s">
        <v>16403</v>
      </c>
      <c r="P500" s="11" t="s">
        <v>16403</v>
      </c>
      <c r="Q500" s="11" t="s">
        <v>16403</v>
      </c>
      <c r="R500" s="11" t="s">
        <v>16403</v>
      </c>
      <c r="S500" s="11" t="s">
        <v>16403</v>
      </c>
      <c r="T500" s="11" t="s">
        <v>16403</v>
      </c>
      <c r="U500" s="11" t="s">
        <v>16403</v>
      </c>
      <c r="V500" s="11" t="s">
        <v>16403</v>
      </c>
      <c r="W500" s="11" t="s">
        <v>16403</v>
      </c>
      <c r="X500" s="11" t="s">
        <v>16403</v>
      </c>
      <c r="Y500" s="11" t="s">
        <v>16403</v>
      </c>
      <c r="Z500" s="11" t="s">
        <v>16403</v>
      </c>
      <c r="AA500" s="11" t="s">
        <v>16403</v>
      </c>
      <c r="AB500" s="11" t="s">
        <v>16403</v>
      </c>
      <c r="AC500" s="11" t="s">
        <v>16403</v>
      </c>
      <c r="AD500" s="11" t="s">
        <v>16403</v>
      </c>
      <c r="AE500" s="11" t="s">
        <v>16403</v>
      </c>
      <c r="AF500" s="11" t="s">
        <v>16403</v>
      </c>
    </row>
    <row r="501" spans="1:32" s="11" customFormat="1" x14ac:dyDescent="0.2">
      <c r="A501" s="11">
        <v>627</v>
      </c>
      <c r="F501" s="11" t="s">
        <v>16446</v>
      </c>
      <c r="G501" s="11" t="s">
        <v>16447</v>
      </c>
      <c r="H501" s="12">
        <v>80.400000000000006</v>
      </c>
      <c r="I501" s="11" t="s">
        <v>16404</v>
      </c>
      <c r="L501" s="11">
        <v>42.945</v>
      </c>
      <c r="M501" s="11">
        <v>41.838000000000001</v>
      </c>
      <c r="N501" s="11">
        <v>84.712000000000003</v>
      </c>
      <c r="O501" s="11">
        <v>84.572999999999993</v>
      </c>
      <c r="P501" s="11">
        <v>82.203000000000003</v>
      </c>
      <c r="Q501" s="11">
        <v>82.01</v>
      </c>
      <c r="R501" s="11">
        <v>116.349</v>
      </c>
      <c r="S501" s="11">
        <v>115.95</v>
      </c>
      <c r="T501" s="11">
        <v>65.323999999999998</v>
      </c>
      <c r="U501" s="11">
        <v>61.997</v>
      </c>
      <c r="V501" s="11">
        <v>34.676000000000002</v>
      </c>
      <c r="W501" s="11">
        <v>38.003</v>
      </c>
      <c r="X501" s="11">
        <v>13.919</v>
      </c>
      <c r="Y501" s="11">
        <v>13.170999999999999</v>
      </c>
      <c r="Z501" s="11">
        <v>38.003</v>
      </c>
      <c r="AA501" s="11">
        <v>34.676000000000002</v>
      </c>
      <c r="AB501" s="11">
        <v>16.283999999999999</v>
      </c>
      <c r="AC501" s="11">
        <v>22</v>
      </c>
      <c r="AD501" s="11">
        <v>24</v>
      </c>
      <c r="AE501" s="11">
        <v>22</v>
      </c>
      <c r="AF501" s="11">
        <v>22</v>
      </c>
    </row>
    <row r="502" spans="1:32" s="11" customFormat="1" x14ac:dyDescent="0.2">
      <c r="A502" s="11">
        <v>628</v>
      </c>
      <c r="F502" s="11" t="s">
        <v>16414</v>
      </c>
      <c r="G502" s="11" t="s">
        <v>16415</v>
      </c>
      <c r="H502" s="12">
        <v>77.5</v>
      </c>
      <c r="I502" s="11" t="s">
        <v>16404</v>
      </c>
      <c r="L502" s="11">
        <v>32.764000000000003</v>
      </c>
      <c r="M502" s="11">
        <v>41.862000000000002</v>
      </c>
      <c r="N502" s="11">
        <v>73.587999999999994</v>
      </c>
      <c r="O502" s="11">
        <v>74.822999999999993</v>
      </c>
      <c r="P502" s="11">
        <v>70.067999999999998</v>
      </c>
      <c r="Q502" s="11">
        <v>70.308000000000007</v>
      </c>
      <c r="R502" s="11">
        <v>114.52</v>
      </c>
      <c r="S502" s="11">
        <v>113.899</v>
      </c>
      <c r="T502" s="11">
        <v>64.953999999999994</v>
      </c>
      <c r="U502" s="11">
        <v>62.813000000000002</v>
      </c>
      <c r="V502" s="11">
        <v>35.045999999999999</v>
      </c>
      <c r="W502" s="11">
        <v>37.186999999999998</v>
      </c>
      <c r="X502" s="11">
        <v>14.502000000000001</v>
      </c>
      <c r="Y502" s="11">
        <v>13.531000000000001</v>
      </c>
      <c r="Z502" s="11">
        <v>37.186999999999998</v>
      </c>
      <c r="AA502" s="11">
        <v>35.045999999999999</v>
      </c>
      <c r="AB502" s="11">
        <v>12.394</v>
      </c>
      <c r="AC502" s="11">
        <v>24</v>
      </c>
      <c r="AD502" s="11">
        <v>25</v>
      </c>
      <c r="AE502" s="11">
        <v>24</v>
      </c>
      <c r="AF502" s="11">
        <v>24</v>
      </c>
    </row>
    <row r="503" spans="1:32" s="11" customFormat="1" x14ac:dyDescent="0.2">
      <c r="A503" s="11">
        <v>629</v>
      </c>
      <c r="F503" s="11" t="s">
        <v>16414</v>
      </c>
      <c r="G503" s="11" t="s">
        <v>16415</v>
      </c>
      <c r="H503" s="12">
        <v>72.099999999999994</v>
      </c>
      <c r="I503" s="11" t="s">
        <v>16404</v>
      </c>
      <c r="L503" s="11">
        <v>46.274000000000001</v>
      </c>
      <c r="M503" s="11">
        <v>52.512999999999998</v>
      </c>
      <c r="N503" s="11">
        <v>98.968000000000004</v>
      </c>
      <c r="O503" s="11">
        <v>98.188999999999993</v>
      </c>
      <c r="P503" s="11">
        <v>99.763999999999996</v>
      </c>
      <c r="Q503" s="11">
        <v>99.051000000000002</v>
      </c>
      <c r="R503" s="11">
        <v>120.749</v>
      </c>
      <c r="S503" s="11">
        <v>121.142</v>
      </c>
      <c r="T503" s="11">
        <v>63.637</v>
      </c>
      <c r="U503" s="11">
        <v>64.313999999999993</v>
      </c>
      <c r="V503" s="11">
        <v>36.363</v>
      </c>
      <c r="W503" s="11">
        <v>35.686</v>
      </c>
      <c r="X503" s="11">
        <v>14.81</v>
      </c>
      <c r="Y503" s="11">
        <v>13.121</v>
      </c>
      <c r="Z503" s="11">
        <v>35.686</v>
      </c>
      <c r="AA503" s="11">
        <v>36.363</v>
      </c>
      <c r="AB503" s="11">
        <v>7.68</v>
      </c>
      <c r="AC503" s="11">
        <v>18</v>
      </c>
      <c r="AD503" s="11">
        <v>18</v>
      </c>
      <c r="AE503" s="11">
        <v>18</v>
      </c>
      <c r="AF503" s="11">
        <v>18</v>
      </c>
    </row>
    <row r="504" spans="1:32" s="11" customFormat="1" x14ac:dyDescent="0.2">
      <c r="A504" s="11">
        <v>630</v>
      </c>
      <c r="F504" s="11" t="s">
        <v>16414</v>
      </c>
      <c r="G504" s="11" t="s">
        <v>16415</v>
      </c>
      <c r="H504" s="12">
        <v>67.099999999999994</v>
      </c>
      <c r="I504" s="11" t="s">
        <v>16407</v>
      </c>
      <c r="L504" s="11">
        <v>56.521000000000001</v>
      </c>
      <c r="M504" s="11">
        <v>54.515999999999998</v>
      </c>
      <c r="N504" s="11">
        <v>110.149</v>
      </c>
      <c r="O504" s="11">
        <v>115.786</v>
      </c>
      <c r="P504" s="11">
        <v>88.805999999999997</v>
      </c>
      <c r="Q504" s="11">
        <v>89.893000000000001</v>
      </c>
      <c r="R504" s="11">
        <v>96.634</v>
      </c>
      <c r="S504" s="11">
        <v>95.813999999999993</v>
      </c>
      <c r="T504" s="11">
        <v>61.154000000000003</v>
      </c>
      <c r="U504" s="11">
        <v>60.203000000000003</v>
      </c>
      <c r="V504" s="11">
        <v>38.845999999999997</v>
      </c>
      <c r="W504" s="11">
        <v>39.796999999999997</v>
      </c>
      <c r="X504" s="11">
        <v>12.638</v>
      </c>
      <c r="Y504" s="11">
        <v>9.5359999999999996</v>
      </c>
      <c r="Z504" s="11">
        <v>39.796999999999997</v>
      </c>
      <c r="AA504" s="11">
        <v>38.845999999999997</v>
      </c>
      <c r="AB504" s="11">
        <v>8.7279999999999998</v>
      </c>
      <c r="AC504" s="11">
        <v>22</v>
      </c>
      <c r="AD504" s="11">
        <v>18</v>
      </c>
      <c r="AE504" s="11">
        <v>18</v>
      </c>
      <c r="AF504" s="11">
        <v>18</v>
      </c>
    </row>
    <row r="505" spans="1:32" s="11" customFormat="1" x14ac:dyDescent="0.2">
      <c r="A505" s="11">
        <v>631</v>
      </c>
      <c r="F505" s="11" t="s">
        <v>16403</v>
      </c>
      <c r="G505" s="11" t="s">
        <v>16403</v>
      </c>
      <c r="H505" s="12">
        <v>999</v>
      </c>
      <c r="I505" s="11" t="s">
        <v>16403</v>
      </c>
      <c r="L505" s="11">
        <v>64.552000000000007</v>
      </c>
      <c r="M505" s="11">
        <v>59.091000000000001</v>
      </c>
      <c r="N505" s="11">
        <v>123.544</v>
      </c>
      <c r="O505" s="11">
        <v>124.423</v>
      </c>
      <c r="P505" s="11">
        <v>100.64400000000001</v>
      </c>
      <c r="Q505" s="11">
        <v>101.407</v>
      </c>
      <c r="R505" s="11">
        <v>98.492999999999995</v>
      </c>
      <c r="S505" s="11">
        <v>98.048000000000002</v>
      </c>
      <c r="T505" s="11">
        <v>60.210999999999999</v>
      </c>
      <c r="U505" s="11">
        <v>63.043999999999997</v>
      </c>
      <c r="V505" s="11">
        <v>39.789000000000001</v>
      </c>
      <c r="W505" s="11">
        <v>36.956000000000003</v>
      </c>
      <c r="X505" s="11">
        <v>9.9459999999999997</v>
      </c>
      <c r="Y505" s="11">
        <v>13.781000000000001</v>
      </c>
      <c r="Z505" s="11">
        <v>36.956000000000003</v>
      </c>
      <c r="AA505" s="11">
        <v>39.789000000000001</v>
      </c>
      <c r="AB505" s="11">
        <v>15.092000000000001</v>
      </c>
      <c r="AC505" s="11">
        <v>19</v>
      </c>
      <c r="AD505" s="11">
        <v>15</v>
      </c>
      <c r="AE505" s="11">
        <v>15</v>
      </c>
      <c r="AF505" s="11">
        <v>15</v>
      </c>
    </row>
    <row r="506" spans="1:32" s="11" customFormat="1" x14ac:dyDescent="0.2">
      <c r="A506" s="11">
        <v>632</v>
      </c>
      <c r="F506" s="11" t="s">
        <v>16414</v>
      </c>
      <c r="G506" s="11" t="s">
        <v>16415</v>
      </c>
      <c r="H506" s="12">
        <v>82.8</v>
      </c>
      <c r="I506" s="11" t="s">
        <v>16404</v>
      </c>
      <c r="L506" s="11">
        <v>50.210999999999999</v>
      </c>
      <c r="M506" s="11">
        <v>47.113</v>
      </c>
      <c r="N506" s="11">
        <v>98.088999999999999</v>
      </c>
      <c r="O506" s="11">
        <v>97.117999999999995</v>
      </c>
      <c r="P506" s="11">
        <v>111.08499999999999</v>
      </c>
      <c r="Q506" s="11">
        <v>110.69199999999999</v>
      </c>
      <c r="R506" s="11">
        <v>136.404</v>
      </c>
      <c r="S506" s="11">
        <v>137.96100000000001</v>
      </c>
      <c r="T506" s="11">
        <v>59.088000000000001</v>
      </c>
      <c r="U506" s="11">
        <v>59.728999999999999</v>
      </c>
      <c r="V506" s="11">
        <v>40.911999999999999</v>
      </c>
      <c r="W506" s="11">
        <v>40.271000000000001</v>
      </c>
      <c r="X506" s="11">
        <v>10.417</v>
      </c>
      <c r="Y506" s="11">
        <v>8.7629999999999999</v>
      </c>
      <c r="Z506" s="11">
        <v>40.271000000000001</v>
      </c>
      <c r="AA506" s="11">
        <v>40.911999999999999</v>
      </c>
      <c r="AB506" s="11">
        <v>9.6039999999999992</v>
      </c>
      <c r="AC506" s="11">
        <v>25</v>
      </c>
      <c r="AD506" s="11">
        <v>27</v>
      </c>
      <c r="AE506" s="11">
        <v>25</v>
      </c>
      <c r="AF506" s="11">
        <v>25</v>
      </c>
    </row>
    <row r="507" spans="1:32" s="11" customFormat="1" x14ac:dyDescent="0.2">
      <c r="A507" s="11">
        <v>633</v>
      </c>
      <c r="F507" s="11" t="s">
        <v>16420</v>
      </c>
      <c r="G507" s="11" t="s">
        <v>16421</v>
      </c>
      <c r="H507" s="12">
        <v>73.5</v>
      </c>
      <c r="I507" s="11" t="s">
        <v>16404</v>
      </c>
      <c r="L507" s="11">
        <v>66.168000000000006</v>
      </c>
      <c r="M507" s="11">
        <v>67.186000000000007</v>
      </c>
      <c r="N507" s="11">
        <v>133.459</v>
      </c>
      <c r="O507" s="11">
        <v>135.018</v>
      </c>
      <c r="P507" s="11">
        <v>137.24700000000001</v>
      </c>
      <c r="Q507" s="11">
        <v>138.09399999999999</v>
      </c>
      <c r="R507" s="11">
        <v>123.191</v>
      </c>
      <c r="S507" s="11">
        <v>123.026</v>
      </c>
      <c r="T507" s="11">
        <v>61.970999999999997</v>
      </c>
      <c r="U507" s="11">
        <v>61</v>
      </c>
      <c r="V507" s="11">
        <v>38.029000000000003</v>
      </c>
      <c r="W507" s="11">
        <v>39</v>
      </c>
      <c r="X507" s="11">
        <v>11.573</v>
      </c>
      <c r="Y507" s="11">
        <v>11.808999999999999</v>
      </c>
      <c r="Z507" s="11">
        <v>39</v>
      </c>
      <c r="AA507" s="11">
        <v>38.029000000000003</v>
      </c>
      <c r="AB507" s="11">
        <v>11.827999999999999</v>
      </c>
      <c r="AC507" s="11">
        <v>13</v>
      </c>
      <c r="AD507" s="11">
        <v>12</v>
      </c>
      <c r="AE507" s="11">
        <v>12</v>
      </c>
      <c r="AF507" s="11">
        <v>12</v>
      </c>
    </row>
    <row r="508" spans="1:32" s="11" customFormat="1" x14ac:dyDescent="0.2">
      <c r="A508" s="11">
        <v>634</v>
      </c>
      <c r="F508" s="11" t="s">
        <v>16403</v>
      </c>
      <c r="G508" s="11" t="s">
        <v>16403</v>
      </c>
      <c r="H508" s="12">
        <v>999</v>
      </c>
      <c r="I508" s="11" t="s">
        <v>16403</v>
      </c>
      <c r="L508" s="11" t="s">
        <v>16403</v>
      </c>
      <c r="M508" s="11" t="s">
        <v>16403</v>
      </c>
      <c r="N508" s="11" t="s">
        <v>16403</v>
      </c>
      <c r="O508" s="11" t="s">
        <v>16403</v>
      </c>
      <c r="P508" s="11" t="s">
        <v>16403</v>
      </c>
      <c r="Q508" s="11" t="s">
        <v>16403</v>
      </c>
      <c r="R508" s="11" t="s">
        <v>16403</v>
      </c>
      <c r="S508" s="11" t="s">
        <v>16403</v>
      </c>
      <c r="T508" s="11" t="s">
        <v>16403</v>
      </c>
      <c r="U508" s="11" t="s">
        <v>16403</v>
      </c>
      <c r="V508" s="11" t="s">
        <v>16403</v>
      </c>
      <c r="W508" s="11" t="s">
        <v>16403</v>
      </c>
      <c r="X508" s="11" t="s">
        <v>16403</v>
      </c>
      <c r="Y508" s="11" t="s">
        <v>16403</v>
      </c>
      <c r="Z508" s="11" t="s">
        <v>16403</v>
      </c>
      <c r="AA508" s="11" t="s">
        <v>16403</v>
      </c>
      <c r="AB508" s="11" t="s">
        <v>16403</v>
      </c>
      <c r="AC508" s="11" t="s">
        <v>16403</v>
      </c>
      <c r="AD508" s="11" t="s">
        <v>16403</v>
      </c>
      <c r="AE508" s="11" t="s">
        <v>16403</v>
      </c>
      <c r="AF508" s="11" t="s">
        <v>16403</v>
      </c>
    </row>
    <row r="509" spans="1:32" s="11" customFormat="1" x14ac:dyDescent="0.2">
      <c r="A509" s="11">
        <v>635</v>
      </c>
      <c r="F509" s="11" t="s">
        <v>16420</v>
      </c>
      <c r="G509" s="11" t="s">
        <v>16421</v>
      </c>
      <c r="H509" s="12">
        <v>67.900000000000006</v>
      </c>
      <c r="I509" s="11" t="s">
        <v>16404</v>
      </c>
      <c r="L509" s="11">
        <v>61.203000000000003</v>
      </c>
      <c r="M509" s="11">
        <v>59.078000000000003</v>
      </c>
      <c r="N509" s="11">
        <v>120.402</v>
      </c>
      <c r="O509" s="11">
        <v>121.25700000000001</v>
      </c>
      <c r="P509" s="11">
        <v>111.667</v>
      </c>
      <c r="Q509" s="11">
        <v>112.33</v>
      </c>
      <c r="R509" s="11">
        <v>110.99299999999999</v>
      </c>
      <c r="S509" s="11">
        <v>111.377</v>
      </c>
      <c r="T509" s="11">
        <v>64.835999999999999</v>
      </c>
      <c r="U509" s="11">
        <v>62.7</v>
      </c>
      <c r="V509" s="11">
        <v>35.164000000000001</v>
      </c>
      <c r="W509" s="11">
        <v>37.299999999999997</v>
      </c>
      <c r="X509" s="11">
        <v>13.24</v>
      </c>
      <c r="Y509" s="11">
        <v>14.978999999999999</v>
      </c>
      <c r="Z509" s="11">
        <v>37.299999999999997</v>
      </c>
      <c r="AA509" s="11">
        <v>35.164000000000001</v>
      </c>
      <c r="AB509" s="11">
        <v>11.79</v>
      </c>
      <c r="AC509" s="11">
        <v>20</v>
      </c>
      <c r="AD509" s="11">
        <v>16</v>
      </c>
      <c r="AE509" s="11">
        <v>16</v>
      </c>
      <c r="AF509" s="11">
        <v>16</v>
      </c>
    </row>
    <row r="510" spans="1:32" s="11" customFormat="1" x14ac:dyDescent="0.2">
      <c r="A510" s="11">
        <v>636</v>
      </c>
      <c r="F510" s="11" t="s">
        <v>16420</v>
      </c>
      <c r="G510" s="11" t="s">
        <v>16421</v>
      </c>
      <c r="H510" s="12">
        <v>66.3</v>
      </c>
      <c r="I510" s="11" t="s">
        <v>16407</v>
      </c>
      <c r="L510" s="11">
        <v>43.664000000000001</v>
      </c>
      <c r="M510" s="11">
        <v>43.771999999999998</v>
      </c>
      <c r="N510" s="11">
        <v>87.515000000000001</v>
      </c>
      <c r="O510" s="11">
        <v>87.665999999999997</v>
      </c>
      <c r="P510" s="11">
        <v>89.081999999999994</v>
      </c>
      <c r="Q510" s="11">
        <v>89.191000000000003</v>
      </c>
      <c r="R510" s="11">
        <v>122.303</v>
      </c>
      <c r="S510" s="11">
        <v>122.3</v>
      </c>
      <c r="T510" s="11">
        <v>65.506</v>
      </c>
      <c r="U510" s="11">
        <v>63.720999999999997</v>
      </c>
      <c r="V510" s="11">
        <v>34.494</v>
      </c>
      <c r="W510" s="11">
        <v>36.279000000000003</v>
      </c>
      <c r="X510" s="11">
        <v>15.397</v>
      </c>
      <c r="Y510" s="11">
        <v>14.082000000000001</v>
      </c>
      <c r="Z510" s="11">
        <v>36.279000000000003</v>
      </c>
      <c r="AA510" s="11">
        <v>34.494</v>
      </c>
      <c r="AB510" s="11">
        <v>10.35</v>
      </c>
      <c r="AC510" s="11">
        <v>19</v>
      </c>
      <c r="AD510" s="11">
        <v>18</v>
      </c>
      <c r="AE510" s="11">
        <v>18</v>
      </c>
      <c r="AF510" s="11">
        <v>18</v>
      </c>
    </row>
    <row r="511" spans="1:32" s="11" customFormat="1" x14ac:dyDescent="0.2">
      <c r="A511" s="11">
        <v>637</v>
      </c>
      <c r="F511" s="11" t="s">
        <v>16414</v>
      </c>
      <c r="G511" s="11" t="s">
        <v>16415</v>
      </c>
      <c r="H511" s="12">
        <v>57.3</v>
      </c>
      <c r="I511" s="11" t="s">
        <v>16404</v>
      </c>
      <c r="L511" s="11" t="s">
        <v>16403</v>
      </c>
      <c r="M511" s="11" t="s">
        <v>16403</v>
      </c>
      <c r="N511" s="11" t="s">
        <v>16403</v>
      </c>
      <c r="O511" s="11" t="s">
        <v>16403</v>
      </c>
      <c r="P511" s="11" t="s">
        <v>16403</v>
      </c>
      <c r="Q511" s="11" t="s">
        <v>16403</v>
      </c>
      <c r="R511" s="11" t="s">
        <v>16403</v>
      </c>
      <c r="S511" s="11" t="s">
        <v>16403</v>
      </c>
      <c r="T511" s="11" t="s">
        <v>16403</v>
      </c>
      <c r="U511" s="11" t="s">
        <v>16403</v>
      </c>
      <c r="V511" s="11" t="s">
        <v>16403</v>
      </c>
      <c r="W511" s="11" t="s">
        <v>16403</v>
      </c>
      <c r="X511" s="11" t="s">
        <v>16403</v>
      </c>
      <c r="Y511" s="11" t="s">
        <v>16403</v>
      </c>
      <c r="Z511" s="11" t="s">
        <v>16403</v>
      </c>
      <c r="AA511" s="11" t="s">
        <v>16403</v>
      </c>
      <c r="AB511" s="11" t="s">
        <v>16403</v>
      </c>
      <c r="AC511" s="11" t="s">
        <v>16403</v>
      </c>
      <c r="AD511" s="11" t="s">
        <v>16403</v>
      </c>
      <c r="AE511" s="11" t="s">
        <v>16403</v>
      </c>
      <c r="AF511" s="11" t="s">
        <v>16403</v>
      </c>
    </row>
    <row r="512" spans="1:32" s="11" customFormat="1" x14ac:dyDescent="0.2">
      <c r="A512" s="11">
        <v>638</v>
      </c>
      <c r="F512" s="11" t="s">
        <v>16403</v>
      </c>
      <c r="G512" s="11" t="s">
        <v>16403</v>
      </c>
      <c r="H512" s="12">
        <v>999</v>
      </c>
      <c r="I512" s="11" t="s">
        <v>16403</v>
      </c>
      <c r="L512" s="11" t="s">
        <v>16403</v>
      </c>
      <c r="M512" s="11" t="s">
        <v>16403</v>
      </c>
      <c r="N512" s="11" t="s">
        <v>16403</v>
      </c>
      <c r="O512" s="11" t="s">
        <v>16403</v>
      </c>
      <c r="P512" s="11" t="s">
        <v>16403</v>
      </c>
      <c r="Q512" s="11" t="s">
        <v>16403</v>
      </c>
      <c r="R512" s="11" t="s">
        <v>16403</v>
      </c>
      <c r="S512" s="11" t="s">
        <v>16403</v>
      </c>
      <c r="T512" s="11" t="s">
        <v>16403</v>
      </c>
      <c r="U512" s="11" t="s">
        <v>16403</v>
      </c>
      <c r="V512" s="11" t="s">
        <v>16403</v>
      </c>
      <c r="W512" s="11" t="s">
        <v>16403</v>
      </c>
      <c r="X512" s="11" t="s">
        <v>16403</v>
      </c>
      <c r="Y512" s="11" t="s">
        <v>16403</v>
      </c>
      <c r="Z512" s="11" t="s">
        <v>16403</v>
      </c>
      <c r="AA512" s="11" t="s">
        <v>16403</v>
      </c>
      <c r="AB512" s="11" t="s">
        <v>16403</v>
      </c>
      <c r="AC512" s="11" t="s">
        <v>16403</v>
      </c>
      <c r="AD512" s="11" t="s">
        <v>16403</v>
      </c>
      <c r="AE512" s="11" t="s">
        <v>16403</v>
      </c>
      <c r="AF512" s="11" t="s">
        <v>16403</v>
      </c>
    </row>
    <row r="513" spans="1:32" s="11" customFormat="1" x14ac:dyDescent="0.2">
      <c r="A513" s="11">
        <v>639</v>
      </c>
      <c r="F513" s="11" t="s">
        <v>16414</v>
      </c>
      <c r="G513" s="11" t="s">
        <v>16415</v>
      </c>
      <c r="H513" s="12">
        <v>74.8</v>
      </c>
      <c r="I513" s="11" t="s">
        <v>16404</v>
      </c>
      <c r="L513" s="11" t="s">
        <v>16403</v>
      </c>
      <c r="M513" s="11" t="s">
        <v>16403</v>
      </c>
      <c r="N513" s="11" t="s">
        <v>16403</v>
      </c>
      <c r="O513" s="11" t="s">
        <v>16403</v>
      </c>
      <c r="P513" s="11" t="s">
        <v>16403</v>
      </c>
      <c r="Q513" s="11" t="s">
        <v>16403</v>
      </c>
      <c r="R513" s="11" t="s">
        <v>16403</v>
      </c>
      <c r="S513" s="11" t="s">
        <v>16403</v>
      </c>
      <c r="T513" s="11" t="s">
        <v>16403</v>
      </c>
      <c r="U513" s="11" t="s">
        <v>16403</v>
      </c>
      <c r="V513" s="11" t="s">
        <v>16403</v>
      </c>
      <c r="W513" s="11" t="s">
        <v>16403</v>
      </c>
      <c r="X513" s="11" t="s">
        <v>16403</v>
      </c>
      <c r="Y513" s="11" t="s">
        <v>16403</v>
      </c>
      <c r="Z513" s="11" t="s">
        <v>16403</v>
      </c>
      <c r="AA513" s="11" t="s">
        <v>16403</v>
      </c>
      <c r="AB513" s="11" t="s">
        <v>16403</v>
      </c>
      <c r="AC513" s="11" t="s">
        <v>16403</v>
      </c>
      <c r="AD513" s="11" t="s">
        <v>16403</v>
      </c>
      <c r="AE513" s="11" t="s">
        <v>16403</v>
      </c>
      <c r="AF513" s="11" t="s">
        <v>16403</v>
      </c>
    </row>
    <row r="514" spans="1:32" s="11" customFormat="1" x14ac:dyDescent="0.2">
      <c r="A514" s="11">
        <v>640</v>
      </c>
      <c r="F514" s="11" t="s">
        <v>16414</v>
      </c>
      <c r="G514" s="11" t="s">
        <v>16415</v>
      </c>
      <c r="H514" s="12">
        <v>61.1</v>
      </c>
      <c r="I514" s="11" t="s">
        <v>16404</v>
      </c>
      <c r="L514" s="11">
        <v>45.883000000000003</v>
      </c>
      <c r="M514" s="11">
        <v>49.59</v>
      </c>
      <c r="N514" s="11">
        <v>95.126000000000005</v>
      </c>
      <c r="O514" s="11">
        <v>95.522000000000006</v>
      </c>
      <c r="P514" s="11">
        <v>78.411000000000001</v>
      </c>
      <c r="Q514" s="11">
        <v>78.289000000000001</v>
      </c>
      <c r="R514" s="11">
        <v>98.896000000000001</v>
      </c>
      <c r="S514" s="11">
        <v>98.784000000000006</v>
      </c>
      <c r="T514" s="11">
        <v>62.898000000000003</v>
      </c>
      <c r="U514" s="11">
        <v>65.805000000000007</v>
      </c>
      <c r="V514" s="11">
        <v>37.101999999999997</v>
      </c>
      <c r="W514" s="11">
        <v>34.195</v>
      </c>
      <c r="X514" s="11">
        <v>13.673</v>
      </c>
      <c r="Y514" s="11">
        <v>15.084</v>
      </c>
      <c r="Z514" s="11">
        <v>34.195</v>
      </c>
      <c r="AA514" s="11">
        <v>37.101999999999997</v>
      </c>
      <c r="AB514" s="11">
        <v>12.92</v>
      </c>
      <c r="AC514" s="11">
        <v>20</v>
      </c>
      <c r="AD514" s="11">
        <v>19</v>
      </c>
      <c r="AE514" s="11">
        <v>19</v>
      </c>
      <c r="AF514" s="11">
        <v>19</v>
      </c>
    </row>
    <row r="515" spans="1:32" s="11" customFormat="1" x14ac:dyDescent="0.2">
      <c r="A515" s="11">
        <v>641</v>
      </c>
      <c r="F515" s="11" t="s">
        <v>16414</v>
      </c>
      <c r="G515" s="11" t="s">
        <v>16415</v>
      </c>
      <c r="H515" s="12">
        <v>54.4</v>
      </c>
      <c r="I515" s="11" t="s">
        <v>16404</v>
      </c>
      <c r="L515" s="11">
        <v>1.3680000000000001</v>
      </c>
      <c r="M515" s="11">
        <v>16.274000000000001</v>
      </c>
      <c r="N515" s="11">
        <v>18.149000000000001</v>
      </c>
      <c r="O515" s="11">
        <v>17.308</v>
      </c>
      <c r="P515" s="11">
        <v>10.45</v>
      </c>
      <c r="Q515" s="11">
        <v>9.3350000000000009</v>
      </c>
      <c r="R515" s="11">
        <v>72.257000000000005</v>
      </c>
      <c r="S515" s="11">
        <v>68.971000000000004</v>
      </c>
      <c r="T515" s="11">
        <v>78.992000000000004</v>
      </c>
      <c r="U515" s="11">
        <v>75.852999999999994</v>
      </c>
      <c r="V515" s="11">
        <v>21.007999999999999</v>
      </c>
      <c r="W515" s="11">
        <v>24.146999999999998</v>
      </c>
      <c r="X515" s="11">
        <v>24.666</v>
      </c>
      <c r="Y515" s="11">
        <v>28.774000000000001</v>
      </c>
      <c r="Z515" s="11">
        <v>24.146999999999998</v>
      </c>
      <c r="AA515" s="11">
        <v>21.007999999999999</v>
      </c>
      <c r="AB515" s="11">
        <v>11.393000000000001</v>
      </c>
      <c r="AC515" s="11">
        <v>10</v>
      </c>
      <c r="AD515" s="11">
        <v>8</v>
      </c>
      <c r="AE515" s="11">
        <v>8</v>
      </c>
      <c r="AF515" s="11">
        <v>8</v>
      </c>
    </row>
    <row r="516" spans="1:32" s="11" customFormat="1" x14ac:dyDescent="0.2">
      <c r="A516" s="11">
        <v>642</v>
      </c>
      <c r="F516" s="11" t="s">
        <v>16420</v>
      </c>
      <c r="G516" s="11" t="s">
        <v>16421</v>
      </c>
      <c r="H516" s="12">
        <v>87.8</v>
      </c>
      <c r="I516" s="11" t="s">
        <v>16407</v>
      </c>
      <c r="L516" s="11">
        <v>21.305</v>
      </c>
      <c r="M516" s="11">
        <v>20.38</v>
      </c>
      <c r="N516" s="11">
        <v>42.168999999999997</v>
      </c>
      <c r="O516" s="11">
        <v>41.183999999999997</v>
      </c>
      <c r="P516" s="11">
        <v>33.478000000000002</v>
      </c>
      <c r="Q516" s="11">
        <v>33.156999999999996</v>
      </c>
      <c r="R516" s="11">
        <v>97.716999999999999</v>
      </c>
      <c r="S516" s="11">
        <v>97.570999999999998</v>
      </c>
      <c r="T516" s="11">
        <v>71.823999999999998</v>
      </c>
      <c r="U516" s="11">
        <v>68.984999999999999</v>
      </c>
      <c r="V516" s="11">
        <v>28.175999999999998</v>
      </c>
      <c r="W516" s="11">
        <v>31.015000000000001</v>
      </c>
      <c r="X516" s="11">
        <v>20.850999999999999</v>
      </c>
      <c r="Y516" s="11">
        <v>20.582000000000001</v>
      </c>
      <c r="Z516" s="11">
        <v>31.015000000000001</v>
      </c>
      <c r="AA516" s="11">
        <v>28.175999999999998</v>
      </c>
      <c r="AB516" s="11">
        <v>19.841999999999999</v>
      </c>
      <c r="AC516" s="11">
        <v>22</v>
      </c>
      <c r="AD516" s="11">
        <v>21</v>
      </c>
      <c r="AE516" s="11">
        <v>21</v>
      </c>
      <c r="AF516" s="11">
        <v>21</v>
      </c>
    </row>
    <row r="517" spans="1:32" s="11" customFormat="1" x14ac:dyDescent="0.2">
      <c r="A517" s="11">
        <v>643</v>
      </c>
      <c r="F517" s="11" t="s">
        <v>16420</v>
      </c>
      <c r="G517" s="11" t="s">
        <v>16421</v>
      </c>
      <c r="H517" s="12">
        <v>72.900000000000006</v>
      </c>
      <c r="I517" s="11" t="s">
        <v>16407</v>
      </c>
      <c r="L517" s="11" t="s">
        <v>16403</v>
      </c>
      <c r="M517" s="11" t="s">
        <v>16403</v>
      </c>
      <c r="N517" s="11" t="s">
        <v>16403</v>
      </c>
      <c r="O517" s="11" t="s">
        <v>16403</v>
      </c>
      <c r="P517" s="11" t="s">
        <v>16403</v>
      </c>
      <c r="Q517" s="11" t="s">
        <v>16403</v>
      </c>
      <c r="R517" s="11" t="s">
        <v>16403</v>
      </c>
      <c r="S517" s="11" t="s">
        <v>16403</v>
      </c>
      <c r="T517" s="11" t="s">
        <v>16403</v>
      </c>
      <c r="U517" s="11" t="s">
        <v>16403</v>
      </c>
      <c r="V517" s="11" t="s">
        <v>16403</v>
      </c>
      <c r="W517" s="11" t="s">
        <v>16403</v>
      </c>
      <c r="X517" s="11" t="s">
        <v>16403</v>
      </c>
      <c r="Y517" s="11" t="s">
        <v>16403</v>
      </c>
      <c r="Z517" s="11" t="s">
        <v>16403</v>
      </c>
      <c r="AA517" s="11" t="s">
        <v>16403</v>
      </c>
      <c r="AB517" s="11" t="s">
        <v>16403</v>
      </c>
      <c r="AC517" s="11" t="s">
        <v>16403</v>
      </c>
      <c r="AD517" s="11" t="s">
        <v>16403</v>
      </c>
      <c r="AE517" s="11" t="s">
        <v>16403</v>
      </c>
      <c r="AF517" s="11" t="s">
        <v>16403</v>
      </c>
    </row>
    <row r="518" spans="1:32" s="11" customFormat="1" x14ac:dyDescent="0.2">
      <c r="A518" s="11">
        <v>644</v>
      </c>
      <c r="F518" s="11" t="s">
        <v>16414</v>
      </c>
      <c r="G518" s="11" t="s">
        <v>16415</v>
      </c>
      <c r="H518" s="12">
        <v>74.599999999999994</v>
      </c>
      <c r="I518" s="11" t="s">
        <v>16407</v>
      </c>
      <c r="L518" s="11">
        <v>46.496000000000002</v>
      </c>
      <c r="M518" s="11">
        <v>36.956000000000003</v>
      </c>
      <c r="N518" s="11">
        <v>83.575999999999993</v>
      </c>
      <c r="O518" s="11">
        <v>83.233999999999995</v>
      </c>
      <c r="P518" s="11">
        <v>65.3</v>
      </c>
      <c r="Q518" s="11">
        <v>64.491</v>
      </c>
      <c r="R518" s="11">
        <v>93.631</v>
      </c>
      <c r="S518" s="11">
        <v>93.242000000000004</v>
      </c>
      <c r="T518" s="11">
        <v>64.858000000000004</v>
      </c>
      <c r="U518" s="11">
        <v>64.322999999999993</v>
      </c>
      <c r="V518" s="11">
        <v>35.142000000000003</v>
      </c>
      <c r="W518" s="11">
        <v>35.677</v>
      </c>
      <c r="X518" s="11">
        <v>13.058999999999999</v>
      </c>
      <c r="Y518" s="11">
        <v>16.792999999999999</v>
      </c>
      <c r="Z518" s="11">
        <v>35.677</v>
      </c>
      <c r="AA518" s="11">
        <v>35.142000000000003</v>
      </c>
      <c r="AB518" s="11">
        <v>11.887</v>
      </c>
      <c r="AC518" s="11">
        <v>14</v>
      </c>
      <c r="AD518" s="11">
        <v>14</v>
      </c>
      <c r="AE518" s="11">
        <v>14</v>
      </c>
      <c r="AF518" s="11">
        <v>14</v>
      </c>
    </row>
    <row r="519" spans="1:32" s="11" customFormat="1" x14ac:dyDescent="0.2">
      <c r="A519" s="11">
        <v>645</v>
      </c>
      <c r="F519" s="11" t="s">
        <v>16420</v>
      </c>
      <c r="G519" s="11" t="s">
        <v>16421</v>
      </c>
      <c r="H519" s="12">
        <v>66.400000000000006</v>
      </c>
      <c r="I519" s="11" t="s">
        <v>16407</v>
      </c>
      <c r="L519" s="11">
        <v>51.850999999999999</v>
      </c>
      <c r="M519" s="11">
        <v>54.753999999999998</v>
      </c>
      <c r="N519" s="11">
        <v>106.483</v>
      </c>
      <c r="O519" s="11">
        <v>106.60599999999999</v>
      </c>
      <c r="P519" s="11">
        <v>94.772000000000006</v>
      </c>
      <c r="Q519" s="11">
        <v>94.629000000000005</v>
      </c>
      <c r="R519" s="11">
        <v>106.34</v>
      </c>
      <c r="S519" s="11">
        <v>106.452</v>
      </c>
      <c r="T519" s="11">
        <v>63.564999999999998</v>
      </c>
      <c r="U519" s="11">
        <v>62.656999999999996</v>
      </c>
      <c r="V519" s="11">
        <v>36.435000000000002</v>
      </c>
      <c r="W519" s="11">
        <v>37.343000000000004</v>
      </c>
      <c r="X519" s="11">
        <v>13.082000000000001</v>
      </c>
      <c r="Y519" s="11">
        <v>13.451000000000001</v>
      </c>
      <c r="Z519" s="11">
        <v>37.343000000000004</v>
      </c>
      <c r="AA519" s="11">
        <v>36.435000000000002</v>
      </c>
      <c r="AB519" s="11">
        <v>9.7349999999999994</v>
      </c>
      <c r="AC519" s="11">
        <v>11</v>
      </c>
      <c r="AD519" s="11">
        <v>15</v>
      </c>
      <c r="AE519" s="11">
        <v>11</v>
      </c>
      <c r="AF519" s="11">
        <v>11</v>
      </c>
    </row>
    <row r="520" spans="1:32" s="11" customFormat="1" x14ac:dyDescent="0.2">
      <c r="A520" s="11">
        <v>647</v>
      </c>
      <c r="F520" s="11" t="s">
        <v>16420</v>
      </c>
      <c r="G520" s="11" t="s">
        <v>16421</v>
      </c>
      <c r="H520" s="12">
        <v>50.3</v>
      </c>
      <c r="I520" s="11" t="s">
        <v>16404</v>
      </c>
      <c r="L520" s="11">
        <v>32.31</v>
      </c>
      <c r="M520" s="11">
        <v>36.07</v>
      </c>
      <c r="N520" s="11">
        <v>68.679000000000002</v>
      </c>
      <c r="O520" s="11">
        <v>68.635000000000005</v>
      </c>
      <c r="P520" s="11">
        <v>49.890999999999998</v>
      </c>
      <c r="Q520" s="11">
        <v>49.168999999999997</v>
      </c>
      <c r="R520" s="11">
        <v>85.501999999999995</v>
      </c>
      <c r="S520" s="11">
        <v>84.86</v>
      </c>
      <c r="T520" s="11">
        <v>68.445999999999998</v>
      </c>
      <c r="U520" s="11">
        <v>68.575000000000003</v>
      </c>
      <c r="V520" s="11">
        <v>31.553999999999998</v>
      </c>
      <c r="W520" s="11">
        <v>31.425000000000001</v>
      </c>
      <c r="X520" s="11">
        <v>19.158999999999999</v>
      </c>
      <c r="Y520" s="11">
        <v>17.745999999999999</v>
      </c>
      <c r="Z520" s="11">
        <v>31.425000000000001</v>
      </c>
      <c r="AA520" s="11">
        <v>31.553999999999998</v>
      </c>
      <c r="AB520" s="11">
        <v>15.007</v>
      </c>
      <c r="AC520" s="11">
        <v>14</v>
      </c>
      <c r="AD520" s="11">
        <v>14</v>
      </c>
      <c r="AE520" s="11">
        <v>14</v>
      </c>
      <c r="AF520" s="11">
        <v>14</v>
      </c>
    </row>
    <row r="521" spans="1:32" s="11" customFormat="1" x14ac:dyDescent="0.2">
      <c r="A521" s="11">
        <v>648</v>
      </c>
      <c r="F521" s="11" t="s">
        <v>16403</v>
      </c>
      <c r="G521" s="11" t="s">
        <v>16403</v>
      </c>
      <c r="H521" s="12">
        <v>999</v>
      </c>
      <c r="I521" s="11" t="s">
        <v>16403</v>
      </c>
      <c r="L521" s="11">
        <v>56.679000000000002</v>
      </c>
      <c r="M521" s="11">
        <v>54.454999999999998</v>
      </c>
      <c r="N521" s="11">
        <v>111.255</v>
      </c>
      <c r="O521" s="11">
        <v>111.345</v>
      </c>
      <c r="P521" s="11">
        <v>101.322</v>
      </c>
      <c r="Q521" s="11">
        <v>102.03100000000001</v>
      </c>
      <c r="R521" s="11">
        <v>109.03100000000001</v>
      </c>
      <c r="S521" s="11">
        <v>109.622</v>
      </c>
      <c r="T521" s="11">
        <v>62.253</v>
      </c>
      <c r="U521" s="11">
        <v>61.35</v>
      </c>
      <c r="V521" s="11">
        <v>37.747</v>
      </c>
      <c r="W521" s="11">
        <v>38.65</v>
      </c>
      <c r="X521" s="11">
        <v>11.849</v>
      </c>
      <c r="Y521" s="11">
        <v>12.068</v>
      </c>
      <c r="Z521" s="11">
        <v>38.65</v>
      </c>
      <c r="AA521" s="11">
        <v>37.747</v>
      </c>
      <c r="AB521" s="11">
        <v>12.202999999999999</v>
      </c>
      <c r="AC521" s="11">
        <v>15</v>
      </c>
      <c r="AD521" s="11">
        <v>15</v>
      </c>
      <c r="AE521" s="11">
        <v>15</v>
      </c>
      <c r="AF521" s="11">
        <v>15</v>
      </c>
    </row>
    <row r="522" spans="1:32" s="11" customFormat="1" x14ac:dyDescent="0.2">
      <c r="A522" s="11">
        <v>649</v>
      </c>
      <c r="F522" s="11" t="s">
        <v>16414</v>
      </c>
      <c r="G522" s="11" t="s">
        <v>16415</v>
      </c>
      <c r="H522" s="12">
        <v>51.7</v>
      </c>
      <c r="I522" s="11" t="s">
        <v>16404</v>
      </c>
      <c r="L522" s="11">
        <v>32.624000000000002</v>
      </c>
      <c r="M522" s="11">
        <v>36.963000000000001</v>
      </c>
      <c r="N522" s="11">
        <v>69.382000000000005</v>
      </c>
      <c r="O522" s="11">
        <v>69.988</v>
      </c>
      <c r="P522" s="11">
        <v>74.986000000000004</v>
      </c>
      <c r="Q522" s="11">
        <v>75.834000000000003</v>
      </c>
      <c r="R522" s="11">
        <v>129.006</v>
      </c>
      <c r="S522" s="11">
        <v>129.511</v>
      </c>
      <c r="T522" s="11">
        <v>63.947000000000003</v>
      </c>
      <c r="U522" s="11">
        <v>63.65</v>
      </c>
      <c r="V522" s="11">
        <v>36.052999999999997</v>
      </c>
      <c r="W522" s="11">
        <v>36.35</v>
      </c>
      <c r="X522" s="11">
        <v>11.955</v>
      </c>
      <c r="Y522" s="11">
        <v>15.92</v>
      </c>
      <c r="Z522" s="11">
        <v>36.35</v>
      </c>
      <c r="AA522" s="11">
        <v>36.052999999999997</v>
      </c>
      <c r="AB522" s="11">
        <v>16.149999999999999</v>
      </c>
      <c r="AC522" s="11">
        <v>20</v>
      </c>
      <c r="AD522" s="11">
        <v>20</v>
      </c>
      <c r="AE522" s="11">
        <v>20</v>
      </c>
      <c r="AF522" s="11">
        <v>20</v>
      </c>
    </row>
    <row r="523" spans="1:32" s="11" customFormat="1" x14ac:dyDescent="0.2">
      <c r="A523" s="11">
        <v>650</v>
      </c>
      <c r="F523" s="11" t="s">
        <v>16420</v>
      </c>
      <c r="G523" s="11" t="s">
        <v>16421</v>
      </c>
      <c r="H523" s="12">
        <v>62.3</v>
      </c>
      <c r="I523" s="11" t="s">
        <v>16404</v>
      </c>
      <c r="L523" s="11">
        <v>45.744999999999997</v>
      </c>
      <c r="M523" s="11">
        <v>47.856000000000002</v>
      </c>
      <c r="N523" s="11">
        <v>94.278000000000006</v>
      </c>
      <c r="O523" s="11">
        <v>93.504000000000005</v>
      </c>
      <c r="P523" s="11">
        <v>83.427999999999997</v>
      </c>
      <c r="Q523" s="11">
        <v>83.537999999999997</v>
      </c>
      <c r="R523" s="11">
        <v>106.28</v>
      </c>
      <c r="S523" s="11">
        <v>106.78100000000001</v>
      </c>
      <c r="T523" s="11">
        <v>62.387</v>
      </c>
      <c r="U523" s="11">
        <v>63.051000000000002</v>
      </c>
      <c r="V523" s="11">
        <v>37.613</v>
      </c>
      <c r="W523" s="11">
        <v>36.948999999999998</v>
      </c>
      <c r="X523" s="11">
        <v>12.648999999999999</v>
      </c>
      <c r="Y523" s="11">
        <v>13.42</v>
      </c>
      <c r="Z523" s="11">
        <v>36.948999999999998</v>
      </c>
      <c r="AA523" s="11">
        <v>37.613</v>
      </c>
      <c r="AB523" s="11">
        <v>10.163</v>
      </c>
      <c r="AC523" s="11">
        <v>18</v>
      </c>
      <c r="AD523" s="11">
        <v>20</v>
      </c>
      <c r="AE523" s="11">
        <v>18</v>
      </c>
      <c r="AF523" s="11">
        <v>18</v>
      </c>
    </row>
    <row r="524" spans="1:32" s="11" customFormat="1" x14ac:dyDescent="0.2">
      <c r="A524" s="11">
        <v>651</v>
      </c>
      <c r="F524" s="11" t="s">
        <v>16420</v>
      </c>
      <c r="G524" s="11" t="s">
        <v>16421</v>
      </c>
      <c r="H524" s="12">
        <v>73.8</v>
      </c>
      <c r="I524" s="11" t="s">
        <v>16404</v>
      </c>
      <c r="L524" s="11" t="s">
        <v>16403</v>
      </c>
      <c r="M524" s="11" t="s">
        <v>16403</v>
      </c>
      <c r="N524" s="11" t="s">
        <v>16403</v>
      </c>
      <c r="O524" s="11" t="s">
        <v>16403</v>
      </c>
      <c r="P524" s="11" t="s">
        <v>16403</v>
      </c>
      <c r="Q524" s="11" t="s">
        <v>16403</v>
      </c>
      <c r="R524" s="11" t="s">
        <v>16403</v>
      </c>
      <c r="S524" s="11" t="s">
        <v>16403</v>
      </c>
      <c r="T524" s="11" t="s">
        <v>16403</v>
      </c>
      <c r="U524" s="11" t="s">
        <v>16403</v>
      </c>
      <c r="V524" s="11" t="s">
        <v>16403</v>
      </c>
      <c r="W524" s="11" t="s">
        <v>16403</v>
      </c>
      <c r="X524" s="11" t="s">
        <v>16403</v>
      </c>
      <c r="Y524" s="11" t="s">
        <v>16403</v>
      </c>
      <c r="Z524" s="11" t="s">
        <v>16403</v>
      </c>
      <c r="AA524" s="11" t="s">
        <v>16403</v>
      </c>
      <c r="AB524" s="11" t="s">
        <v>16403</v>
      </c>
      <c r="AC524" s="11" t="s">
        <v>16403</v>
      </c>
      <c r="AD524" s="11" t="s">
        <v>16403</v>
      </c>
      <c r="AE524" s="11" t="s">
        <v>16403</v>
      </c>
      <c r="AF524" s="11" t="s">
        <v>16403</v>
      </c>
    </row>
    <row r="525" spans="1:32" s="11" customFormat="1" x14ac:dyDescent="0.2">
      <c r="A525" s="11">
        <v>652</v>
      </c>
      <c r="F525" s="11" t="s">
        <v>16424</v>
      </c>
      <c r="G525" s="11" t="s">
        <v>16425</v>
      </c>
      <c r="H525" s="12">
        <v>52.7</v>
      </c>
      <c r="I525" s="11" t="s">
        <v>16407</v>
      </c>
      <c r="L525" s="11">
        <v>54.110999999999997</v>
      </c>
      <c r="M525" s="11">
        <v>52.631999999999998</v>
      </c>
      <c r="N525" s="11">
        <v>106.767</v>
      </c>
      <c r="O525" s="11">
        <v>106.871</v>
      </c>
      <c r="P525" s="11">
        <v>92.15</v>
      </c>
      <c r="Q525" s="11">
        <v>92.066000000000003</v>
      </c>
      <c r="R525" s="11">
        <v>103.47799999999999</v>
      </c>
      <c r="S525" s="11">
        <v>103.304</v>
      </c>
      <c r="T525" s="11">
        <v>64.534000000000006</v>
      </c>
      <c r="U525" s="11">
        <v>63.908000000000001</v>
      </c>
      <c r="V525" s="11">
        <v>35.466000000000001</v>
      </c>
      <c r="W525" s="11">
        <v>36.091999999999999</v>
      </c>
      <c r="X525" s="11">
        <v>15.172000000000001</v>
      </c>
      <c r="Y525" s="11">
        <v>13.382</v>
      </c>
      <c r="Z525" s="11">
        <v>36.091999999999999</v>
      </c>
      <c r="AA525" s="11">
        <v>35.466000000000001</v>
      </c>
      <c r="AB525" s="11">
        <v>12.273999999999999</v>
      </c>
      <c r="AC525" s="11">
        <v>15</v>
      </c>
      <c r="AD525" s="11">
        <v>15</v>
      </c>
      <c r="AE525" s="11">
        <v>15</v>
      </c>
      <c r="AF525" s="11">
        <v>15</v>
      </c>
    </row>
    <row r="526" spans="1:32" s="11" customFormat="1" x14ac:dyDescent="0.2">
      <c r="A526" s="11">
        <v>653</v>
      </c>
      <c r="F526" s="11" t="s">
        <v>16414</v>
      </c>
      <c r="G526" s="11" t="s">
        <v>16415</v>
      </c>
      <c r="H526" s="12">
        <v>64.900000000000006</v>
      </c>
      <c r="I526" s="11" t="s">
        <v>16404</v>
      </c>
      <c r="L526" s="11">
        <v>60.588000000000001</v>
      </c>
      <c r="M526" s="11">
        <v>60.454999999999998</v>
      </c>
      <c r="N526" s="11">
        <v>120.864</v>
      </c>
      <c r="O526" s="11">
        <v>121.093</v>
      </c>
      <c r="P526" s="11">
        <v>96.334000000000003</v>
      </c>
      <c r="Q526" s="11">
        <v>96.816000000000003</v>
      </c>
      <c r="R526" s="11">
        <v>95.981999999999999</v>
      </c>
      <c r="S526" s="11">
        <v>95.572999999999993</v>
      </c>
      <c r="T526" s="11">
        <v>66.272000000000006</v>
      </c>
      <c r="U526" s="11">
        <v>65.448999999999998</v>
      </c>
      <c r="V526" s="11">
        <v>33.728000000000002</v>
      </c>
      <c r="W526" s="11">
        <v>34.551000000000002</v>
      </c>
      <c r="X526" s="11">
        <v>16.561</v>
      </c>
      <c r="Y526" s="11">
        <v>15.241</v>
      </c>
      <c r="Z526" s="11">
        <v>34.551000000000002</v>
      </c>
      <c r="AA526" s="11">
        <v>33.728000000000002</v>
      </c>
      <c r="AB526" s="11">
        <v>9.6929999999999996</v>
      </c>
      <c r="AC526" s="11">
        <v>16</v>
      </c>
      <c r="AD526" s="11">
        <v>13</v>
      </c>
      <c r="AE526" s="11">
        <v>13</v>
      </c>
      <c r="AF526" s="11">
        <v>13</v>
      </c>
    </row>
    <row r="527" spans="1:32" s="11" customFormat="1" x14ac:dyDescent="0.2">
      <c r="A527" s="11">
        <v>654</v>
      </c>
      <c r="F527" s="11" t="s">
        <v>16414</v>
      </c>
      <c r="G527" s="11" t="s">
        <v>16415</v>
      </c>
      <c r="H527" s="12">
        <v>74</v>
      </c>
      <c r="I527" s="11" t="s">
        <v>16404</v>
      </c>
      <c r="L527" s="11">
        <v>10.87</v>
      </c>
      <c r="M527" s="11">
        <v>14.063000000000001</v>
      </c>
      <c r="N527" s="11">
        <v>25.105</v>
      </c>
      <c r="O527" s="11">
        <v>25.018000000000001</v>
      </c>
      <c r="P527" s="11">
        <v>23.169</v>
      </c>
      <c r="Q527" s="11">
        <v>23.248000000000001</v>
      </c>
      <c r="R527" s="11">
        <v>111.84</v>
      </c>
      <c r="S527" s="11">
        <v>111.428</v>
      </c>
      <c r="T527" s="11">
        <v>71.019000000000005</v>
      </c>
      <c r="U527" s="11">
        <v>72.064999999999998</v>
      </c>
      <c r="V527" s="11">
        <v>28.981000000000002</v>
      </c>
      <c r="W527" s="11">
        <v>27.934000000000001</v>
      </c>
      <c r="X527" s="11">
        <v>25.242000000000001</v>
      </c>
      <c r="Y527" s="11">
        <v>17.946000000000002</v>
      </c>
      <c r="Z527" s="11">
        <v>27.934000000000001</v>
      </c>
      <c r="AA527" s="11">
        <v>28.981000000000002</v>
      </c>
      <c r="AB527" s="11">
        <v>13.09</v>
      </c>
      <c r="AC527" s="11">
        <v>24</v>
      </c>
      <c r="AD527" s="11">
        <v>24</v>
      </c>
      <c r="AE527" s="11">
        <v>24</v>
      </c>
      <c r="AF527" s="11">
        <v>24</v>
      </c>
    </row>
    <row r="528" spans="1:32" s="11" customFormat="1" x14ac:dyDescent="0.2">
      <c r="A528" s="11">
        <v>655</v>
      </c>
      <c r="F528" s="11" t="s">
        <v>16426</v>
      </c>
      <c r="G528" s="11" t="s">
        <v>16427</v>
      </c>
      <c r="H528" s="12">
        <v>62.1</v>
      </c>
      <c r="I528" s="11" t="s">
        <v>16407</v>
      </c>
      <c r="L528" s="11" t="s">
        <v>16403</v>
      </c>
      <c r="M528" s="11" t="s">
        <v>16403</v>
      </c>
      <c r="N528" s="11" t="s">
        <v>16403</v>
      </c>
      <c r="O528" s="11" t="s">
        <v>16403</v>
      </c>
      <c r="P528" s="11" t="s">
        <v>16403</v>
      </c>
      <c r="Q528" s="11" t="s">
        <v>16403</v>
      </c>
      <c r="R528" s="11" t="s">
        <v>16403</v>
      </c>
      <c r="S528" s="11" t="s">
        <v>16403</v>
      </c>
      <c r="T528" s="11" t="s">
        <v>16403</v>
      </c>
      <c r="U528" s="11" t="s">
        <v>16403</v>
      </c>
      <c r="V528" s="11" t="s">
        <v>16403</v>
      </c>
      <c r="W528" s="11" t="s">
        <v>16403</v>
      </c>
      <c r="X528" s="11" t="s">
        <v>16403</v>
      </c>
      <c r="Y528" s="11" t="s">
        <v>16403</v>
      </c>
      <c r="Z528" s="11" t="s">
        <v>16403</v>
      </c>
      <c r="AA528" s="11" t="s">
        <v>16403</v>
      </c>
      <c r="AB528" s="11" t="s">
        <v>16403</v>
      </c>
      <c r="AC528" s="11" t="s">
        <v>16403</v>
      </c>
      <c r="AD528" s="11" t="s">
        <v>16403</v>
      </c>
      <c r="AE528" s="11" t="s">
        <v>16403</v>
      </c>
      <c r="AF528" s="11" t="s">
        <v>16403</v>
      </c>
    </row>
    <row r="529" spans="1:32" s="11" customFormat="1" x14ac:dyDescent="0.2">
      <c r="A529" s="11">
        <v>656</v>
      </c>
      <c r="F529" s="11" t="s">
        <v>16420</v>
      </c>
      <c r="G529" s="11" t="s">
        <v>16421</v>
      </c>
      <c r="H529" s="12">
        <v>30.3</v>
      </c>
      <c r="I529" s="11" t="s">
        <v>16404</v>
      </c>
      <c r="L529" s="11">
        <v>60.171999999999997</v>
      </c>
      <c r="M529" s="11">
        <v>59.912999999999997</v>
      </c>
      <c r="N529" s="11">
        <v>120.167</v>
      </c>
      <c r="O529" s="11">
        <v>120.22</v>
      </c>
      <c r="P529" s="11">
        <v>105.623</v>
      </c>
      <c r="Q529" s="11">
        <v>105.453</v>
      </c>
      <c r="R529" s="11">
        <v>105.761</v>
      </c>
      <c r="S529" s="11">
        <v>105.389</v>
      </c>
      <c r="T529" s="11">
        <v>62.453000000000003</v>
      </c>
      <c r="U529" s="11">
        <v>62.783000000000001</v>
      </c>
      <c r="V529" s="11">
        <v>37.546999999999997</v>
      </c>
      <c r="W529" s="11">
        <v>37.216999999999999</v>
      </c>
      <c r="X529" s="11">
        <v>13.164999999999999</v>
      </c>
      <c r="Y529" s="11">
        <v>12.252000000000001</v>
      </c>
      <c r="Z529" s="11">
        <v>37.216999999999999</v>
      </c>
      <c r="AA529" s="11">
        <v>37.546999999999997</v>
      </c>
      <c r="AB529" s="11">
        <v>11.718999999999999</v>
      </c>
      <c r="AC529" s="11">
        <v>20</v>
      </c>
      <c r="AD529" s="11">
        <v>15</v>
      </c>
      <c r="AE529" s="11">
        <v>15</v>
      </c>
      <c r="AF529" s="11">
        <v>15</v>
      </c>
    </row>
    <row r="530" spans="1:32" s="11" customFormat="1" x14ac:dyDescent="0.2">
      <c r="A530" s="11">
        <v>658</v>
      </c>
      <c r="F530" s="11" t="s">
        <v>16424</v>
      </c>
      <c r="G530" s="11" t="s">
        <v>16425</v>
      </c>
      <c r="H530" s="12">
        <v>53.8</v>
      </c>
      <c r="I530" s="11" t="s">
        <v>16407</v>
      </c>
      <c r="L530" s="11">
        <v>28.06</v>
      </c>
      <c r="M530" s="11">
        <v>34.768999999999998</v>
      </c>
      <c r="N530" s="11">
        <v>63.241</v>
      </c>
      <c r="O530" s="11">
        <v>62.55</v>
      </c>
      <c r="P530" s="11">
        <v>50.076999999999998</v>
      </c>
      <c r="Q530" s="11">
        <v>48.75</v>
      </c>
      <c r="R530" s="11">
        <v>94.552999999999997</v>
      </c>
      <c r="S530" s="11">
        <v>92.831000000000003</v>
      </c>
      <c r="T530" s="11">
        <v>71.138000000000005</v>
      </c>
      <c r="U530" s="11">
        <v>70.087999999999994</v>
      </c>
      <c r="V530" s="11">
        <v>28.861999999999998</v>
      </c>
      <c r="W530" s="11">
        <v>29.911999999999999</v>
      </c>
      <c r="X530" s="11">
        <v>21.696000000000002</v>
      </c>
      <c r="Y530" s="11">
        <v>19.728999999999999</v>
      </c>
      <c r="Z530" s="11">
        <v>29.911999999999999</v>
      </c>
      <c r="AA530" s="11">
        <v>28.861999999999998</v>
      </c>
      <c r="AB530" s="11">
        <v>22.378</v>
      </c>
      <c r="AC530" s="11">
        <v>15</v>
      </c>
      <c r="AD530" s="11">
        <v>14</v>
      </c>
      <c r="AE530" s="11">
        <v>14</v>
      </c>
      <c r="AF530" s="11">
        <v>14</v>
      </c>
    </row>
    <row r="531" spans="1:32" s="11" customFormat="1" x14ac:dyDescent="0.2">
      <c r="A531" s="11">
        <v>659</v>
      </c>
      <c r="F531" s="11" t="s">
        <v>16414</v>
      </c>
      <c r="G531" s="11" t="s">
        <v>16415</v>
      </c>
      <c r="H531" s="12">
        <v>62.8</v>
      </c>
      <c r="I531" s="11" t="s">
        <v>16407</v>
      </c>
      <c r="L531" s="11">
        <v>49.661999999999999</v>
      </c>
      <c r="M531" s="11">
        <v>49.539000000000001</v>
      </c>
      <c r="N531" s="11">
        <v>99.132999999999996</v>
      </c>
      <c r="O531" s="11">
        <v>99.667000000000002</v>
      </c>
      <c r="P531" s="11">
        <v>94.677000000000007</v>
      </c>
      <c r="Q531" s="11">
        <v>95.087000000000003</v>
      </c>
      <c r="R531" s="11">
        <v>113.767</v>
      </c>
      <c r="S531" s="11">
        <v>114.328</v>
      </c>
      <c r="T531" s="11">
        <v>62.378</v>
      </c>
      <c r="U531" s="11">
        <v>63.817</v>
      </c>
      <c r="V531" s="11">
        <v>37.622</v>
      </c>
      <c r="W531" s="11">
        <v>36.183</v>
      </c>
      <c r="X531" s="11">
        <v>12.695</v>
      </c>
      <c r="Y531" s="11">
        <v>13.686999999999999</v>
      </c>
      <c r="Z531" s="11">
        <v>36.183</v>
      </c>
      <c r="AA531" s="11">
        <v>37.622</v>
      </c>
      <c r="AB531" s="11">
        <v>8.2759999999999998</v>
      </c>
      <c r="AC531" s="11">
        <v>12</v>
      </c>
      <c r="AD531" s="11">
        <v>12</v>
      </c>
      <c r="AE531" s="11">
        <v>12</v>
      </c>
      <c r="AF531" s="11">
        <v>12</v>
      </c>
    </row>
    <row r="532" spans="1:32" s="11" customFormat="1" x14ac:dyDescent="0.2">
      <c r="A532" s="11">
        <v>660</v>
      </c>
      <c r="F532" s="11" t="s">
        <v>16418</v>
      </c>
      <c r="G532" s="11" t="s">
        <v>16419</v>
      </c>
      <c r="H532" s="12">
        <v>68.7</v>
      </c>
      <c r="I532" s="11" t="s">
        <v>16404</v>
      </c>
      <c r="L532" s="11">
        <v>65.573999999999998</v>
      </c>
      <c r="M532" s="11">
        <v>62.185000000000002</v>
      </c>
      <c r="N532" s="11">
        <v>128.09200000000001</v>
      </c>
      <c r="O532" s="11">
        <v>127.82899999999999</v>
      </c>
      <c r="P532" s="11">
        <v>105.94499999999999</v>
      </c>
      <c r="Q532" s="11">
        <v>105.806</v>
      </c>
      <c r="R532" s="11">
        <v>98.575999999999993</v>
      </c>
      <c r="S532" s="11">
        <v>98.480999999999995</v>
      </c>
      <c r="T532" s="11">
        <v>63.048999999999999</v>
      </c>
      <c r="U532" s="11">
        <v>64.194000000000003</v>
      </c>
      <c r="V532" s="11">
        <v>36.951000000000001</v>
      </c>
      <c r="W532" s="11">
        <v>35.805999999999997</v>
      </c>
      <c r="X532" s="11">
        <v>12.237</v>
      </c>
      <c r="Y532" s="11">
        <v>15.539</v>
      </c>
      <c r="Z532" s="11">
        <v>35.805999999999997</v>
      </c>
      <c r="AA532" s="11">
        <v>36.951000000000001</v>
      </c>
      <c r="AB532" s="11">
        <v>16.547999999999998</v>
      </c>
      <c r="AC532" s="11">
        <v>8</v>
      </c>
      <c r="AD532" s="11">
        <v>7</v>
      </c>
      <c r="AE532" s="11">
        <v>7</v>
      </c>
      <c r="AF532" s="11">
        <v>7</v>
      </c>
    </row>
    <row r="533" spans="1:32" s="11" customFormat="1" x14ac:dyDescent="0.2">
      <c r="A533" s="11">
        <v>661</v>
      </c>
      <c r="F533" s="11" t="s">
        <v>16414</v>
      </c>
      <c r="G533" s="11" t="s">
        <v>16415</v>
      </c>
      <c r="H533" s="12">
        <v>60.4</v>
      </c>
      <c r="I533" s="11" t="s">
        <v>16404</v>
      </c>
      <c r="L533" s="11">
        <v>39.783999999999999</v>
      </c>
      <c r="M533" s="11">
        <v>46.058999999999997</v>
      </c>
      <c r="N533" s="11">
        <v>85.372</v>
      </c>
      <c r="O533" s="11">
        <v>86.314999999999998</v>
      </c>
      <c r="P533" s="11">
        <v>85.638000000000005</v>
      </c>
      <c r="Q533" s="11">
        <v>86.182000000000002</v>
      </c>
      <c r="R533" s="11">
        <v>121.044</v>
      </c>
      <c r="S533" s="11">
        <v>118.98</v>
      </c>
      <c r="T533" s="11">
        <v>64.813000000000002</v>
      </c>
      <c r="U533" s="11">
        <v>65.373000000000005</v>
      </c>
      <c r="V533" s="11">
        <v>35.186999999999998</v>
      </c>
      <c r="W533" s="11">
        <v>34.627000000000002</v>
      </c>
      <c r="X533" s="11">
        <v>15.407</v>
      </c>
      <c r="Y533" s="11">
        <v>15.023999999999999</v>
      </c>
      <c r="Z533" s="11">
        <v>34.627000000000002</v>
      </c>
      <c r="AA533" s="11">
        <v>35.186999999999998</v>
      </c>
      <c r="AB533" s="11">
        <v>15.446</v>
      </c>
      <c r="AC533" s="11">
        <v>14</v>
      </c>
      <c r="AD533" s="11">
        <v>15</v>
      </c>
      <c r="AE533" s="11">
        <v>14</v>
      </c>
      <c r="AF533" s="11">
        <v>14</v>
      </c>
    </row>
    <row r="534" spans="1:32" s="11" customFormat="1" x14ac:dyDescent="0.2">
      <c r="A534" s="11">
        <v>662</v>
      </c>
      <c r="F534" s="11" t="s">
        <v>16420</v>
      </c>
      <c r="G534" s="11" t="s">
        <v>16421</v>
      </c>
      <c r="H534" s="12">
        <v>74.900000000000006</v>
      </c>
      <c r="I534" s="11" t="s">
        <v>16407</v>
      </c>
      <c r="L534" s="11">
        <v>29.082999999999998</v>
      </c>
      <c r="M534" s="11">
        <v>28.998999999999999</v>
      </c>
      <c r="N534" s="11">
        <v>58.511000000000003</v>
      </c>
      <c r="O534" s="11">
        <v>57.962000000000003</v>
      </c>
      <c r="P534" s="11">
        <v>56.387999999999998</v>
      </c>
      <c r="Q534" s="11">
        <v>56.722999999999999</v>
      </c>
      <c r="R534" s="11">
        <v>116.026</v>
      </c>
      <c r="S534" s="11">
        <v>116.029</v>
      </c>
      <c r="T534" s="11">
        <v>68.548000000000002</v>
      </c>
      <c r="U534" s="11">
        <v>67.135000000000005</v>
      </c>
      <c r="V534" s="11">
        <v>31.452000000000002</v>
      </c>
      <c r="W534" s="11">
        <v>32.865000000000002</v>
      </c>
      <c r="X534" s="11">
        <v>16.655000000000001</v>
      </c>
      <c r="Y534" s="11">
        <v>18.655999999999999</v>
      </c>
      <c r="Z534" s="11">
        <v>32.865000000000002</v>
      </c>
      <c r="AA534" s="11">
        <v>31.452000000000002</v>
      </c>
      <c r="AB534" s="11">
        <v>18.896000000000001</v>
      </c>
      <c r="AC534" s="11">
        <v>17</v>
      </c>
      <c r="AD534" s="11">
        <v>17</v>
      </c>
      <c r="AE534" s="11">
        <v>17</v>
      </c>
      <c r="AF534" s="11">
        <v>17</v>
      </c>
    </row>
    <row r="535" spans="1:32" s="11" customFormat="1" x14ac:dyDescent="0.2">
      <c r="A535" s="11">
        <v>663</v>
      </c>
      <c r="F535" s="11" t="s">
        <v>16403</v>
      </c>
      <c r="G535" s="11" t="s">
        <v>16403</v>
      </c>
      <c r="H535" s="12">
        <v>999</v>
      </c>
      <c r="I535" s="11" t="s">
        <v>16403</v>
      </c>
      <c r="L535" s="11">
        <v>58.301000000000002</v>
      </c>
      <c r="M535" s="11">
        <v>57.912999999999997</v>
      </c>
      <c r="N535" s="11">
        <v>115.114</v>
      </c>
      <c r="O535" s="11">
        <v>116.776</v>
      </c>
      <c r="P535" s="11">
        <v>98.257000000000005</v>
      </c>
      <c r="Q535" s="11">
        <v>98.463999999999999</v>
      </c>
      <c r="R535" s="11">
        <v>102.334</v>
      </c>
      <c r="S535" s="11">
        <v>101.404</v>
      </c>
      <c r="T535" s="11">
        <v>62.131</v>
      </c>
      <c r="U535" s="11">
        <v>61.725999999999999</v>
      </c>
      <c r="V535" s="11">
        <v>37.869</v>
      </c>
      <c r="W535" s="11">
        <v>38.274000000000001</v>
      </c>
      <c r="X535" s="11">
        <v>12.51</v>
      </c>
      <c r="Y535" s="11">
        <v>12.484999999999999</v>
      </c>
      <c r="Z535" s="11">
        <v>38.274000000000001</v>
      </c>
      <c r="AA535" s="11">
        <v>37.869</v>
      </c>
      <c r="AB535" s="11">
        <v>9.0079999999999991</v>
      </c>
      <c r="AC535" s="11">
        <v>6</v>
      </c>
      <c r="AD535" s="11">
        <v>9</v>
      </c>
      <c r="AE535" s="11">
        <v>6</v>
      </c>
      <c r="AF535" s="11">
        <v>6</v>
      </c>
    </row>
    <row r="536" spans="1:32" s="11" customFormat="1" x14ac:dyDescent="0.2">
      <c r="A536" s="11">
        <v>664</v>
      </c>
      <c r="F536" s="11" t="s">
        <v>16414</v>
      </c>
      <c r="G536" s="11" t="s">
        <v>16415</v>
      </c>
      <c r="H536" s="12">
        <v>51.9</v>
      </c>
      <c r="I536" s="11" t="s">
        <v>16404</v>
      </c>
      <c r="L536" s="11">
        <v>65.42</v>
      </c>
      <c r="M536" s="11">
        <v>64.661000000000001</v>
      </c>
      <c r="N536" s="11">
        <v>130.476</v>
      </c>
      <c r="O536" s="11">
        <v>130.22200000000001</v>
      </c>
      <c r="P536" s="11">
        <v>123.65</v>
      </c>
      <c r="Q536" s="11">
        <v>123.944</v>
      </c>
      <c r="R536" s="11">
        <v>113.044</v>
      </c>
      <c r="S536" s="11">
        <v>113.809</v>
      </c>
      <c r="T536" s="11">
        <v>61.110999999999997</v>
      </c>
      <c r="U536" s="11">
        <v>61.284999999999997</v>
      </c>
      <c r="V536" s="11">
        <v>38.889000000000003</v>
      </c>
      <c r="W536" s="11">
        <v>38.715000000000003</v>
      </c>
      <c r="X536" s="11">
        <v>11.590999999999999</v>
      </c>
      <c r="Y536" s="11">
        <v>10.82</v>
      </c>
      <c r="Z536" s="11">
        <v>38.715000000000003</v>
      </c>
      <c r="AA536" s="11">
        <v>38.889000000000003</v>
      </c>
      <c r="AB536" s="11">
        <v>9.1780000000000008</v>
      </c>
      <c r="AC536" s="11">
        <v>9</v>
      </c>
      <c r="AD536" s="11">
        <v>10</v>
      </c>
      <c r="AE536" s="11">
        <v>9</v>
      </c>
      <c r="AF536" s="11">
        <v>9</v>
      </c>
    </row>
    <row r="537" spans="1:32" s="11" customFormat="1" x14ac:dyDescent="0.2">
      <c r="A537" s="11">
        <v>665</v>
      </c>
      <c r="F537" s="11" t="s">
        <v>16424</v>
      </c>
      <c r="G537" s="11" t="s">
        <v>16425</v>
      </c>
      <c r="H537" s="12">
        <v>50.7</v>
      </c>
      <c r="I537" s="11" t="s">
        <v>16407</v>
      </c>
      <c r="L537" s="11">
        <v>52.000999999999998</v>
      </c>
      <c r="M537" s="11">
        <v>53.3</v>
      </c>
      <c r="N537" s="11">
        <v>105.57899999999999</v>
      </c>
      <c r="O537" s="11">
        <v>105.197</v>
      </c>
      <c r="P537" s="11">
        <v>95.180999999999997</v>
      </c>
      <c r="Q537" s="11">
        <v>94.947000000000003</v>
      </c>
      <c r="R537" s="11">
        <v>108.071</v>
      </c>
      <c r="S537" s="11">
        <v>108.455</v>
      </c>
      <c r="T537" s="11">
        <v>62.448999999999998</v>
      </c>
      <c r="U537" s="11">
        <v>63.238</v>
      </c>
      <c r="V537" s="11">
        <v>37.551000000000002</v>
      </c>
      <c r="W537" s="11">
        <v>36.762</v>
      </c>
      <c r="X537" s="11">
        <v>14.08</v>
      </c>
      <c r="Y537" s="11">
        <v>12.920999999999999</v>
      </c>
      <c r="Z537" s="11">
        <v>36.762</v>
      </c>
      <c r="AA537" s="11">
        <v>37.551000000000002</v>
      </c>
      <c r="AB537" s="11">
        <v>10.808</v>
      </c>
      <c r="AC537" s="11">
        <v>12</v>
      </c>
      <c r="AD537" s="11">
        <v>12</v>
      </c>
      <c r="AE537" s="11">
        <v>12</v>
      </c>
      <c r="AF537" s="11">
        <v>12</v>
      </c>
    </row>
    <row r="538" spans="1:32" s="11" customFormat="1" x14ac:dyDescent="0.2">
      <c r="A538" s="11">
        <v>666</v>
      </c>
      <c r="F538" s="11" t="s">
        <v>16424</v>
      </c>
      <c r="G538" s="11" t="s">
        <v>16425</v>
      </c>
      <c r="H538" s="12">
        <v>74.7</v>
      </c>
      <c r="I538" s="11" t="s">
        <v>16407</v>
      </c>
      <c r="L538" s="11">
        <v>42.664000000000001</v>
      </c>
      <c r="M538" s="11">
        <v>33.427999999999997</v>
      </c>
      <c r="N538" s="11">
        <v>76.052999999999997</v>
      </c>
      <c r="O538" s="11">
        <v>75.369</v>
      </c>
      <c r="P538" s="11">
        <v>65.584999999999994</v>
      </c>
      <c r="Q538" s="11">
        <v>64.869</v>
      </c>
      <c r="R538" s="11">
        <v>104.411</v>
      </c>
      <c r="S538" s="11">
        <v>103.224</v>
      </c>
      <c r="T538" s="11">
        <v>67.754000000000005</v>
      </c>
      <c r="U538" s="11">
        <v>64.102000000000004</v>
      </c>
      <c r="V538" s="11">
        <v>32.246000000000002</v>
      </c>
      <c r="W538" s="11">
        <v>35.898000000000003</v>
      </c>
      <c r="X538" s="11">
        <v>18.341999999999999</v>
      </c>
      <c r="Y538" s="11">
        <v>14.49</v>
      </c>
      <c r="Z538" s="11">
        <v>35.898000000000003</v>
      </c>
      <c r="AA538" s="11">
        <v>32.246000000000002</v>
      </c>
      <c r="AB538" s="11">
        <v>12.933999999999999</v>
      </c>
      <c r="AC538" s="11">
        <v>16</v>
      </c>
      <c r="AD538" s="11">
        <v>16</v>
      </c>
      <c r="AE538" s="11">
        <v>16</v>
      </c>
      <c r="AF538" s="11">
        <v>16</v>
      </c>
    </row>
    <row r="539" spans="1:32" s="11" customFormat="1" x14ac:dyDescent="0.2">
      <c r="A539" s="11">
        <v>667</v>
      </c>
      <c r="F539" s="11" t="s">
        <v>16414</v>
      </c>
      <c r="G539" s="11" t="s">
        <v>16415</v>
      </c>
      <c r="H539" s="12">
        <v>58.7</v>
      </c>
      <c r="I539" s="11" t="s">
        <v>16404</v>
      </c>
      <c r="L539" s="11" t="s">
        <v>16403</v>
      </c>
      <c r="M539" s="11" t="s">
        <v>16403</v>
      </c>
      <c r="N539" s="11" t="s">
        <v>16403</v>
      </c>
      <c r="O539" s="11" t="s">
        <v>16403</v>
      </c>
      <c r="P539" s="11" t="s">
        <v>16403</v>
      </c>
      <c r="Q539" s="11" t="s">
        <v>16403</v>
      </c>
      <c r="R539" s="11" t="s">
        <v>16403</v>
      </c>
      <c r="S539" s="11" t="s">
        <v>16403</v>
      </c>
      <c r="T539" s="11" t="s">
        <v>16403</v>
      </c>
      <c r="U539" s="11" t="s">
        <v>16403</v>
      </c>
      <c r="V539" s="11" t="s">
        <v>16403</v>
      </c>
      <c r="W539" s="11" t="s">
        <v>16403</v>
      </c>
      <c r="X539" s="11" t="s">
        <v>16403</v>
      </c>
      <c r="Y539" s="11" t="s">
        <v>16403</v>
      </c>
      <c r="Z539" s="11" t="s">
        <v>16403</v>
      </c>
      <c r="AA539" s="11" t="s">
        <v>16403</v>
      </c>
      <c r="AB539" s="11" t="s">
        <v>16403</v>
      </c>
      <c r="AC539" s="11" t="s">
        <v>16403</v>
      </c>
      <c r="AD539" s="11" t="s">
        <v>16403</v>
      </c>
      <c r="AE539" s="11" t="s">
        <v>16403</v>
      </c>
      <c r="AF539" s="11" t="s">
        <v>16403</v>
      </c>
    </row>
    <row r="540" spans="1:32" s="11" customFormat="1" x14ac:dyDescent="0.2">
      <c r="A540" s="11">
        <v>668</v>
      </c>
      <c r="F540" s="11" t="s">
        <v>16414</v>
      </c>
      <c r="G540" s="11" t="s">
        <v>16415</v>
      </c>
      <c r="H540" s="12">
        <v>69.400000000000006</v>
      </c>
      <c r="I540" s="11" t="s">
        <v>16404</v>
      </c>
      <c r="L540" s="11">
        <v>45.055999999999997</v>
      </c>
      <c r="M540" s="11">
        <v>42.816000000000003</v>
      </c>
      <c r="N540" s="11">
        <v>86.748000000000005</v>
      </c>
      <c r="O540" s="11">
        <v>88.51</v>
      </c>
      <c r="P540" s="11">
        <v>88.620999999999995</v>
      </c>
      <c r="Q540" s="11">
        <v>89.334999999999994</v>
      </c>
      <c r="R540" s="11">
        <v>124.277</v>
      </c>
      <c r="S540" s="11">
        <v>123.232</v>
      </c>
      <c r="T540" s="11">
        <v>62.935000000000002</v>
      </c>
      <c r="U540" s="11">
        <v>60.777999999999999</v>
      </c>
      <c r="V540" s="11">
        <v>37.064999999999998</v>
      </c>
      <c r="W540" s="11">
        <v>39.222000000000001</v>
      </c>
      <c r="X540" s="11">
        <v>14.105</v>
      </c>
      <c r="Y540" s="11">
        <v>10.58</v>
      </c>
      <c r="Z540" s="11">
        <v>39.222000000000001</v>
      </c>
      <c r="AA540" s="11">
        <v>37.064999999999998</v>
      </c>
      <c r="AB540" s="11">
        <v>13.348000000000001</v>
      </c>
      <c r="AC540" s="11">
        <v>12</v>
      </c>
      <c r="AD540" s="11">
        <v>13</v>
      </c>
      <c r="AE540" s="11">
        <v>12</v>
      </c>
      <c r="AF540" s="11">
        <v>12</v>
      </c>
    </row>
    <row r="541" spans="1:32" s="11" customFormat="1" x14ac:dyDescent="0.2">
      <c r="A541" s="11">
        <v>669</v>
      </c>
      <c r="F541" s="11" t="s">
        <v>16414</v>
      </c>
      <c r="G541" s="11" t="s">
        <v>16415</v>
      </c>
      <c r="H541" s="12">
        <v>66.8</v>
      </c>
      <c r="I541" s="11" t="s">
        <v>16404</v>
      </c>
      <c r="L541" s="11">
        <v>44.878</v>
      </c>
      <c r="M541" s="11">
        <v>46.98</v>
      </c>
      <c r="N541" s="11">
        <v>93.448999999999998</v>
      </c>
      <c r="O541" s="11">
        <v>90.816999999999993</v>
      </c>
      <c r="P541" s="11">
        <v>73.534999999999997</v>
      </c>
      <c r="Q541" s="11">
        <v>72.796999999999997</v>
      </c>
      <c r="R541" s="11">
        <v>95.123999999999995</v>
      </c>
      <c r="S541" s="11">
        <v>95.653999999999996</v>
      </c>
      <c r="T541" s="11">
        <v>66.747</v>
      </c>
      <c r="U541" s="11">
        <v>62.616999999999997</v>
      </c>
      <c r="V541" s="11">
        <v>33.253</v>
      </c>
      <c r="W541" s="11">
        <v>37.383000000000003</v>
      </c>
      <c r="X541" s="11">
        <v>14.699</v>
      </c>
      <c r="Y541" s="11">
        <v>15.435</v>
      </c>
      <c r="Z541" s="11">
        <v>37.383000000000003</v>
      </c>
      <c r="AA541" s="11">
        <v>33.253</v>
      </c>
      <c r="AB541" s="11">
        <v>8.75</v>
      </c>
      <c r="AC541" s="11">
        <v>11</v>
      </c>
      <c r="AD541" s="11">
        <v>13</v>
      </c>
      <c r="AE541" s="11">
        <v>11</v>
      </c>
      <c r="AF541" s="11">
        <v>11</v>
      </c>
    </row>
    <row r="542" spans="1:32" s="11" customFormat="1" x14ac:dyDescent="0.2">
      <c r="A542" s="11">
        <v>670</v>
      </c>
      <c r="F542" s="11" t="s">
        <v>16403</v>
      </c>
      <c r="G542" s="11" t="s">
        <v>16403</v>
      </c>
      <c r="H542" s="12">
        <v>999</v>
      </c>
      <c r="I542" s="11" t="s">
        <v>16403</v>
      </c>
      <c r="L542" s="11">
        <v>57.481000000000002</v>
      </c>
      <c r="M542" s="11">
        <v>56.652000000000001</v>
      </c>
      <c r="N542" s="11">
        <v>114.25</v>
      </c>
      <c r="O542" s="11">
        <v>114.276</v>
      </c>
      <c r="P542" s="11">
        <v>104.605</v>
      </c>
      <c r="Q542" s="11">
        <v>105.01300000000001</v>
      </c>
      <c r="R542" s="11">
        <v>110.53700000000001</v>
      </c>
      <c r="S542" s="11">
        <v>110.989</v>
      </c>
      <c r="T542" s="11">
        <v>63.158000000000001</v>
      </c>
      <c r="U542" s="11">
        <v>65.179000000000002</v>
      </c>
      <c r="V542" s="11">
        <v>36.841999999999999</v>
      </c>
      <c r="W542" s="11">
        <v>34.820999999999998</v>
      </c>
      <c r="X542" s="11">
        <v>12.507</v>
      </c>
      <c r="Y542" s="11">
        <v>16.09</v>
      </c>
      <c r="Z542" s="11">
        <v>34.820999999999998</v>
      </c>
      <c r="AA542" s="11">
        <v>36.841999999999999</v>
      </c>
      <c r="AB542" s="11">
        <v>11.055999999999999</v>
      </c>
      <c r="AC542" s="11">
        <v>10</v>
      </c>
      <c r="AD542" s="11">
        <v>10</v>
      </c>
      <c r="AE542" s="11">
        <v>10</v>
      </c>
      <c r="AF542" s="11">
        <v>10</v>
      </c>
    </row>
    <row r="543" spans="1:32" s="11" customFormat="1" x14ac:dyDescent="0.2">
      <c r="A543" s="11">
        <v>671</v>
      </c>
      <c r="F543" s="11" t="s">
        <v>16403</v>
      </c>
      <c r="G543" s="11" t="s">
        <v>16403</v>
      </c>
      <c r="H543" s="12">
        <v>999</v>
      </c>
      <c r="I543" s="11" t="s">
        <v>16403</v>
      </c>
      <c r="L543" s="11">
        <v>37.915999999999997</v>
      </c>
      <c r="M543" s="11">
        <v>38.594999999999999</v>
      </c>
      <c r="N543" s="11">
        <v>76.325000000000003</v>
      </c>
      <c r="O543" s="11">
        <v>76.444999999999993</v>
      </c>
      <c r="P543" s="11">
        <v>62.881999999999998</v>
      </c>
      <c r="Q543" s="11">
        <v>63.677</v>
      </c>
      <c r="R543" s="11">
        <v>99.183999999999997</v>
      </c>
      <c r="S543" s="11">
        <v>99.775000000000006</v>
      </c>
      <c r="T543" s="11">
        <v>66.128</v>
      </c>
      <c r="U543" s="11">
        <v>67.272000000000006</v>
      </c>
      <c r="V543" s="11">
        <v>33.872</v>
      </c>
      <c r="W543" s="11">
        <v>32.728000000000002</v>
      </c>
      <c r="X543" s="11">
        <v>15.702999999999999</v>
      </c>
      <c r="Y543" s="11">
        <v>17.876999999999999</v>
      </c>
      <c r="Z543" s="11">
        <v>32.728000000000002</v>
      </c>
      <c r="AA543" s="11">
        <v>33.872</v>
      </c>
      <c r="AB543" s="11">
        <v>12.89</v>
      </c>
      <c r="AC543" s="11">
        <v>15</v>
      </c>
      <c r="AD543" s="11">
        <v>18</v>
      </c>
      <c r="AE543" s="11">
        <v>15</v>
      </c>
      <c r="AF543" s="11">
        <v>15</v>
      </c>
    </row>
    <row r="544" spans="1:32" s="11" customFormat="1" x14ac:dyDescent="0.2">
      <c r="A544" s="11">
        <v>672</v>
      </c>
      <c r="F544" s="11" t="s">
        <v>16414</v>
      </c>
      <c r="G544" s="11" t="s">
        <v>16415</v>
      </c>
      <c r="H544" s="12">
        <v>70.900000000000006</v>
      </c>
      <c r="I544" s="11" t="s">
        <v>16407</v>
      </c>
      <c r="L544" s="11" t="s">
        <v>16403</v>
      </c>
      <c r="M544" s="11" t="s">
        <v>16403</v>
      </c>
      <c r="N544" s="11" t="s">
        <v>16403</v>
      </c>
      <c r="O544" s="11" t="s">
        <v>16403</v>
      </c>
      <c r="P544" s="11" t="s">
        <v>16403</v>
      </c>
      <c r="Q544" s="11" t="s">
        <v>16403</v>
      </c>
      <c r="R544" s="11" t="s">
        <v>16403</v>
      </c>
      <c r="S544" s="11" t="s">
        <v>16403</v>
      </c>
      <c r="T544" s="11" t="s">
        <v>16403</v>
      </c>
      <c r="U544" s="11" t="s">
        <v>16403</v>
      </c>
      <c r="V544" s="11" t="s">
        <v>16403</v>
      </c>
      <c r="W544" s="11" t="s">
        <v>16403</v>
      </c>
      <c r="X544" s="11" t="s">
        <v>16403</v>
      </c>
      <c r="Y544" s="11" t="s">
        <v>16403</v>
      </c>
      <c r="Z544" s="11" t="s">
        <v>16403</v>
      </c>
      <c r="AA544" s="11" t="s">
        <v>16403</v>
      </c>
      <c r="AB544" s="11" t="s">
        <v>16403</v>
      </c>
      <c r="AC544" s="11" t="s">
        <v>16403</v>
      </c>
      <c r="AD544" s="11" t="s">
        <v>16403</v>
      </c>
      <c r="AE544" s="11" t="s">
        <v>16403</v>
      </c>
      <c r="AF544" s="11" t="s">
        <v>16403</v>
      </c>
    </row>
    <row r="545" spans="1:32" s="11" customFormat="1" x14ac:dyDescent="0.2">
      <c r="A545" s="11">
        <v>673</v>
      </c>
      <c r="F545" s="11" t="s">
        <v>16414</v>
      </c>
      <c r="G545" s="11" t="s">
        <v>16415</v>
      </c>
      <c r="H545" s="12">
        <v>67.3</v>
      </c>
      <c r="I545" s="11" t="s">
        <v>16404</v>
      </c>
      <c r="L545" s="11" t="s">
        <v>16403</v>
      </c>
      <c r="M545" s="11" t="s">
        <v>16403</v>
      </c>
      <c r="N545" s="11" t="s">
        <v>16403</v>
      </c>
      <c r="O545" s="11" t="s">
        <v>16403</v>
      </c>
      <c r="P545" s="11" t="s">
        <v>16403</v>
      </c>
      <c r="Q545" s="11" t="s">
        <v>16403</v>
      </c>
      <c r="R545" s="11" t="s">
        <v>16403</v>
      </c>
      <c r="S545" s="11" t="s">
        <v>16403</v>
      </c>
      <c r="T545" s="11" t="s">
        <v>16403</v>
      </c>
      <c r="U545" s="11" t="s">
        <v>16403</v>
      </c>
      <c r="V545" s="11" t="s">
        <v>16403</v>
      </c>
      <c r="W545" s="11" t="s">
        <v>16403</v>
      </c>
      <c r="X545" s="11" t="s">
        <v>16403</v>
      </c>
      <c r="Y545" s="11" t="s">
        <v>16403</v>
      </c>
      <c r="Z545" s="11" t="s">
        <v>16403</v>
      </c>
      <c r="AA545" s="11" t="s">
        <v>16403</v>
      </c>
      <c r="AB545" s="11" t="s">
        <v>16403</v>
      </c>
      <c r="AC545" s="11" t="s">
        <v>16403</v>
      </c>
      <c r="AD545" s="11" t="s">
        <v>16403</v>
      </c>
      <c r="AE545" s="11" t="s">
        <v>16403</v>
      </c>
      <c r="AF545" s="11" t="s">
        <v>16403</v>
      </c>
    </row>
    <row r="546" spans="1:32" s="11" customFormat="1" x14ac:dyDescent="0.2">
      <c r="A546" s="11">
        <v>674</v>
      </c>
      <c r="F546" s="11" t="s">
        <v>16414</v>
      </c>
      <c r="G546" s="11" t="s">
        <v>16415</v>
      </c>
      <c r="H546" s="12">
        <v>59.4</v>
      </c>
      <c r="I546" s="11" t="s">
        <v>16407</v>
      </c>
      <c r="L546" s="11">
        <v>38.545000000000002</v>
      </c>
      <c r="M546" s="11">
        <v>34.243000000000002</v>
      </c>
      <c r="N546" s="11">
        <v>72.584999999999994</v>
      </c>
      <c r="O546" s="11">
        <v>72.935000000000002</v>
      </c>
      <c r="P546" s="11">
        <v>57.7</v>
      </c>
      <c r="Q546" s="11">
        <v>58.265000000000001</v>
      </c>
      <c r="R546" s="11">
        <v>95.337000000000003</v>
      </c>
      <c r="S546" s="11">
        <v>96.132000000000005</v>
      </c>
      <c r="T546" s="11">
        <v>68.649000000000001</v>
      </c>
      <c r="U546" s="11">
        <v>68.11</v>
      </c>
      <c r="V546" s="11">
        <v>31.350999999999999</v>
      </c>
      <c r="W546" s="11">
        <v>31.89</v>
      </c>
      <c r="X546" s="11">
        <v>17.986999999999998</v>
      </c>
      <c r="Y546" s="11">
        <v>18.844000000000001</v>
      </c>
      <c r="Z546" s="11">
        <v>31.89</v>
      </c>
      <c r="AA546" s="11">
        <v>31.350999999999999</v>
      </c>
      <c r="AB546" s="11">
        <v>6.16</v>
      </c>
      <c r="AC546" s="11">
        <v>15</v>
      </c>
      <c r="AD546" s="11">
        <v>15</v>
      </c>
      <c r="AE546" s="11">
        <v>15</v>
      </c>
      <c r="AF546" s="11">
        <v>15</v>
      </c>
    </row>
    <row r="547" spans="1:32" s="11" customFormat="1" x14ac:dyDescent="0.2">
      <c r="A547" s="11">
        <v>675</v>
      </c>
      <c r="F547" s="11" t="s">
        <v>16414</v>
      </c>
      <c r="G547" s="11" t="s">
        <v>16415</v>
      </c>
      <c r="H547" s="12">
        <v>67.7</v>
      </c>
      <c r="I547" s="11" t="s">
        <v>16404</v>
      </c>
      <c r="L547" s="11">
        <v>33.228000000000002</v>
      </c>
      <c r="M547" s="11">
        <v>34.131</v>
      </c>
      <c r="N547" s="11">
        <v>67.09</v>
      </c>
      <c r="O547" s="11">
        <v>67.197000000000003</v>
      </c>
      <c r="P547" s="11">
        <v>72.057000000000002</v>
      </c>
      <c r="Q547" s="11">
        <v>71.600999999999999</v>
      </c>
      <c r="R547" s="11">
        <v>129.023</v>
      </c>
      <c r="S547" s="11">
        <v>128.30099999999999</v>
      </c>
      <c r="T547" s="11">
        <v>65.064999999999998</v>
      </c>
      <c r="U547" s="11">
        <v>62.588999999999999</v>
      </c>
      <c r="V547" s="11">
        <v>34.935000000000002</v>
      </c>
      <c r="W547" s="11">
        <v>37.411000000000001</v>
      </c>
      <c r="X547" s="11">
        <v>14.442</v>
      </c>
      <c r="Y547" s="11">
        <v>13.105</v>
      </c>
      <c r="Z547" s="11">
        <v>37.411000000000001</v>
      </c>
      <c r="AA547" s="11">
        <v>34.935000000000002</v>
      </c>
      <c r="AB547" s="11">
        <v>8.5060000000000002</v>
      </c>
      <c r="AC547" s="11">
        <v>15</v>
      </c>
      <c r="AD547" s="11">
        <v>14</v>
      </c>
      <c r="AE547" s="11">
        <v>14</v>
      </c>
      <c r="AF547" s="11">
        <v>14</v>
      </c>
    </row>
    <row r="548" spans="1:32" s="11" customFormat="1" x14ac:dyDescent="0.2">
      <c r="A548" s="11">
        <v>676</v>
      </c>
      <c r="F548" s="11" t="s">
        <v>16403</v>
      </c>
      <c r="G548" s="11" t="s">
        <v>16403</v>
      </c>
      <c r="H548" s="12">
        <v>71.7</v>
      </c>
      <c r="I548" s="11" t="s">
        <v>16404</v>
      </c>
      <c r="L548" s="11">
        <v>27.167000000000002</v>
      </c>
      <c r="M548" s="11">
        <v>24.486000000000001</v>
      </c>
      <c r="N548" s="11">
        <v>51.087000000000003</v>
      </c>
      <c r="O548" s="11">
        <v>52.017000000000003</v>
      </c>
      <c r="P548" s="11">
        <v>57.527000000000001</v>
      </c>
      <c r="Q548" s="11">
        <v>57.68</v>
      </c>
      <c r="R548" s="11">
        <v>134.21600000000001</v>
      </c>
      <c r="S548" s="11">
        <v>132.65</v>
      </c>
      <c r="T548" s="11">
        <v>67.197000000000003</v>
      </c>
      <c r="U548" s="11">
        <v>63.731999999999999</v>
      </c>
      <c r="V548" s="11">
        <v>32.802999999999997</v>
      </c>
      <c r="W548" s="11">
        <v>36.268000000000001</v>
      </c>
      <c r="X548" s="11">
        <v>15.756</v>
      </c>
      <c r="Y548" s="11">
        <v>15.079000000000001</v>
      </c>
      <c r="Z548" s="11">
        <v>36.268000000000001</v>
      </c>
      <c r="AA548" s="11">
        <v>32.802999999999997</v>
      </c>
      <c r="AB548" s="11">
        <v>9.0820000000000007</v>
      </c>
      <c r="AC548" s="11">
        <v>16</v>
      </c>
      <c r="AD548" s="11">
        <v>15</v>
      </c>
      <c r="AE548" s="11">
        <v>15</v>
      </c>
      <c r="AF548" s="11">
        <v>15</v>
      </c>
    </row>
    <row r="549" spans="1:32" s="11" customFormat="1" x14ac:dyDescent="0.2">
      <c r="A549" s="11">
        <v>677</v>
      </c>
      <c r="F549" s="11" t="s">
        <v>16403</v>
      </c>
      <c r="G549" s="11" t="s">
        <v>16403</v>
      </c>
      <c r="H549" s="12">
        <v>63.2</v>
      </c>
      <c r="I549" s="11" t="s">
        <v>16404</v>
      </c>
      <c r="L549" s="11">
        <v>53.936999999999998</v>
      </c>
      <c r="M549" s="11">
        <v>54.241999999999997</v>
      </c>
      <c r="N549" s="11">
        <v>108.30500000000001</v>
      </c>
      <c r="O549" s="11">
        <v>107.7</v>
      </c>
      <c r="P549" s="11">
        <v>93.397999999999996</v>
      </c>
      <c r="Q549" s="11">
        <v>93.897999999999996</v>
      </c>
      <c r="R549" s="11">
        <v>103.092</v>
      </c>
      <c r="S549" s="11">
        <v>103.181</v>
      </c>
      <c r="T549" s="11">
        <v>63.651000000000003</v>
      </c>
      <c r="U549" s="11">
        <v>63.838999999999999</v>
      </c>
      <c r="V549" s="11">
        <v>36.348999999999997</v>
      </c>
      <c r="W549" s="11">
        <v>36.161000000000001</v>
      </c>
      <c r="X549" s="11">
        <v>13.657</v>
      </c>
      <c r="Y549" s="11">
        <v>13.965999999999999</v>
      </c>
      <c r="Z549" s="11">
        <v>36.161000000000001</v>
      </c>
      <c r="AA549" s="11">
        <v>36.348999999999997</v>
      </c>
      <c r="AB549" s="11">
        <v>7.7919999999999998</v>
      </c>
      <c r="AC549" s="11">
        <v>10</v>
      </c>
      <c r="AD549" s="11">
        <v>8</v>
      </c>
      <c r="AE549" s="11">
        <v>8</v>
      </c>
      <c r="AF549" s="11">
        <v>8</v>
      </c>
    </row>
    <row r="550" spans="1:32" s="11" customFormat="1" x14ac:dyDescent="0.2">
      <c r="A550" s="11">
        <v>678</v>
      </c>
      <c r="F550" s="11" t="s">
        <v>16454</v>
      </c>
      <c r="G550" s="11" t="s">
        <v>16455</v>
      </c>
      <c r="H550" s="12">
        <v>73.400000000000006</v>
      </c>
      <c r="I550" s="11" t="s">
        <v>16404</v>
      </c>
      <c r="L550" s="11">
        <v>24.012</v>
      </c>
      <c r="M550" s="11">
        <v>20.741</v>
      </c>
      <c r="N550" s="11">
        <v>44.570999999999998</v>
      </c>
      <c r="O550" s="11">
        <v>45.273000000000003</v>
      </c>
      <c r="P550" s="11">
        <v>40.701999999999998</v>
      </c>
      <c r="Q550" s="11">
        <v>41.048000000000002</v>
      </c>
      <c r="R550" s="11">
        <v>108.455</v>
      </c>
      <c r="S550" s="11">
        <v>108.776</v>
      </c>
      <c r="T550" s="11">
        <v>70.299000000000007</v>
      </c>
      <c r="U550" s="11">
        <v>69.718999999999994</v>
      </c>
      <c r="V550" s="11">
        <v>29.701000000000001</v>
      </c>
      <c r="W550" s="11">
        <v>30.280999999999999</v>
      </c>
      <c r="X550" s="11">
        <v>21.276</v>
      </c>
      <c r="Y550" s="11">
        <v>18.817</v>
      </c>
      <c r="Z550" s="11">
        <v>30.280999999999999</v>
      </c>
      <c r="AA550" s="11">
        <v>29.701000000000001</v>
      </c>
      <c r="AB550" s="11">
        <v>21.562000000000001</v>
      </c>
      <c r="AC550" s="11">
        <v>23</v>
      </c>
      <c r="AD550" s="11">
        <v>21</v>
      </c>
      <c r="AE550" s="11">
        <v>21</v>
      </c>
      <c r="AF550" s="11">
        <v>21</v>
      </c>
    </row>
    <row r="551" spans="1:32" s="11" customFormat="1" x14ac:dyDescent="0.2">
      <c r="A551" s="11">
        <v>679</v>
      </c>
      <c r="F551" s="11" t="s">
        <v>16403</v>
      </c>
      <c r="G551" s="11" t="s">
        <v>16403</v>
      </c>
      <c r="H551" s="12">
        <v>999</v>
      </c>
      <c r="I551" s="11" t="s">
        <v>16403</v>
      </c>
      <c r="L551" s="11">
        <v>52.048999999999999</v>
      </c>
      <c r="M551" s="11">
        <v>42.981000000000002</v>
      </c>
      <c r="N551" s="11">
        <v>95.763999999999996</v>
      </c>
      <c r="O551" s="11">
        <v>94.861999999999995</v>
      </c>
      <c r="P551" s="11">
        <v>76.581000000000003</v>
      </c>
      <c r="Q551" s="11">
        <v>76.31</v>
      </c>
      <c r="R551" s="11">
        <v>96.052999999999997</v>
      </c>
      <c r="S551" s="11">
        <v>97.15</v>
      </c>
      <c r="T551" s="11">
        <v>66.364000000000004</v>
      </c>
      <c r="U551" s="11">
        <v>66.933999999999997</v>
      </c>
      <c r="V551" s="11">
        <v>33.636000000000003</v>
      </c>
      <c r="W551" s="11">
        <v>33.066000000000003</v>
      </c>
      <c r="X551" s="11">
        <v>16.213999999999999</v>
      </c>
      <c r="Y551" s="11">
        <v>17.763999999999999</v>
      </c>
      <c r="Z551" s="11">
        <v>33.066000000000003</v>
      </c>
      <c r="AA551" s="11">
        <v>33.636000000000003</v>
      </c>
      <c r="AB551" s="11">
        <v>9.0559999999999992</v>
      </c>
      <c r="AC551" s="11">
        <v>11</v>
      </c>
      <c r="AD551" s="11">
        <v>11</v>
      </c>
      <c r="AE551" s="11">
        <v>11</v>
      </c>
      <c r="AF551" s="11">
        <v>11</v>
      </c>
    </row>
    <row r="552" spans="1:32" s="11" customFormat="1" x14ac:dyDescent="0.2">
      <c r="A552" s="11">
        <v>680</v>
      </c>
      <c r="F552" s="11" t="s">
        <v>16403</v>
      </c>
      <c r="G552" s="11" t="s">
        <v>16403</v>
      </c>
      <c r="H552" s="12">
        <v>999</v>
      </c>
      <c r="I552" s="11" t="s">
        <v>16403</v>
      </c>
      <c r="L552" s="11">
        <v>46.326999999999998</v>
      </c>
      <c r="M552" s="11">
        <v>47.472000000000001</v>
      </c>
      <c r="N552" s="11">
        <v>94.456000000000003</v>
      </c>
      <c r="O552" s="11">
        <v>93.695999999999998</v>
      </c>
      <c r="P552" s="11">
        <v>93.228999999999999</v>
      </c>
      <c r="Q552" s="11">
        <v>93.165000000000006</v>
      </c>
      <c r="R552" s="11">
        <v>117.636</v>
      </c>
      <c r="S552" s="11">
        <v>118.175</v>
      </c>
      <c r="T552" s="11">
        <v>66.614000000000004</v>
      </c>
      <c r="U552" s="11">
        <v>65.456000000000003</v>
      </c>
      <c r="V552" s="11">
        <v>33.386000000000003</v>
      </c>
      <c r="W552" s="11">
        <v>34.543999999999997</v>
      </c>
      <c r="X552" s="11">
        <v>16.561</v>
      </c>
      <c r="Y552" s="11">
        <v>15.244999999999999</v>
      </c>
      <c r="Z552" s="11">
        <v>34.543999999999997</v>
      </c>
      <c r="AA552" s="11">
        <v>33.386000000000003</v>
      </c>
      <c r="AB552" s="11">
        <v>16.78</v>
      </c>
      <c r="AC552" s="11">
        <v>10</v>
      </c>
      <c r="AD552" s="11">
        <v>14</v>
      </c>
      <c r="AE552" s="11">
        <v>10</v>
      </c>
      <c r="AF552" s="11">
        <v>10</v>
      </c>
    </row>
    <row r="553" spans="1:32" s="11" customFormat="1" x14ac:dyDescent="0.2">
      <c r="A553" s="11">
        <v>681</v>
      </c>
      <c r="F553" s="11" t="s">
        <v>16424</v>
      </c>
      <c r="G553" s="11" t="s">
        <v>16425</v>
      </c>
      <c r="H553" s="12">
        <v>79.900000000000006</v>
      </c>
      <c r="I553" s="11" t="s">
        <v>16407</v>
      </c>
      <c r="L553" s="11" t="s">
        <v>16403</v>
      </c>
      <c r="M553" s="11" t="s">
        <v>16403</v>
      </c>
      <c r="N553" s="11" t="s">
        <v>16403</v>
      </c>
      <c r="O553" s="11" t="s">
        <v>16403</v>
      </c>
      <c r="P553" s="11" t="s">
        <v>16403</v>
      </c>
      <c r="Q553" s="11" t="s">
        <v>16403</v>
      </c>
      <c r="R553" s="11" t="s">
        <v>16403</v>
      </c>
      <c r="S553" s="11" t="s">
        <v>16403</v>
      </c>
      <c r="T553" s="11" t="s">
        <v>16403</v>
      </c>
      <c r="U553" s="11" t="s">
        <v>16403</v>
      </c>
      <c r="V553" s="11" t="s">
        <v>16403</v>
      </c>
      <c r="W553" s="11" t="s">
        <v>16403</v>
      </c>
      <c r="X553" s="11" t="s">
        <v>16403</v>
      </c>
      <c r="Y553" s="11" t="s">
        <v>16403</v>
      </c>
      <c r="Z553" s="11" t="s">
        <v>16403</v>
      </c>
      <c r="AA553" s="11" t="s">
        <v>16403</v>
      </c>
      <c r="AB553" s="11" t="s">
        <v>16403</v>
      </c>
      <c r="AC553" s="11" t="s">
        <v>16403</v>
      </c>
      <c r="AD553" s="11" t="s">
        <v>16403</v>
      </c>
      <c r="AE553" s="11" t="s">
        <v>16403</v>
      </c>
      <c r="AF553" s="11" t="s">
        <v>16403</v>
      </c>
    </row>
    <row r="554" spans="1:32" s="11" customFormat="1" x14ac:dyDescent="0.2">
      <c r="A554" s="11">
        <v>682</v>
      </c>
      <c r="F554" s="11" t="s">
        <v>16420</v>
      </c>
      <c r="G554" s="11" t="s">
        <v>16421</v>
      </c>
      <c r="H554" s="12">
        <v>83.6</v>
      </c>
      <c r="I554" s="11" t="s">
        <v>16407</v>
      </c>
      <c r="L554" s="11">
        <v>35.64</v>
      </c>
      <c r="M554" s="11">
        <v>35.524999999999999</v>
      </c>
      <c r="N554" s="11">
        <v>71.353999999999999</v>
      </c>
      <c r="O554" s="11">
        <v>70.92</v>
      </c>
      <c r="P554" s="11">
        <v>59.792000000000002</v>
      </c>
      <c r="Q554" s="11">
        <v>59.927</v>
      </c>
      <c r="R554" s="11">
        <v>100.89</v>
      </c>
      <c r="S554" s="11">
        <v>101.199</v>
      </c>
      <c r="T554" s="11">
        <v>69.567999999999998</v>
      </c>
      <c r="U554" s="11">
        <v>71.453999999999994</v>
      </c>
      <c r="V554" s="11">
        <v>30.431999999999999</v>
      </c>
      <c r="W554" s="11">
        <v>28.545999999999999</v>
      </c>
      <c r="X554" s="11">
        <v>19.306999999999999</v>
      </c>
      <c r="Y554" s="11">
        <v>21.524999999999999</v>
      </c>
      <c r="Z554" s="11">
        <v>28.545999999999999</v>
      </c>
      <c r="AA554" s="11">
        <v>30.431999999999999</v>
      </c>
      <c r="AB554" s="11">
        <v>15.042</v>
      </c>
      <c r="AC554" s="11">
        <v>15</v>
      </c>
      <c r="AD554" s="11">
        <v>14</v>
      </c>
      <c r="AE554" s="11">
        <v>14</v>
      </c>
      <c r="AF554" s="11">
        <v>14</v>
      </c>
    </row>
    <row r="555" spans="1:32" s="11" customFormat="1" x14ac:dyDescent="0.2">
      <c r="A555" s="11">
        <v>683</v>
      </c>
      <c r="F555" s="11" t="s">
        <v>16414</v>
      </c>
      <c r="G555" s="11" t="s">
        <v>16415</v>
      </c>
      <c r="H555" s="12">
        <v>70.2</v>
      </c>
      <c r="I555" s="11" t="s">
        <v>16404</v>
      </c>
      <c r="L555" s="11">
        <v>73.376000000000005</v>
      </c>
      <c r="M555" s="11">
        <v>71.599000000000004</v>
      </c>
      <c r="N555" s="11">
        <v>145.54599999999999</v>
      </c>
      <c r="O555" s="11">
        <v>144.97499999999999</v>
      </c>
      <c r="P555" s="11">
        <v>132.73500000000001</v>
      </c>
      <c r="Q555" s="11">
        <v>131.035</v>
      </c>
      <c r="R555" s="11">
        <v>107.96</v>
      </c>
      <c r="S555" s="11">
        <v>108.127</v>
      </c>
      <c r="T555" s="11">
        <v>62.368000000000002</v>
      </c>
      <c r="U555" s="11">
        <v>61.262</v>
      </c>
      <c r="V555" s="11">
        <v>37.631999999999998</v>
      </c>
      <c r="W555" s="11">
        <v>38.738</v>
      </c>
      <c r="X555" s="11">
        <v>12.744999999999999</v>
      </c>
      <c r="Y555" s="11">
        <v>11.477</v>
      </c>
      <c r="Z555" s="11">
        <v>38.738</v>
      </c>
      <c r="AA555" s="11">
        <v>37.631999999999998</v>
      </c>
      <c r="AB555" s="11">
        <v>9.9939999999999998</v>
      </c>
      <c r="AC555" s="11">
        <v>5</v>
      </c>
      <c r="AD555" s="11">
        <v>10</v>
      </c>
      <c r="AE555" s="11">
        <v>5</v>
      </c>
      <c r="AF555" s="11">
        <v>5</v>
      </c>
    </row>
    <row r="556" spans="1:32" s="11" customFormat="1" x14ac:dyDescent="0.2">
      <c r="A556" s="11">
        <v>684</v>
      </c>
      <c r="F556" s="11" t="s">
        <v>16432</v>
      </c>
      <c r="G556" s="11" t="s">
        <v>16433</v>
      </c>
      <c r="H556" s="12">
        <v>69.400000000000006</v>
      </c>
      <c r="I556" s="11" t="s">
        <v>16407</v>
      </c>
      <c r="L556" s="11">
        <v>52.576000000000001</v>
      </c>
      <c r="M556" s="11">
        <v>49.305999999999997</v>
      </c>
      <c r="N556" s="11">
        <v>102.276</v>
      </c>
      <c r="O556" s="11">
        <v>102.36799999999999</v>
      </c>
      <c r="P556" s="11">
        <v>93.739000000000004</v>
      </c>
      <c r="Q556" s="11">
        <v>93.239000000000004</v>
      </c>
      <c r="R556" s="11">
        <v>109.562</v>
      </c>
      <c r="S556" s="11">
        <v>109.34099999999999</v>
      </c>
      <c r="T556" s="11">
        <v>63.804000000000002</v>
      </c>
      <c r="U556" s="11">
        <v>62.866</v>
      </c>
      <c r="V556" s="11">
        <v>36.195999999999998</v>
      </c>
      <c r="W556" s="11">
        <v>37.134</v>
      </c>
      <c r="X556" s="11">
        <v>13.178000000000001</v>
      </c>
      <c r="Y556" s="11">
        <v>13.951000000000001</v>
      </c>
      <c r="Z556" s="11">
        <v>37.134</v>
      </c>
      <c r="AA556" s="11">
        <v>36.195999999999998</v>
      </c>
      <c r="AB556" s="11">
        <v>8.35</v>
      </c>
      <c r="AC556" s="11">
        <v>12</v>
      </c>
      <c r="AD556" s="11">
        <v>13</v>
      </c>
      <c r="AE556" s="11">
        <v>12</v>
      </c>
      <c r="AF556" s="11">
        <v>12</v>
      </c>
    </row>
    <row r="557" spans="1:32" s="11" customFormat="1" x14ac:dyDescent="0.2">
      <c r="A557" s="11">
        <v>685</v>
      </c>
      <c r="F557" s="11" t="s">
        <v>16403</v>
      </c>
      <c r="G557" s="11" t="s">
        <v>16403</v>
      </c>
      <c r="H557" s="12">
        <v>999</v>
      </c>
      <c r="I557" s="11" t="s">
        <v>16403</v>
      </c>
      <c r="L557" s="11">
        <v>17.933</v>
      </c>
      <c r="M557" s="11">
        <v>25.247</v>
      </c>
      <c r="N557" s="11">
        <v>43.523000000000003</v>
      </c>
      <c r="O557" s="11">
        <v>42.613</v>
      </c>
      <c r="P557" s="11">
        <v>38.877000000000002</v>
      </c>
      <c r="Q557" s="11">
        <v>38.246000000000002</v>
      </c>
      <c r="R557" s="11">
        <v>107.28</v>
      </c>
      <c r="S557" s="11">
        <v>107.91800000000001</v>
      </c>
      <c r="T557" s="11">
        <v>69.524000000000001</v>
      </c>
      <c r="U557" s="11">
        <v>67.132000000000005</v>
      </c>
      <c r="V557" s="11">
        <v>30.477</v>
      </c>
      <c r="W557" s="11">
        <v>32.868000000000002</v>
      </c>
      <c r="X557" s="11">
        <v>17.332999999999998</v>
      </c>
      <c r="Y557" s="11">
        <v>19.777999999999999</v>
      </c>
      <c r="Z557" s="11">
        <v>32.868000000000002</v>
      </c>
      <c r="AA557" s="11">
        <v>30.477</v>
      </c>
      <c r="AB557" s="11">
        <v>12.744</v>
      </c>
      <c r="AC557" s="11">
        <v>18</v>
      </c>
      <c r="AD557" s="11">
        <v>17</v>
      </c>
      <c r="AE557" s="11">
        <v>17</v>
      </c>
      <c r="AF557" s="11">
        <v>17</v>
      </c>
    </row>
    <row r="558" spans="1:32" s="11" customFormat="1" x14ac:dyDescent="0.2">
      <c r="A558" s="11">
        <v>686</v>
      </c>
      <c r="F558" s="11" t="s">
        <v>16414</v>
      </c>
      <c r="G558" s="11" t="s">
        <v>16415</v>
      </c>
      <c r="H558" s="12">
        <v>77.2</v>
      </c>
      <c r="I558" s="11" t="s">
        <v>16407</v>
      </c>
      <c r="L558" s="11">
        <v>40.957000000000001</v>
      </c>
      <c r="M558" s="11">
        <v>38.142000000000003</v>
      </c>
      <c r="N558" s="11">
        <v>78.727000000000004</v>
      </c>
      <c r="O558" s="11">
        <v>79.162999999999997</v>
      </c>
      <c r="P558" s="11">
        <v>62.633000000000003</v>
      </c>
      <c r="Q558" s="11">
        <v>61.981999999999999</v>
      </c>
      <c r="R558" s="11">
        <v>94.686000000000007</v>
      </c>
      <c r="S558" s="11">
        <v>94.201999999999998</v>
      </c>
      <c r="T558" s="11">
        <v>67.721999999999994</v>
      </c>
      <c r="U558" s="11">
        <v>64.884</v>
      </c>
      <c r="V558" s="11">
        <v>32.277999999999999</v>
      </c>
      <c r="W558" s="11">
        <v>35.116</v>
      </c>
      <c r="X558" s="11">
        <v>14.385999999999999</v>
      </c>
      <c r="Y558" s="11">
        <v>18.573</v>
      </c>
      <c r="Z558" s="11">
        <v>35.116</v>
      </c>
      <c r="AA558" s="11">
        <v>32.277999999999999</v>
      </c>
      <c r="AB558" s="11">
        <v>11.272</v>
      </c>
      <c r="AC558" s="11">
        <v>15</v>
      </c>
      <c r="AD558" s="11">
        <v>15</v>
      </c>
      <c r="AE558" s="11">
        <v>15</v>
      </c>
      <c r="AF558" s="11">
        <v>15</v>
      </c>
    </row>
    <row r="559" spans="1:32" s="11" customFormat="1" x14ac:dyDescent="0.2">
      <c r="A559" s="11">
        <v>687</v>
      </c>
      <c r="F559" s="11" t="s">
        <v>16414</v>
      </c>
      <c r="G559" s="11" t="s">
        <v>16415</v>
      </c>
      <c r="H559" s="12">
        <v>68.2</v>
      </c>
      <c r="I559" s="11" t="s">
        <v>16407</v>
      </c>
      <c r="L559" s="11">
        <v>40.165999999999997</v>
      </c>
      <c r="M559" s="11">
        <v>32.773000000000003</v>
      </c>
      <c r="N559" s="11">
        <v>72.641999999999996</v>
      </c>
      <c r="O559" s="11">
        <v>72.921999999999997</v>
      </c>
      <c r="P559" s="11">
        <v>64.793000000000006</v>
      </c>
      <c r="Q559" s="11">
        <v>64.486000000000004</v>
      </c>
      <c r="R559" s="11">
        <v>106.51900000000001</v>
      </c>
      <c r="S559" s="11">
        <v>105.889</v>
      </c>
      <c r="T559" s="11">
        <v>64.096000000000004</v>
      </c>
      <c r="U559" s="11">
        <v>66.918000000000006</v>
      </c>
      <c r="V559" s="11">
        <v>35.904000000000003</v>
      </c>
      <c r="W559" s="11">
        <v>33.082000000000001</v>
      </c>
      <c r="X559" s="11">
        <v>15.81</v>
      </c>
      <c r="Y559" s="11">
        <v>16.007999999999999</v>
      </c>
      <c r="Z559" s="11">
        <v>33.082000000000001</v>
      </c>
      <c r="AA559" s="11">
        <v>35.904000000000003</v>
      </c>
      <c r="AB559" s="11">
        <v>8.1620000000000008</v>
      </c>
      <c r="AC559" s="11">
        <v>16</v>
      </c>
      <c r="AD559" s="11">
        <v>16</v>
      </c>
      <c r="AE559" s="11">
        <v>16</v>
      </c>
      <c r="AF559" s="11">
        <v>16</v>
      </c>
    </row>
    <row r="560" spans="1:32" s="11" customFormat="1" x14ac:dyDescent="0.2">
      <c r="A560" s="11">
        <v>688</v>
      </c>
      <c r="F560" s="11" t="s">
        <v>16414</v>
      </c>
      <c r="G560" s="11" t="s">
        <v>16415</v>
      </c>
      <c r="H560" s="12">
        <v>56.4</v>
      </c>
      <c r="I560" s="11" t="s">
        <v>16407</v>
      </c>
      <c r="L560" s="11" t="s">
        <v>16403</v>
      </c>
      <c r="M560" s="11" t="s">
        <v>16403</v>
      </c>
      <c r="N560" s="11" t="s">
        <v>16403</v>
      </c>
      <c r="O560" s="11" t="s">
        <v>16403</v>
      </c>
      <c r="P560" s="11" t="s">
        <v>16403</v>
      </c>
      <c r="Q560" s="11" t="s">
        <v>16403</v>
      </c>
      <c r="R560" s="11" t="s">
        <v>16403</v>
      </c>
      <c r="S560" s="11" t="s">
        <v>16403</v>
      </c>
      <c r="T560" s="11" t="s">
        <v>16403</v>
      </c>
      <c r="U560" s="11" t="s">
        <v>16403</v>
      </c>
      <c r="V560" s="11" t="s">
        <v>16403</v>
      </c>
      <c r="W560" s="11" t="s">
        <v>16403</v>
      </c>
      <c r="X560" s="11" t="s">
        <v>16403</v>
      </c>
      <c r="Y560" s="11" t="s">
        <v>16403</v>
      </c>
      <c r="Z560" s="11" t="s">
        <v>16403</v>
      </c>
      <c r="AA560" s="11" t="s">
        <v>16403</v>
      </c>
      <c r="AB560" s="11" t="s">
        <v>16403</v>
      </c>
      <c r="AC560" s="11" t="s">
        <v>16403</v>
      </c>
      <c r="AD560" s="11" t="s">
        <v>16403</v>
      </c>
      <c r="AE560" s="11" t="s">
        <v>16403</v>
      </c>
      <c r="AF560" s="11" t="s">
        <v>16403</v>
      </c>
    </row>
    <row r="561" spans="1:32" s="11" customFormat="1" x14ac:dyDescent="0.2">
      <c r="A561" s="11">
        <v>689</v>
      </c>
      <c r="F561" s="11" t="s">
        <v>16414</v>
      </c>
      <c r="G561" s="11" t="s">
        <v>16415</v>
      </c>
      <c r="H561" s="12">
        <v>65.099999999999994</v>
      </c>
      <c r="I561" s="11" t="s">
        <v>16404</v>
      </c>
      <c r="L561" s="11">
        <v>50.454999999999998</v>
      </c>
      <c r="M561" s="11">
        <v>53.674999999999997</v>
      </c>
      <c r="N561" s="11">
        <v>104.358</v>
      </c>
      <c r="O561" s="11">
        <v>103.279</v>
      </c>
      <c r="P561" s="11">
        <v>84.363</v>
      </c>
      <c r="Q561" s="11">
        <v>84.408000000000001</v>
      </c>
      <c r="R561" s="11">
        <v>95.683000000000007</v>
      </c>
      <c r="S561" s="11">
        <v>97.691999999999993</v>
      </c>
      <c r="T561" s="11">
        <v>66.040000000000006</v>
      </c>
      <c r="U561" s="11">
        <v>64.052000000000007</v>
      </c>
      <c r="V561" s="11">
        <v>33.96</v>
      </c>
      <c r="W561" s="11">
        <v>35.948</v>
      </c>
      <c r="X561" s="11">
        <v>15.111000000000001</v>
      </c>
      <c r="Y561" s="11">
        <v>14.683999999999999</v>
      </c>
      <c r="Z561" s="11">
        <v>35.948</v>
      </c>
      <c r="AA561" s="11">
        <v>33.96</v>
      </c>
      <c r="AB561" s="11">
        <v>12.18</v>
      </c>
      <c r="AC561" s="11">
        <v>12</v>
      </c>
      <c r="AD561" s="11">
        <v>12</v>
      </c>
      <c r="AE561" s="11">
        <v>12</v>
      </c>
      <c r="AF561" s="11">
        <v>12</v>
      </c>
    </row>
    <row r="562" spans="1:32" s="11" customFormat="1" x14ac:dyDescent="0.2">
      <c r="A562" s="11">
        <v>690</v>
      </c>
      <c r="F562" s="11" t="s">
        <v>16414</v>
      </c>
      <c r="G562" s="11" t="s">
        <v>16415</v>
      </c>
      <c r="H562" s="12">
        <v>66.599999999999994</v>
      </c>
      <c r="I562" s="11" t="s">
        <v>16407</v>
      </c>
      <c r="L562" s="11" t="s">
        <v>16403</v>
      </c>
      <c r="M562" s="11" t="s">
        <v>16403</v>
      </c>
      <c r="N562" s="11" t="s">
        <v>16403</v>
      </c>
      <c r="O562" s="11" t="s">
        <v>16403</v>
      </c>
      <c r="P562" s="11" t="s">
        <v>16403</v>
      </c>
      <c r="Q562" s="11" t="s">
        <v>16403</v>
      </c>
      <c r="R562" s="11" t="s">
        <v>16403</v>
      </c>
      <c r="S562" s="11" t="s">
        <v>16403</v>
      </c>
      <c r="T562" s="11" t="s">
        <v>16403</v>
      </c>
      <c r="U562" s="11" t="s">
        <v>16403</v>
      </c>
      <c r="V562" s="11" t="s">
        <v>16403</v>
      </c>
      <c r="W562" s="11" t="s">
        <v>16403</v>
      </c>
      <c r="X562" s="11" t="s">
        <v>16403</v>
      </c>
      <c r="Y562" s="11" t="s">
        <v>16403</v>
      </c>
      <c r="Z562" s="11" t="s">
        <v>16403</v>
      </c>
      <c r="AA562" s="11" t="s">
        <v>16403</v>
      </c>
      <c r="AB562" s="11" t="s">
        <v>16403</v>
      </c>
      <c r="AC562" s="11" t="s">
        <v>16403</v>
      </c>
      <c r="AD562" s="11" t="s">
        <v>16403</v>
      </c>
      <c r="AE562" s="11" t="s">
        <v>16403</v>
      </c>
      <c r="AF562" s="11" t="s">
        <v>16403</v>
      </c>
    </row>
    <row r="563" spans="1:32" s="11" customFormat="1" x14ac:dyDescent="0.2">
      <c r="A563" s="11">
        <v>691</v>
      </c>
      <c r="F563" s="11" t="s">
        <v>16456</v>
      </c>
      <c r="G563" s="11" t="s">
        <v>16457</v>
      </c>
      <c r="H563" s="12">
        <v>66.099999999999994</v>
      </c>
      <c r="I563" s="11" t="s">
        <v>16404</v>
      </c>
      <c r="L563" s="11">
        <v>58.752000000000002</v>
      </c>
      <c r="M563" s="11">
        <v>54.978999999999999</v>
      </c>
      <c r="N563" s="11">
        <v>114.42700000000001</v>
      </c>
      <c r="O563" s="11">
        <v>113.369</v>
      </c>
      <c r="P563" s="11">
        <v>105.84699999999999</v>
      </c>
      <c r="Q563" s="11">
        <v>105.476</v>
      </c>
      <c r="R563" s="11">
        <v>110.59</v>
      </c>
      <c r="S563" s="11">
        <v>111.328</v>
      </c>
      <c r="T563" s="11">
        <v>62.290999999999997</v>
      </c>
      <c r="U563" s="11">
        <v>62.606000000000002</v>
      </c>
      <c r="V563" s="11">
        <v>37.709000000000003</v>
      </c>
      <c r="W563" s="11">
        <v>37.393999999999998</v>
      </c>
      <c r="X563" s="11">
        <v>13.565</v>
      </c>
      <c r="Y563" s="11">
        <v>11.742000000000001</v>
      </c>
      <c r="Z563" s="11">
        <v>37.393999999999998</v>
      </c>
      <c r="AA563" s="11">
        <v>37.709000000000003</v>
      </c>
      <c r="AB563" s="11">
        <v>17.585999999999999</v>
      </c>
      <c r="AC563" s="11">
        <v>9</v>
      </c>
      <c r="AD563" s="11">
        <v>10</v>
      </c>
      <c r="AE563" s="11">
        <v>9</v>
      </c>
      <c r="AF563" s="11">
        <v>9</v>
      </c>
    </row>
    <row r="564" spans="1:32" s="11" customFormat="1" x14ac:dyDescent="0.2">
      <c r="A564" s="11">
        <v>692</v>
      </c>
      <c r="F564" s="11" t="s">
        <v>16420</v>
      </c>
      <c r="G564" s="11" t="s">
        <v>16421</v>
      </c>
      <c r="H564" s="12">
        <v>70.3</v>
      </c>
      <c r="I564" s="11" t="s">
        <v>16407</v>
      </c>
      <c r="L564" s="11" t="s">
        <v>16403</v>
      </c>
      <c r="M564" s="11" t="s">
        <v>16403</v>
      </c>
      <c r="N564" s="11" t="s">
        <v>16403</v>
      </c>
      <c r="O564" s="11" t="s">
        <v>16403</v>
      </c>
      <c r="P564" s="11" t="s">
        <v>16403</v>
      </c>
      <c r="Q564" s="11" t="s">
        <v>16403</v>
      </c>
      <c r="R564" s="11" t="s">
        <v>16403</v>
      </c>
      <c r="S564" s="11" t="s">
        <v>16403</v>
      </c>
      <c r="T564" s="11" t="s">
        <v>16403</v>
      </c>
      <c r="U564" s="11" t="s">
        <v>16403</v>
      </c>
      <c r="V564" s="11" t="s">
        <v>16403</v>
      </c>
      <c r="W564" s="11" t="s">
        <v>16403</v>
      </c>
      <c r="X564" s="11" t="s">
        <v>16403</v>
      </c>
      <c r="Y564" s="11" t="s">
        <v>16403</v>
      </c>
      <c r="Z564" s="11" t="s">
        <v>16403</v>
      </c>
      <c r="AA564" s="11" t="s">
        <v>16403</v>
      </c>
      <c r="AB564" s="11" t="s">
        <v>16403</v>
      </c>
      <c r="AC564" s="11" t="s">
        <v>16403</v>
      </c>
      <c r="AD564" s="11" t="s">
        <v>16403</v>
      </c>
      <c r="AE564" s="11" t="s">
        <v>16403</v>
      </c>
      <c r="AF564" s="11" t="s">
        <v>16403</v>
      </c>
    </row>
    <row r="565" spans="1:32" s="11" customFormat="1" x14ac:dyDescent="0.2">
      <c r="A565" s="11">
        <v>693</v>
      </c>
      <c r="F565" s="11" t="s">
        <v>16403</v>
      </c>
      <c r="G565" s="11" t="s">
        <v>16403</v>
      </c>
      <c r="H565" s="12">
        <v>71.2</v>
      </c>
      <c r="I565" s="11" t="s">
        <v>16404</v>
      </c>
      <c r="L565" s="11" t="s">
        <v>16403</v>
      </c>
      <c r="M565" s="11" t="s">
        <v>16403</v>
      </c>
      <c r="N565" s="11" t="s">
        <v>16403</v>
      </c>
      <c r="O565" s="11" t="s">
        <v>16403</v>
      </c>
      <c r="P565" s="11" t="s">
        <v>16403</v>
      </c>
      <c r="Q565" s="11" t="s">
        <v>16403</v>
      </c>
      <c r="R565" s="11" t="s">
        <v>16403</v>
      </c>
      <c r="S565" s="11" t="s">
        <v>16403</v>
      </c>
      <c r="T565" s="11" t="s">
        <v>16403</v>
      </c>
      <c r="U565" s="11" t="s">
        <v>16403</v>
      </c>
      <c r="V565" s="11" t="s">
        <v>16403</v>
      </c>
      <c r="W565" s="11" t="s">
        <v>16403</v>
      </c>
      <c r="X565" s="11" t="s">
        <v>16403</v>
      </c>
      <c r="Y565" s="11" t="s">
        <v>16403</v>
      </c>
      <c r="Z565" s="11" t="s">
        <v>16403</v>
      </c>
      <c r="AA565" s="11" t="s">
        <v>16403</v>
      </c>
      <c r="AB565" s="11" t="s">
        <v>16403</v>
      </c>
      <c r="AC565" s="11" t="s">
        <v>16403</v>
      </c>
      <c r="AD565" s="11" t="s">
        <v>16403</v>
      </c>
      <c r="AE565" s="11" t="s">
        <v>16403</v>
      </c>
      <c r="AF565" s="11" t="s">
        <v>16403</v>
      </c>
    </row>
    <row r="566" spans="1:32" s="11" customFormat="1" x14ac:dyDescent="0.2">
      <c r="A566" s="11">
        <v>694</v>
      </c>
      <c r="F566" s="11" t="s">
        <v>16414</v>
      </c>
      <c r="G566" s="11" t="s">
        <v>16415</v>
      </c>
      <c r="H566" s="12">
        <v>65.3</v>
      </c>
      <c r="I566" s="11" t="s">
        <v>16404</v>
      </c>
      <c r="L566" s="11">
        <v>45.411999999999999</v>
      </c>
      <c r="M566" s="11">
        <v>62.674999999999997</v>
      </c>
      <c r="N566" s="11">
        <v>108.248</v>
      </c>
      <c r="O566" s="11">
        <v>108.633</v>
      </c>
      <c r="P566" s="11">
        <v>83.222999999999999</v>
      </c>
      <c r="Q566" s="11">
        <v>83.28</v>
      </c>
      <c r="R566" s="11">
        <v>92.158000000000001</v>
      </c>
      <c r="S566" s="11">
        <v>91.521000000000001</v>
      </c>
      <c r="T566" s="11">
        <v>65.388000000000005</v>
      </c>
      <c r="U566" s="11">
        <v>69.911000000000001</v>
      </c>
      <c r="V566" s="11">
        <v>34.612000000000002</v>
      </c>
      <c r="W566" s="11">
        <v>30.088999999999999</v>
      </c>
      <c r="X566" s="11">
        <v>17.795000000000002</v>
      </c>
      <c r="Y566" s="11">
        <v>17.431999999999999</v>
      </c>
      <c r="Z566" s="11">
        <v>30.088999999999999</v>
      </c>
      <c r="AA566" s="11">
        <v>34.612000000000002</v>
      </c>
      <c r="AB566" s="11">
        <v>13.4</v>
      </c>
      <c r="AC566" s="11">
        <v>11</v>
      </c>
      <c r="AD566" s="11">
        <v>11</v>
      </c>
      <c r="AE566" s="11">
        <v>11</v>
      </c>
      <c r="AF566" s="11">
        <v>11</v>
      </c>
    </row>
    <row r="567" spans="1:32" s="11" customFormat="1" x14ac:dyDescent="0.2">
      <c r="A567" s="11">
        <v>695</v>
      </c>
      <c r="F567" s="11" t="s">
        <v>16414</v>
      </c>
      <c r="G567" s="11" t="s">
        <v>16415</v>
      </c>
      <c r="H567" s="12">
        <v>48.7</v>
      </c>
      <c r="I567" s="11" t="s">
        <v>16404</v>
      </c>
      <c r="L567" s="11">
        <v>21.760999999999999</v>
      </c>
      <c r="M567" s="11">
        <v>46.603000000000002</v>
      </c>
      <c r="N567" s="11">
        <v>68.200999999999993</v>
      </c>
      <c r="O567" s="11">
        <v>68.408000000000001</v>
      </c>
      <c r="P567" s="11">
        <v>72.346000000000004</v>
      </c>
      <c r="Q567" s="11">
        <v>71.849000000000004</v>
      </c>
      <c r="R567" s="11">
        <v>124.595</v>
      </c>
      <c r="S567" s="11">
        <v>125.17</v>
      </c>
      <c r="T567" s="11">
        <v>66.19</v>
      </c>
      <c r="U567" s="11">
        <v>61.832000000000001</v>
      </c>
      <c r="V567" s="11">
        <v>33.81</v>
      </c>
      <c r="W567" s="11">
        <v>38.167999999999999</v>
      </c>
      <c r="X567" s="11">
        <v>12.874000000000001</v>
      </c>
      <c r="Y567" s="11">
        <v>14.249000000000001</v>
      </c>
      <c r="Z567" s="11">
        <v>38.167999999999999</v>
      </c>
      <c r="AA567" s="11">
        <v>33.81</v>
      </c>
      <c r="AB567" s="11">
        <v>13.99</v>
      </c>
      <c r="AC567" s="11">
        <v>18</v>
      </c>
      <c r="AD567" s="11">
        <v>17</v>
      </c>
      <c r="AE567" s="11">
        <v>17</v>
      </c>
      <c r="AF567" s="11">
        <v>17</v>
      </c>
    </row>
    <row r="568" spans="1:32" s="11" customFormat="1" x14ac:dyDescent="0.2">
      <c r="A568" s="11">
        <v>696</v>
      </c>
      <c r="F568" s="11" t="s">
        <v>16416</v>
      </c>
      <c r="G568" s="11" t="s">
        <v>16417</v>
      </c>
      <c r="H568" s="12">
        <v>85.6</v>
      </c>
      <c r="I568" s="11" t="s">
        <v>16404</v>
      </c>
      <c r="L568" s="11">
        <v>43.634</v>
      </c>
      <c r="M568" s="11">
        <v>37.85</v>
      </c>
      <c r="N568" s="11">
        <v>81.447999999999993</v>
      </c>
      <c r="O568" s="11">
        <v>82.441999999999993</v>
      </c>
      <c r="P568" s="11">
        <v>60.762</v>
      </c>
      <c r="Q568" s="11">
        <v>61.393000000000001</v>
      </c>
      <c r="R568" s="11">
        <v>89.644999999999996</v>
      </c>
      <c r="S568" s="11">
        <v>89.619</v>
      </c>
      <c r="T568" s="11">
        <v>66.56</v>
      </c>
      <c r="U568" s="11">
        <v>70.391000000000005</v>
      </c>
      <c r="V568" s="11">
        <v>33.44</v>
      </c>
      <c r="W568" s="11">
        <v>29.609000000000002</v>
      </c>
      <c r="X568" s="11">
        <v>18.896999999999998</v>
      </c>
      <c r="Y568" s="11">
        <v>18.268000000000001</v>
      </c>
      <c r="Z568" s="11">
        <v>29.609000000000002</v>
      </c>
      <c r="AA568" s="11">
        <v>33.44</v>
      </c>
      <c r="AB568" s="11">
        <v>9.5380000000000003</v>
      </c>
      <c r="AC568" s="11">
        <v>13</v>
      </c>
      <c r="AD568" s="11">
        <v>12</v>
      </c>
      <c r="AE568" s="11">
        <v>12</v>
      </c>
      <c r="AF568" s="11">
        <v>12</v>
      </c>
    </row>
    <row r="569" spans="1:32" s="11" customFormat="1" x14ac:dyDescent="0.2">
      <c r="A569" s="11">
        <v>697</v>
      </c>
      <c r="F569" s="11" t="s">
        <v>16454</v>
      </c>
      <c r="G569" s="11" t="s">
        <v>16455</v>
      </c>
      <c r="H569" s="12">
        <v>77</v>
      </c>
      <c r="I569" s="11" t="s">
        <v>16404</v>
      </c>
      <c r="L569" s="11">
        <v>40.393000000000001</v>
      </c>
      <c r="M569" s="11">
        <v>38.817999999999998</v>
      </c>
      <c r="N569" s="11">
        <v>79.959000000000003</v>
      </c>
      <c r="O569" s="11">
        <v>78.710999999999999</v>
      </c>
      <c r="P569" s="11">
        <v>67.588999999999999</v>
      </c>
      <c r="Q569" s="11">
        <v>67.114999999999995</v>
      </c>
      <c r="R569" s="11">
        <v>101.59099999999999</v>
      </c>
      <c r="S569" s="11">
        <v>101.40300000000001</v>
      </c>
      <c r="T569" s="11">
        <v>66.006</v>
      </c>
      <c r="U569" s="11">
        <v>67.394999999999996</v>
      </c>
      <c r="V569" s="11">
        <v>33.994</v>
      </c>
      <c r="W569" s="11">
        <v>32.604999999999997</v>
      </c>
      <c r="X569" s="11">
        <v>15.542999999999999</v>
      </c>
      <c r="Y569" s="11">
        <v>17.375</v>
      </c>
      <c r="Z569" s="11">
        <v>32.604999999999997</v>
      </c>
      <c r="AA569" s="11">
        <v>33.994</v>
      </c>
      <c r="AB569" s="11">
        <v>11.125</v>
      </c>
      <c r="AC569" s="11">
        <v>12</v>
      </c>
      <c r="AD569" s="11">
        <v>13</v>
      </c>
      <c r="AE569" s="11">
        <v>12</v>
      </c>
      <c r="AF569" s="11">
        <v>12</v>
      </c>
    </row>
    <row r="570" spans="1:32" s="11" customFormat="1" x14ac:dyDescent="0.2">
      <c r="A570" s="11">
        <v>698</v>
      </c>
      <c r="F570" s="11" t="s">
        <v>16414</v>
      </c>
      <c r="G570" s="11" t="s">
        <v>16415</v>
      </c>
      <c r="H570" s="12">
        <v>70.099999999999994</v>
      </c>
      <c r="I570" s="11" t="s">
        <v>16407</v>
      </c>
      <c r="L570" s="11">
        <v>18.728000000000002</v>
      </c>
      <c r="M570" s="11">
        <v>19.027000000000001</v>
      </c>
      <c r="N570" s="11">
        <v>37.755000000000003</v>
      </c>
      <c r="O570" s="11">
        <v>38.401000000000003</v>
      </c>
      <c r="P570" s="11">
        <v>30.109000000000002</v>
      </c>
      <c r="Q570" s="11">
        <v>30.279</v>
      </c>
      <c r="R570" s="11">
        <v>95.5</v>
      </c>
      <c r="S570" s="11">
        <v>95.3</v>
      </c>
      <c r="T570" s="11">
        <v>74.421000000000006</v>
      </c>
      <c r="U570" s="11">
        <v>74.19</v>
      </c>
      <c r="V570" s="11">
        <v>25.579000000000001</v>
      </c>
      <c r="W570" s="11">
        <v>25.81</v>
      </c>
      <c r="X570" s="11">
        <v>21.713000000000001</v>
      </c>
      <c r="Y570" s="11">
        <v>27.562000000000001</v>
      </c>
      <c r="Z570" s="11">
        <v>25.81</v>
      </c>
      <c r="AA570" s="11">
        <v>25.579000000000001</v>
      </c>
      <c r="AB570" s="11">
        <v>16.77</v>
      </c>
      <c r="AC570" s="11">
        <v>14</v>
      </c>
      <c r="AD570" s="11">
        <v>12</v>
      </c>
      <c r="AE570" s="11">
        <v>12</v>
      </c>
      <c r="AF570" s="11">
        <v>12</v>
      </c>
    </row>
    <row r="571" spans="1:32" s="11" customFormat="1" x14ac:dyDescent="0.2">
      <c r="A571" s="11">
        <v>699</v>
      </c>
      <c r="F571" s="11" t="s">
        <v>16414</v>
      </c>
      <c r="G571" s="11" t="s">
        <v>16415</v>
      </c>
      <c r="H571" s="12">
        <v>74.900000000000006</v>
      </c>
      <c r="I571" s="11" t="s">
        <v>16404</v>
      </c>
      <c r="L571" s="11">
        <v>61.869</v>
      </c>
      <c r="M571" s="11">
        <v>68.323999999999998</v>
      </c>
      <c r="N571" s="11">
        <v>130.38900000000001</v>
      </c>
      <c r="O571" s="11">
        <v>129.88399999999999</v>
      </c>
      <c r="P571" s="11">
        <v>115.88500000000001</v>
      </c>
      <c r="Q571" s="11">
        <v>115.46299999999999</v>
      </c>
      <c r="R571" s="11">
        <v>105.9</v>
      </c>
      <c r="S571" s="11">
        <v>105.837</v>
      </c>
      <c r="T571" s="11">
        <v>60.784999999999997</v>
      </c>
      <c r="U571" s="11">
        <v>62.088999999999999</v>
      </c>
      <c r="V571" s="11">
        <v>39.215000000000003</v>
      </c>
      <c r="W571" s="11">
        <v>37.911000000000001</v>
      </c>
      <c r="X571" s="11">
        <v>11.763999999999999</v>
      </c>
      <c r="Y571" s="11">
        <v>11.302</v>
      </c>
      <c r="Z571" s="11">
        <v>37.911000000000001</v>
      </c>
      <c r="AA571" s="11">
        <v>39.215000000000003</v>
      </c>
      <c r="AB571" s="11">
        <v>9.1039999999999992</v>
      </c>
      <c r="AC571" s="11">
        <v>6</v>
      </c>
      <c r="AD571" s="11">
        <v>10</v>
      </c>
      <c r="AE571" s="11">
        <v>6</v>
      </c>
      <c r="AF571" s="11">
        <v>6</v>
      </c>
    </row>
    <row r="572" spans="1:32" s="11" customFormat="1" x14ac:dyDescent="0.2">
      <c r="A572" s="11">
        <v>700</v>
      </c>
      <c r="F572" s="11" t="s">
        <v>16403</v>
      </c>
      <c r="G572" s="11" t="s">
        <v>16403</v>
      </c>
      <c r="H572" s="12">
        <v>999</v>
      </c>
      <c r="I572" s="11" t="s">
        <v>16403</v>
      </c>
      <c r="L572" s="11">
        <v>48.417999999999999</v>
      </c>
      <c r="M572" s="11">
        <v>51.093000000000004</v>
      </c>
      <c r="N572" s="11">
        <v>99.789000000000001</v>
      </c>
      <c r="O572" s="11">
        <v>99.13</v>
      </c>
      <c r="P572" s="11">
        <v>99.337999999999994</v>
      </c>
      <c r="Q572" s="11">
        <v>99.209000000000003</v>
      </c>
      <c r="R572" s="11">
        <v>119.083</v>
      </c>
      <c r="S572" s="11">
        <v>118.90600000000001</v>
      </c>
      <c r="T572" s="11">
        <v>61.383000000000003</v>
      </c>
      <c r="U572" s="11">
        <v>61.886000000000003</v>
      </c>
      <c r="V572" s="11">
        <v>38.616999999999997</v>
      </c>
      <c r="W572" s="11">
        <v>38.113999999999997</v>
      </c>
      <c r="X572" s="11">
        <v>11.938000000000001</v>
      </c>
      <c r="Y572" s="11">
        <v>11.002000000000001</v>
      </c>
      <c r="Z572" s="11">
        <v>38.113999999999997</v>
      </c>
      <c r="AA572" s="11">
        <v>38.616999999999997</v>
      </c>
      <c r="AB572" s="11">
        <v>13.808</v>
      </c>
      <c r="AC572" s="11">
        <v>11</v>
      </c>
      <c r="AD572" s="11">
        <v>12</v>
      </c>
      <c r="AE572" s="11">
        <v>11</v>
      </c>
      <c r="AF572" s="11">
        <v>11</v>
      </c>
    </row>
    <row r="573" spans="1:32" s="11" customFormat="1" x14ac:dyDescent="0.2">
      <c r="A573" s="11">
        <v>701</v>
      </c>
      <c r="F573" s="11" t="s">
        <v>16424</v>
      </c>
      <c r="G573" s="11" t="s">
        <v>16425</v>
      </c>
      <c r="H573" s="12">
        <v>60.2</v>
      </c>
      <c r="I573" s="11" t="s">
        <v>16404</v>
      </c>
      <c r="L573" s="11">
        <v>40.497</v>
      </c>
      <c r="M573" s="11">
        <v>43.978999999999999</v>
      </c>
      <c r="N573" s="11">
        <v>84.301000000000002</v>
      </c>
      <c r="O573" s="11">
        <v>84.168999999999997</v>
      </c>
      <c r="P573" s="11">
        <v>70.762</v>
      </c>
      <c r="Q573" s="11">
        <v>71.287000000000006</v>
      </c>
      <c r="R573" s="11">
        <v>100.52500000000001</v>
      </c>
      <c r="S573" s="11">
        <v>101.523</v>
      </c>
      <c r="T573" s="11">
        <v>60.853000000000002</v>
      </c>
      <c r="U573" s="11">
        <v>66.132999999999996</v>
      </c>
      <c r="V573" s="11">
        <v>39.146999999999998</v>
      </c>
      <c r="W573" s="11">
        <v>33.866999999999997</v>
      </c>
      <c r="X573" s="11">
        <v>13.944000000000001</v>
      </c>
      <c r="Y573" s="11">
        <v>13.417</v>
      </c>
      <c r="Z573" s="11">
        <v>33.866999999999997</v>
      </c>
      <c r="AA573" s="11">
        <v>39.146999999999998</v>
      </c>
      <c r="AB573" s="11">
        <v>9.452</v>
      </c>
      <c r="AC573" s="11">
        <v>13</v>
      </c>
      <c r="AD573" s="11">
        <v>15</v>
      </c>
      <c r="AE573" s="11">
        <v>13</v>
      </c>
      <c r="AF573" s="11">
        <v>13</v>
      </c>
    </row>
    <row r="574" spans="1:32" s="11" customFormat="1" x14ac:dyDescent="0.2">
      <c r="A574" s="11">
        <v>702</v>
      </c>
      <c r="F574" s="11" t="s">
        <v>16454</v>
      </c>
      <c r="G574" s="11" t="s">
        <v>16455</v>
      </c>
      <c r="H574" s="12">
        <v>73</v>
      </c>
      <c r="I574" s="11" t="s">
        <v>16404</v>
      </c>
      <c r="L574" s="11">
        <v>60.898000000000003</v>
      </c>
      <c r="M574" s="11">
        <v>57.442999999999998</v>
      </c>
      <c r="N574" s="11">
        <v>118.13500000000001</v>
      </c>
      <c r="O574" s="11">
        <v>118.818</v>
      </c>
      <c r="P574" s="11">
        <v>119.113</v>
      </c>
      <c r="Q574" s="11">
        <v>119.444</v>
      </c>
      <c r="R574" s="11">
        <v>121.36799999999999</v>
      </c>
      <c r="S574" s="11">
        <v>120.264</v>
      </c>
      <c r="T574" s="11">
        <v>63.601999999999997</v>
      </c>
      <c r="U574" s="11">
        <v>62.951000000000001</v>
      </c>
      <c r="V574" s="11">
        <v>36.396999999999998</v>
      </c>
      <c r="W574" s="11">
        <v>37.048999999999999</v>
      </c>
      <c r="X574" s="11">
        <v>13.896000000000001</v>
      </c>
      <c r="Y574" s="11">
        <v>12.73</v>
      </c>
      <c r="Z574" s="11">
        <v>37.048999999999999</v>
      </c>
      <c r="AA574" s="11">
        <v>36.396999999999998</v>
      </c>
      <c r="AB574" s="11">
        <v>20.062000000000001</v>
      </c>
      <c r="AC574" s="11">
        <v>8</v>
      </c>
      <c r="AD574" s="11">
        <v>10</v>
      </c>
      <c r="AE574" s="11">
        <v>8</v>
      </c>
      <c r="AF574" s="11">
        <v>8</v>
      </c>
    </row>
    <row r="575" spans="1:32" s="11" customFormat="1" x14ac:dyDescent="0.2">
      <c r="A575" s="11">
        <v>703</v>
      </c>
      <c r="F575" s="11" t="s">
        <v>16414</v>
      </c>
      <c r="G575" s="11" t="s">
        <v>16415</v>
      </c>
      <c r="H575" s="12">
        <v>63.8</v>
      </c>
      <c r="I575" s="11" t="s">
        <v>16407</v>
      </c>
      <c r="L575" s="11">
        <v>43.491999999999997</v>
      </c>
      <c r="M575" s="11">
        <v>39.869</v>
      </c>
      <c r="N575" s="11">
        <v>83.769000000000005</v>
      </c>
      <c r="O575" s="11">
        <v>83.608000000000004</v>
      </c>
      <c r="P575" s="11">
        <v>79.497</v>
      </c>
      <c r="Q575" s="11">
        <v>78.831000000000003</v>
      </c>
      <c r="R575" s="11">
        <v>113.602</v>
      </c>
      <c r="S575" s="11">
        <v>113.26</v>
      </c>
      <c r="T575" s="11">
        <v>61.585999999999999</v>
      </c>
      <c r="U575" s="11">
        <v>63.576999999999998</v>
      </c>
      <c r="V575" s="11">
        <v>38.414000000000001</v>
      </c>
      <c r="W575" s="11">
        <v>36.423000000000002</v>
      </c>
      <c r="X575" s="11">
        <v>13.646000000000001</v>
      </c>
      <c r="Y575" s="11">
        <v>12.177</v>
      </c>
      <c r="Z575" s="11">
        <v>36.423000000000002</v>
      </c>
      <c r="AA575" s="11">
        <v>38.414000000000001</v>
      </c>
      <c r="AB575" s="11">
        <v>8.5719999999999992</v>
      </c>
      <c r="AC575" s="11">
        <v>11</v>
      </c>
      <c r="AD575" s="11">
        <v>9</v>
      </c>
      <c r="AE575" s="11">
        <v>9</v>
      </c>
      <c r="AF575" s="11">
        <v>9</v>
      </c>
    </row>
    <row r="576" spans="1:32" s="11" customFormat="1" x14ac:dyDescent="0.2">
      <c r="A576" s="11">
        <v>704</v>
      </c>
      <c r="F576" s="11" t="s">
        <v>16454</v>
      </c>
      <c r="G576" s="11" t="s">
        <v>16455</v>
      </c>
      <c r="H576" s="12">
        <v>76.400000000000006</v>
      </c>
      <c r="I576" s="11" t="s">
        <v>16404</v>
      </c>
      <c r="L576" s="11">
        <v>58.881</v>
      </c>
      <c r="M576" s="11">
        <v>57.820999999999998</v>
      </c>
      <c r="N576" s="11">
        <v>116.83499999999999</v>
      </c>
      <c r="O576" s="11">
        <v>116.41200000000001</v>
      </c>
      <c r="P576" s="11">
        <v>95.572000000000003</v>
      </c>
      <c r="Q576" s="11">
        <v>95.924999999999997</v>
      </c>
      <c r="R576" s="11">
        <v>97.614000000000004</v>
      </c>
      <c r="S576" s="11">
        <v>98.715999999999994</v>
      </c>
      <c r="T576" s="11">
        <v>63.143000000000001</v>
      </c>
      <c r="U576" s="11">
        <v>63.341000000000001</v>
      </c>
      <c r="V576" s="11">
        <v>36.856999999999999</v>
      </c>
      <c r="W576" s="11">
        <v>36.658999999999999</v>
      </c>
      <c r="X576" s="11">
        <v>13.954000000000001</v>
      </c>
      <c r="Y576" s="11">
        <v>12.253</v>
      </c>
      <c r="Z576" s="11">
        <v>36.658999999999999</v>
      </c>
      <c r="AA576" s="11">
        <v>36.856999999999999</v>
      </c>
      <c r="AB576" s="11">
        <v>9.6980000000000004</v>
      </c>
      <c r="AC576" s="11">
        <v>10</v>
      </c>
      <c r="AD576" s="11">
        <v>9</v>
      </c>
      <c r="AE576" s="11">
        <v>9</v>
      </c>
      <c r="AF576" s="11">
        <v>9</v>
      </c>
    </row>
    <row r="577" spans="1:32" s="11" customFormat="1" x14ac:dyDescent="0.2">
      <c r="A577" s="11">
        <v>705</v>
      </c>
      <c r="F577" s="11" t="s">
        <v>16414</v>
      </c>
      <c r="G577" s="11" t="s">
        <v>16415</v>
      </c>
      <c r="H577" s="12">
        <v>87.6</v>
      </c>
      <c r="I577" s="11" t="s">
        <v>16407</v>
      </c>
      <c r="L577" s="11">
        <v>32.872</v>
      </c>
      <c r="M577" s="11">
        <v>28.795000000000002</v>
      </c>
      <c r="N577" s="11">
        <v>62.353000000000002</v>
      </c>
      <c r="O577" s="11">
        <v>61.326999999999998</v>
      </c>
      <c r="P577" s="11">
        <v>48.567999999999998</v>
      </c>
      <c r="Q577" s="11">
        <v>47.487000000000002</v>
      </c>
      <c r="R577" s="11">
        <v>92.551000000000002</v>
      </c>
      <c r="S577" s="11">
        <v>92.728999999999999</v>
      </c>
      <c r="T577" s="11">
        <v>65.97</v>
      </c>
      <c r="U577" s="11">
        <v>65.528000000000006</v>
      </c>
      <c r="V577" s="11">
        <v>34.03</v>
      </c>
      <c r="W577" s="11">
        <v>34.472000000000001</v>
      </c>
      <c r="X577" s="11">
        <v>17.555</v>
      </c>
      <c r="Y577" s="11">
        <v>14.635999999999999</v>
      </c>
      <c r="Z577" s="11">
        <v>34.472000000000001</v>
      </c>
      <c r="AA577" s="11">
        <v>34.03</v>
      </c>
      <c r="AB577" s="11">
        <v>7.8929999999999998</v>
      </c>
      <c r="AC577" s="11">
        <v>11</v>
      </c>
      <c r="AD577" s="11">
        <v>12</v>
      </c>
      <c r="AE577" s="11">
        <v>11</v>
      </c>
      <c r="AF577" s="11">
        <v>11</v>
      </c>
    </row>
    <row r="578" spans="1:32" s="11" customFormat="1" x14ac:dyDescent="0.2">
      <c r="A578" s="11">
        <v>706</v>
      </c>
      <c r="F578" s="11" t="s">
        <v>16414</v>
      </c>
      <c r="G578" s="11" t="s">
        <v>16415</v>
      </c>
      <c r="H578" s="12">
        <v>78</v>
      </c>
      <c r="I578" s="11" t="s">
        <v>16404</v>
      </c>
      <c r="L578" s="11">
        <v>53.667999999999999</v>
      </c>
      <c r="M578" s="11">
        <v>52.862000000000002</v>
      </c>
      <c r="N578" s="11">
        <v>106.03</v>
      </c>
      <c r="O578" s="11">
        <v>106.79600000000001</v>
      </c>
      <c r="P578" s="11">
        <v>94.414000000000001</v>
      </c>
      <c r="Q578" s="11">
        <v>95.076999999999998</v>
      </c>
      <c r="R578" s="11">
        <v>107.324</v>
      </c>
      <c r="S578" s="11">
        <v>107.319</v>
      </c>
      <c r="T578" s="11">
        <v>65.691999999999993</v>
      </c>
      <c r="U578" s="11">
        <v>64.744</v>
      </c>
      <c r="V578" s="11">
        <v>34.308</v>
      </c>
      <c r="W578" s="11">
        <v>35.256</v>
      </c>
      <c r="X578" s="11">
        <v>15.903</v>
      </c>
      <c r="Y578" s="11">
        <v>14.284000000000001</v>
      </c>
      <c r="Z578" s="11">
        <v>35.256</v>
      </c>
      <c r="AA578" s="11">
        <v>34.308</v>
      </c>
      <c r="AB578" s="11">
        <v>11.9</v>
      </c>
      <c r="AC578" s="11">
        <v>11</v>
      </c>
      <c r="AD578" s="11">
        <v>12</v>
      </c>
      <c r="AE578" s="11">
        <v>11</v>
      </c>
      <c r="AF578" s="11">
        <v>11</v>
      </c>
    </row>
    <row r="579" spans="1:32" s="11" customFormat="1" x14ac:dyDescent="0.2">
      <c r="A579" s="11">
        <v>707</v>
      </c>
      <c r="F579" s="11" t="s">
        <v>16426</v>
      </c>
      <c r="G579" s="11" t="s">
        <v>16427</v>
      </c>
      <c r="H579" s="12">
        <v>70.3</v>
      </c>
      <c r="I579" s="11" t="s">
        <v>16404</v>
      </c>
      <c r="L579" s="11">
        <v>49.848999999999997</v>
      </c>
      <c r="M579" s="11">
        <v>50.674999999999997</v>
      </c>
      <c r="N579" s="11">
        <v>100.93899999999999</v>
      </c>
      <c r="O579" s="11">
        <v>100.658</v>
      </c>
      <c r="P579" s="11">
        <v>92.893000000000001</v>
      </c>
      <c r="Q579" s="11">
        <v>93.438000000000002</v>
      </c>
      <c r="R579" s="11">
        <v>110.30200000000001</v>
      </c>
      <c r="S579" s="11">
        <v>110.99299999999999</v>
      </c>
      <c r="T579" s="11">
        <v>62.351999999999997</v>
      </c>
      <c r="U579" s="11">
        <v>62.454000000000001</v>
      </c>
      <c r="V579" s="11">
        <v>37.648000000000003</v>
      </c>
      <c r="W579" s="11">
        <v>37.545999999999999</v>
      </c>
      <c r="X579" s="11">
        <v>12.13</v>
      </c>
      <c r="Y579" s="11">
        <v>12.638999999999999</v>
      </c>
      <c r="Z579" s="11">
        <v>37.545999999999999</v>
      </c>
      <c r="AA579" s="11">
        <v>37.648000000000003</v>
      </c>
      <c r="AB579" s="11">
        <v>15.598000000000001</v>
      </c>
      <c r="AC579" s="11">
        <v>12</v>
      </c>
      <c r="AD579" s="11">
        <v>12</v>
      </c>
      <c r="AE579" s="11">
        <v>12</v>
      </c>
      <c r="AF579" s="11">
        <v>12</v>
      </c>
    </row>
    <row r="580" spans="1:32" s="11" customFormat="1" x14ac:dyDescent="0.2">
      <c r="A580" s="11">
        <v>708</v>
      </c>
      <c r="F580" s="11" t="s">
        <v>16416</v>
      </c>
      <c r="G580" s="11" t="s">
        <v>16417</v>
      </c>
      <c r="H580" s="12">
        <v>79.599999999999994</v>
      </c>
      <c r="I580" s="11" t="s">
        <v>16404</v>
      </c>
      <c r="L580" s="11">
        <v>41.283000000000001</v>
      </c>
      <c r="M580" s="11">
        <v>50.71</v>
      </c>
      <c r="N580" s="11">
        <v>92.23</v>
      </c>
      <c r="O580" s="11">
        <v>92.031999999999996</v>
      </c>
      <c r="P580" s="11">
        <v>80.305000000000007</v>
      </c>
      <c r="Q580" s="11">
        <v>80.022000000000006</v>
      </c>
      <c r="R580" s="11">
        <v>104</v>
      </c>
      <c r="S580" s="11">
        <v>104.02</v>
      </c>
      <c r="T580" s="11">
        <v>64.192999999999998</v>
      </c>
      <c r="U580" s="11">
        <v>62.691000000000003</v>
      </c>
      <c r="V580" s="11">
        <v>35.807000000000002</v>
      </c>
      <c r="W580" s="11">
        <v>37.308999999999997</v>
      </c>
      <c r="X580" s="11">
        <v>14.371</v>
      </c>
      <c r="Y580" s="11">
        <v>12.452</v>
      </c>
      <c r="Z580" s="11">
        <v>37.308999999999997</v>
      </c>
      <c r="AA580" s="11">
        <v>35.807000000000002</v>
      </c>
      <c r="AB580" s="11">
        <v>10.994999999999999</v>
      </c>
      <c r="AC580" s="11">
        <v>10</v>
      </c>
      <c r="AD580" s="11">
        <v>12</v>
      </c>
      <c r="AE580" s="11">
        <v>10</v>
      </c>
      <c r="AF580" s="11">
        <v>10</v>
      </c>
    </row>
    <row r="581" spans="1:32" s="11" customFormat="1" x14ac:dyDescent="0.2">
      <c r="A581" s="11">
        <v>709</v>
      </c>
      <c r="F581" s="11" t="s">
        <v>16420</v>
      </c>
      <c r="G581" s="11" t="s">
        <v>16421</v>
      </c>
      <c r="H581" s="12">
        <v>55.1</v>
      </c>
      <c r="I581" s="11" t="s">
        <v>16407</v>
      </c>
      <c r="L581" s="11">
        <v>45.207000000000001</v>
      </c>
      <c r="M581" s="11">
        <v>47.896000000000001</v>
      </c>
      <c r="N581" s="11">
        <v>92.683000000000007</v>
      </c>
      <c r="O581" s="11">
        <v>93.462000000000003</v>
      </c>
      <c r="P581" s="11">
        <v>85.656000000000006</v>
      </c>
      <c r="Q581" s="11">
        <v>86.682000000000002</v>
      </c>
      <c r="R581" s="11">
        <v>110.357</v>
      </c>
      <c r="S581" s="11">
        <v>111.19199999999999</v>
      </c>
      <c r="T581" s="11">
        <v>64.293999999999997</v>
      </c>
      <c r="U581" s="11">
        <v>66.548000000000002</v>
      </c>
      <c r="V581" s="11">
        <v>35.706000000000003</v>
      </c>
      <c r="W581" s="11">
        <v>33.451999999999998</v>
      </c>
      <c r="X581" s="11">
        <v>15.853999999999999</v>
      </c>
      <c r="Y581" s="11">
        <v>14.727</v>
      </c>
      <c r="Z581" s="11">
        <v>33.451999999999998</v>
      </c>
      <c r="AA581" s="11">
        <v>35.706000000000003</v>
      </c>
      <c r="AB581" s="11">
        <v>11.146000000000001</v>
      </c>
      <c r="AC581" s="11">
        <v>13</v>
      </c>
      <c r="AD581" s="11">
        <v>10</v>
      </c>
      <c r="AE581" s="11">
        <v>10</v>
      </c>
      <c r="AF581" s="11">
        <v>10</v>
      </c>
    </row>
    <row r="582" spans="1:32" s="11" customFormat="1" x14ac:dyDescent="0.2">
      <c r="A582" s="11">
        <v>710</v>
      </c>
      <c r="F582" s="11" t="s">
        <v>16414</v>
      </c>
      <c r="G582" s="11" t="s">
        <v>16415</v>
      </c>
      <c r="H582" s="12">
        <v>66.5</v>
      </c>
      <c r="I582" s="11" t="s">
        <v>16404</v>
      </c>
      <c r="L582" s="11">
        <v>47.819000000000003</v>
      </c>
      <c r="M582" s="11">
        <v>55.11</v>
      </c>
      <c r="N582" s="11">
        <v>102.527</v>
      </c>
      <c r="O582" s="11">
        <v>102.19199999999999</v>
      </c>
      <c r="P582" s="11">
        <v>92.858999999999995</v>
      </c>
      <c r="Q582" s="11">
        <v>92.89</v>
      </c>
      <c r="R582" s="11">
        <v>107.376</v>
      </c>
      <c r="S582" s="11">
        <v>106.887</v>
      </c>
      <c r="T582" s="11">
        <v>64.555000000000007</v>
      </c>
      <c r="U582" s="11">
        <v>65.807000000000002</v>
      </c>
      <c r="V582" s="11">
        <v>35.445</v>
      </c>
      <c r="W582" s="11">
        <v>34.192999999999998</v>
      </c>
      <c r="X582" s="11">
        <v>14.363</v>
      </c>
      <c r="Y582" s="11">
        <v>16.161000000000001</v>
      </c>
      <c r="Z582" s="11">
        <v>34.192999999999998</v>
      </c>
      <c r="AA582" s="11">
        <v>35.445</v>
      </c>
      <c r="AB582" s="11">
        <v>13.97</v>
      </c>
      <c r="AC582" s="11">
        <v>12</v>
      </c>
      <c r="AD582" s="11">
        <v>12</v>
      </c>
      <c r="AE582" s="11">
        <v>12</v>
      </c>
      <c r="AF582" s="11">
        <v>12</v>
      </c>
    </row>
    <row r="583" spans="1:32" s="11" customFormat="1" x14ac:dyDescent="0.2">
      <c r="A583" s="11">
        <v>711</v>
      </c>
      <c r="F583" s="11" t="s">
        <v>16414</v>
      </c>
      <c r="G583" s="11" t="s">
        <v>16415</v>
      </c>
      <c r="H583" s="12">
        <v>68.5</v>
      </c>
      <c r="I583" s="11" t="s">
        <v>16404</v>
      </c>
      <c r="L583" s="11">
        <v>44.856999999999999</v>
      </c>
      <c r="M583" s="11">
        <v>43.762999999999998</v>
      </c>
      <c r="N583" s="11">
        <v>88.253</v>
      </c>
      <c r="O583" s="11">
        <v>88.855999999999995</v>
      </c>
      <c r="P583" s="11">
        <v>73.527000000000001</v>
      </c>
      <c r="Q583" s="11">
        <v>74.123999999999995</v>
      </c>
      <c r="R583" s="11">
        <v>99.061999999999998</v>
      </c>
      <c r="S583" s="11">
        <v>99.403000000000006</v>
      </c>
      <c r="T583" s="11">
        <v>65.272000000000006</v>
      </c>
      <c r="U583" s="11">
        <v>65.364999999999995</v>
      </c>
      <c r="V583" s="11">
        <v>34.728000000000002</v>
      </c>
      <c r="W583" s="11">
        <v>34.634999999999998</v>
      </c>
      <c r="X583" s="11">
        <v>17.248000000000001</v>
      </c>
      <c r="Y583" s="11">
        <v>13.484</v>
      </c>
      <c r="Z583" s="11">
        <v>34.634999999999998</v>
      </c>
      <c r="AA583" s="11">
        <v>34.728000000000002</v>
      </c>
      <c r="AB583" s="11">
        <v>9.2569999999999997</v>
      </c>
      <c r="AC583" s="11">
        <v>12</v>
      </c>
      <c r="AD583" s="11">
        <v>11</v>
      </c>
      <c r="AE583" s="11">
        <v>11</v>
      </c>
      <c r="AF583" s="11">
        <v>11</v>
      </c>
    </row>
    <row r="584" spans="1:32" s="11" customFormat="1" x14ac:dyDescent="0.2">
      <c r="A584" s="11">
        <v>712</v>
      </c>
      <c r="F584" s="11" t="s">
        <v>16454</v>
      </c>
      <c r="G584" s="11" t="s">
        <v>16455</v>
      </c>
      <c r="H584" s="12">
        <v>76</v>
      </c>
      <c r="I584" s="11" t="s">
        <v>16404</v>
      </c>
      <c r="L584" s="11">
        <v>48.292999999999999</v>
      </c>
      <c r="M584" s="11">
        <v>50.752000000000002</v>
      </c>
      <c r="N584" s="11">
        <v>100.1</v>
      </c>
      <c r="O584" s="11">
        <v>98.509</v>
      </c>
      <c r="P584" s="11">
        <v>91.414000000000001</v>
      </c>
      <c r="Q584" s="11">
        <v>89.908000000000001</v>
      </c>
      <c r="R584" s="11">
        <v>109.53</v>
      </c>
      <c r="S584" s="11">
        <v>109.09</v>
      </c>
      <c r="T584" s="11">
        <v>64.307000000000002</v>
      </c>
      <c r="U584" s="11">
        <v>65.164000000000001</v>
      </c>
      <c r="V584" s="11">
        <v>35.692999999999998</v>
      </c>
      <c r="W584" s="11">
        <v>34.835999999999999</v>
      </c>
      <c r="X584" s="11">
        <v>13.673</v>
      </c>
      <c r="Y584" s="11">
        <v>16.338000000000001</v>
      </c>
      <c r="Z584" s="11">
        <v>34.835999999999999</v>
      </c>
      <c r="AA584" s="11">
        <v>35.692999999999998</v>
      </c>
      <c r="AB584" s="11">
        <v>12.564</v>
      </c>
      <c r="AC584" s="11">
        <v>11</v>
      </c>
      <c r="AD584" s="11">
        <v>14</v>
      </c>
      <c r="AE584" s="11">
        <v>11</v>
      </c>
      <c r="AF584" s="11">
        <v>11</v>
      </c>
    </row>
    <row r="585" spans="1:32" s="11" customFormat="1" x14ac:dyDescent="0.2">
      <c r="A585" s="11">
        <v>713</v>
      </c>
      <c r="F585" s="11" t="s">
        <v>16420</v>
      </c>
      <c r="G585" s="11" t="s">
        <v>16421</v>
      </c>
      <c r="H585" s="12">
        <v>76.3</v>
      </c>
      <c r="I585" s="11" t="s">
        <v>16404</v>
      </c>
      <c r="L585" s="11">
        <v>65.150000000000006</v>
      </c>
      <c r="M585" s="11">
        <v>61.915999999999997</v>
      </c>
      <c r="N585" s="11">
        <v>127.126</v>
      </c>
      <c r="O585" s="11">
        <v>127.411</v>
      </c>
      <c r="P585" s="11">
        <v>110.703</v>
      </c>
      <c r="Q585" s="11">
        <v>111.17100000000001</v>
      </c>
      <c r="R585" s="11">
        <v>105.074</v>
      </c>
      <c r="S585" s="11">
        <v>105.077</v>
      </c>
      <c r="T585" s="11">
        <v>61.670999999999999</v>
      </c>
      <c r="U585" s="11">
        <v>62.162999999999997</v>
      </c>
      <c r="V585" s="11">
        <v>38.329000000000001</v>
      </c>
      <c r="W585" s="11">
        <v>37.837000000000003</v>
      </c>
      <c r="X585" s="11">
        <v>11.907</v>
      </c>
      <c r="Y585" s="11">
        <v>11.323</v>
      </c>
      <c r="Z585" s="11">
        <v>37.837000000000003</v>
      </c>
      <c r="AA585" s="11">
        <v>38.329000000000001</v>
      </c>
      <c r="AB585" s="11">
        <v>10.5</v>
      </c>
      <c r="AC585" s="11">
        <v>9</v>
      </c>
      <c r="AD585" s="11">
        <v>10</v>
      </c>
      <c r="AE585" s="11">
        <v>9</v>
      </c>
      <c r="AF585" s="11">
        <v>9</v>
      </c>
    </row>
    <row r="586" spans="1:32" s="11" customFormat="1" x14ac:dyDescent="0.2">
      <c r="A586" s="11">
        <v>714</v>
      </c>
      <c r="F586" s="11" t="s">
        <v>16424</v>
      </c>
      <c r="G586" s="11" t="s">
        <v>16425</v>
      </c>
      <c r="H586" s="12">
        <v>73.3</v>
      </c>
      <c r="I586" s="11" t="s">
        <v>16407</v>
      </c>
      <c r="L586" s="11">
        <v>36.734999999999999</v>
      </c>
      <c r="M586" s="11">
        <v>41.472999999999999</v>
      </c>
      <c r="N586" s="11">
        <v>78.370999999999995</v>
      </c>
      <c r="O586" s="11">
        <v>78.242999999999995</v>
      </c>
      <c r="P586" s="11">
        <v>60.43</v>
      </c>
      <c r="Q586" s="11">
        <v>61.286000000000001</v>
      </c>
      <c r="R586" s="11">
        <v>93.516999999999996</v>
      </c>
      <c r="S586" s="11">
        <v>94.29</v>
      </c>
      <c r="T586" s="11">
        <v>68.117999999999995</v>
      </c>
      <c r="U586" s="11">
        <v>69.801000000000002</v>
      </c>
      <c r="V586" s="11">
        <v>31.882000000000001</v>
      </c>
      <c r="W586" s="11">
        <v>30.199000000000002</v>
      </c>
      <c r="X586" s="11">
        <v>20.506</v>
      </c>
      <c r="Y586" s="11">
        <v>17.495000000000001</v>
      </c>
      <c r="Z586" s="11">
        <v>30.199000000000002</v>
      </c>
      <c r="AA586" s="11">
        <v>31.882000000000001</v>
      </c>
      <c r="AB586" s="11">
        <v>11.445</v>
      </c>
      <c r="AC586" s="11">
        <v>13</v>
      </c>
      <c r="AD586" s="11">
        <v>15</v>
      </c>
      <c r="AE586" s="11">
        <v>13</v>
      </c>
      <c r="AF586" s="11">
        <v>13</v>
      </c>
    </row>
    <row r="587" spans="1:32" s="11" customFormat="1" x14ac:dyDescent="0.2">
      <c r="A587" s="11">
        <v>715</v>
      </c>
      <c r="F587" s="11" t="s">
        <v>16424</v>
      </c>
      <c r="G587" s="11" t="s">
        <v>16425</v>
      </c>
      <c r="H587" s="12">
        <v>68.7</v>
      </c>
      <c r="I587" s="11" t="s">
        <v>16407</v>
      </c>
      <c r="L587" s="11">
        <v>43.188000000000002</v>
      </c>
      <c r="M587" s="11">
        <v>42.085000000000001</v>
      </c>
      <c r="N587" s="11">
        <v>85.373000000000005</v>
      </c>
      <c r="O587" s="11">
        <v>86.241</v>
      </c>
      <c r="P587" s="11">
        <v>72.397999999999996</v>
      </c>
      <c r="Q587" s="11">
        <v>73.073999999999998</v>
      </c>
      <c r="R587" s="11">
        <v>101.669</v>
      </c>
      <c r="S587" s="11">
        <v>101.876</v>
      </c>
      <c r="T587" s="11">
        <v>65.564999999999998</v>
      </c>
      <c r="U587" s="11">
        <v>63.313000000000002</v>
      </c>
      <c r="V587" s="11">
        <v>34.435000000000002</v>
      </c>
      <c r="W587" s="11">
        <v>36.686999999999998</v>
      </c>
      <c r="X587" s="11">
        <v>14.906000000000001</v>
      </c>
      <c r="Y587" s="11">
        <v>14.769</v>
      </c>
      <c r="Z587" s="11">
        <v>36.686999999999998</v>
      </c>
      <c r="AA587" s="11">
        <v>34.435000000000002</v>
      </c>
      <c r="AB587" s="11">
        <v>15.298</v>
      </c>
      <c r="AC587" s="11">
        <v>13</v>
      </c>
      <c r="AD587" s="11">
        <v>13</v>
      </c>
      <c r="AE587" s="11">
        <v>13</v>
      </c>
      <c r="AF587" s="11">
        <v>13</v>
      </c>
    </row>
    <row r="588" spans="1:32" s="11" customFormat="1" x14ac:dyDescent="0.2">
      <c r="A588" s="11">
        <v>716</v>
      </c>
      <c r="F588" s="11" t="s">
        <v>16432</v>
      </c>
      <c r="G588" s="11" t="s">
        <v>16433</v>
      </c>
      <c r="H588" s="12">
        <v>42.5</v>
      </c>
      <c r="I588" s="11" t="s">
        <v>16407</v>
      </c>
      <c r="L588" s="11">
        <v>51.9</v>
      </c>
      <c r="M588" s="11">
        <v>55.543999999999997</v>
      </c>
      <c r="N588" s="11">
        <v>108.223</v>
      </c>
      <c r="O588" s="11">
        <v>107.31</v>
      </c>
      <c r="P588" s="11">
        <v>96.491</v>
      </c>
      <c r="Q588" s="11">
        <v>95.754000000000005</v>
      </c>
      <c r="R588" s="11">
        <v>106.648</v>
      </c>
      <c r="S588" s="11">
        <v>106.717</v>
      </c>
      <c r="T588" s="11">
        <v>62.994</v>
      </c>
      <c r="U588" s="11">
        <v>62.875</v>
      </c>
      <c r="V588" s="11">
        <v>37.006</v>
      </c>
      <c r="W588" s="11">
        <v>37.125</v>
      </c>
      <c r="X588" s="11">
        <v>13.519</v>
      </c>
      <c r="Y588" s="11">
        <v>12.103999999999999</v>
      </c>
      <c r="Z588" s="11">
        <v>37.125</v>
      </c>
      <c r="AA588" s="11">
        <v>37.006</v>
      </c>
      <c r="AB588" s="11">
        <v>11.991</v>
      </c>
      <c r="AC588" s="11">
        <v>17</v>
      </c>
      <c r="AD588" s="11">
        <v>23</v>
      </c>
      <c r="AE588" s="11">
        <v>17</v>
      </c>
      <c r="AF588" s="11">
        <v>17</v>
      </c>
    </row>
    <row r="589" spans="1:32" s="11" customFormat="1" x14ac:dyDescent="0.2">
      <c r="A589" s="11">
        <v>717</v>
      </c>
      <c r="F589" s="11" t="s">
        <v>16414</v>
      </c>
      <c r="G589" s="11" t="s">
        <v>16415</v>
      </c>
      <c r="H589" s="12">
        <v>67.2</v>
      </c>
      <c r="I589" s="11" t="s">
        <v>16407</v>
      </c>
      <c r="L589" s="11">
        <v>50.731000000000002</v>
      </c>
      <c r="M589" s="11">
        <v>55.634</v>
      </c>
      <c r="N589" s="11">
        <v>106.75</v>
      </c>
      <c r="O589" s="11">
        <v>106.55200000000001</v>
      </c>
      <c r="P589" s="11">
        <v>128.43100000000001</v>
      </c>
      <c r="Q589" s="11">
        <v>128.56700000000001</v>
      </c>
      <c r="R589" s="11">
        <v>144.203</v>
      </c>
      <c r="S589" s="11">
        <v>144.38200000000001</v>
      </c>
      <c r="T589" s="11">
        <v>61.985999999999997</v>
      </c>
      <c r="U589" s="11">
        <v>59.5</v>
      </c>
      <c r="V589" s="11">
        <v>38.014000000000003</v>
      </c>
      <c r="W589" s="11">
        <v>40.5</v>
      </c>
      <c r="X589" s="11">
        <v>11.407</v>
      </c>
      <c r="Y589" s="11">
        <v>10.337999999999999</v>
      </c>
      <c r="Z589" s="11">
        <v>40.5</v>
      </c>
      <c r="AA589" s="11">
        <v>38.014000000000003</v>
      </c>
      <c r="AB589" s="11">
        <v>9.1679999999999993</v>
      </c>
      <c r="AC589" s="11">
        <v>26</v>
      </c>
      <c r="AD589" s="11">
        <v>25</v>
      </c>
      <c r="AE589" s="11">
        <v>25</v>
      </c>
      <c r="AF589" s="11">
        <v>25</v>
      </c>
    </row>
    <row r="590" spans="1:32" s="11" customFormat="1" x14ac:dyDescent="0.2">
      <c r="A590" s="11">
        <v>718</v>
      </c>
      <c r="F590" s="11" t="s">
        <v>16403</v>
      </c>
      <c r="G590" s="11" t="s">
        <v>16403</v>
      </c>
      <c r="H590" s="12">
        <v>999</v>
      </c>
      <c r="I590" s="11" t="s">
        <v>16403</v>
      </c>
      <c r="L590" s="11">
        <v>34.901000000000003</v>
      </c>
      <c r="M590" s="11">
        <v>32.805999999999997</v>
      </c>
      <c r="N590" s="11">
        <v>67.649000000000001</v>
      </c>
      <c r="O590" s="11">
        <v>68.754000000000005</v>
      </c>
      <c r="P590" s="11">
        <v>34.966999999999999</v>
      </c>
      <c r="Q590" s="11">
        <v>34.25</v>
      </c>
      <c r="R590" s="11">
        <v>64.457999999999998</v>
      </c>
      <c r="S590" s="11">
        <v>60.04</v>
      </c>
      <c r="T590" s="11">
        <v>76.950999999999993</v>
      </c>
      <c r="U590" s="11">
        <v>72.02</v>
      </c>
      <c r="V590" s="11">
        <v>23.048999999999999</v>
      </c>
      <c r="W590" s="11">
        <v>27.98</v>
      </c>
      <c r="X590" s="11">
        <v>18.792999999999999</v>
      </c>
      <c r="Y590" s="11">
        <v>27.169</v>
      </c>
      <c r="Z590" s="11">
        <v>27.98</v>
      </c>
      <c r="AA590" s="11">
        <v>23.048999999999999</v>
      </c>
      <c r="AB590" s="11">
        <v>13.64</v>
      </c>
      <c r="AC590" s="11">
        <v>10</v>
      </c>
      <c r="AD590" s="11">
        <v>11</v>
      </c>
      <c r="AE590" s="11">
        <v>10</v>
      </c>
      <c r="AF590" s="11">
        <v>10</v>
      </c>
    </row>
    <row r="591" spans="1:32" s="11" customFormat="1" x14ac:dyDescent="0.2">
      <c r="A591" s="11">
        <v>719</v>
      </c>
      <c r="F591" s="11" t="s">
        <v>16420</v>
      </c>
      <c r="G591" s="11" t="s">
        <v>16421</v>
      </c>
      <c r="H591" s="12">
        <v>74.7</v>
      </c>
      <c r="I591" s="11" t="s">
        <v>16404</v>
      </c>
      <c r="L591" s="11">
        <v>44.136000000000003</v>
      </c>
      <c r="M591" s="11">
        <v>43.271999999999998</v>
      </c>
      <c r="N591" s="11">
        <v>87.185000000000002</v>
      </c>
      <c r="O591" s="11">
        <v>88.974999999999994</v>
      </c>
      <c r="P591" s="11">
        <v>88.942999999999998</v>
      </c>
      <c r="Q591" s="11">
        <v>90.617999999999995</v>
      </c>
      <c r="R591" s="11">
        <v>120.962</v>
      </c>
      <c r="S591" s="11">
        <v>121.69199999999999</v>
      </c>
      <c r="T591" s="11">
        <v>64.567999999999998</v>
      </c>
      <c r="U591" s="11">
        <v>64.072999999999993</v>
      </c>
      <c r="V591" s="11">
        <v>35.432000000000002</v>
      </c>
      <c r="W591" s="11">
        <v>35.927</v>
      </c>
      <c r="X591" s="11">
        <v>14.541</v>
      </c>
      <c r="Y591" s="11">
        <v>13.83</v>
      </c>
      <c r="Z591" s="11">
        <v>35.927</v>
      </c>
      <c r="AA591" s="11">
        <v>35.432000000000002</v>
      </c>
      <c r="AB591" s="11">
        <v>8.9209999999999994</v>
      </c>
      <c r="AC591" s="11">
        <v>21</v>
      </c>
      <c r="AD591" s="11">
        <v>21</v>
      </c>
      <c r="AE591" s="11">
        <v>21</v>
      </c>
      <c r="AF591" s="11">
        <v>21</v>
      </c>
    </row>
    <row r="592" spans="1:32" s="11" customFormat="1" x14ac:dyDescent="0.2">
      <c r="A592" s="11">
        <v>720</v>
      </c>
      <c r="F592" s="11" t="s">
        <v>16414</v>
      </c>
      <c r="G592" s="11" t="s">
        <v>16415</v>
      </c>
      <c r="H592" s="12">
        <v>45.6</v>
      </c>
      <c r="I592" s="11" t="s">
        <v>16407</v>
      </c>
      <c r="L592" s="11">
        <v>51.866</v>
      </c>
      <c r="M592" s="11">
        <v>52.582000000000001</v>
      </c>
      <c r="N592" s="11">
        <v>104.84699999999999</v>
      </c>
      <c r="O592" s="11">
        <v>104.738</v>
      </c>
      <c r="P592" s="11">
        <v>94.293999999999997</v>
      </c>
      <c r="Q592" s="11">
        <v>93.882000000000005</v>
      </c>
      <c r="R592" s="11">
        <v>107.59099999999999</v>
      </c>
      <c r="S592" s="11">
        <v>107.28</v>
      </c>
      <c r="T592" s="11">
        <v>63.96</v>
      </c>
      <c r="U592" s="11">
        <v>64.102999999999994</v>
      </c>
      <c r="V592" s="11">
        <v>36.04</v>
      </c>
      <c r="W592" s="11">
        <v>35.896999999999998</v>
      </c>
      <c r="X592" s="11">
        <v>13.824</v>
      </c>
      <c r="Y592" s="11">
        <v>13.997</v>
      </c>
      <c r="Z592" s="11">
        <v>35.896999999999998</v>
      </c>
      <c r="AA592" s="11">
        <v>36.04</v>
      </c>
      <c r="AB592" s="11">
        <v>11.818</v>
      </c>
      <c r="AC592" s="11">
        <v>16</v>
      </c>
      <c r="AD592" s="11">
        <v>15</v>
      </c>
      <c r="AE592" s="11">
        <v>15</v>
      </c>
      <c r="AF592" s="11">
        <v>15</v>
      </c>
    </row>
    <row r="593" spans="1:32" s="11" customFormat="1" x14ac:dyDescent="0.2">
      <c r="A593" s="11">
        <v>721</v>
      </c>
      <c r="F593" s="11" t="s">
        <v>16403</v>
      </c>
      <c r="G593" s="11" t="s">
        <v>16403</v>
      </c>
      <c r="H593" s="12">
        <v>999</v>
      </c>
      <c r="I593" s="11" t="s">
        <v>16403</v>
      </c>
      <c r="L593" s="11">
        <v>60.171999999999997</v>
      </c>
      <c r="M593" s="11">
        <v>63.055999999999997</v>
      </c>
      <c r="N593" s="11">
        <v>123.78</v>
      </c>
      <c r="O593" s="11">
        <v>123.017</v>
      </c>
      <c r="P593" s="11">
        <v>107.80500000000001</v>
      </c>
      <c r="Q593" s="11">
        <v>106.83199999999999</v>
      </c>
      <c r="R593" s="11">
        <v>104.09099999999999</v>
      </c>
      <c r="S593" s="11">
        <v>103.395</v>
      </c>
      <c r="T593" s="11">
        <v>63.542999999999999</v>
      </c>
      <c r="U593" s="11">
        <v>64.37</v>
      </c>
      <c r="V593" s="11">
        <v>36.457000000000001</v>
      </c>
      <c r="W593" s="11">
        <v>35.630000000000003</v>
      </c>
      <c r="X593" s="11">
        <v>13.377000000000001</v>
      </c>
      <c r="Y593" s="11">
        <v>14.757999999999999</v>
      </c>
      <c r="Z593" s="11">
        <v>35.630000000000003</v>
      </c>
      <c r="AA593" s="11">
        <v>36.457000000000001</v>
      </c>
      <c r="AB593" s="11">
        <v>9.1340000000000003</v>
      </c>
      <c r="AC593" s="11">
        <v>15</v>
      </c>
      <c r="AD593" s="11">
        <v>14</v>
      </c>
      <c r="AE593" s="11">
        <v>14</v>
      </c>
      <c r="AF593" s="11">
        <v>14</v>
      </c>
    </row>
    <row r="594" spans="1:32" s="11" customFormat="1" x14ac:dyDescent="0.2">
      <c r="A594" s="11">
        <v>722</v>
      </c>
      <c r="F594" s="11" t="s">
        <v>16420</v>
      </c>
      <c r="G594" s="11" t="s">
        <v>16421</v>
      </c>
      <c r="H594" s="12">
        <v>90.9</v>
      </c>
      <c r="I594" s="11" t="s">
        <v>16407</v>
      </c>
      <c r="L594" s="11">
        <v>44.825000000000003</v>
      </c>
      <c r="M594" s="11">
        <v>43.295999999999999</v>
      </c>
      <c r="N594" s="11">
        <v>88.593000000000004</v>
      </c>
      <c r="O594" s="11">
        <v>87.879000000000005</v>
      </c>
      <c r="P594" s="11">
        <v>74.494</v>
      </c>
      <c r="Q594" s="11">
        <v>73.801000000000002</v>
      </c>
      <c r="R594" s="11">
        <v>100.63200000000001</v>
      </c>
      <c r="S594" s="11">
        <v>100.443</v>
      </c>
      <c r="T594" s="11">
        <v>62.183</v>
      </c>
      <c r="U594" s="11">
        <v>61.743000000000002</v>
      </c>
      <c r="V594" s="11">
        <v>37.817</v>
      </c>
      <c r="W594" s="11">
        <v>38.256999999999998</v>
      </c>
      <c r="X594" s="11">
        <v>11.435</v>
      </c>
      <c r="Y594" s="11">
        <v>12.394</v>
      </c>
      <c r="Z594" s="11">
        <v>38.256999999999998</v>
      </c>
      <c r="AA594" s="11">
        <v>37.817</v>
      </c>
      <c r="AB594" s="11">
        <v>11.954000000000001</v>
      </c>
      <c r="AC594" s="11">
        <v>15</v>
      </c>
      <c r="AD594" s="11">
        <v>17</v>
      </c>
      <c r="AE594" s="11">
        <v>15</v>
      </c>
      <c r="AF594" s="11">
        <v>15</v>
      </c>
    </row>
    <row r="595" spans="1:32" s="11" customFormat="1" x14ac:dyDescent="0.2">
      <c r="A595" s="11">
        <v>723</v>
      </c>
      <c r="F595" s="11" t="s">
        <v>16432</v>
      </c>
      <c r="G595" s="11" t="s">
        <v>16433</v>
      </c>
      <c r="H595" s="12">
        <v>72.8</v>
      </c>
      <c r="I595" s="11" t="s">
        <v>16407</v>
      </c>
      <c r="L595" s="11">
        <v>24.067</v>
      </c>
      <c r="M595" s="11">
        <v>19.254999999999999</v>
      </c>
      <c r="N595" s="11">
        <v>43.037999999999997</v>
      </c>
      <c r="O595" s="11">
        <v>43.459000000000003</v>
      </c>
      <c r="P595" s="11">
        <v>24.620999999999999</v>
      </c>
      <c r="Q595" s="11">
        <v>24.861999999999998</v>
      </c>
      <c r="R595" s="11">
        <v>69.855000000000004</v>
      </c>
      <c r="S595" s="11">
        <v>69.289000000000001</v>
      </c>
      <c r="T595" s="11">
        <v>77.980999999999995</v>
      </c>
      <c r="U595" s="11">
        <v>76.12</v>
      </c>
      <c r="V595" s="11">
        <v>22.018999999999998</v>
      </c>
      <c r="W595" s="11">
        <v>23.88</v>
      </c>
      <c r="X595" s="11">
        <v>26.530999999999999</v>
      </c>
      <c r="Y595" s="11">
        <v>27.896999999999998</v>
      </c>
      <c r="Z595" s="11">
        <v>23.88</v>
      </c>
      <c r="AA595" s="11">
        <v>22.018999999999998</v>
      </c>
      <c r="AB595" s="11">
        <v>12.134</v>
      </c>
      <c r="AC595" s="11">
        <v>18</v>
      </c>
      <c r="AD595" s="11">
        <v>18</v>
      </c>
      <c r="AE595" s="11">
        <v>18</v>
      </c>
      <c r="AF595" s="11">
        <v>18</v>
      </c>
    </row>
    <row r="596" spans="1:32" s="11" customFormat="1" x14ac:dyDescent="0.2">
      <c r="A596" s="11">
        <v>724</v>
      </c>
      <c r="F596" s="11" t="s">
        <v>16414</v>
      </c>
      <c r="G596" s="11" t="s">
        <v>16415</v>
      </c>
      <c r="H596" s="12">
        <v>72.8</v>
      </c>
      <c r="I596" s="11" t="s">
        <v>16404</v>
      </c>
      <c r="L596" s="11">
        <v>65.450999999999993</v>
      </c>
      <c r="M596" s="11">
        <v>62.999000000000002</v>
      </c>
      <c r="N596" s="11">
        <v>128.066</v>
      </c>
      <c r="O596" s="11">
        <v>129.17500000000001</v>
      </c>
      <c r="P596" s="11">
        <v>117.66500000000001</v>
      </c>
      <c r="Q596" s="11">
        <v>118.158</v>
      </c>
      <c r="R596" s="11">
        <v>109.748</v>
      </c>
      <c r="S596" s="11">
        <v>109.23099999999999</v>
      </c>
      <c r="T596" s="11">
        <v>60.844000000000001</v>
      </c>
      <c r="U596" s="11">
        <v>61.267000000000003</v>
      </c>
      <c r="V596" s="11">
        <v>39.155999999999999</v>
      </c>
      <c r="W596" s="11">
        <v>38.732999999999997</v>
      </c>
      <c r="X596" s="11">
        <v>10.606999999999999</v>
      </c>
      <c r="Y596" s="11">
        <v>11.596</v>
      </c>
      <c r="Z596" s="11">
        <v>38.732999999999997</v>
      </c>
      <c r="AA596" s="11">
        <v>39.155999999999999</v>
      </c>
      <c r="AB596" s="11">
        <v>7.7709999999999999</v>
      </c>
      <c r="AC596" s="11">
        <v>13</v>
      </c>
      <c r="AD596" s="11">
        <v>14</v>
      </c>
      <c r="AE596" s="11">
        <v>13</v>
      </c>
      <c r="AF596" s="11">
        <v>13</v>
      </c>
    </row>
    <row r="597" spans="1:32" s="11" customFormat="1" x14ac:dyDescent="0.2">
      <c r="A597" s="11">
        <v>725</v>
      </c>
      <c r="F597" s="11" t="s">
        <v>16444</v>
      </c>
      <c r="G597" s="11" t="s">
        <v>16445</v>
      </c>
      <c r="H597" s="12">
        <v>23.8</v>
      </c>
      <c r="I597" s="11" t="s">
        <v>16407</v>
      </c>
      <c r="L597" s="11">
        <v>56.442999999999998</v>
      </c>
      <c r="M597" s="11">
        <v>57.415999999999997</v>
      </c>
      <c r="N597" s="11">
        <v>113.268</v>
      </c>
      <c r="O597" s="11">
        <v>114.34099999999999</v>
      </c>
      <c r="P597" s="11">
        <v>103.584</v>
      </c>
      <c r="Q597" s="11">
        <v>103.664</v>
      </c>
      <c r="R597" s="11">
        <v>110.19</v>
      </c>
      <c r="S597" s="11">
        <v>108.848</v>
      </c>
      <c r="T597" s="11">
        <v>60.74</v>
      </c>
      <c r="U597" s="11">
        <v>63.783000000000001</v>
      </c>
      <c r="V597" s="11">
        <v>39.26</v>
      </c>
      <c r="W597" s="11">
        <v>36.216999999999999</v>
      </c>
      <c r="X597" s="11">
        <v>11.359</v>
      </c>
      <c r="Y597" s="11">
        <v>13.29</v>
      </c>
      <c r="Z597" s="11">
        <v>36.216999999999999</v>
      </c>
      <c r="AA597" s="11">
        <v>39.26</v>
      </c>
      <c r="AB597" s="11">
        <v>13.253</v>
      </c>
      <c r="AC597" s="11">
        <v>15</v>
      </c>
      <c r="AD597" s="11">
        <v>16</v>
      </c>
      <c r="AE597" s="11">
        <v>15</v>
      </c>
      <c r="AF597" s="11">
        <v>15</v>
      </c>
    </row>
    <row r="598" spans="1:32" s="11" customFormat="1" x14ac:dyDescent="0.2">
      <c r="A598" s="11">
        <v>726</v>
      </c>
      <c r="F598" s="11" t="s">
        <v>16420</v>
      </c>
      <c r="G598" s="11" t="s">
        <v>16421</v>
      </c>
      <c r="H598" s="12">
        <v>47</v>
      </c>
      <c r="I598" s="11" t="s">
        <v>16407</v>
      </c>
      <c r="L598" s="11">
        <v>62.911999999999999</v>
      </c>
      <c r="M598" s="11">
        <v>61.904000000000003</v>
      </c>
      <c r="N598" s="11">
        <v>124.851</v>
      </c>
      <c r="O598" s="11">
        <v>124.845</v>
      </c>
      <c r="P598" s="11">
        <v>111.813</v>
      </c>
      <c r="Q598" s="11">
        <v>111.078</v>
      </c>
      <c r="R598" s="11">
        <v>107.821</v>
      </c>
      <c r="S598" s="11">
        <v>107.27200000000001</v>
      </c>
      <c r="T598" s="11">
        <v>64.775000000000006</v>
      </c>
      <c r="U598" s="11">
        <v>64.442999999999998</v>
      </c>
      <c r="V598" s="11">
        <v>35.225000000000001</v>
      </c>
      <c r="W598" s="11">
        <v>35.557000000000002</v>
      </c>
      <c r="X598" s="11">
        <v>15.191000000000001</v>
      </c>
      <c r="Y598" s="11">
        <v>13.935</v>
      </c>
      <c r="Z598" s="11">
        <v>35.557000000000002</v>
      </c>
      <c r="AA598" s="11">
        <v>35.225000000000001</v>
      </c>
      <c r="AB598" s="11">
        <v>10.115</v>
      </c>
      <c r="AC598" s="11">
        <v>16</v>
      </c>
      <c r="AD598" s="11">
        <v>17</v>
      </c>
      <c r="AE598" s="11">
        <v>16</v>
      </c>
      <c r="AF598" s="11">
        <v>16</v>
      </c>
    </row>
    <row r="599" spans="1:32" s="11" customFormat="1" x14ac:dyDescent="0.2">
      <c r="A599" s="11">
        <v>727</v>
      </c>
      <c r="F599" s="11" t="s">
        <v>16432</v>
      </c>
      <c r="G599" s="11" t="s">
        <v>16433</v>
      </c>
      <c r="H599" s="12">
        <v>56.9</v>
      </c>
      <c r="I599" s="11" t="s">
        <v>16407</v>
      </c>
      <c r="L599" s="11">
        <v>58.198999999999998</v>
      </c>
      <c r="M599" s="11">
        <v>56.009</v>
      </c>
      <c r="N599" s="11">
        <v>113.815</v>
      </c>
      <c r="O599" s="11">
        <v>114.61499999999999</v>
      </c>
      <c r="P599" s="11">
        <v>101.753</v>
      </c>
      <c r="Q599" s="11">
        <v>102.834</v>
      </c>
      <c r="R599" s="11">
        <v>107.586</v>
      </c>
      <c r="S599" s="11">
        <v>107.44199999999999</v>
      </c>
      <c r="T599" s="11">
        <v>64.001000000000005</v>
      </c>
      <c r="U599" s="11">
        <v>63.061</v>
      </c>
      <c r="V599" s="11">
        <v>35.999000000000002</v>
      </c>
      <c r="W599" s="11">
        <v>36.939</v>
      </c>
      <c r="X599" s="11">
        <v>14.221</v>
      </c>
      <c r="Y599" s="11">
        <v>13.319000000000001</v>
      </c>
      <c r="Z599" s="11">
        <v>36.939</v>
      </c>
      <c r="AA599" s="11">
        <v>35.999000000000002</v>
      </c>
      <c r="AB599" s="11">
        <v>14.532999999999999</v>
      </c>
      <c r="AC599" s="11">
        <v>16</v>
      </c>
      <c r="AD599" s="11">
        <v>14</v>
      </c>
      <c r="AE599" s="11">
        <v>14</v>
      </c>
      <c r="AF599" s="11">
        <v>14</v>
      </c>
    </row>
    <row r="600" spans="1:32" s="11" customFormat="1" x14ac:dyDescent="0.2">
      <c r="A600" s="11">
        <v>728</v>
      </c>
      <c r="F600" s="11" t="s">
        <v>16444</v>
      </c>
      <c r="G600" s="11" t="s">
        <v>16445</v>
      </c>
      <c r="H600" s="12">
        <v>31.5</v>
      </c>
      <c r="I600" s="11" t="s">
        <v>16407</v>
      </c>
      <c r="L600" s="11">
        <v>59.420999999999999</v>
      </c>
      <c r="M600" s="11">
        <v>58.896000000000001</v>
      </c>
      <c r="N600" s="11">
        <v>118.71299999999999</v>
      </c>
      <c r="O600" s="11">
        <v>118.212</v>
      </c>
      <c r="P600" s="11">
        <v>128.73699999999999</v>
      </c>
      <c r="Q600" s="11">
        <v>128.79</v>
      </c>
      <c r="R600" s="11">
        <v>129.87799999999999</v>
      </c>
      <c r="S600" s="11">
        <v>130.26900000000001</v>
      </c>
      <c r="T600" s="11">
        <v>61.728000000000002</v>
      </c>
      <c r="U600" s="11">
        <v>61.55</v>
      </c>
      <c r="V600" s="11">
        <v>38.271999999999998</v>
      </c>
      <c r="W600" s="11">
        <v>38.450000000000003</v>
      </c>
      <c r="X600" s="11">
        <v>12.378</v>
      </c>
      <c r="Y600" s="11">
        <v>11.07</v>
      </c>
      <c r="Z600" s="11">
        <v>38.450000000000003</v>
      </c>
      <c r="AA600" s="11">
        <v>38.271999999999998</v>
      </c>
      <c r="AB600" s="11">
        <v>10.528</v>
      </c>
      <c r="AC600" s="11">
        <v>24</v>
      </c>
      <c r="AD600" s="11">
        <v>24</v>
      </c>
      <c r="AE600" s="11">
        <v>24</v>
      </c>
      <c r="AF600" s="11">
        <v>24</v>
      </c>
    </row>
    <row r="601" spans="1:32" s="11" customFormat="1" x14ac:dyDescent="0.2">
      <c r="A601" s="11">
        <v>729</v>
      </c>
      <c r="F601" s="11" t="s">
        <v>16420</v>
      </c>
      <c r="G601" s="11" t="s">
        <v>16421</v>
      </c>
      <c r="H601" s="12">
        <v>24</v>
      </c>
      <c r="I601" s="11" t="s">
        <v>16404</v>
      </c>
      <c r="L601" s="11">
        <v>62.173999999999999</v>
      </c>
      <c r="M601" s="11">
        <v>55.384</v>
      </c>
      <c r="N601" s="11">
        <v>117.952</v>
      </c>
      <c r="O601" s="11">
        <v>117.861</v>
      </c>
      <c r="P601" s="11">
        <v>88.221000000000004</v>
      </c>
      <c r="Q601" s="11">
        <v>88.040999999999997</v>
      </c>
      <c r="R601" s="11">
        <v>89.421000000000006</v>
      </c>
      <c r="S601" s="11">
        <v>89.15</v>
      </c>
      <c r="T601" s="11">
        <v>63.024999999999999</v>
      </c>
      <c r="U601" s="11">
        <v>63.521000000000001</v>
      </c>
      <c r="V601" s="11">
        <v>36.975000000000001</v>
      </c>
      <c r="W601" s="11">
        <v>36.478999999999999</v>
      </c>
      <c r="X601" s="11">
        <v>14.815</v>
      </c>
      <c r="Y601" s="11">
        <v>12.528</v>
      </c>
      <c r="Z601" s="11">
        <v>36.478999999999999</v>
      </c>
      <c r="AA601" s="11">
        <v>36.975000000000001</v>
      </c>
      <c r="AB601" s="11">
        <v>11.757999999999999</v>
      </c>
      <c r="AC601" s="11">
        <v>9</v>
      </c>
      <c r="AD601" s="11">
        <v>9</v>
      </c>
      <c r="AE601" s="11">
        <v>9</v>
      </c>
      <c r="AF601" s="11">
        <v>9</v>
      </c>
    </row>
    <row r="602" spans="1:32" s="11" customFormat="1" x14ac:dyDescent="0.2">
      <c r="A602" s="11">
        <v>730</v>
      </c>
      <c r="F602" s="11" t="s">
        <v>16414</v>
      </c>
      <c r="G602" s="11" t="s">
        <v>16415</v>
      </c>
      <c r="H602" s="12">
        <v>57.5</v>
      </c>
      <c r="I602" s="11" t="s">
        <v>16407</v>
      </c>
      <c r="L602" s="11">
        <v>48.71</v>
      </c>
      <c r="M602" s="11">
        <v>47.93</v>
      </c>
      <c r="N602" s="11">
        <v>96.384</v>
      </c>
      <c r="O602" s="11">
        <v>97.143000000000001</v>
      </c>
      <c r="P602" s="11">
        <v>89.855000000000004</v>
      </c>
      <c r="Q602" s="11">
        <v>90.376000000000005</v>
      </c>
      <c r="R602" s="11">
        <v>111.98699999999999</v>
      </c>
      <c r="S602" s="11">
        <v>111.712</v>
      </c>
      <c r="T602" s="11">
        <v>64.078999999999994</v>
      </c>
      <c r="U602" s="11">
        <v>64.326999999999998</v>
      </c>
      <c r="V602" s="11">
        <v>35.920999999999999</v>
      </c>
      <c r="W602" s="11">
        <v>35.671999999999997</v>
      </c>
      <c r="X602" s="11">
        <v>13.43</v>
      </c>
      <c r="Y602" s="11">
        <v>15.417999999999999</v>
      </c>
      <c r="Z602" s="11">
        <v>35.671999999999997</v>
      </c>
      <c r="AA602" s="11">
        <v>35.920999999999999</v>
      </c>
      <c r="AB602" s="11">
        <v>9.2680000000000007</v>
      </c>
      <c r="AC602" s="11">
        <v>17</v>
      </c>
      <c r="AD602" s="11">
        <v>18</v>
      </c>
      <c r="AE602" s="11">
        <v>17</v>
      </c>
      <c r="AF602" s="11">
        <v>17</v>
      </c>
    </row>
    <row r="603" spans="1:32" s="11" customFormat="1" x14ac:dyDescent="0.2">
      <c r="A603" s="11">
        <v>731</v>
      </c>
      <c r="F603" s="11" t="s">
        <v>16420</v>
      </c>
      <c r="G603" s="11" t="s">
        <v>16421</v>
      </c>
      <c r="H603" s="12">
        <v>38.299999999999997</v>
      </c>
      <c r="I603" s="11" t="s">
        <v>16404</v>
      </c>
      <c r="L603" s="11">
        <v>34.783999999999999</v>
      </c>
      <c r="M603" s="11">
        <v>40.728000000000002</v>
      </c>
      <c r="N603" s="11">
        <v>75.417000000000002</v>
      </c>
      <c r="O603" s="11">
        <v>75.385000000000005</v>
      </c>
      <c r="P603" s="11">
        <v>65.881</v>
      </c>
      <c r="Q603" s="11">
        <v>65.563000000000002</v>
      </c>
      <c r="R603" s="11">
        <v>104.57</v>
      </c>
      <c r="S603" s="11">
        <v>104.26</v>
      </c>
      <c r="T603" s="11">
        <v>72.852000000000004</v>
      </c>
      <c r="U603" s="11">
        <v>60.289000000000001</v>
      </c>
      <c r="V603" s="11">
        <v>27.148</v>
      </c>
      <c r="W603" s="11">
        <v>39.710999999999999</v>
      </c>
      <c r="X603" s="11">
        <v>16.021999999999998</v>
      </c>
      <c r="Y603" s="11">
        <v>17.356999999999999</v>
      </c>
      <c r="Z603" s="11">
        <v>39.710999999999999</v>
      </c>
      <c r="AA603" s="11">
        <v>27.148</v>
      </c>
      <c r="AB603" s="11">
        <v>16.606999999999999</v>
      </c>
      <c r="AC603" s="11">
        <v>14</v>
      </c>
      <c r="AD603" s="11">
        <v>16</v>
      </c>
      <c r="AE603" s="11">
        <v>14</v>
      </c>
      <c r="AF603" s="11">
        <v>14</v>
      </c>
    </row>
    <row r="604" spans="1:32" s="11" customFormat="1" x14ac:dyDescent="0.2">
      <c r="A604" s="11">
        <v>732</v>
      </c>
      <c r="F604" s="11" t="s">
        <v>16414</v>
      </c>
      <c r="G604" s="11" t="s">
        <v>16415</v>
      </c>
      <c r="H604" s="12">
        <v>61.9</v>
      </c>
      <c r="I604" s="11" t="s">
        <v>16404</v>
      </c>
      <c r="L604" s="11">
        <v>54.293999999999997</v>
      </c>
      <c r="M604" s="11">
        <v>49.497</v>
      </c>
      <c r="N604" s="11">
        <v>102.714</v>
      </c>
      <c r="O604" s="11">
        <v>103.075</v>
      </c>
      <c r="P604" s="11">
        <v>79.19</v>
      </c>
      <c r="Q604" s="11">
        <v>80.47</v>
      </c>
      <c r="R604" s="11">
        <v>94.320999999999998</v>
      </c>
      <c r="S604" s="11">
        <v>95.204999999999998</v>
      </c>
      <c r="T604" s="11">
        <v>64.540999999999997</v>
      </c>
      <c r="U604" s="11">
        <v>65.709999999999994</v>
      </c>
      <c r="V604" s="11">
        <v>35.459000000000003</v>
      </c>
      <c r="W604" s="11">
        <v>34.29</v>
      </c>
      <c r="X604" s="11">
        <v>14.048</v>
      </c>
      <c r="Y604" s="11">
        <v>16.759</v>
      </c>
      <c r="Z604" s="11">
        <v>34.29</v>
      </c>
      <c r="AA604" s="11">
        <v>35.459000000000003</v>
      </c>
      <c r="AB604" s="11">
        <v>19.260000000000002</v>
      </c>
      <c r="AC604" s="11">
        <v>17</v>
      </c>
      <c r="AD604" s="11">
        <v>14</v>
      </c>
      <c r="AE604" s="11">
        <v>14</v>
      </c>
      <c r="AF604" s="11">
        <v>14</v>
      </c>
    </row>
    <row r="605" spans="1:32" s="11" customFormat="1" x14ac:dyDescent="0.2">
      <c r="A605" s="11">
        <v>733</v>
      </c>
      <c r="F605" s="11" t="s">
        <v>16420</v>
      </c>
      <c r="G605" s="11" t="s">
        <v>16421</v>
      </c>
      <c r="H605" s="12">
        <v>79.8</v>
      </c>
      <c r="I605" s="11" t="s">
        <v>16404</v>
      </c>
      <c r="L605" s="11">
        <v>58.09</v>
      </c>
      <c r="M605" s="11">
        <v>57.253999999999998</v>
      </c>
      <c r="N605" s="11">
        <v>115.4</v>
      </c>
      <c r="O605" s="11">
        <v>114.89700000000001</v>
      </c>
      <c r="P605" s="11">
        <v>101.85</v>
      </c>
      <c r="Q605" s="11">
        <v>101.51600000000001</v>
      </c>
      <c r="R605" s="11">
        <v>105.741</v>
      </c>
      <c r="S605" s="11">
        <v>105.73699999999999</v>
      </c>
      <c r="T605" s="11">
        <v>61.154000000000003</v>
      </c>
      <c r="U605" s="11">
        <v>61.783000000000001</v>
      </c>
      <c r="V605" s="11">
        <v>38.845999999999997</v>
      </c>
      <c r="W605" s="11">
        <v>38.216999999999999</v>
      </c>
      <c r="X605" s="11">
        <v>13.377000000000001</v>
      </c>
      <c r="Y605" s="11">
        <v>9.9339999999999993</v>
      </c>
      <c r="Z605" s="11">
        <v>38.216999999999999</v>
      </c>
      <c r="AA605" s="11">
        <v>38.845999999999997</v>
      </c>
      <c r="AB605" s="11">
        <v>8.5549999999999997</v>
      </c>
      <c r="AC605" s="11">
        <v>13</v>
      </c>
      <c r="AD605" s="11">
        <v>13</v>
      </c>
      <c r="AE605" s="11">
        <v>13</v>
      </c>
      <c r="AF605" s="11">
        <v>13</v>
      </c>
    </row>
    <row r="606" spans="1:32" s="11" customFormat="1" x14ac:dyDescent="0.2">
      <c r="A606" s="11">
        <v>734</v>
      </c>
      <c r="F606" s="11" t="s">
        <v>16403</v>
      </c>
      <c r="G606" s="11" t="s">
        <v>16403</v>
      </c>
      <c r="H606" s="12">
        <v>999</v>
      </c>
      <c r="I606" s="11" t="s">
        <v>16403</v>
      </c>
      <c r="L606" s="11">
        <v>54.470999999999997</v>
      </c>
      <c r="M606" s="11">
        <v>55.267000000000003</v>
      </c>
      <c r="N606" s="11">
        <v>110.021</v>
      </c>
      <c r="O606" s="11">
        <v>109.73699999999999</v>
      </c>
      <c r="P606" s="11">
        <v>96.980999999999995</v>
      </c>
      <c r="Q606" s="11">
        <v>97.344999999999999</v>
      </c>
      <c r="R606" s="11">
        <v>106.288</v>
      </c>
      <c r="S606" s="11">
        <v>105.97</v>
      </c>
      <c r="T606" s="11">
        <v>63.776000000000003</v>
      </c>
      <c r="U606" s="11">
        <v>62.89</v>
      </c>
      <c r="V606" s="11">
        <v>36.223999999999997</v>
      </c>
      <c r="W606" s="11">
        <v>37.11</v>
      </c>
      <c r="X606" s="11">
        <v>13.227</v>
      </c>
      <c r="Y606" s="11">
        <v>13.933</v>
      </c>
      <c r="Z606" s="11">
        <v>37.11</v>
      </c>
      <c r="AA606" s="11">
        <v>36.223999999999997</v>
      </c>
      <c r="AB606" s="11">
        <v>10.74</v>
      </c>
      <c r="AC606" s="11">
        <v>18</v>
      </c>
      <c r="AD606" s="11">
        <v>16</v>
      </c>
      <c r="AE606" s="11">
        <v>16</v>
      </c>
      <c r="AF606" s="11">
        <v>16</v>
      </c>
    </row>
    <row r="607" spans="1:32" s="11" customFormat="1" x14ac:dyDescent="0.2">
      <c r="A607" s="11">
        <v>735</v>
      </c>
      <c r="F607" s="11" t="s">
        <v>16414</v>
      </c>
      <c r="G607" s="11" t="s">
        <v>16415</v>
      </c>
      <c r="H607" s="12">
        <v>63.6</v>
      </c>
      <c r="I607" s="11" t="s">
        <v>16404</v>
      </c>
      <c r="L607" s="11">
        <v>59.177999999999997</v>
      </c>
      <c r="M607" s="11">
        <v>70.497</v>
      </c>
      <c r="N607" s="11">
        <v>129.43299999999999</v>
      </c>
      <c r="O607" s="11">
        <v>129.642</v>
      </c>
      <c r="P607" s="11">
        <v>106.85599999999999</v>
      </c>
      <c r="Q607" s="11">
        <v>107.455</v>
      </c>
      <c r="R607" s="11">
        <v>99.004999999999995</v>
      </c>
      <c r="S607" s="11">
        <v>99.043999999999997</v>
      </c>
      <c r="T607" s="11">
        <v>60.923000000000002</v>
      </c>
      <c r="U607" s="11">
        <v>61.828000000000003</v>
      </c>
      <c r="V607" s="11">
        <v>39.076999999999998</v>
      </c>
      <c r="W607" s="11">
        <v>38.171999999999997</v>
      </c>
      <c r="X607" s="11">
        <v>10.423999999999999</v>
      </c>
      <c r="Y607" s="11">
        <v>12.492000000000001</v>
      </c>
      <c r="Z607" s="11">
        <v>38.171999999999997</v>
      </c>
      <c r="AA607" s="11">
        <v>39.076999999999998</v>
      </c>
      <c r="AB607" s="11">
        <v>11.643000000000001</v>
      </c>
      <c r="AC607" s="11">
        <v>12</v>
      </c>
      <c r="AD607" s="11">
        <v>12</v>
      </c>
      <c r="AE607" s="11">
        <v>12</v>
      </c>
      <c r="AF607" s="11">
        <v>12</v>
      </c>
    </row>
    <row r="608" spans="1:32" s="11" customFormat="1" x14ac:dyDescent="0.2">
      <c r="A608" s="11">
        <v>736</v>
      </c>
      <c r="F608" s="11" t="s">
        <v>16420</v>
      </c>
      <c r="G608" s="11" t="s">
        <v>16421</v>
      </c>
      <c r="H608" s="12">
        <v>69.3</v>
      </c>
      <c r="I608" s="11" t="s">
        <v>16407</v>
      </c>
      <c r="L608" s="11">
        <v>44.524999999999999</v>
      </c>
      <c r="M608" s="11">
        <v>46.966000000000001</v>
      </c>
      <c r="N608" s="11">
        <v>91.858000000000004</v>
      </c>
      <c r="O608" s="11">
        <v>91.364000000000004</v>
      </c>
      <c r="P608" s="11">
        <v>68.927000000000007</v>
      </c>
      <c r="Q608" s="11">
        <v>68.673000000000002</v>
      </c>
      <c r="R608" s="11">
        <v>89.448999999999998</v>
      </c>
      <c r="S608" s="11">
        <v>89.822000000000003</v>
      </c>
      <c r="T608" s="11">
        <v>68.486000000000004</v>
      </c>
      <c r="U608" s="11">
        <v>67.007999999999996</v>
      </c>
      <c r="V608" s="11">
        <v>31.513999999999999</v>
      </c>
      <c r="W608" s="11">
        <v>32.991999999999997</v>
      </c>
      <c r="X608" s="11">
        <v>17.058</v>
      </c>
      <c r="Y608" s="11">
        <v>17.571000000000002</v>
      </c>
      <c r="Z608" s="11">
        <v>32.991999999999997</v>
      </c>
      <c r="AA608" s="11">
        <v>31.513999999999999</v>
      </c>
      <c r="AB608" s="11">
        <v>7.7080000000000002</v>
      </c>
      <c r="AC608" s="11">
        <v>13</v>
      </c>
      <c r="AD608" s="11">
        <v>13</v>
      </c>
      <c r="AE608" s="11">
        <v>13</v>
      </c>
      <c r="AF608" s="11">
        <v>13</v>
      </c>
    </row>
    <row r="609" spans="1:32" s="11" customFormat="1" x14ac:dyDescent="0.2">
      <c r="A609" s="11">
        <v>737</v>
      </c>
      <c r="F609" s="11" t="s">
        <v>16426</v>
      </c>
      <c r="G609" s="11" t="s">
        <v>16427</v>
      </c>
      <c r="H609" s="12">
        <v>70.400000000000006</v>
      </c>
      <c r="I609" s="11" t="s">
        <v>16407</v>
      </c>
      <c r="L609" s="11">
        <v>43.338000000000001</v>
      </c>
      <c r="M609" s="11">
        <v>40.137999999999998</v>
      </c>
      <c r="N609" s="11">
        <v>84.102999999999994</v>
      </c>
      <c r="O609" s="11">
        <v>83.468000000000004</v>
      </c>
      <c r="P609" s="11">
        <v>65.411000000000001</v>
      </c>
      <c r="Q609" s="11">
        <v>64.951999999999998</v>
      </c>
      <c r="R609" s="11">
        <v>93.91</v>
      </c>
      <c r="S609" s="11">
        <v>93.674000000000007</v>
      </c>
      <c r="T609" s="11">
        <v>64.453000000000003</v>
      </c>
      <c r="U609" s="11">
        <v>65.814999999999998</v>
      </c>
      <c r="V609" s="11">
        <v>35.546999999999997</v>
      </c>
      <c r="W609" s="11">
        <v>34.185000000000002</v>
      </c>
      <c r="X609" s="11">
        <v>15.896000000000001</v>
      </c>
      <c r="Y609" s="11">
        <v>13.811</v>
      </c>
      <c r="Z609" s="11">
        <v>34.185000000000002</v>
      </c>
      <c r="AA609" s="11">
        <v>35.546999999999997</v>
      </c>
      <c r="AB609" s="11">
        <v>12.406000000000001</v>
      </c>
      <c r="AC609" s="11">
        <v>16</v>
      </c>
      <c r="AD609" s="11">
        <v>19</v>
      </c>
      <c r="AE609" s="11">
        <v>16</v>
      </c>
      <c r="AF609" s="11">
        <v>16</v>
      </c>
    </row>
    <row r="610" spans="1:32" s="11" customFormat="1" x14ac:dyDescent="0.2">
      <c r="A610" s="11">
        <v>738</v>
      </c>
      <c r="F610" s="11" t="s">
        <v>16420</v>
      </c>
      <c r="G610" s="11" t="s">
        <v>16421</v>
      </c>
      <c r="H610" s="12">
        <v>61.4</v>
      </c>
      <c r="I610" s="11" t="s">
        <v>16407</v>
      </c>
      <c r="L610" s="11">
        <v>40.895000000000003</v>
      </c>
      <c r="M610" s="11">
        <v>37.186999999999998</v>
      </c>
      <c r="N610" s="11">
        <v>78.629000000000005</v>
      </c>
      <c r="O610" s="11">
        <v>78.381</v>
      </c>
      <c r="P610" s="11">
        <v>63.819000000000003</v>
      </c>
      <c r="Q610" s="11">
        <v>64.119</v>
      </c>
      <c r="R610" s="11">
        <v>97.911000000000001</v>
      </c>
      <c r="S610" s="11">
        <v>97.796999999999997</v>
      </c>
      <c r="T610" s="11">
        <v>66.977000000000004</v>
      </c>
      <c r="U610" s="11">
        <v>68.385000000000005</v>
      </c>
      <c r="V610" s="11">
        <v>33.023000000000003</v>
      </c>
      <c r="W610" s="11">
        <v>31.614999999999998</v>
      </c>
      <c r="X610" s="11">
        <v>18.914000000000001</v>
      </c>
      <c r="Y610" s="11">
        <v>16.745000000000001</v>
      </c>
      <c r="Z610" s="11">
        <v>31.614999999999998</v>
      </c>
      <c r="AA610" s="11">
        <v>33.023000000000003</v>
      </c>
      <c r="AB610" s="11">
        <v>17.103999999999999</v>
      </c>
      <c r="AC610" s="11">
        <v>16</v>
      </c>
      <c r="AD610" s="11">
        <v>16</v>
      </c>
      <c r="AE610" s="11">
        <v>16</v>
      </c>
      <c r="AF610" s="11">
        <v>16</v>
      </c>
    </row>
    <row r="611" spans="1:32" s="11" customFormat="1" x14ac:dyDescent="0.2">
      <c r="A611" s="11">
        <v>739</v>
      </c>
      <c r="F611" s="11" t="s">
        <v>16403</v>
      </c>
      <c r="G611" s="11" t="s">
        <v>16403</v>
      </c>
      <c r="H611" s="12">
        <v>999</v>
      </c>
      <c r="I611" s="11" t="s">
        <v>16403</v>
      </c>
      <c r="L611" s="11">
        <v>67.486999999999995</v>
      </c>
      <c r="M611" s="11">
        <v>59.488999999999997</v>
      </c>
      <c r="N611" s="11">
        <v>127.14700000000001</v>
      </c>
      <c r="O611" s="11">
        <v>126.886</v>
      </c>
      <c r="P611" s="11">
        <v>119.035</v>
      </c>
      <c r="Q611" s="11">
        <v>118.80500000000001</v>
      </c>
      <c r="R611" s="11">
        <v>112.51600000000001</v>
      </c>
      <c r="S611" s="11">
        <v>112.251</v>
      </c>
      <c r="T611" s="11">
        <v>63.408999999999999</v>
      </c>
      <c r="U611" s="11">
        <v>62.993000000000002</v>
      </c>
      <c r="V611" s="11">
        <v>36.591000000000001</v>
      </c>
      <c r="W611" s="11">
        <v>37.006999999999998</v>
      </c>
      <c r="X611" s="11">
        <v>11.813000000000001</v>
      </c>
      <c r="Y611" s="11">
        <v>15.071</v>
      </c>
      <c r="Z611" s="11">
        <v>37.006999999999998</v>
      </c>
      <c r="AA611" s="11">
        <v>36.591000000000001</v>
      </c>
      <c r="AB611" s="11">
        <v>9.5920000000000005</v>
      </c>
      <c r="AC611" s="11">
        <v>17</v>
      </c>
      <c r="AD611" s="11">
        <v>12</v>
      </c>
      <c r="AE611" s="11">
        <v>12</v>
      </c>
      <c r="AF611" s="11">
        <v>12</v>
      </c>
    </row>
    <row r="612" spans="1:32" s="11" customFormat="1" x14ac:dyDescent="0.2">
      <c r="A612" s="11">
        <v>740</v>
      </c>
      <c r="F612" s="11" t="s">
        <v>16403</v>
      </c>
      <c r="G612" s="11" t="s">
        <v>16403</v>
      </c>
      <c r="H612" s="12">
        <v>999</v>
      </c>
      <c r="I612" s="11" t="s">
        <v>16403</v>
      </c>
      <c r="L612" s="11">
        <v>36.764000000000003</v>
      </c>
      <c r="M612" s="11">
        <v>41.137</v>
      </c>
      <c r="N612" s="11">
        <v>78.378</v>
      </c>
      <c r="O612" s="11">
        <v>77.581000000000003</v>
      </c>
      <c r="P612" s="11">
        <v>47.445</v>
      </c>
      <c r="Q612" s="11">
        <v>47.984999999999999</v>
      </c>
      <c r="R612" s="11">
        <v>72.650000000000006</v>
      </c>
      <c r="S612" s="11">
        <v>73.686999999999998</v>
      </c>
      <c r="T612" s="11">
        <v>65.48</v>
      </c>
      <c r="U612" s="11">
        <v>72.125</v>
      </c>
      <c r="V612" s="11">
        <v>34.520000000000003</v>
      </c>
      <c r="W612" s="11">
        <v>27.875</v>
      </c>
      <c r="X612" s="11">
        <v>15.794</v>
      </c>
      <c r="Y612" s="11">
        <v>21.721</v>
      </c>
      <c r="Z612" s="11">
        <v>27.875</v>
      </c>
      <c r="AA612" s="11">
        <v>34.520000000000003</v>
      </c>
      <c r="AB612" s="11">
        <v>18.783000000000001</v>
      </c>
      <c r="AC612" s="11">
        <v>15</v>
      </c>
      <c r="AD612" s="11">
        <v>14</v>
      </c>
      <c r="AE612" s="11">
        <v>14</v>
      </c>
      <c r="AF612" s="11">
        <v>14</v>
      </c>
    </row>
    <row r="613" spans="1:32" s="11" customFormat="1" x14ac:dyDescent="0.2">
      <c r="A613" s="11">
        <v>741</v>
      </c>
      <c r="F613" s="11" t="s">
        <v>16403</v>
      </c>
      <c r="G613" s="11" t="s">
        <v>16403</v>
      </c>
      <c r="H613" s="12">
        <v>999</v>
      </c>
      <c r="I613" s="11" t="s">
        <v>16403</v>
      </c>
      <c r="L613" s="11">
        <v>41.176000000000002</v>
      </c>
      <c r="M613" s="11">
        <v>43.496000000000002</v>
      </c>
      <c r="N613" s="11">
        <v>85.066000000000003</v>
      </c>
      <c r="O613" s="11">
        <v>84.343000000000004</v>
      </c>
      <c r="P613" s="11">
        <v>67.741</v>
      </c>
      <c r="Q613" s="11">
        <v>67.561999999999998</v>
      </c>
      <c r="R613" s="11">
        <v>95.278000000000006</v>
      </c>
      <c r="S613" s="11">
        <v>95.528999999999996</v>
      </c>
      <c r="T613" s="11">
        <v>68.322000000000003</v>
      </c>
      <c r="U613" s="11">
        <v>66.688000000000002</v>
      </c>
      <c r="V613" s="11">
        <v>31.678000000000001</v>
      </c>
      <c r="W613" s="11">
        <v>33.311999999999998</v>
      </c>
      <c r="X613" s="11">
        <v>18.117999999999999</v>
      </c>
      <c r="Y613" s="11">
        <v>16.579999999999998</v>
      </c>
      <c r="Z613" s="11">
        <v>33.311999999999998</v>
      </c>
      <c r="AA613" s="11">
        <v>31.678000000000001</v>
      </c>
      <c r="AB613" s="11">
        <v>12.574999999999999</v>
      </c>
      <c r="AC613" s="11">
        <v>14</v>
      </c>
      <c r="AD613" s="11">
        <v>15</v>
      </c>
      <c r="AE613" s="11">
        <v>14</v>
      </c>
      <c r="AF613" s="11">
        <v>14</v>
      </c>
    </row>
    <row r="614" spans="1:32" s="11" customFormat="1" x14ac:dyDescent="0.2">
      <c r="A614" s="11">
        <v>742</v>
      </c>
      <c r="F614" s="11" t="s">
        <v>16458</v>
      </c>
      <c r="G614" s="11" t="s">
        <v>16459</v>
      </c>
      <c r="H614" s="12">
        <v>36.200000000000003</v>
      </c>
      <c r="I614" s="11" t="s">
        <v>16407</v>
      </c>
      <c r="L614" s="11">
        <v>37.07</v>
      </c>
      <c r="M614" s="11">
        <v>39.914000000000001</v>
      </c>
      <c r="N614" s="11">
        <v>77.62</v>
      </c>
      <c r="O614" s="11">
        <v>76.528000000000006</v>
      </c>
      <c r="P614" s="11">
        <v>61.643999999999998</v>
      </c>
      <c r="Q614" s="11">
        <v>60.506</v>
      </c>
      <c r="R614" s="11">
        <v>95.346999999999994</v>
      </c>
      <c r="S614" s="11">
        <v>95.266000000000005</v>
      </c>
      <c r="T614" s="11">
        <v>70.503</v>
      </c>
      <c r="U614" s="11">
        <v>67.043999999999997</v>
      </c>
      <c r="V614" s="11">
        <v>29.497</v>
      </c>
      <c r="W614" s="11">
        <v>32.956000000000003</v>
      </c>
      <c r="X614" s="11">
        <v>17.349</v>
      </c>
      <c r="Y614" s="11">
        <v>21.065000000000001</v>
      </c>
      <c r="Z614" s="11">
        <v>32.956000000000003</v>
      </c>
      <c r="AA614" s="11">
        <v>29.497</v>
      </c>
      <c r="AB614" s="11">
        <v>14.821999999999999</v>
      </c>
      <c r="AC614" s="11">
        <v>14</v>
      </c>
      <c r="AD614" s="11">
        <v>14</v>
      </c>
      <c r="AE614" s="11">
        <v>14</v>
      </c>
      <c r="AF614" s="11">
        <v>14</v>
      </c>
    </row>
    <row r="615" spans="1:32" s="11" customFormat="1" x14ac:dyDescent="0.2">
      <c r="A615" s="11">
        <v>743</v>
      </c>
      <c r="F615" s="11" t="s">
        <v>16414</v>
      </c>
      <c r="G615" s="11" t="s">
        <v>16415</v>
      </c>
      <c r="H615" s="12">
        <v>60.2</v>
      </c>
      <c r="I615" s="11" t="s">
        <v>16404</v>
      </c>
      <c r="L615" s="11">
        <v>59.037999999999997</v>
      </c>
      <c r="M615" s="11">
        <v>62.743000000000002</v>
      </c>
      <c r="N615" s="11">
        <v>122.25</v>
      </c>
      <c r="O615" s="11">
        <v>122.258</v>
      </c>
      <c r="P615" s="11">
        <v>105.298</v>
      </c>
      <c r="Q615" s="11">
        <v>106.321</v>
      </c>
      <c r="R615" s="11">
        <v>102.971</v>
      </c>
      <c r="S615" s="11">
        <v>104.14100000000001</v>
      </c>
      <c r="T615" s="11">
        <v>63.743000000000002</v>
      </c>
      <c r="U615" s="11">
        <v>63.375</v>
      </c>
      <c r="V615" s="11">
        <v>36.256999999999998</v>
      </c>
      <c r="W615" s="11">
        <v>36.625</v>
      </c>
      <c r="X615" s="11">
        <v>14.066000000000001</v>
      </c>
      <c r="Y615" s="11">
        <v>13.613</v>
      </c>
      <c r="Z615" s="11">
        <v>36.625</v>
      </c>
      <c r="AA615" s="11">
        <v>36.256999999999998</v>
      </c>
      <c r="AB615" s="11">
        <v>16.324999999999999</v>
      </c>
      <c r="AC615" s="11">
        <v>16</v>
      </c>
      <c r="AD615" s="11">
        <v>12</v>
      </c>
      <c r="AE615" s="11">
        <v>12</v>
      </c>
      <c r="AF615" s="11">
        <v>12</v>
      </c>
    </row>
    <row r="616" spans="1:32" s="11" customFormat="1" x14ac:dyDescent="0.2">
      <c r="A616" s="11">
        <v>744</v>
      </c>
      <c r="F616" s="11" t="s">
        <v>16420</v>
      </c>
      <c r="G616" s="11" t="s">
        <v>16421</v>
      </c>
      <c r="H616" s="12">
        <v>72.3</v>
      </c>
      <c r="I616" s="11" t="s">
        <v>16404</v>
      </c>
      <c r="L616" s="11">
        <v>66.540999999999997</v>
      </c>
      <c r="M616" s="11">
        <v>63.628999999999998</v>
      </c>
      <c r="N616" s="11">
        <v>130.41</v>
      </c>
      <c r="O616" s="11">
        <v>130.53399999999999</v>
      </c>
      <c r="P616" s="11">
        <v>117.14700000000001</v>
      </c>
      <c r="Q616" s="11">
        <v>116.979</v>
      </c>
      <c r="R616" s="11">
        <v>107.36199999999999</v>
      </c>
      <c r="S616" s="11">
        <v>107.345</v>
      </c>
      <c r="T616" s="11">
        <v>63.787999999999997</v>
      </c>
      <c r="U616" s="11">
        <v>63.914000000000001</v>
      </c>
      <c r="V616" s="11">
        <v>36.212000000000003</v>
      </c>
      <c r="W616" s="11">
        <v>36.085999999999999</v>
      </c>
      <c r="X616" s="11">
        <v>15.026999999999999</v>
      </c>
      <c r="Y616" s="11">
        <v>12.419</v>
      </c>
      <c r="Z616" s="11">
        <v>36.085999999999999</v>
      </c>
      <c r="AA616" s="11">
        <v>36.212000000000003</v>
      </c>
      <c r="AB616" s="11">
        <v>11.382999999999999</v>
      </c>
      <c r="AC616" s="11">
        <v>12</v>
      </c>
      <c r="AD616" s="11">
        <v>12</v>
      </c>
      <c r="AE616" s="11">
        <v>12</v>
      </c>
      <c r="AF616" s="11">
        <v>12</v>
      </c>
    </row>
    <row r="617" spans="1:32" s="11" customFormat="1" x14ac:dyDescent="0.2">
      <c r="A617" s="11">
        <v>745</v>
      </c>
      <c r="F617" s="11" t="s">
        <v>16418</v>
      </c>
      <c r="G617" s="11" t="s">
        <v>16419</v>
      </c>
      <c r="H617" s="12">
        <v>43.4</v>
      </c>
      <c r="I617" s="11" t="s">
        <v>16407</v>
      </c>
      <c r="L617" s="11" t="s">
        <v>16403</v>
      </c>
      <c r="M617" s="11" t="s">
        <v>16403</v>
      </c>
      <c r="N617" s="11" t="s">
        <v>16403</v>
      </c>
      <c r="O617" s="11" t="s">
        <v>16403</v>
      </c>
      <c r="P617" s="11" t="s">
        <v>16403</v>
      </c>
      <c r="Q617" s="11" t="s">
        <v>16403</v>
      </c>
      <c r="R617" s="11" t="s">
        <v>16403</v>
      </c>
      <c r="S617" s="11" t="s">
        <v>16403</v>
      </c>
      <c r="T617" s="11" t="s">
        <v>16403</v>
      </c>
      <c r="U617" s="11" t="s">
        <v>16403</v>
      </c>
      <c r="V617" s="11" t="s">
        <v>16403</v>
      </c>
      <c r="W617" s="11" t="s">
        <v>16403</v>
      </c>
      <c r="X617" s="11" t="s">
        <v>16403</v>
      </c>
      <c r="Y617" s="11" t="s">
        <v>16403</v>
      </c>
      <c r="Z617" s="11" t="s">
        <v>16403</v>
      </c>
      <c r="AA617" s="11" t="s">
        <v>16403</v>
      </c>
      <c r="AB617" s="11" t="s">
        <v>16403</v>
      </c>
      <c r="AC617" s="11" t="s">
        <v>16403</v>
      </c>
      <c r="AD617" s="11" t="s">
        <v>16403</v>
      </c>
      <c r="AE617" s="11" t="s">
        <v>16403</v>
      </c>
      <c r="AF617" s="11" t="s">
        <v>16403</v>
      </c>
    </row>
    <row r="618" spans="1:32" s="11" customFormat="1" x14ac:dyDescent="0.2">
      <c r="A618" s="11">
        <v>746</v>
      </c>
      <c r="F618" s="11" t="s">
        <v>16424</v>
      </c>
      <c r="G618" s="11" t="s">
        <v>16425</v>
      </c>
      <c r="H618" s="12">
        <v>77.5</v>
      </c>
      <c r="I618" s="11" t="s">
        <v>16407</v>
      </c>
      <c r="L618" s="11">
        <v>48.847999999999999</v>
      </c>
      <c r="M618" s="11">
        <v>46.93</v>
      </c>
      <c r="N618" s="11">
        <v>95.320999999999998</v>
      </c>
      <c r="O618" s="11">
        <v>96.394999999999996</v>
      </c>
      <c r="P618" s="11">
        <v>91.47</v>
      </c>
      <c r="Q618" s="11">
        <v>92.879000000000005</v>
      </c>
      <c r="R618" s="11">
        <v>114.343</v>
      </c>
      <c r="S618" s="11">
        <v>114.827</v>
      </c>
      <c r="T618" s="11">
        <v>62.088999999999999</v>
      </c>
      <c r="U618" s="11">
        <v>61.256999999999998</v>
      </c>
      <c r="V618" s="11">
        <v>37.911000000000001</v>
      </c>
      <c r="W618" s="11">
        <v>38.743000000000002</v>
      </c>
      <c r="X618" s="11">
        <v>12.387</v>
      </c>
      <c r="Y618" s="11">
        <v>11.346</v>
      </c>
      <c r="Z618" s="11">
        <v>38.743000000000002</v>
      </c>
      <c r="AA618" s="11">
        <v>37.911000000000001</v>
      </c>
      <c r="AB618" s="11">
        <v>11.09</v>
      </c>
      <c r="AC618" s="11">
        <v>13</v>
      </c>
      <c r="AD618" s="11">
        <v>13</v>
      </c>
      <c r="AE618" s="11">
        <v>13</v>
      </c>
      <c r="AF618" s="11">
        <v>13</v>
      </c>
    </row>
    <row r="619" spans="1:32" s="11" customFormat="1" x14ac:dyDescent="0.2">
      <c r="A619" s="11">
        <v>747</v>
      </c>
      <c r="F619" s="11" t="s">
        <v>16424</v>
      </c>
      <c r="G619" s="11" t="s">
        <v>16425</v>
      </c>
      <c r="H619" s="12">
        <v>22.2</v>
      </c>
      <c r="I619" s="11" t="s">
        <v>16404</v>
      </c>
      <c r="L619" s="11">
        <v>48.771999999999998</v>
      </c>
      <c r="M619" s="11">
        <v>48</v>
      </c>
      <c r="N619" s="11">
        <v>97.084000000000003</v>
      </c>
      <c r="O619" s="11">
        <v>96.718999999999994</v>
      </c>
      <c r="P619" s="11">
        <v>93.501999999999995</v>
      </c>
      <c r="Q619" s="11">
        <v>93.394000000000005</v>
      </c>
      <c r="R619" s="11">
        <v>115.532</v>
      </c>
      <c r="S619" s="11">
        <v>115.626</v>
      </c>
      <c r="T619" s="11">
        <v>59.953000000000003</v>
      </c>
      <c r="U619" s="11">
        <v>61.277999999999999</v>
      </c>
      <c r="V619" s="11">
        <v>40.046999999999997</v>
      </c>
      <c r="W619" s="11">
        <v>38.722000000000001</v>
      </c>
      <c r="X619" s="11">
        <v>10.199999999999999</v>
      </c>
      <c r="Y619" s="11">
        <v>11.324999999999999</v>
      </c>
      <c r="Z619" s="11">
        <v>38.722000000000001</v>
      </c>
      <c r="AA619" s="11">
        <v>40.046999999999997</v>
      </c>
      <c r="AB619" s="11">
        <v>11.09</v>
      </c>
      <c r="AC619" s="11">
        <v>15</v>
      </c>
      <c r="AD619" s="11">
        <v>14</v>
      </c>
      <c r="AE619" s="11">
        <v>14</v>
      </c>
      <c r="AF619" s="11">
        <v>14</v>
      </c>
    </row>
    <row r="620" spans="1:32" s="11" customFormat="1" x14ac:dyDescent="0.2">
      <c r="A620" s="11">
        <v>748</v>
      </c>
      <c r="F620" s="11" t="s">
        <v>16424</v>
      </c>
      <c r="G620" s="11" t="s">
        <v>16425</v>
      </c>
      <c r="H620" s="12">
        <v>71.400000000000006</v>
      </c>
      <c r="I620" s="11" t="s">
        <v>16407</v>
      </c>
      <c r="L620" s="11">
        <v>52.344999999999999</v>
      </c>
      <c r="M620" s="11">
        <v>51.146999999999998</v>
      </c>
      <c r="N620" s="11">
        <v>102.90900000000001</v>
      </c>
      <c r="O620" s="11">
        <v>104.39400000000001</v>
      </c>
      <c r="P620" s="11">
        <v>93.319000000000003</v>
      </c>
      <c r="Q620" s="11">
        <v>94.471000000000004</v>
      </c>
      <c r="R620" s="11">
        <v>109.283</v>
      </c>
      <c r="S620" s="11">
        <v>108.666</v>
      </c>
      <c r="T620" s="11">
        <v>63.828000000000003</v>
      </c>
      <c r="U620" s="11">
        <v>63.305</v>
      </c>
      <c r="V620" s="11">
        <v>36.171999999999997</v>
      </c>
      <c r="W620" s="11">
        <v>36.695</v>
      </c>
      <c r="X620" s="11">
        <v>13.372999999999999</v>
      </c>
      <c r="Y620" s="11">
        <v>15.162000000000001</v>
      </c>
      <c r="Z620" s="11">
        <v>36.695</v>
      </c>
      <c r="AA620" s="11">
        <v>36.171999999999997</v>
      </c>
      <c r="AB620" s="11">
        <v>20.603999999999999</v>
      </c>
      <c r="AC620" s="11">
        <v>12</v>
      </c>
      <c r="AD620" s="11">
        <v>11</v>
      </c>
      <c r="AE620" s="11">
        <v>11</v>
      </c>
      <c r="AF620" s="11">
        <v>11</v>
      </c>
    </row>
    <row r="621" spans="1:32" s="11" customFormat="1" x14ac:dyDescent="0.2">
      <c r="A621" s="11">
        <v>749</v>
      </c>
      <c r="F621" s="11" t="s">
        <v>16414</v>
      </c>
      <c r="G621" s="11" t="s">
        <v>16415</v>
      </c>
      <c r="H621" s="12">
        <v>73.8</v>
      </c>
      <c r="I621" s="11" t="s">
        <v>16404</v>
      </c>
      <c r="L621" s="11">
        <v>68.552999999999997</v>
      </c>
      <c r="M621" s="11">
        <v>69.775999999999996</v>
      </c>
      <c r="N621" s="11">
        <v>136.59100000000001</v>
      </c>
      <c r="O621" s="11">
        <v>139.19399999999999</v>
      </c>
      <c r="P621" s="11">
        <v>136.67500000000001</v>
      </c>
      <c r="Q621" s="11">
        <v>136.69999999999999</v>
      </c>
      <c r="R621" s="11">
        <v>118.547</v>
      </c>
      <c r="S621" s="11">
        <v>117.661</v>
      </c>
      <c r="T621" s="11">
        <v>62.564</v>
      </c>
      <c r="U621" s="11">
        <v>60.988999999999997</v>
      </c>
      <c r="V621" s="11">
        <v>37.436</v>
      </c>
      <c r="W621" s="11">
        <v>39.011000000000003</v>
      </c>
      <c r="X621" s="11">
        <v>13.994</v>
      </c>
      <c r="Y621" s="11">
        <v>8.9589999999999996</v>
      </c>
      <c r="Z621" s="11">
        <v>39.011000000000003</v>
      </c>
      <c r="AA621" s="11">
        <v>37.436</v>
      </c>
      <c r="AB621" s="11">
        <v>8.0440000000000005</v>
      </c>
      <c r="AC621" s="11">
        <v>6</v>
      </c>
      <c r="AD621" s="11">
        <v>9</v>
      </c>
      <c r="AE621" s="11">
        <v>6</v>
      </c>
      <c r="AF621" s="11">
        <v>6</v>
      </c>
    </row>
    <row r="622" spans="1:32" s="11" customFormat="1" x14ac:dyDescent="0.2">
      <c r="A622" s="11">
        <v>750</v>
      </c>
      <c r="F622" s="11" t="s">
        <v>16414</v>
      </c>
      <c r="G622" s="11" t="s">
        <v>16415</v>
      </c>
      <c r="H622" s="12">
        <v>76.400000000000006</v>
      </c>
      <c r="I622" s="11" t="s">
        <v>16404</v>
      </c>
      <c r="L622" s="11">
        <v>56.877000000000002</v>
      </c>
      <c r="M622" s="11">
        <v>57.978000000000002</v>
      </c>
      <c r="N622" s="11">
        <v>114.879</v>
      </c>
      <c r="O622" s="11">
        <v>114.678</v>
      </c>
      <c r="P622" s="11">
        <v>94.974000000000004</v>
      </c>
      <c r="Q622" s="11">
        <v>95.078000000000003</v>
      </c>
      <c r="R622" s="11">
        <v>98.866</v>
      </c>
      <c r="S622" s="11">
        <v>99.224000000000004</v>
      </c>
      <c r="T622" s="11">
        <v>63.277000000000001</v>
      </c>
      <c r="U622" s="11">
        <v>63.889000000000003</v>
      </c>
      <c r="V622" s="11">
        <v>36.722999999999999</v>
      </c>
      <c r="W622" s="11">
        <v>36.110999999999997</v>
      </c>
      <c r="X622" s="11">
        <v>13.785</v>
      </c>
      <c r="Y622" s="11">
        <v>13.43</v>
      </c>
      <c r="Z622" s="11">
        <v>36.110999999999997</v>
      </c>
      <c r="AA622" s="11">
        <v>36.722999999999999</v>
      </c>
      <c r="AB622" s="11">
        <v>7.77</v>
      </c>
      <c r="AC622" s="11">
        <v>10</v>
      </c>
      <c r="AD622" s="11">
        <v>12</v>
      </c>
      <c r="AE622" s="11">
        <v>10</v>
      </c>
      <c r="AF622" s="11">
        <v>10</v>
      </c>
    </row>
    <row r="623" spans="1:32" s="11" customFormat="1" x14ac:dyDescent="0.2">
      <c r="A623" s="11">
        <v>751</v>
      </c>
      <c r="F623" s="11" t="s">
        <v>16414</v>
      </c>
      <c r="G623" s="11" t="s">
        <v>16415</v>
      </c>
      <c r="H623" s="12">
        <v>51.1</v>
      </c>
      <c r="I623" s="11" t="s">
        <v>16404</v>
      </c>
      <c r="L623" s="11">
        <v>75.064999999999998</v>
      </c>
      <c r="M623" s="11">
        <v>73.290000000000006</v>
      </c>
      <c r="N623" s="11">
        <v>148.822</v>
      </c>
      <c r="O623" s="11">
        <v>148.18100000000001</v>
      </c>
      <c r="P623" s="11">
        <v>153.357</v>
      </c>
      <c r="Q623" s="11">
        <v>153.44200000000001</v>
      </c>
      <c r="R623" s="11">
        <v>123.122</v>
      </c>
      <c r="S623" s="11">
        <v>122.947</v>
      </c>
      <c r="T623" s="11">
        <v>59.968000000000004</v>
      </c>
      <c r="U623" s="11">
        <v>59.341999999999999</v>
      </c>
      <c r="V623" s="11">
        <v>40.031999999999996</v>
      </c>
      <c r="W623" s="11">
        <v>40.658000000000001</v>
      </c>
      <c r="X623" s="11">
        <v>9.6769999999999996</v>
      </c>
      <c r="Y623" s="11">
        <v>10.705</v>
      </c>
      <c r="Z623" s="11">
        <v>40.658000000000001</v>
      </c>
      <c r="AA623" s="11">
        <v>40.031999999999996</v>
      </c>
      <c r="AB623" s="11">
        <v>3.0259999999999998</v>
      </c>
      <c r="AC623" s="11">
        <v>6</v>
      </c>
      <c r="AD623" s="11">
        <v>9</v>
      </c>
      <c r="AE623" s="11">
        <v>6</v>
      </c>
      <c r="AF623" s="11">
        <v>6</v>
      </c>
    </row>
    <row r="624" spans="1:32" s="11" customFormat="1" x14ac:dyDescent="0.2">
      <c r="A624" s="11">
        <v>752</v>
      </c>
      <c r="F624" s="11" t="s">
        <v>16414</v>
      </c>
      <c r="G624" s="11" t="s">
        <v>16415</v>
      </c>
      <c r="H624" s="12">
        <v>60.4</v>
      </c>
      <c r="I624" s="11" t="s">
        <v>16404</v>
      </c>
      <c r="L624" s="11">
        <v>59.895000000000003</v>
      </c>
      <c r="M624" s="11">
        <v>51.722000000000001</v>
      </c>
      <c r="N624" s="11">
        <v>110.55800000000001</v>
      </c>
      <c r="O624" s="11">
        <v>112.67</v>
      </c>
      <c r="P624" s="11">
        <v>108.41500000000001</v>
      </c>
      <c r="Q624" s="11">
        <v>110.58499999999999</v>
      </c>
      <c r="R624" s="11">
        <v>117.732</v>
      </c>
      <c r="S624" s="11">
        <v>118.364</v>
      </c>
      <c r="T624" s="11">
        <v>61.136000000000003</v>
      </c>
      <c r="U624" s="11">
        <v>60.884999999999998</v>
      </c>
      <c r="V624" s="11">
        <v>38.863999999999997</v>
      </c>
      <c r="W624" s="11">
        <v>39.115000000000002</v>
      </c>
      <c r="X624" s="11">
        <v>11.629</v>
      </c>
      <c r="Y624" s="11">
        <v>11.012</v>
      </c>
      <c r="Z624" s="11">
        <v>39.115000000000002</v>
      </c>
      <c r="AA624" s="11">
        <v>38.863999999999997</v>
      </c>
      <c r="AB624" s="11">
        <v>12.311999999999999</v>
      </c>
      <c r="AC624" s="11">
        <v>9</v>
      </c>
      <c r="AD624" s="11">
        <v>10</v>
      </c>
      <c r="AE624" s="11">
        <v>9</v>
      </c>
      <c r="AF624" s="11">
        <v>9</v>
      </c>
    </row>
    <row r="625" spans="1:32" s="11" customFormat="1" x14ac:dyDescent="0.2">
      <c r="A625" s="11">
        <v>753</v>
      </c>
      <c r="F625" s="11" t="s">
        <v>16414</v>
      </c>
      <c r="G625" s="11" t="s">
        <v>16415</v>
      </c>
      <c r="H625" s="12">
        <v>67.900000000000006</v>
      </c>
      <c r="I625" s="11" t="s">
        <v>16404</v>
      </c>
      <c r="L625" s="11" t="s">
        <v>16403</v>
      </c>
      <c r="M625" s="11" t="s">
        <v>16403</v>
      </c>
      <c r="N625" s="11" t="s">
        <v>16403</v>
      </c>
      <c r="O625" s="11" t="s">
        <v>16403</v>
      </c>
      <c r="P625" s="11" t="s">
        <v>16403</v>
      </c>
      <c r="Q625" s="11" t="s">
        <v>16403</v>
      </c>
      <c r="R625" s="11" t="s">
        <v>16403</v>
      </c>
      <c r="S625" s="11" t="s">
        <v>16403</v>
      </c>
      <c r="T625" s="11" t="s">
        <v>16403</v>
      </c>
      <c r="U625" s="11" t="s">
        <v>16403</v>
      </c>
      <c r="V625" s="11" t="s">
        <v>16403</v>
      </c>
      <c r="W625" s="11" t="s">
        <v>16403</v>
      </c>
      <c r="X625" s="11" t="s">
        <v>16403</v>
      </c>
      <c r="Y625" s="11" t="s">
        <v>16403</v>
      </c>
      <c r="Z625" s="11" t="s">
        <v>16403</v>
      </c>
      <c r="AA625" s="11" t="s">
        <v>16403</v>
      </c>
      <c r="AB625" s="11" t="s">
        <v>16403</v>
      </c>
      <c r="AC625" s="11" t="s">
        <v>16403</v>
      </c>
      <c r="AD625" s="11" t="s">
        <v>16403</v>
      </c>
      <c r="AE625" s="11" t="s">
        <v>16403</v>
      </c>
      <c r="AF625" s="11" t="s">
        <v>16403</v>
      </c>
    </row>
    <row r="626" spans="1:32" s="11" customFormat="1" x14ac:dyDescent="0.2">
      <c r="A626" s="11">
        <v>754</v>
      </c>
      <c r="F626" s="11" t="s">
        <v>16414</v>
      </c>
      <c r="G626" s="11" t="s">
        <v>16415</v>
      </c>
      <c r="H626" s="12">
        <v>77.3</v>
      </c>
      <c r="I626" s="11" t="s">
        <v>16404</v>
      </c>
      <c r="L626" s="11">
        <v>34.396000000000001</v>
      </c>
      <c r="M626" s="11">
        <v>38.658999999999999</v>
      </c>
      <c r="N626" s="11">
        <v>73.441999999999993</v>
      </c>
      <c r="O626" s="11">
        <v>72.105000000000004</v>
      </c>
      <c r="P626" s="11">
        <v>76.716999999999999</v>
      </c>
      <c r="Q626" s="11">
        <v>76.852999999999994</v>
      </c>
      <c r="R626" s="11">
        <v>127.191</v>
      </c>
      <c r="S626" s="11">
        <v>127.589</v>
      </c>
      <c r="T626" s="11">
        <v>65.072999999999993</v>
      </c>
      <c r="U626" s="11">
        <v>60.73</v>
      </c>
      <c r="V626" s="11">
        <v>34.927</v>
      </c>
      <c r="W626" s="11">
        <v>39.270000000000003</v>
      </c>
      <c r="X626" s="11">
        <v>16.321000000000002</v>
      </c>
      <c r="Y626" s="11">
        <v>9.0960000000000001</v>
      </c>
      <c r="Z626" s="11">
        <v>39.270000000000003</v>
      </c>
      <c r="AA626" s="11">
        <v>34.927</v>
      </c>
      <c r="AB626" s="11">
        <v>10.532</v>
      </c>
      <c r="AC626" s="11">
        <v>15</v>
      </c>
      <c r="AD626" s="11">
        <v>16</v>
      </c>
      <c r="AE626" s="11">
        <v>15</v>
      </c>
      <c r="AF626" s="11">
        <v>15</v>
      </c>
    </row>
    <row r="627" spans="1:32" s="11" customFormat="1" x14ac:dyDescent="0.2">
      <c r="A627" s="11">
        <v>755</v>
      </c>
      <c r="F627" s="11" t="s">
        <v>16403</v>
      </c>
      <c r="G627" s="11" t="s">
        <v>16403</v>
      </c>
      <c r="H627" s="12">
        <v>999</v>
      </c>
      <c r="I627" s="11" t="s">
        <v>16403</v>
      </c>
      <c r="L627" s="11">
        <v>55.082999999999998</v>
      </c>
      <c r="M627" s="11">
        <v>47.816000000000003</v>
      </c>
      <c r="N627" s="11">
        <v>103.38800000000001</v>
      </c>
      <c r="O627" s="11">
        <v>102.89700000000001</v>
      </c>
      <c r="P627" s="11">
        <v>89.703999999999994</v>
      </c>
      <c r="Q627" s="11">
        <v>89.588999999999999</v>
      </c>
      <c r="R627" s="11">
        <v>103.398</v>
      </c>
      <c r="S627" s="11">
        <v>103.78700000000001</v>
      </c>
      <c r="T627" s="11">
        <v>63.777999999999999</v>
      </c>
      <c r="U627" s="11">
        <v>64.957999999999998</v>
      </c>
      <c r="V627" s="11">
        <v>36.222000000000001</v>
      </c>
      <c r="W627" s="11">
        <v>35.042000000000002</v>
      </c>
      <c r="X627" s="11">
        <v>14.01</v>
      </c>
      <c r="Y627" s="11">
        <v>14.919</v>
      </c>
      <c r="Z627" s="11">
        <v>35.042000000000002</v>
      </c>
      <c r="AA627" s="11">
        <v>36.222000000000001</v>
      </c>
      <c r="AB627" s="11">
        <v>8.5540000000000003</v>
      </c>
      <c r="AC627" s="11">
        <v>11</v>
      </c>
      <c r="AD627" s="11">
        <v>11</v>
      </c>
      <c r="AE627" s="11">
        <v>11</v>
      </c>
      <c r="AF627" s="11">
        <v>11</v>
      </c>
    </row>
    <row r="628" spans="1:32" s="11" customFormat="1" x14ac:dyDescent="0.2">
      <c r="A628" s="11">
        <v>756</v>
      </c>
      <c r="F628" s="11" t="s">
        <v>16414</v>
      </c>
      <c r="G628" s="11" t="s">
        <v>16415</v>
      </c>
      <c r="H628" s="12">
        <v>68</v>
      </c>
      <c r="I628" s="11" t="s">
        <v>16407</v>
      </c>
      <c r="L628" s="11">
        <v>56.767000000000003</v>
      </c>
      <c r="M628" s="11">
        <v>51.527999999999999</v>
      </c>
      <c r="N628" s="11">
        <v>108.751</v>
      </c>
      <c r="O628" s="11">
        <v>108.661</v>
      </c>
      <c r="P628" s="11">
        <v>92.566000000000003</v>
      </c>
      <c r="Q628" s="11">
        <v>93.114999999999995</v>
      </c>
      <c r="R628" s="11">
        <v>102.078</v>
      </c>
      <c r="S628" s="11">
        <v>102.38</v>
      </c>
      <c r="T628" s="11">
        <v>65.965999999999994</v>
      </c>
      <c r="U628" s="11">
        <v>64.552999999999997</v>
      </c>
      <c r="V628" s="11">
        <v>34.033999999999999</v>
      </c>
      <c r="W628" s="11">
        <v>35.448</v>
      </c>
      <c r="X628" s="11">
        <v>14.407999999999999</v>
      </c>
      <c r="Y628" s="11">
        <v>17.033000000000001</v>
      </c>
      <c r="Z628" s="11">
        <v>35.448</v>
      </c>
      <c r="AA628" s="11">
        <v>34.033999999999999</v>
      </c>
      <c r="AB628" s="11">
        <v>13.94</v>
      </c>
      <c r="AC628" s="11">
        <v>10</v>
      </c>
      <c r="AD628" s="11">
        <v>10</v>
      </c>
      <c r="AE628" s="11">
        <v>10</v>
      </c>
      <c r="AF628" s="11">
        <v>10</v>
      </c>
    </row>
    <row r="629" spans="1:32" s="11" customFormat="1" x14ac:dyDescent="0.2">
      <c r="A629" s="11">
        <v>757</v>
      </c>
      <c r="F629" s="11" t="s">
        <v>16403</v>
      </c>
      <c r="G629" s="11" t="s">
        <v>16403</v>
      </c>
      <c r="H629" s="12">
        <v>999</v>
      </c>
      <c r="I629" s="11" t="s">
        <v>16403</v>
      </c>
      <c r="L629" s="11" t="s">
        <v>16403</v>
      </c>
      <c r="M629" s="11" t="s">
        <v>16403</v>
      </c>
      <c r="N629" s="11" t="s">
        <v>16403</v>
      </c>
      <c r="O629" s="11" t="s">
        <v>16403</v>
      </c>
      <c r="P629" s="11" t="s">
        <v>16403</v>
      </c>
      <c r="Q629" s="11" t="s">
        <v>16403</v>
      </c>
      <c r="R629" s="11" t="s">
        <v>16403</v>
      </c>
      <c r="S629" s="11" t="s">
        <v>16403</v>
      </c>
      <c r="T629" s="11" t="s">
        <v>16403</v>
      </c>
      <c r="U629" s="11" t="s">
        <v>16403</v>
      </c>
      <c r="V629" s="11" t="s">
        <v>16403</v>
      </c>
      <c r="W629" s="11" t="s">
        <v>16403</v>
      </c>
      <c r="X629" s="11" t="s">
        <v>16403</v>
      </c>
      <c r="Y629" s="11" t="s">
        <v>16403</v>
      </c>
      <c r="Z629" s="11" t="s">
        <v>16403</v>
      </c>
      <c r="AA629" s="11" t="s">
        <v>16403</v>
      </c>
      <c r="AB629" s="11" t="s">
        <v>16403</v>
      </c>
      <c r="AC629" s="11" t="s">
        <v>16403</v>
      </c>
      <c r="AD629" s="11" t="s">
        <v>16403</v>
      </c>
      <c r="AE629" s="11" t="s">
        <v>16403</v>
      </c>
      <c r="AF629" s="11" t="s">
        <v>16403</v>
      </c>
    </row>
    <row r="630" spans="1:32" s="11" customFormat="1" x14ac:dyDescent="0.2">
      <c r="A630" s="11">
        <v>758</v>
      </c>
      <c r="F630" s="11" t="s">
        <v>16414</v>
      </c>
      <c r="G630" s="11" t="s">
        <v>16415</v>
      </c>
      <c r="H630" s="12">
        <v>71.2</v>
      </c>
      <c r="I630" s="11" t="s">
        <v>16407</v>
      </c>
      <c r="L630" s="11">
        <v>47.177</v>
      </c>
      <c r="M630" s="11">
        <v>55.683999999999997</v>
      </c>
      <c r="N630" s="11">
        <v>103.887</v>
      </c>
      <c r="O630" s="11">
        <v>103.24</v>
      </c>
      <c r="P630" s="11">
        <v>103.58799999999999</v>
      </c>
      <c r="Q630" s="11">
        <v>104.11799999999999</v>
      </c>
      <c r="R630" s="11">
        <v>119.31100000000001</v>
      </c>
      <c r="S630" s="11">
        <v>120.377</v>
      </c>
      <c r="T630" s="11">
        <v>65.113</v>
      </c>
      <c r="U630" s="11">
        <v>60.261000000000003</v>
      </c>
      <c r="V630" s="11">
        <v>34.887</v>
      </c>
      <c r="W630" s="11">
        <v>39.738999999999997</v>
      </c>
      <c r="X630" s="11">
        <v>13.795999999999999</v>
      </c>
      <c r="Y630" s="11">
        <v>11.759</v>
      </c>
      <c r="Z630" s="11">
        <v>39.738999999999997</v>
      </c>
      <c r="AA630" s="11">
        <v>34.887</v>
      </c>
      <c r="AB630" s="11">
        <v>10.766</v>
      </c>
      <c r="AC630" s="11">
        <v>12</v>
      </c>
      <c r="AD630" s="11">
        <v>13</v>
      </c>
      <c r="AE630" s="11">
        <v>12</v>
      </c>
      <c r="AF630" s="11">
        <v>12</v>
      </c>
    </row>
    <row r="631" spans="1:32" s="11" customFormat="1" x14ac:dyDescent="0.2">
      <c r="A631" s="11">
        <v>759</v>
      </c>
      <c r="F631" s="11" t="s">
        <v>16414</v>
      </c>
      <c r="G631" s="11" t="s">
        <v>16415</v>
      </c>
      <c r="H631" s="12">
        <v>72.2</v>
      </c>
      <c r="I631" s="11" t="s">
        <v>16407</v>
      </c>
      <c r="L631" s="11" t="s">
        <v>16403</v>
      </c>
      <c r="M631" s="11" t="s">
        <v>16403</v>
      </c>
      <c r="N631" s="11" t="s">
        <v>16403</v>
      </c>
      <c r="O631" s="11" t="s">
        <v>16403</v>
      </c>
      <c r="P631" s="11" t="s">
        <v>16403</v>
      </c>
      <c r="Q631" s="11" t="s">
        <v>16403</v>
      </c>
      <c r="R631" s="11" t="s">
        <v>16403</v>
      </c>
      <c r="S631" s="11" t="s">
        <v>16403</v>
      </c>
      <c r="T631" s="11" t="s">
        <v>16403</v>
      </c>
      <c r="U631" s="11" t="s">
        <v>16403</v>
      </c>
      <c r="V631" s="11" t="s">
        <v>16403</v>
      </c>
      <c r="W631" s="11" t="s">
        <v>16403</v>
      </c>
      <c r="X631" s="11" t="s">
        <v>16403</v>
      </c>
      <c r="Y631" s="11" t="s">
        <v>16403</v>
      </c>
      <c r="Z631" s="11" t="s">
        <v>16403</v>
      </c>
      <c r="AA631" s="11" t="s">
        <v>16403</v>
      </c>
      <c r="AB631" s="11" t="s">
        <v>16403</v>
      </c>
      <c r="AC631" s="11" t="s">
        <v>16403</v>
      </c>
      <c r="AD631" s="11" t="s">
        <v>16403</v>
      </c>
      <c r="AE631" s="11" t="s">
        <v>16403</v>
      </c>
      <c r="AF631" s="11" t="s">
        <v>16403</v>
      </c>
    </row>
    <row r="632" spans="1:32" s="11" customFormat="1" x14ac:dyDescent="0.2">
      <c r="A632" s="11">
        <v>760</v>
      </c>
      <c r="F632" s="11" t="s">
        <v>16414</v>
      </c>
      <c r="G632" s="11" t="s">
        <v>16415</v>
      </c>
      <c r="H632" s="12">
        <v>74.900000000000006</v>
      </c>
      <c r="I632" s="11" t="s">
        <v>16404</v>
      </c>
      <c r="L632" s="11">
        <v>61.962000000000003</v>
      </c>
      <c r="M632" s="11">
        <v>54.511000000000003</v>
      </c>
      <c r="N632" s="11">
        <v>115.95699999999999</v>
      </c>
      <c r="O632" s="11">
        <v>117.565</v>
      </c>
      <c r="P632" s="11">
        <v>110.40600000000001</v>
      </c>
      <c r="Q632" s="11">
        <v>112.128</v>
      </c>
      <c r="R632" s="11">
        <v>113.267</v>
      </c>
      <c r="S632" s="11">
        <v>113.324</v>
      </c>
      <c r="T632" s="11">
        <v>62.392000000000003</v>
      </c>
      <c r="U632" s="11">
        <v>59.084000000000003</v>
      </c>
      <c r="V632" s="11">
        <v>37.607999999999997</v>
      </c>
      <c r="W632" s="11">
        <v>40.915999999999997</v>
      </c>
      <c r="X632" s="11">
        <v>11.36</v>
      </c>
      <c r="Y632" s="11">
        <v>10.459</v>
      </c>
      <c r="Z632" s="11">
        <v>40.915999999999997</v>
      </c>
      <c r="AA632" s="11">
        <v>37.607999999999997</v>
      </c>
      <c r="AB632" s="11">
        <v>6.7060000000000004</v>
      </c>
      <c r="AC632" s="11">
        <v>11</v>
      </c>
      <c r="AD632" s="11">
        <v>10</v>
      </c>
      <c r="AE632" s="11">
        <v>10</v>
      </c>
      <c r="AF632" s="11">
        <v>10</v>
      </c>
    </row>
    <row r="633" spans="1:32" s="11" customFormat="1" x14ac:dyDescent="0.2">
      <c r="A633" s="11">
        <v>761</v>
      </c>
      <c r="F633" s="11" t="s">
        <v>16403</v>
      </c>
      <c r="G633" s="11" t="s">
        <v>16403</v>
      </c>
      <c r="H633" s="12">
        <v>80.400000000000006</v>
      </c>
      <c r="I633" s="11" t="s">
        <v>16407</v>
      </c>
      <c r="L633" s="11" t="s">
        <v>16403</v>
      </c>
      <c r="M633" s="11" t="s">
        <v>16403</v>
      </c>
      <c r="N633" s="11" t="s">
        <v>16403</v>
      </c>
      <c r="O633" s="11" t="s">
        <v>16403</v>
      </c>
      <c r="P633" s="11" t="s">
        <v>16403</v>
      </c>
      <c r="Q633" s="11" t="s">
        <v>16403</v>
      </c>
      <c r="R633" s="11" t="s">
        <v>16403</v>
      </c>
      <c r="S633" s="11" t="s">
        <v>16403</v>
      </c>
      <c r="T633" s="11" t="s">
        <v>16403</v>
      </c>
      <c r="U633" s="11" t="s">
        <v>16403</v>
      </c>
      <c r="V633" s="11" t="s">
        <v>16403</v>
      </c>
      <c r="W633" s="11" t="s">
        <v>16403</v>
      </c>
      <c r="X633" s="11" t="s">
        <v>16403</v>
      </c>
      <c r="Y633" s="11" t="s">
        <v>16403</v>
      </c>
      <c r="Z633" s="11" t="s">
        <v>16403</v>
      </c>
      <c r="AA633" s="11" t="s">
        <v>16403</v>
      </c>
      <c r="AB633" s="11" t="s">
        <v>16403</v>
      </c>
      <c r="AC633" s="11" t="s">
        <v>16403</v>
      </c>
      <c r="AD633" s="11" t="s">
        <v>16403</v>
      </c>
      <c r="AE633" s="11" t="s">
        <v>16403</v>
      </c>
      <c r="AF633" s="11" t="s">
        <v>16403</v>
      </c>
    </row>
    <row r="634" spans="1:32" s="11" customFormat="1" x14ac:dyDescent="0.2">
      <c r="A634" s="11">
        <v>762</v>
      </c>
      <c r="F634" s="11" t="s">
        <v>16414</v>
      </c>
      <c r="G634" s="11" t="s">
        <v>16415</v>
      </c>
      <c r="H634" s="12">
        <v>73.7</v>
      </c>
      <c r="I634" s="11" t="s">
        <v>16404</v>
      </c>
      <c r="L634" s="11">
        <v>44.773000000000003</v>
      </c>
      <c r="M634" s="11">
        <v>45.661999999999999</v>
      </c>
      <c r="N634" s="11">
        <v>90.281000000000006</v>
      </c>
      <c r="O634" s="11">
        <v>90.340999999999994</v>
      </c>
      <c r="P634" s="11">
        <v>102.206</v>
      </c>
      <c r="Q634" s="11">
        <v>102.01900000000001</v>
      </c>
      <c r="R634" s="11">
        <v>135.446</v>
      </c>
      <c r="S634" s="11">
        <v>136.05500000000001</v>
      </c>
      <c r="T634" s="11">
        <v>62.924999999999997</v>
      </c>
      <c r="U634" s="11">
        <v>62.969000000000001</v>
      </c>
      <c r="V634" s="11">
        <v>37.075000000000003</v>
      </c>
      <c r="W634" s="11">
        <v>37.030999999999999</v>
      </c>
      <c r="X634" s="11">
        <v>11.269</v>
      </c>
      <c r="Y634" s="11">
        <v>13.928000000000001</v>
      </c>
      <c r="Z634" s="11">
        <v>37.030999999999999</v>
      </c>
      <c r="AA634" s="11">
        <v>37.075000000000003</v>
      </c>
      <c r="AB634" s="11">
        <v>7.3079999999999998</v>
      </c>
      <c r="AC634" s="11">
        <v>13</v>
      </c>
      <c r="AD634" s="11">
        <v>13</v>
      </c>
      <c r="AE634" s="11">
        <v>13</v>
      </c>
      <c r="AF634" s="11">
        <v>13</v>
      </c>
    </row>
    <row r="635" spans="1:32" s="11" customFormat="1" x14ac:dyDescent="0.2">
      <c r="A635" s="11">
        <v>763</v>
      </c>
      <c r="F635" s="11" t="s">
        <v>16414</v>
      </c>
      <c r="G635" s="11" t="s">
        <v>16415</v>
      </c>
      <c r="H635" s="12">
        <v>48.7</v>
      </c>
      <c r="I635" s="11" t="s">
        <v>16404</v>
      </c>
      <c r="L635" s="11">
        <v>61.369</v>
      </c>
      <c r="M635" s="11">
        <v>59.932000000000002</v>
      </c>
      <c r="N635" s="11">
        <v>121.05800000000001</v>
      </c>
      <c r="O635" s="11">
        <v>121.85299999999999</v>
      </c>
      <c r="P635" s="11">
        <v>111.89700000000001</v>
      </c>
      <c r="Q635" s="11">
        <v>112.30500000000001</v>
      </c>
      <c r="R635" s="11">
        <v>110.45699999999999</v>
      </c>
      <c r="S635" s="11">
        <v>110.31</v>
      </c>
      <c r="T635" s="11">
        <v>63.5</v>
      </c>
      <c r="U635" s="11">
        <v>62.81</v>
      </c>
      <c r="V635" s="11">
        <v>36.5</v>
      </c>
      <c r="W635" s="11">
        <v>37.19</v>
      </c>
      <c r="X635" s="11">
        <v>13.422000000000001</v>
      </c>
      <c r="Y635" s="11">
        <v>12.680999999999999</v>
      </c>
      <c r="Z635" s="11">
        <v>37.19</v>
      </c>
      <c r="AA635" s="11">
        <v>36.5</v>
      </c>
      <c r="AB635" s="11">
        <v>12.976000000000001</v>
      </c>
      <c r="AC635" s="11">
        <v>10</v>
      </c>
      <c r="AD635" s="11">
        <v>9</v>
      </c>
      <c r="AE635" s="11">
        <v>9</v>
      </c>
      <c r="AF635" s="11">
        <v>9</v>
      </c>
    </row>
    <row r="636" spans="1:32" s="11" customFormat="1" x14ac:dyDescent="0.2">
      <c r="A636" s="11">
        <v>764</v>
      </c>
      <c r="F636" s="11" t="s">
        <v>16414</v>
      </c>
      <c r="G636" s="11" t="s">
        <v>16415</v>
      </c>
      <c r="H636" s="12">
        <v>69.3</v>
      </c>
      <c r="I636" s="11" t="s">
        <v>16404</v>
      </c>
      <c r="L636" s="11" t="s">
        <v>16403</v>
      </c>
      <c r="M636" s="11" t="s">
        <v>16403</v>
      </c>
      <c r="N636" s="11" t="s">
        <v>16403</v>
      </c>
      <c r="O636" s="11" t="s">
        <v>16403</v>
      </c>
      <c r="P636" s="11" t="s">
        <v>16403</v>
      </c>
      <c r="Q636" s="11" t="s">
        <v>16403</v>
      </c>
      <c r="R636" s="11" t="s">
        <v>16403</v>
      </c>
      <c r="S636" s="11" t="s">
        <v>16403</v>
      </c>
      <c r="T636" s="11" t="s">
        <v>16403</v>
      </c>
      <c r="U636" s="11" t="s">
        <v>16403</v>
      </c>
      <c r="V636" s="11" t="s">
        <v>16403</v>
      </c>
      <c r="W636" s="11" t="s">
        <v>16403</v>
      </c>
      <c r="X636" s="11" t="s">
        <v>16403</v>
      </c>
      <c r="Y636" s="11" t="s">
        <v>16403</v>
      </c>
      <c r="Z636" s="11" t="s">
        <v>16403</v>
      </c>
      <c r="AA636" s="11" t="s">
        <v>16403</v>
      </c>
      <c r="AB636" s="11" t="s">
        <v>16403</v>
      </c>
      <c r="AC636" s="11" t="s">
        <v>16403</v>
      </c>
      <c r="AD636" s="11" t="s">
        <v>16403</v>
      </c>
      <c r="AE636" s="11" t="s">
        <v>16403</v>
      </c>
      <c r="AF636" s="11" t="s">
        <v>16403</v>
      </c>
    </row>
    <row r="637" spans="1:32" s="11" customFormat="1" x14ac:dyDescent="0.2">
      <c r="A637" s="11">
        <v>765</v>
      </c>
      <c r="F637" s="11" t="s">
        <v>16424</v>
      </c>
      <c r="G637" s="11" t="s">
        <v>16425</v>
      </c>
      <c r="H637" s="12">
        <v>50.9</v>
      </c>
      <c r="I637" s="11" t="s">
        <v>16404</v>
      </c>
      <c r="L637" s="11" t="s">
        <v>16403</v>
      </c>
      <c r="M637" s="11" t="s">
        <v>16403</v>
      </c>
      <c r="N637" s="11" t="s">
        <v>16403</v>
      </c>
      <c r="O637" s="11" t="s">
        <v>16403</v>
      </c>
      <c r="P637" s="11" t="s">
        <v>16403</v>
      </c>
      <c r="Q637" s="11" t="s">
        <v>16403</v>
      </c>
      <c r="R637" s="11" t="s">
        <v>16403</v>
      </c>
      <c r="S637" s="11" t="s">
        <v>16403</v>
      </c>
      <c r="T637" s="11" t="s">
        <v>16403</v>
      </c>
      <c r="U637" s="11" t="s">
        <v>16403</v>
      </c>
      <c r="V637" s="11" t="s">
        <v>16403</v>
      </c>
      <c r="W637" s="11" t="s">
        <v>16403</v>
      </c>
      <c r="X637" s="11" t="s">
        <v>16403</v>
      </c>
      <c r="Y637" s="11" t="s">
        <v>16403</v>
      </c>
      <c r="Z637" s="11" t="s">
        <v>16403</v>
      </c>
      <c r="AA637" s="11" t="s">
        <v>16403</v>
      </c>
      <c r="AB637" s="11" t="s">
        <v>16403</v>
      </c>
      <c r="AC637" s="11" t="s">
        <v>16403</v>
      </c>
      <c r="AD637" s="11" t="s">
        <v>16403</v>
      </c>
      <c r="AE637" s="11" t="s">
        <v>16403</v>
      </c>
      <c r="AF637" s="11" t="s">
        <v>16403</v>
      </c>
    </row>
    <row r="638" spans="1:32" s="11" customFormat="1" x14ac:dyDescent="0.2">
      <c r="A638" s="11">
        <v>766</v>
      </c>
      <c r="F638" s="11" t="s">
        <v>16414</v>
      </c>
      <c r="G638" s="11" t="s">
        <v>16415</v>
      </c>
      <c r="H638" s="12">
        <v>86.5</v>
      </c>
      <c r="I638" s="11" t="s">
        <v>16404</v>
      </c>
      <c r="L638" s="11">
        <v>48.472999999999999</v>
      </c>
      <c r="M638" s="11">
        <v>45.82</v>
      </c>
      <c r="N638" s="11">
        <v>93.159000000000006</v>
      </c>
      <c r="O638" s="11">
        <v>95.028999999999996</v>
      </c>
      <c r="P638" s="11">
        <v>76.242000000000004</v>
      </c>
      <c r="Q638" s="11">
        <v>76.218999999999994</v>
      </c>
      <c r="R638" s="11">
        <v>100.26</v>
      </c>
      <c r="S638" s="11">
        <v>97.872</v>
      </c>
      <c r="T638" s="11">
        <v>63.536000000000001</v>
      </c>
      <c r="U638" s="11">
        <v>62.17</v>
      </c>
      <c r="V638" s="11">
        <v>36.463999999999999</v>
      </c>
      <c r="W638" s="11">
        <v>37.83</v>
      </c>
      <c r="X638" s="11">
        <v>13.102</v>
      </c>
      <c r="Y638" s="11">
        <v>13.914</v>
      </c>
      <c r="Z638" s="11">
        <v>37.83</v>
      </c>
      <c r="AA638" s="11">
        <v>36.463999999999999</v>
      </c>
      <c r="AB638" s="11">
        <v>11.46</v>
      </c>
      <c r="AC638" s="11">
        <v>10</v>
      </c>
      <c r="AD638" s="11">
        <v>13</v>
      </c>
      <c r="AE638" s="11">
        <v>10</v>
      </c>
      <c r="AF638" s="11">
        <v>10</v>
      </c>
    </row>
    <row r="639" spans="1:32" s="11" customFormat="1" x14ac:dyDescent="0.2">
      <c r="A639" s="11">
        <v>767</v>
      </c>
      <c r="F639" s="11" t="s">
        <v>16414</v>
      </c>
      <c r="G639" s="11" t="s">
        <v>16415</v>
      </c>
      <c r="H639" s="12">
        <v>71</v>
      </c>
      <c r="I639" s="11" t="s">
        <v>16407</v>
      </c>
      <c r="L639" s="11">
        <v>4.3689999999999998</v>
      </c>
      <c r="M639" s="11">
        <v>1.0289999999999999</v>
      </c>
      <c r="N639" s="11">
        <v>5.0209999999999999</v>
      </c>
      <c r="O639" s="11">
        <v>5.3029999999999999</v>
      </c>
      <c r="P639" s="11">
        <v>3.8889999999999998</v>
      </c>
      <c r="Q639" s="11">
        <v>3.681</v>
      </c>
      <c r="R639" s="11">
        <v>84.355000000000004</v>
      </c>
      <c r="S639" s="11">
        <v>76.626000000000005</v>
      </c>
      <c r="T639" s="11">
        <v>86.331999999999994</v>
      </c>
      <c r="U639" s="11">
        <v>85.936000000000007</v>
      </c>
      <c r="V639" s="11">
        <v>13.667999999999999</v>
      </c>
      <c r="W639" s="11">
        <v>14.064</v>
      </c>
      <c r="X639" s="11">
        <v>35.838999999999999</v>
      </c>
      <c r="Y639" s="11">
        <v>39.103000000000002</v>
      </c>
      <c r="Z639" s="11">
        <v>14.064</v>
      </c>
      <c r="AA639" s="11">
        <v>13.667999999999999</v>
      </c>
      <c r="AB639" s="11">
        <v>10.707000000000001</v>
      </c>
      <c r="AC639" s="11">
        <v>9</v>
      </c>
      <c r="AD639" s="11">
        <v>9</v>
      </c>
      <c r="AE639" s="11">
        <v>9</v>
      </c>
      <c r="AF639" s="11">
        <v>9</v>
      </c>
    </row>
    <row r="640" spans="1:32" s="11" customFormat="1" x14ac:dyDescent="0.2">
      <c r="A640" s="11">
        <v>768</v>
      </c>
      <c r="F640" s="11" t="s">
        <v>16403</v>
      </c>
      <c r="G640" s="11" t="s">
        <v>16403</v>
      </c>
      <c r="H640" s="12">
        <v>65.400000000000006</v>
      </c>
      <c r="I640" s="11" t="s">
        <v>16404</v>
      </c>
      <c r="L640" s="11" t="s">
        <v>16403</v>
      </c>
      <c r="M640" s="11" t="s">
        <v>16403</v>
      </c>
      <c r="N640" s="11" t="s">
        <v>16403</v>
      </c>
      <c r="O640" s="11" t="s">
        <v>16403</v>
      </c>
      <c r="P640" s="11" t="s">
        <v>16403</v>
      </c>
      <c r="Q640" s="11" t="s">
        <v>16403</v>
      </c>
      <c r="R640" s="11" t="s">
        <v>16403</v>
      </c>
      <c r="S640" s="11" t="s">
        <v>16403</v>
      </c>
      <c r="T640" s="11" t="s">
        <v>16403</v>
      </c>
      <c r="U640" s="11" t="s">
        <v>16403</v>
      </c>
      <c r="V640" s="11" t="s">
        <v>16403</v>
      </c>
      <c r="W640" s="11" t="s">
        <v>16403</v>
      </c>
      <c r="X640" s="11" t="s">
        <v>16403</v>
      </c>
      <c r="Y640" s="11" t="s">
        <v>16403</v>
      </c>
      <c r="Z640" s="11" t="s">
        <v>16403</v>
      </c>
      <c r="AA640" s="11" t="s">
        <v>16403</v>
      </c>
      <c r="AB640" s="11" t="s">
        <v>16403</v>
      </c>
      <c r="AC640" s="11" t="s">
        <v>16403</v>
      </c>
      <c r="AD640" s="11" t="s">
        <v>16403</v>
      </c>
      <c r="AE640" s="11" t="s">
        <v>16403</v>
      </c>
      <c r="AF640" s="11" t="s">
        <v>16403</v>
      </c>
    </row>
    <row r="641" spans="1:32" s="11" customFormat="1" x14ac:dyDescent="0.2">
      <c r="A641" s="11">
        <v>769</v>
      </c>
      <c r="F641" s="11" t="s">
        <v>16414</v>
      </c>
      <c r="G641" s="11" t="s">
        <v>16415</v>
      </c>
      <c r="H641" s="12">
        <v>70.900000000000006</v>
      </c>
      <c r="I641" s="11" t="s">
        <v>16404</v>
      </c>
      <c r="L641" s="11">
        <v>65.796000000000006</v>
      </c>
      <c r="M641" s="11">
        <v>69.105000000000004</v>
      </c>
      <c r="N641" s="11">
        <v>135.12200000000001</v>
      </c>
      <c r="O641" s="11">
        <v>134.88399999999999</v>
      </c>
      <c r="P641" s="11">
        <v>125.86199999999999</v>
      </c>
      <c r="Q641" s="11">
        <v>125.18300000000001</v>
      </c>
      <c r="R641" s="11">
        <v>111.255</v>
      </c>
      <c r="S641" s="11">
        <v>111.068</v>
      </c>
      <c r="T641" s="11">
        <v>60.13</v>
      </c>
      <c r="U641" s="11">
        <v>60.682000000000002</v>
      </c>
      <c r="V641" s="11">
        <v>39.869999999999997</v>
      </c>
      <c r="W641" s="11">
        <v>39.317</v>
      </c>
      <c r="X641" s="11">
        <v>9.8420000000000005</v>
      </c>
      <c r="Y641" s="11">
        <v>10.340999999999999</v>
      </c>
      <c r="Z641" s="11">
        <v>39.317</v>
      </c>
      <c r="AA641" s="11">
        <v>39.869999999999997</v>
      </c>
      <c r="AB641" s="11">
        <v>7.0119999999999996</v>
      </c>
      <c r="AC641" s="11">
        <v>8</v>
      </c>
      <c r="AD641" s="11">
        <v>10</v>
      </c>
      <c r="AE641" s="11">
        <v>8</v>
      </c>
      <c r="AF641" s="11">
        <v>8</v>
      </c>
    </row>
    <row r="642" spans="1:32" s="11" customFormat="1" x14ac:dyDescent="0.2">
      <c r="A642" s="11">
        <v>770</v>
      </c>
      <c r="F642" s="11" t="s">
        <v>16403</v>
      </c>
      <c r="G642" s="11" t="s">
        <v>16403</v>
      </c>
      <c r="H642" s="12">
        <v>70.8</v>
      </c>
      <c r="I642" s="11" t="s">
        <v>16404</v>
      </c>
      <c r="L642" s="11" t="s">
        <v>16403</v>
      </c>
      <c r="M642" s="11" t="s">
        <v>16403</v>
      </c>
      <c r="N642" s="11" t="s">
        <v>16403</v>
      </c>
      <c r="O642" s="11" t="s">
        <v>16403</v>
      </c>
      <c r="P642" s="11" t="s">
        <v>16403</v>
      </c>
      <c r="Q642" s="11" t="s">
        <v>16403</v>
      </c>
      <c r="R642" s="11" t="s">
        <v>16403</v>
      </c>
      <c r="S642" s="11" t="s">
        <v>16403</v>
      </c>
      <c r="T642" s="11" t="s">
        <v>16403</v>
      </c>
      <c r="U642" s="11" t="s">
        <v>16403</v>
      </c>
      <c r="V642" s="11" t="s">
        <v>16403</v>
      </c>
      <c r="W642" s="11" t="s">
        <v>16403</v>
      </c>
      <c r="X642" s="11" t="s">
        <v>16403</v>
      </c>
      <c r="Y642" s="11" t="s">
        <v>16403</v>
      </c>
      <c r="Z642" s="11" t="s">
        <v>16403</v>
      </c>
      <c r="AA642" s="11" t="s">
        <v>16403</v>
      </c>
      <c r="AB642" s="11" t="s">
        <v>16403</v>
      </c>
      <c r="AC642" s="11" t="s">
        <v>16403</v>
      </c>
      <c r="AD642" s="11" t="s">
        <v>16403</v>
      </c>
      <c r="AE642" s="11" t="s">
        <v>16403</v>
      </c>
      <c r="AF642" s="11" t="s">
        <v>16403</v>
      </c>
    </row>
    <row r="643" spans="1:32" s="11" customFormat="1" x14ac:dyDescent="0.2">
      <c r="A643" s="11">
        <v>771</v>
      </c>
      <c r="F643" s="11" t="s">
        <v>16414</v>
      </c>
      <c r="G643" s="11" t="s">
        <v>16415</v>
      </c>
      <c r="H643" s="12">
        <v>73.099999999999994</v>
      </c>
      <c r="I643" s="11" t="s">
        <v>16404</v>
      </c>
      <c r="L643" s="11">
        <v>62.57</v>
      </c>
      <c r="M643" s="11">
        <v>62.161999999999999</v>
      </c>
      <c r="N643" s="11">
        <v>125.256</v>
      </c>
      <c r="O643" s="11">
        <v>124.346</v>
      </c>
      <c r="P643" s="11">
        <v>122.294</v>
      </c>
      <c r="Q643" s="11">
        <v>121.642</v>
      </c>
      <c r="R643" s="11">
        <v>117.114</v>
      </c>
      <c r="S643" s="11">
        <v>116.999</v>
      </c>
      <c r="T643" s="11">
        <v>62.064999999999998</v>
      </c>
      <c r="U643" s="11">
        <v>62.148000000000003</v>
      </c>
      <c r="V643" s="11">
        <v>37.935000000000002</v>
      </c>
      <c r="W643" s="11">
        <v>37.851999999999997</v>
      </c>
      <c r="X643" s="11">
        <v>11.737</v>
      </c>
      <c r="Y643" s="11">
        <v>12.592000000000001</v>
      </c>
      <c r="Z643" s="11">
        <v>37.851999999999997</v>
      </c>
      <c r="AA643" s="11">
        <v>37.935000000000002</v>
      </c>
      <c r="AB643" s="11">
        <v>10.968</v>
      </c>
      <c r="AC643" s="11">
        <v>9</v>
      </c>
      <c r="AD643" s="11">
        <v>10</v>
      </c>
      <c r="AE643" s="11">
        <v>9</v>
      </c>
      <c r="AF643" s="11">
        <v>9</v>
      </c>
    </row>
    <row r="644" spans="1:32" s="11" customFormat="1" x14ac:dyDescent="0.2">
      <c r="A644" s="11">
        <v>772</v>
      </c>
      <c r="F644" s="11" t="s">
        <v>16414</v>
      </c>
      <c r="G644" s="11" t="s">
        <v>16415</v>
      </c>
      <c r="H644" s="12">
        <v>63.4</v>
      </c>
      <c r="I644" s="11" t="s">
        <v>16404</v>
      </c>
      <c r="L644" s="11">
        <v>37.463000000000001</v>
      </c>
      <c r="M644" s="11">
        <v>44.51</v>
      </c>
      <c r="N644" s="11">
        <v>82.031999999999996</v>
      </c>
      <c r="O644" s="11">
        <v>81.516999999999996</v>
      </c>
      <c r="P644" s="11">
        <v>74.027000000000001</v>
      </c>
      <c r="Q644" s="11">
        <v>74.08</v>
      </c>
      <c r="R644" s="11">
        <v>110.148</v>
      </c>
      <c r="S644" s="11">
        <v>110.235</v>
      </c>
      <c r="T644" s="11">
        <v>63.917999999999999</v>
      </c>
      <c r="U644" s="11">
        <v>63.572000000000003</v>
      </c>
      <c r="V644" s="11">
        <v>36.082000000000001</v>
      </c>
      <c r="W644" s="11">
        <v>36.427999999999997</v>
      </c>
      <c r="X644" s="11">
        <v>11.478</v>
      </c>
      <c r="Y644" s="11">
        <v>15.686</v>
      </c>
      <c r="Z644" s="11">
        <v>36.427999999999997</v>
      </c>
      <c r="AA644" s="11">
        <v>36.082000000000001</v>
      </c>
      <c r="AB644" s="11">
        <v>7.0650000000000004</v>
      </c>
      <c r="AC644" s="11">
        <v>10</v>
      </c>
      <c r="AD644" s="11">
        <v>10</v>
      </c>
      <c r="AE644" s="11">
        <v>10</v>
      </c>
      <c r="AF644" s="11">
        <v>10</v>
      </c>
    </row>
    <row r="645" spans="1:32" s="11" customFormat="1" x14ac:dyDescent="0.2">
      <c r="A645" s="11">
        <v>773</v>
      </c>
      <c r="F645" s="11" t="s">
        <v>16414</v>
      </c>
      <c r="G645" s="11" t="s">
        <v>16415</v>
      </c>
      <c r="H645" s="12">
        <v>71.599999999999994</v>
      </c>
      <c r="I645" s="11" t="s">
        <v>16404</v>
      </c>
      <c r="L645" s="11">
        <v>48.503999999999998</v>
      </c>
      <c r="M645" s="11">
        <v>49.039000000000001</v>
      </c>
      <c r="N645" s="11">
        <v>97.748000000000005</v>
      </c>
      <c r="O645" s="11">
        <v>97.983999999999995</v>
      </c>
      <c r="P645" s="11">
        <v>70.081000000000003</v>
      </c>
      <c r="Q645" s="11">
        <v>70.087000000000003</v>
      </c>
      <c r="R645" s="11">
        <v>85.605999999999995</v>
      </c>
      <c r="S645" s="11">
        <v>84.835999999999999</v>
      </c>
      <c r="T645" s="11">
        <v>66.67</v>
      </c>
      <c r="U645" s="11">
        <v>65.185000000000002</v>
      </c>
      <c r="V645" s="11">
        <v>33.33</v>
      </c>
      <c r="W645" s="11">
        <v>34.814999999999998</v>
      </c>
      <c r="X645" s="11">
        <v>14.278</v>
      </c>
      <c r="Y645" s="11">
        <v>17.199000000000002</v>
      </c>
      <c r="Z645" s="11">
        <v>34.814999999999998</v>
      </c>
      <c r="AA645" s="11">
        <v>33.33</v>
      </c>
      <c r="AB645" s="11">
        <v>8.4619999999999997</v>
      </c>
      <c r="AC645" s="11">
        <v>10</v>
      </c>
      <c r="AD645" s="11">
        <v>8</v>
      </c>
      <c r="AE645" s="11">
        <v>8</v>
      </c>
      <c r="AF645" s="11">
        <v>8</v>
      </c>
    </row>
    <row r="646" spans="1:32" s="11" customFormat="1" x14ac:dyDescent="0.2">
      <c r="A646" s="11">
        <v>774</v>
      </c>
      <c r="F646" s="11" t="s">
        <v>16454</v>
      </c>
      <c r="G646" s="11" t="s">
        <v>16455</v>
      </c>
      <c r="H646" s="12">
        <v>81.599999999999994</v>
      </c>
      <c r="I646" s="11" t="s">
        <v>16404</v>
      </c>
      <c r="L646" s="11">
        <v>50.377000000000002</v>
      </c>
      <c r="M646" s="11">
        <v>47.771000000000001</v>
      </c>
      <c r="N646" s="11">
        <v>98.111000000000004</v>
      </c>
      <c r="O646" s="11">
        <v>98.25</v>
      </c>
      <c r="P646" s="11">
        <v>81.138000000000005</v>
      </c>
      <c r="Q646" s="11">
        <v>81.206999999999994</v>
      </c>
      <c r="R646" s="11">
        <v>99.155000000000001</v>
      </c>
      <c r="S646" s="11">
        <v>98.843999999999994</v>
      </c>
      <c r="T646" s="11">
        <v>63.671999999999997</v>
      </c>
      <c r="U646" s="11">
        <v>63.296999999999997</v>
      </c>
      <c r="V646" s="11">
        <v>36.328000000000003</v>
      </c>
      <c r="W646" s="11">
        <v>36.703000000000003</v>
      </c>
      <c r="X646" s="11">
        <v>14.927</v>
      </c>
      <c r="Y646" s="11">
        <v>12.891999999999999</v>
      </c>
      <c r="Z646" s="11">
        <v>36.703000000000003</v>
      </c>
      <c r="AA646" s="11">
        <v>36.328000000000003</v>
      </c>
      <c r="AB646" s="11">
        <v>10.134</v>
      </c>
      <c r="AC646" s="11">
        <v>10</v>
      </c>
      <c r="AD646" s="11">
        <v>10</v>
      </c>
      <c r="AE646" s="11">
        <v>10</v>
      </c>
      <c r="AF646" s="11">
        <v>10</v>
      </c>
    </row>
    <row r="647" spans="1:32" s="11" customFormat="1" x14ac:dyDescent="0.2">
      <c r="A647" s="11">
        <v>775</v>
      </c>
      <c r="F647" s="11" t="s">
        <v>16420</v>
      </c>
      <c r="G647" s="11" t="s">
        <v>16421</v>
      </c>
      <c r="H647" s="12">
        <v>73.8</v>
      </c>
      <c r="I647" s="11" t="s">
        <v>16404</v>
      </c>
      <c r="L647" s="11">
        <v>44.755000000000003</v>
      </c>
      <c r="M647" s="11">
        <v>37.817</v>
      </c>
      <c r="N647" s="11">
        <v>82.864999999999995</v>
      </c>
      <c r="O647" s="11">
        <v>82.338999999999999</v>
      </c>
      <c r="P647" s="11">
        <v>73.959999999999994</v>
      </c>
      <c r="Q647" s="11">
        <v>73.366</v>
      </c>
      <c r="R647" s="11">
        <v>107.288</v>
      </c>
      <c r="S647" s="11">
        <v>106.69799999999999</v>
      </c>
      <c r="T647" s="11">
        <v>62.067999999999998</v>
      </c>
      <c r="U647" s="11">
        <v>66.034000000000006</v>
      </c>
      <c r="V647" s="11">
        <v>37.932000000000002</v>
      </c>
      <c r="W647" s="11">
        <v>33.966000000000001</v>
      </c>
      <c r="X647" s="11">
        <v>13.170999999999999</v>
      </c>
      <c r="Y647" s="11">
        <v>15.266</v>
      </c>
      <c r="Z647" s="11">
        <v>33.966000000000001</v>
      </c>
      <c r="AA647" s="11">
        <v>37.932000000000002</v>
      </c>
      <c r="AB647" s="11">
        <v>8.3000000000000007</v>
      </c>
      <c r="AC647" s="11">
        <v>12</v>
      </c>
      <c r="AD647" s="11">
        <v>13</v>
      </c>
      <c r="AE647" s="11">
        <v>12</v>
      </c>
      <c r="AF647" s="11">
        <v>12</v>
      </c>
    </row>
    <row r="648" spans="1:32" s="11" customFormat="1" x14ac:dyDescent="0.2">
      <c r="A648" s="11">
        <v>776</v>
      </c>
      <c r="F648" s="11" t="s">
        <v>16414</v>
      </c>
      <c r="G648" s="11" t="s">
        <v>16415</v>
      </c>
      <c r="H648" s="12">
        <v>52.8</v>
      </c>
      <c r="I648" s="11" t="s">
        <v>16404</v>
      </c>
      <c r="L648" s="11">
        <v>66.242999999999995</v>
      </c>
      <c r="M648" s="11">
        <v>59.978999999999999</v>
      </c>
      <c r="N648" s="11">
        <v>125.20699999999999</v>
      </c>
      <c r="O648" s="11">
        <v>126.15</v>
      </c>
      <c r="P648" s="11">
        <v>126.139</v>
      </c>
      <c r="Q648" s="11">
        <v>127.10899999999999</v>
      </c>
      <c r="R648" s="11">
        <v>122.06699999999999</v>
      </c>
      <c r="S648" s="11">
        <v>121.65900000000001</v>
      </c>
      <c r="T648" s="11">
        <v>64.3</v>
      </c>
      <c r="U648" s="11">
        <v>62.723999999999997</v>
      </c>
      <c r="V648" s="11">
        <v>35.700000000000003</v>
      </c>
      <c r="W648" s="11">
        <v>37.276000000000003</v>
      </c>
      <c r="X648" s="11">
        <v>12.929</v>
      </c>
      <c r="Y648" s="11">
        <v>14.502000000000001</v>
      </c>
      <c r="Z648" s="11">
        <v>37.276000000000003</v>
      </c>
      <c r="AA648" s="11">
        <v>35.700000000000003</v>
      </c>
      <c r="AB648" s="11">
        <v>9.6240000000000006</v>
      </c>
      <c r="AC648" s="11">
        <v>8</v>
      </c>
      <c r="AD648" s="11">
        <v>10</v>
      </c>
      <c r="AE648" s="11">
        <v>8</v>
      </c>
      <c r="AF648" s="11">
        <v>8</v>
      </c>
    </row>
    <row r="649" spans="1:32" s="11" customFormat="1" x14ac:dyDescent="0.2">
      <c r="A649" s="11">
        <v>777</v>
      </c>
      <c r="F649" s="11" t="s">
        <v>16414</v>
      </c>
      <c r="G649" s="11" t="s">
        <v>16415</v>
      </c>
      <c r="H649" s="12">
        <v>78.7</v>
      </c>
      <c r="I649" s="11" t="s">
        <v>16407</v>
      </c>
      <c r="L649" s="11" t="s">
        <v>16403</v>
      </c>
      <c r="M649" s="11" t="s">
        <v>16403</v>
      </c>
      <c r="N649" s="11" t="s">
        <v>16403</v>
      </c>
      <c r="O649" s="11" t="s">
        <v>16403</v>
      </c>
      <c r="P649" s="11" t="s">
        <v>16403</v>
      </c>
      <c r="Q649" s="11" t="s">
        <v>16403</v>
      </c>
      <c r="R649" s="11" t="s">
        <v>16403</v>
      </c>
      <c r="S649" s="11" t="s">
        <v>16403</v>
      </c>
      <c r="T649" s="11" t="s">
        <v>16403</v>
      </c>
      <c r="U649" s="11" t="s">
        <v>16403</v>
      </c>
      <c r="V649" s="11" t="s">
        <v>16403</v>
      </c>
      <c r="W649" s="11" t="s">
        <v>16403</v>
      </c>
      <c r="X649" s="11" t="s">
        <v>16403</v>
      </c>
      <c r="Y649" s="11" t="s">
        <v>16403</v>
      </c>
      <c r="Z649" s="11" t="s">
        <v>16403</v>
      </c>
      <c r="AA649" s="11" t="s">
        <v>16403</v>
      </c>
      <c r="AB649" s="11" t="s">
        <v>16403</v>
      </c>
      <c r="AC649" s="11" t="s">
        <v>16403</v>
      </c>
      <c r="AD649" s="11" t="s">
        <v>16403</v>
      </c>
      <c r="AE649" s="11" t="s">
        <v>16403</v>
      </c>
      <c r="AF649" s="11" t="s">
        <v>16403</v>
      </c>
    </row>
    <row r="650" spans="1:32" s="11" customFormat="1" x14ac:dyDescent="0.2">
      <c r="A650" s="11">
        <v>778</v>
      </c>
      <c r="F650" s="11" t="s">
        <v>16414</v>
      </c>
      <c r="G650" s="11" t="s">
        <v>16415</v>
      </c>
      <c r="H650" s="12">
        <v>67.900000000000006</v>
      </c>
      <c r="I650" s="11" t="s">
        <v>16404</v>
      </c>
      <c r="L650" s="11">
        <v>45.582999999999998</v>
      </c>
      <c r="M650" s="11">
        <v>48.713999999999999</v>
      </c>
      <c r="N650" s="11">
        <v>94.543000000000006</v>
      </c>
      <c r="O650" s="11">
        <v>94.034000000000006</v>
      </c>
      <c r="P650" s="11">
        <v>83.210999999999999</v>
      </c>
      <c r="Q650" s="11">
        <v>82.715000000000003</v>
      </c>
      <c r="R650" s="11">
        <v>105.35</v>
      </c>
      <c r="S650" s="11">
        <v>105.139</v>
      </c>
      <c r="T650" s="11">
        <v>61.677999999999997</v>
      </c>
      <c r="U650" s="11">
        <v>61.933999999999997</v>
      </c>
      <c r="V650" s="11">
        <v>38.322000000000003</v>
      </c>
      <c r="W650" s="11">
        <v>38.066000000000003</v>
      </c>
      <c r="X650" s="11">
        <v>12.244999999999999</v>
      </c>
      <c r="Y650" s="11">
        <v>11.839</v>
      </c>
      <c r="Z650" s="11">
        <v>38.066000000000003</v>
      </c>
      <c r="AA650" s="11">
        <v>38.322000000000003</v>
      </c>
      <c r="AB650" s="11">
        <v>10.853999999999999</v>
      </c>
      <c r="AC650" s="11">
        <v>12</v>
      </c>
      <c r="AD650" s="11">
        <v>13</v>
      </c>
      <c r="AE650" s="11">
        <v>12</v>
      </c>
      <c r="AF650" s="11">
        <v>12</v>
      </c>
    </row>
    <row r="651" spans="1:32" s="11" customFormat="1" x14ac:dyDescent="0.2">
      <c r="A651" s="11">
        <v>779</v>
      </c>
      <c r="F651" s="11" t="s">
        <v>16403</v>
      </c>
      <c r="G651" s="11" t="s">
        <v>16403</v>
      </c>
      <c r="H651" s="12">
        <v>999</v>
      </c>
      <c r="I651" s="11" t="s">
        <v>16403</v>
      </c>
      <c r="L651" s="11">
        <v>39.557000000000002</v>
      </c>
      <c r="M651" s="11">
        <v>41.243000000000002</v>
      </c>
      <c r="N651" s="11">
        <v>80.891000000000005</v>
      </c>
      <c r="O651" s="11">
        <v>80.378</v>
      </c>
      <c r="P651" s="11">
        <v>56.235999999999997</v>
      </c>
      <c r="Q651" s="11">
        <v>56.533000000000001</v>
      </c>
      <c r="R651" s="11">
        <v>83.099000000000004</v>
      </c>
      <c r="S651" s="11">
        <v>83.338999999999999</v>
      </c>
      <c r="T651" s="11">
        <v>68.781000000000006</v>
      </c>
      <c r="U651" s="11">
        <v>63.908000000000001</v>
      </c>
      <c r="V651" s="11">
        <v>31.219000000000001</v>
      </c>
      <c r="W651" s="11">
        <v>36.091999999999999</v>
      </c>
      <c r="X651" s="11">
        <v>12.762</v>
      </c>
      <c r="Y651" s="11">
        <v>19.722000000000001</v>
      </c>
      <c r="Z651" s="11">
        <v>36.091999999999999</v>
      </c>
      <c r="AA651" s="11">
        <v>31.219000000000001</v>
      </c>
      <c r="AB651" s="11">
        <v>24.15</v>
      </c>
      <c r="AC651" s="11">
        <v>12</v>
      </c>
      <c r="AD651" s="11">
        <v>12</v>
      </c>
      <c r="AE651" s="11">
        <v>12</v>
      </c>
      <c r="AF651" s="11">
        <v>12</v>
      </c>
    </row>
    <row r="652" spans="1:32" s="11" customFormat="1" x14ac:dyDescent="0.2">
      <c r="A652" s="11">
        <v>780</v>
      </c>
      <c r="F652" s="11" t="s">
        <v>16414</v>
      </c>
      <c r="G652" s="11" t="s">
        <v>16415</v>
      </c>
      <c r="H652" s="12">
        <v>54.5</v>
      </c>
      <c r="I652" s="11" t="s">
        <v>16404</v>
      </c>
      <c r="L652" s="11">
        <v>63.078000000000003</v>
      </c>
      <c r="M652" s="11">
        <v>60.923000000000002</v>
      </c>
      <c r="N652" s="11">
        <v>123.628</v>
      </c>
      <c r="O652" s="11">
        <v>125.099</v>
      </c>
      <c r="P652" s="11">
        <v>115.529</v>
      </c>
      <c r="Q652" s="11">
        <v>117.797</v>
      </c>
      <c r="R652" s="11">
        <v>111.292</v>
      </c>
      <c r="S652" s="11">
        <v>112.32599999999999</v>
      </c>
      <c r="T652" s="11">
        <v>61.368000000000002</v>
      </c>
      <c r="U652" s="11">
        <v>63.837000000000003</v>
      </c>
      <c r="V652" s="11">
        <v>38.631999999999998</v>
      </c>
      <c r="W652" s="11">
        <v>36.162999999999997</v>
      </c>
      <c r="X652" s="11">
        <v>12.585000000000001</v>
      </c>
      <c r="Y652" s="11">
        <v>13.242000000000001</v>
      </c>
      <c r="Z652" s="11">
        <v>36.162999999999997</v>
      </c>
      <c r="AA652" s="11">
        <v>38.631999999999998</v>
      </c>
      <c r="AB652" s="11">
        <v>9.0120000000000005</v>
      </c>
      <c r="AC652" s="11">
        <v>7</v>
      </c>
      <c r="AD652" s="11">
        <v>8</v>
      </c>
      <c r="AE652" s="11">
        <v>7</v>
      </c>
      <c r="AF652" s="11">
        <v>7</v>
      </c>
    </row>
    <row r="653" spans="1:32" s="11" customFormat="1" x14ac:dyDescent="0.2">
      <c r="A653" s="11">
        <v>781</v>
      </c>
      <c r="F653" s="11" t="s">
        <v>16403</v>
      </c>
      <c r="G653" s="11" t="s">
        <v>16403</v>
      </c>
      <c r="H653" s="12">
        <v>999</v>
      </c>
      <c r="I653" s="11" t="s">
        <v>16403</v>
      </c>
      <c r="L653" s="11">
        <v>55.347000000000001</v>
      </c>
      <c r="M653" s="11">
        <v>60.962000000000003</v>
      </c>
      <c r="N653" s="11">
        <v>116.80800000000001</v>
      </c>
      <c r="O653" s="11">
        <v>116.309</v>
      </c>
      <c r="P653" s="11">
        <v>108.331</v>
      </c>
      <c r="Q653" s="11">
        <v>107.06</v>
      </c>
      <c r="R653" s="11">
        <v>110.996</v>
      </c>
      <c r="S653" s="11">
        <v>110.342</v>
      </c>
      <c r="T653" s="11">
        <v>62.570999999999998</v>
      </c>
      <c r="U653" s="11">
        <v>61.816000000000003</v>
      </c>
      <c r="V653" s="11">
        <v>37.429000000000002</v>
      </c>
      <c r="W653" s="11">
        <v>38.183999999999997</v>
      </c>
      <c r="X653" s="11">
        <v>12.129</v>
      </c>
      <c r="Y653" s="11">
        <v>12.435</v>
      </c>
      <c r="Z653" s="11">
        <v>38.183999999999997</v>
      </c>
      <c r="AA653" s="11">
        <v>37.429000000000002</v>
      </c>
      <c r="AB653" s="11">
        <v>12.004</v>
      </c>
      <c r="AC653" s="11">
        <v>10</v>
      </c>
      <c r="AD653" s="11">
        <v>15</v>
      </c>
      <c r="AE653" s="11">
        <v>10</v>
      </c>
      <c r="AF653" s="11">
        <v>10</v>
      </c>
    </row>
    <row r="654" spans="1:32" s="11" customFormat="1" x14ac:dyDescent="0.2">
      <c r="A654" s="11">
        <v>782</v>
      </c>
      <c r="F654" s="11" t="s">
        <v>16420</v>
      </c>
      <c r="G654" s="11" t="s">
        <v>16421</v>
      </c>
      <c r="H654" s="12">
        <v>49.3</v>
      </c>
      <c r="I654" s="11" t="s">
        <v>16407</v>
      </c>
      <c r="L654" s="11">
        <v>59.314</v>
      </c>
      <c r="M654" s="11">
        <v>59.710999999999999</v>
      </c>
      <c r="N654" s="11">
        <v>119.753</v>
      </c>
      <c r="O654" s="11">
        <v>118.642</v>
      </c>
      <c r="P654" s="11">
        <v>110.83199999999999</v>
      </c>
      <c r="Q654" s="11">
        <v>110.279</v>
      </c>
      <c r="R654" s="11">
        <v>110.498</v>
      </c>
      <c r="S654" s="11">
        <v>111.25700000000001</v>
      </c>
      <c r="T654" s="11">
        <v>63.119</v>
      </c>
      <c r="U654" s="11">
        <v>63.62</v>
      </c>
      <c r="V654" s="11">
        <v>36.881</v>
      </c>
      <c r="W654" s="11">
        <v>36.380000000000003</v>
      </c>
      <c r="X654" s="11">
        <v>13.494999999999999</v>
      </c>
      <c r="Y654" s="11">
        <v>13.741</v>
      </c>
      <c r="Z654" s="11">
        <v>36.380000000000003</v>
      </c>
      <c r="AA654" s="11">
        <v>36.881</v>
      </c>
      <c r="AB654" s="11">
        <v>10.246</v>
      </c>
      <c r="AC654" s="11">
        <v>10</v>
      </c>
      <c r="AD654" s="11">
        <v>10</v>
      </c>
      <c r="AE654" s="11">
        <v>10</v>
      </c>
      <c r="AF654" s="11">
        <v>10</v>
      </c>
    </row>
    <row r="655" spans="1:32" s="11" customFormat="1" x14ac:dyDescent="0.2">
      <c r="A655" s="11">
        <v>783</v>
      </c>
      <c r="F655" s="11" t="s">
        <v>16403</v>
      </c>
      <c r="G655" s="11" t="s">
        <v>16403</v>
      </c>
      <c r="H655" s="12">
        <v>999</v>
      </c>
      <c r="I655" s="11" t="s">
        <v>16403</v>
      </c>
      <c r="L655" s="11">
        <v>57.640999999999998</v>
      </c>
      <c r="M655" s="11">
        <v>53.62</v>
      </c>
      <c r="N655" s="11">
        <v>111.426</v>
      </c>
      <c r="O655" s="11">
        <v>111.57</v>
      </c>
      <c r="P655" s="11">
        <v>113.51900000000001</v>
      </c>
      <c r="Q655" s="11">
        <v>112.767</v>
      </c>
      <c r="R655" s="11">
        <v>121.405</v>
      </c>
      <c r="S655" s="11">
        <v>120.828</v>
      </c>
      <c r="T655" s="11">
        <v>61.874000000000002</v>
      </c>
      <c r="U655" s="11">
        <v>62.651000000000003</v>
      </c>
      <c r="V655" s="11">
        <v>38.125999999999998</v>
      </c>
      <c r="W655" s="11">
        <v>37.348999999999997</v>
      </c>
      <c r="X655" s="11">
        <v>12.722</v>
      </c>
      <c r="Y655" s="11">
        <v>12.252000000000001</v>
      </c>
      <c r="Z655" s="11">
        <v>37.348999999999997</v>
      </c>
      <c r="AA655" s="11">
        <v>38.125999999999998</v>
      </c>
      <c r="AB655" s="11">
        <v>12.811999999999999</v>
      </c>
      <c r="AC655" s="11">
        <v>12</v>
      </c>
      <c r="AD655" s="11">
        <v>11</v>
      </c>
      <c r="AE655" s="11">
        <v>11</v>
      </c>
      <c r="AF655" s="11">
        <v>11</v>
      </c>
    </row>
    <row r="656" spans="1:32" s="11" customFormat="1" x14ac:dyDescent="0.2">
      <c r="A656" s="11">
        <v>784</v>
      </c>
      <c r="F656" s="11" t="s">
        <v>16414</v>
      </c>
      <c r="G656" s="11" t="s">
        <v>16415</v>
      </c>
      <c r="H656" s="12">
        <v>55.8</v>
      </c>
      <c r="I656" s="11" t="s">
        <v>16407</v>
      </c>
      <c r="L656" s="11">
        <v>30.477</v>
      </c>
      <c r="M656" s="11">
        <v>24.916</v>
      </c>
      <c r="N656" s="11">
        <v>56.384999999999998</v>
      </c>
      <c r="O656" s="11">
        <v>54.988</v>
      </c>
      <c r="P656" s="11">
        <v>45.075000000000003</v>
      </c>
      <c r="Q656" s="11">
        <v>45.893999999999998</v>
      </c>
      <c r="R656" s="11">
        <v>98.888000000000005</v>
      </c>
      <c r="S656" s="11">
        <v>99.991</v>
      </c>
      <c r="T656" s="11">
        <v>68.010999999999996</v>
      </c>
      <c r="U656" s="11">
        <v>70.786000000000001</v>
      </c>
      <c r="V656" s="11">
        <v>31.989000000000001</v>
      </c>
      <c r="W656" s="11">
        <v>29.213999999999999</v>
      </c>
      <c r="X656" s="11">
        <v>13.532999999999999</v>
      </c>
      <c r="Y656" s="11">
        <v>24.707000000000001</v>
      </c>
      <c r="Z656" s="11">
        <v>29.213999999999999</v>
      </c>
      <c r="AA656" s="11">
        <v>31.989000000000001</v>
      </c>
      <c r="AB656" s="11">
        <v>11.068</v>
      </c>
      <c r="AC656" s="11">
        <v>20</v>
      </c>
      <c r="AD656" s="11">
        <v>17</v>
      </c>
      <c r="AE656" s="11">
        <v>17</v>
      </c>
      <c r="AF656" s="11">
        <v>17</v>
      </c>
    </row>
    <row r="657" spans="1:32" s="11" customFormat="1" x14ac:dyDescent="0.2">
      <c r="A657" s="11">
        <v>785</v>
      </c>
      <c r="F657" s="11" t="s">
        <v>16414</v>
      </c>
      <c r="G657" s="11" t="s">
        <v>16415</v>
      </c>
      <c r="H657" s="12">
        <v>57.1</v>
      </c>
      <c r="I657" s="11" t="s">
        <v>16407</v>
      </c>
      <c r="L657" s="11">
        <v>25.431000000000001</v>
      </c>
      <c r="M657" s="11">
        <v>22.542999999999999</v>
      </c>
      <c r="N657" s="11">
        <v>48.752000000000002</v>
      </c>
      <c r="O657" s="11">
        <v>48.005000000000003</v>
      </c>
      <c r="P657" s="11">
        <v>34.466000000000001</v>
      </c>
      <c r="Q657" s="11">
        <v>33.768999999999998</v>
      </c>
      <c r="R657" s="11">
        <v>84.840999999999994</v>
      </c>
      <c r="S657" s="11">
        <v>84.328999999999994</v>
      </c>
      <c r="T657" s="11">
        <v>70.775999999999996</v>
      </c>
      <c r="U657" s="11">
        <v>73.86</v>
      </c>
      <c r="V657" s="11">
        <v>29.224</v>
      </c>
      <c r="W657" s="11">
        <v>26.138999999999999</v>
      </c>
      <c r="X657" s="11">
        <v>20.96</v>
      </c>
      <c r="Y657" s="11">
        <v>23.132999999999999</v>
      </c>
      <c r="Z657" s="11">
        <v>26.138999999999999</v>
      </c>
      <c r="AA657" s="11">
        <v>29.224</v>
      </c>
      <c r="AB657" s="11">
        <v>11.02</v>
      </c>
      <c r="AC657" s="11">
        <v>13</v>
      </c>
      <c r="AD657" s="11">
        <v>14</v>
      </c>
      <c r="AE657" s="11">
        <v>13</v>
      </c>
      <c r="AF657" s="11">
        <v>13</v>
      </c>
    </row>
    <row r="658" spans="1:32" s="11" customFormat="1" x14ac:dyDescent="0.2">
      <c r="A658" s="11">
        <v>786</v>
      </c>
      <c r="F658" s="11" t="s">
        <v>16454</v>
      </c>
      <c r="G658" s="11" t="s">
        <v>16455</v>
      </c>
      <c r="H658" s="12">
        <v>73.400000000000006</v>
      </c>
      <c r="I658" s="11" t="s">
        <v>16407</v>
      </c>
      <c r="L658" s="11">
        <v>30.783999999999999</v>
      </c>
      <c r="M658" s="11">
        <v>26.463999999999999</v>
      </c>
      <c r="N658" s="11">
        <v>57.695999999999998</v>
      </c>
      <c r="O658" s="11">
        <v>57.433999999999997</v>
      </c>
      <c r="P658" s="11">
        <v>47.905000000000001</v>
      </c>
      <c r="Q658" s="11">
        <v>47.991999999999997</v>
      </c>
      <c r="R658" s="11">
        <v>100.18899999999999</v>
      </c>
      <c r="S658" s="11">
        <v>100.199</v>
      </c>
      <c r="T658" s="11">
        <v>69.778999999999996</v>
      </c>
      <c r="U658" s="11">
        <v>65.834999999999994</v>
      </c>
      <c r="V658" s="11">
        <v>30.221</v>
      </c>
      <c r="W658" s="11">
        <v>34.164999999999999</v>
      </c>
      <c r="X658" s="11">
        <v>17.216999999999999</v>
      </c>
      <c r="Y658" s="11">
        <v>18.207999999999998</v>
      </c>
      <c r="Z658" s="11">
        <v>34.164999999999999</v>
      </c>
      <c r="AA658" s="11">
        <v>30.221</v>
      </c>
      <c r="AB658" s="11">
        <v>13.715</v>
      </c>
      <c r="AC658" s="11">
        <v>10</v>
      </c>
      <c r="AD658" s="11">
        <v>9</v>
      </c>
      <c r="AE658" s="11">
        <v>9</v>
      </c>
      <c r="AF658" s="11">
        <v>9</v>
      </c>
    </row>
    <row r="659" spans="1:32" s="11" customFormat="1" x14ac:dyDescent="0.2">
      <c r="A659" s="11">
        <v>787</v>
      </c>
      <c r="F659" s="11" t="s">
        <v>16414</v>
      </c>
      <c r="G659" s="11" t="s">
        <v>16415</v>
      </c>
      <c r="H659" s="12">
        <v>83.3</v>
      </c>
      <c r="I659" s="11" t="s">
        <v>16404</v>
      </c>
      <c r="L659" s="11">
        <v>43.515999999999998</v>
      </c>
      <c r="M659" s="11">
        <v>45.433</v>
      </c>
      <c r="N659" s="11">
        <v>89.688999999999993</v>
      </c>
      <c r="O659" s="11">
        <v>87.888999999999996</v>
      </c>
      <c r="P659" s="11">
        <v>72.506</v>
      </c>
      <c r="Q659" s="11">
        <v>70.978999999999999</v>
      </c>
      <c r="R659" s="11">
        <v>96.814999999999998</v>
      </c>
      <c r="S659" s="11">
        <v>96.731999999999999</v>
      </c>
      <c r="T659" s="11">
        <v>66.81</v>
      </c>
      <c r="U659" s="11">
        <v>67.224000000000004</v>
      </c>
      <c r="V659" s="11">
        <v>33.19</v>
      </c>
      <c r="W659" s="11">
        <v>32.776000000000003</v>
      </c>
      <c r="X659" s="11">
        <v>17.742999999999999</v>
      </c>
      <c r="Y659" s="11">
        <v>16.318999999999999</v>
      </c>
      <c r="Z659" s="11">
        <v>32.776000000000003</v>
      </c>
      <c r="AA659" s="11">
        <v>33.19</v>
      </c>
      <c r="AB659" s="11">
        <v>16.52</v>
      </c>
      <c r="AC659" s="11">
        <v>10</v>
      </c>
      <c r="AD659" s="11">
        <v>10</v>
      </c>
      <c r="AE659" s="11">
        <v>10</v>
      </c>
      <c r="AF659" s="11">
        <v>10</v>
      </c>
    </row>
    <row r="660" spans="1:32" s="11" customFormat="1" x14ac:dyDescent="0.2">
      <c r="A660" s="11">
        <v>788</v>
      </c>
      <c r="F660" s="11" t="s">
        <v>16418</v>
      </c>
      <c r="G660" s="11" t="s">
        <v>16419</v>
      </c>
      <c r="H660" s="12">
        <v>29</v>
      </c>
      <c r="I660" s="11" t="s">
        <v>16404</v>
      </c>
      <c r="L660" s="11">
        <v>47.171999999999997</v>
      </c>
      <c r="M660" s="11">
        <v>52.167999999999999</v>
      </c>
      <c r="N660" s="11">
        <v>99.138999999999996</v>
      </c>
      <c r="O660" s="11">
        <v>99.710999999999999</v>
      </c>
      <c r="P660" s="11">
        <v>83.734999999999999</v>
      </c>
      <c r="Q660" s="11">
        <v>82.84</v>
      </c>
      <c r="R660" s="11">
        <v>101.49</v>
      </c>
      <c r="S660" s="11">
        <v>99.317999999999998</v>
      </c>
      <c r="T660" s="11">
        <v>59.537999999999997</v>
      </c>
      <c r="U660" s="11">
        <v>60.45</v>
      </c>
      <c r="V660" s="11">
        <v>40.462000000000003</v>
      </c>
      <c r="W660" s="11">
        <v>39.549999999999997</v>
      </c>
      <c r="X660" s="11">
        <v>12.532999999999999</v>
      </c>
      <c r="Y660" s="11">
        <v>7.5460000000000003</v>
      </c>
      <c r="Z660" s="11">
        <v>39.549999999999997</v>
      </c>
      <c r="AA660" s="11">
        <v>40.462000000000003</v>
      </c>
      <c r="AB660" s="11">
        <v>26.792999999999999</v>
      </c>
      <c r="AC660" s="11">
        <v>7</v>
      </c>
      <c r="AD660" s="11">
        <v>6</v>
      </c>
      <c r="AE660" s="11">
        <v>6</v>
      </c>
      <c r="AF660" s="11">
        <v>6</v>
      </c>
    </row>
    <row r="661" spans="1:32" s="11" customFormat="1" x14ac:dyDescent="0.2">
      <c r="A661" s="11">
        <v>789</v>
      </c>
      <c r="F661" s="11" t="s">
        <v>16403</v>
      </c>
      <c r="G661" s="11" t="s">
        <v>16403</v>
      </c>
      <c r="H661" s="12">
        <v>999</v>
      </c>
      <c r="I661" s="11" t="s">
        <v>16403</v>
      </c>
      <c r="L661" s="11" t="s">
        <v>16403</v>
      </c>
      <c r="M661" s="11" t="s">
        <v>16403</v>
      </c>
      <c r="N661" s="11" t="s">
        <v>16403</v>
      </c>
      <c r="O661" s="11" t="s">
        <v>16403</v>
      </c>
      <c r="P661" s="11" t="s">
        <v>16403</v>
      </c>
      <c r="Q661" s="11" t="s">
        <v>16403</v>
      </c>
      <c r="R661" s="11" t="s">
        <v>16403</v>
      </c>
      <c r="S661" s="11" t="s">
        <v>16403</v>
      </c>
      <c r="T661" s="11" t="s">
        <v>16403</v>
      </c>
      <c r="U661" s="11" t="s">
        <v>16403</v>
      </c>
      <c r="V661" s="11" t="s">
        <v>16403</v>
      </c>
      <c r="W661" s="11" t="s">
        <v>16403</v>
      </c>
      <c r="X661" s="11" t="s">
        <v>16403</v>
      </c>
      <c r="Y661" s="11" t="s">
        <v>16403</v>
      </c>
      <c r="Z661" s="11" t="s">
        <v>16403</v>
      </c>
      <c r="AA661" s="11" t="s">
        <v>16403</v>
      </c>
      <c r="AB661" s="11" t="s">
        <v>16403</v>
      </c>
      <c r="AC661" s="11" t="s">
        <v>16403</v>
      </c>
      <c r="AD661" s="11" t="s">
        <v>16403</v>
      </c>
      <c r="AE661" s="11" t="s">
        <v>16403</v>
      </c>
      <c r="AF661" s="11" t="s">
        <v>16403</v>
      </c>
    </row>
    <row r="662" spans="1:32" s="11" customFormat="1" x14ac:dyDescent="0.2">
      <c r="A662" s="11">
        <v>790</v>
      </c>
      <c r="F662" s="11" t="s">
        <v>16424</v>
      </c>
      <c r="G662" s="11" t="s">
        <v>16425</v>
      </c>
      <c r="H662" s="12">
        <v>80.400000000000006</v>
      </c>
      <c r="I662" s="11" t="s">
        <v>16404</v>
      </c>
      <c r="L662" s="11">
        <v>70.802000000000007</v>
      </c>
      <c r="M662" s="11">
        <v>71.137</v>
      </c>
      <c r="N662" s="11">
        <v>142.75299999999999</v>
      </c>
      <c r="O662" s="11">
        <v>142.07</v>
      </c>
      <c r="P662" s="11">
        <v>129.749</v>
      </c>
      <c r="Q662" s="11">
        <v>129.34299999999999</v>
      </c>
      <c r="R662" s="11">
        <v>108.62</v>
      </c>
      <c r="S662" s="11">
        <v>109.313</v>
      </c>
      <c r="T662" s="11">
        <v>61.142000000000003</v>
      </c>
      <c r="U662" s="11">
        <v>60.112000000000002</v>
      </c>
      <c r="V662" s="11">
        <v>38.857999999999997</v>
      </c>
      <c r="W662" s="11">
        <v>39.887999999999998</v>
      </c>
      <c r="X662" s="11">
        <v>11.614000000000001</v>
      </c>
      <c r="Y662" s="11">
        <v>9.8670000000000009</v>
      </c>
      <c r="Z662" s="11">
        <v>39.887999999999998</v>
      </c>
      <c r="AA662" s="11">
        <v>38.857999999999997</v>
      </c>
      <c r="AB662" s="11">
        <v>10.125999999999999</v>
      </c>
      <c r="AC662" s="11">
        <v>9</v>
      </c>
      <c r="AD662" s="11">
        <v>9</v>
      </c>
      <c r="AE662" s="11">
        <v>9</v>
      </c>
      <c r="AF662" s="11">
        <v>9</v>
      </c>
    </row>
    <row r="663" spans="1:32" s="11" customFormat="1" x14ac:dyDescent="0.2">
      <c r="A663" s="11">
        <v>791</v>
      </c>
      <c r="F663" s="11" t="s">
        <v>16454</v>
      </c>
      <c r="G663" s="11" t="s">
        <v>16455</v>
      </c>
      <c r="H663" s="12">
        <v>74.8</v>
      </c>
      <c r="I663" s="11" t="s">
        <v>16407</v>
      </c>
      <c r="L663" s="11">
        <v>25.768999999999998</v>
      </c>
      <c r="M663" s="11">
        <v>11.493</v>
      </c>
      <c r="N663" s="11">
        <v>36.823</v>
      </c>
      <c r="O663" s="11">
        <v>37.261000000000003</v>
      </c>
      <c r="P663" s="11">
        <v>27.704000000000001</v>
      </c>
      <c r="Q663" s="11">
        <v>28.172000000000001</v>
      </c>
      <c r="R663" s="11">
        <v>90.24</v>
      </c>
      <c r="S663" s="11">
        <v>91.692999999999998</v>
      </c>
      <c r="T663" s="11">
        <v>71.766000000000005</v>
      </c>
      <c r="U663" s="11">
        <v>81.400000000000006</v>
      </c>
      <c r="V663" s="11">
        <v>28.233000000000001</v>
      </c>
      <c r="W663" s="11">
        <v>18.600000000000001</v>
      </c>
      <c r="X663" s="11">
        <v>24.58</v>
      </c>
      <c r="Y663" s="11">
        <v>27.972000000000001</v>
      </c>
      <c r="Z663" s="11">
        <v>18.600000000000001</v>
      </c>
      <c r="AA663" s="11">
        <v>28.233000000000001</v>
      </c>
      <c r="AB663" s="11">
        <v>18.114999999999998</v>
      </c>
      <c r="AC663" s="11">
        <v>14</v>
      </c>
      <c r="AD663" s="11">
        <v>16</v>
      </c>
      <c r="AE663" s="11">
        <v>14</v>
      </c>
      <c r="AF663" s="11">
        <v>14</v>
      </c>
    </row>
    <row r="664" spans="1:32" s="11" customFormat="1" x14ac:dyDescent="0.2">
      <c r="A664" s="11">
        <v>792</v>
      </c>
      <c r="F664" s="11" t="s">
        <v>16420</v>
      </c>
      <c r="G664" s="11" t="s">
        <v>16421</v>
      </c>
      <c r="H664" s="12">
        <v>82.5</v>
      </c>
      <c r="I664" s="11" t="s">
        <v>16404</v>
      </c>
      <c r="L664" s="11">
        <v>46.963000000000001</v>
      </c>
      <c r="M664" s="11">
        <v>44.225999999999999</v>
      </c>
      <c r="N664" s="11">
        <v>91.147000000000006</v>
      </c>
      <c r="O664" s="11">
        <v>90.665999999999997</v>
      </c>
      <c r="P664" s="11">
        <v>70.768000000000001</v>
      </c>
      <c r="Q664" s="11">
        <v>70.590999999999994</v>
      </c>
      <c r="R664" s="11">
        <v>94.046000000000006</v>
      </c>
      <c r="S664" s="11">
        <v>93.067999999999998</v>
      </c>
      <c r="T664" s="11">
        <v>68.213999999999999</v>
      </c>
      <c r="U664" s="11">
        <v>67.995999999999995</v>
      </c>
      <c r="V664" s="11">
        <v>31.786000000000001</v>
      </c>
      <c r="W664" s="11">
        <v>32.003999999999998</v>
      </c>
      <c r="X664" s="11">
        <v>17.706</v>
      </c>
      <c r="Y664" s="11">
        <v>17.373999999999999</v>
      </c>
      <c r="Z664" s="11">
        <v>32.003999999999998</v>
      </c>
      <c r="AA664" s="11">
        <v>31.786000000000001</v>
      </c>
      <c r="AB664" s="11">
        <v>13.413</v>
      </c>
      <c r="AC664" s="11">
        <v>13</v>
      </c>
      <c r="AD664" s="11">
        <v>11</v>
      </c>
      <c r="AE664" s="11">
        <v>11</v>
      </c>
      <c r="AF664" s="11">
        <v>11</v>
      </c>
    </row>
    <row r="665" spans="1:32" s="11" customFormat="1" x14ac:dyDescent="0.2">
      <c r="A665" s="11">
        <v>793</v>
      </c>
      <c r="F665" s="11" t="s">
        <v>16424</v>
      </c>
      <c r="G665" s="11" t="s">
        <v>16425</v>
      </c>
      <c r="H665" s="12">
        <v>88</v>
      </c>
      <c r="I665" s="11" t="s">
        <v>16407</v>
      </c>
      <c r="L665" s="11">
        <v>37.625</v>
      </c>
      <c r="M665" s="11">
        <v>26.497</v>
      </c>
      <c r="N665" s="11">
        <v>64.387</v>
      </c>
      <c r="O665" s="11">
        <v>63.997999999999998</v>
      </c>
      <c r="P665" s="11">
        <v>47.152999999999999</v>
      </c>
      <c r="Q665" s="11">
        <v>46.572000000000003</v>
      </c>
      <c r="R665" s="11">
        <v>88.287999999999997</v>
      </c>
      <c r="S665" s="11">
        <v>87.38</v>
      </c>
      <c r="T665" s="11">
        <v>72.849999999999994</v>
      </c>
      <c r="U665" s="11">
        <v>70.953000000000003</v>
      </c>
      <c r="V665" s="11">
        <v>27.15</v>
      </c>
      <c r="W665" s="11">
        <v>29.047000000000001</v>
      </c>
      <c r="X665" s="11">
        <v>22.484999999999999</v>
      </c>
      <c r="Y665" s="11">
        <v>21.446000000000002</v>
      </c>
      <c r="Z665" s="11">
        <v>29.047000000000001</v>
      </c>
      <c r="AA665" s="11">
        <v>27.15</v>
      </c>
      <c r="AB665" s="11">
        <v>14.436999999999999</v>
      </c>
      <c r="AC665" s="11">
        <v>13</v>
      </c>
      <c r="AD665" s="11">
        <v>14</v>
      </c>
      <c r="AE665" s="11">
        <v>13</v>
      </c>
      <c r="AF665" s="11">
        <v>13</v>
      </c>
    </row>
    <row r="666" spans="1:32" s="11" customFormat="1" x14ac:dyDescent="0.2">
      <c r="A666" s="11">
        <v>794</v>
      </c>
      <c r="F666" s="11" t="s">
        <v>16414</v>
      </c>
      <c r="G666" s="11" t="s">
        <v>16415</v>
      </c>
      <c r="H666" s="12">
        <v>84.8</v>
      </c>
      <c r="I666" s="11" t="s">
        <v>16407</v>
      </c>
      <c r="L666" s="11">
        <v>43.451999999999998</v>
      </c>
      <c r="M666" s="11">
        <v>42.255000000000003</v>
      </c>
      <c r="N666" s="11">
        <v>87.369</v>
      </c>
      <c r="O666" s="11">
        <v>85.245999999999995</v>
      </c>
      <c r="P666" s="11">
        <v>77.724999999999994</v>
      </c>
      <c r="Q666" s="11">
        <v>75.801000000000002</v>
      </c>
      <c r="R666" s="11">
        <v>104.95099999999999</v>
      </c>
      <c r="S666" s="11">
        <v>104.504</v>
      </c>
      <c r="T666" s="11">
        <v>63.68</v>
      </c>
      <c r="U666" s="11">
        <v>64.328000000000003</v>
      </c>
      <c r="V666" s="11">
        <v>36.32</v>
      </c>
      <c r="W666" s="11">
        <v>35.671999999999997</v>
      </c>
      <c r="X666" s="11">
        <v>13.662000000000001</v>
      </c>
      <c r="Y666" s="11">
        <v>13.627000000000001</v>
      </c>
      <c r="Z666" s="11">
        <v>35.671999999999997</v>
      </c>
      <c r="AA666" s="11">
        <v>36.32</v>
      </c>
      <c r="AB666" s="11">
        <v>9.9320000000000004</v>
      </c>
      <c r="AC666" s="11">
        <v>13</v>
      </c>
      <c r="AD666" s="11">
        <v>12</v>
      </c>
      <c r="AE666" s="11">
        <v>12</v>
      </c>
      <c r="AF666" s="11">
        <v>12</v>
      </c>
    </row>
    <row r="667" spans="1:32" s="11" customFormat="1" x14ac:dyDescent="0.2">
      <c r="A667" s="11">
        <v>795</v>
      </c>
      <c r="F667" s="11" t="s">
        <v>16454</v>
      </c>
      <c r="G667" s="11" t="s">
        <v>16455</v>
      </c>
      <c r="H667" s="12">
        <v>87.1</v>
      </c>
      <c r="I667" s="11" t="s">
        <v>16407</v>
      </c>
      <c r="L667" s="11">
        <v>31.228999999999999</v>
      </c>
      <c r="M667" s="11">
        <v>32.695999999999998</v>
      </c>
      <c r="N667" s="11">
        <v>64.552000000000007</v>
      </c>
      <c r="O667" s="11">
        <v>64.033000000000001</v>
      </c>
      <c r="P667" s="11">
        <v>55.168999999999997</v>
      </c>
      <c r="Q667" s="11">
        <v>55.51</v>
      </c>
      <c r="R667" s="11">
        <v>102.979</v>
      </c>
      <c r="S667" s="11">
        <v>103.792</v>
      </c>
      <c r="T667" s="11">
        <v>66.16</v>
      </c>
      <c r="U667" s="11">
        <v>65.843999999999994</v>
      </c>
      <c r="V667" s="11">
        <v>33.840000000000003</v>
      </c>
      <c r="W667" s="11">
        <v>34.155999999999999</v>
      </c>
      <c r="X667" s="11">
        <v>13.968999999999999</v>
      </c>
      <c r="Y667" s="11">
        <v>17.698</v>
      </c>
      <c r="Z667" s="11">
        <v>34.155999999999999</v>
      </c>
      <c r="AA667" s="11">
        <v>33.840000000000003</v>
      </c>
      <c r="AB667" s="11">
        <v>11.457000000000001</v>
      </c>
      <c r="AC667" s="11">
        <v>14</v>
      </c>
      <c r="AD667" s="11">
        <v>13</v>
      </c>
      <c r="AE667" s="11">
        <v>13</v>
      </c>
      <c r="AF667" s="11">
        <v>13</v>
      </c>
    </row>
    <row r="668" spans="1:32" s="11" customFormat="1" x14ac:dyDescent="0.2">
      <c r="A668" s="11">
        <v>796</v>
      </c>
      <c r="F668" s="11" t="s">
        <v>16424</v>
      </c>
      <c r="G668" s="11" t="s">
        <v>16425</v>
      </c>
      <c r="H668" s="12">
        <v>33.799999999999997</v>
      </c>
      <c r="I668" s="11" t="s">
        <v>16407</v>
      </c>
      <c r="L668" s="11">
        <v>55.296999999999997</v>
      </c>
      <c r="M668" s="11">
        <v>55.63</v>
      </c>
      <c r="N668" s="11">
        <v>110.952</v>
      </c>
      <c r="O668" s="11">
        <v>110.922</v>
      </c>
      <c r="P668" s="11">
        <v>106.88200000000001</v>
      </c>
      <c r="Q668" s="11">
        <v>107.057</v>
      </c>
      <c r="R668" s="11">
        <v>115.869</v>
      </c>
      <c r="S668" s="11">
        <v>115.776</v>
      </c>
      <c r="T668" s="11">
        <v>63.173000000000002</v>
      </c>
      <c r="U668" s="11">
        <v>61.652000000000001</v>
      </c>
      <c r="V668" s="11">
        <v>36.826999999999998</v>
      </c>
      <c r="W668" s="11">
        <v>38.347999999999999</v>
      </c>
      <c r="X668" s="11">
        <v>13.164</v>
      </c>
      <c r="Y668" s="11">
        <v>11.909000000000001</v>
      </c>
      <c r="Z668" s="11">
        <v>38.347999999999999</v>
      </c>
      <c r="AA668" s="11">
        <v>36.826999999999998</v>
      </c>
      <c r="AB668" s="11">
        <v>11.02</v>
      </c>
      <c r="AC668" s="11">
        <v>11</v>
      </c>
      <c r="AD668" s="11">
        <v>11</v>
      </c>
      <c r="AE668" s="11">
        <v>11</v>
      </c>
      <c r="AF668" s="11">
        <v>11</v>
      </c>
    </row>
    <row r="669" spans="1:32" s="11" customFormat="1" x14ac:dyDescent="0.2">
      <c r="A669" s="11">
        <v>797</v>
      </c>
      <c r="F669" s="11" t="s">
        <v>16414</v>
      </c>
      <c r="G669" s="11" t="s">
        <v>16415</v>
      </c>
      <c r="H669" s="12">
        <v>72</v>
      </c>
      <c r="I669" s="11" t="s">
        <v>16407</v>
      </c>
      <c r="L669" s="11">
        <v>34.673000000000002</v>
      </c>
      <c r="M669" s="11">
        <v>37.506999999999998</v>
      </c>
      <c r="N669" s="11">
        <v>72.587000000000003</v>
      </c>
      <c r="O669" s="11">
        <v>72.337000000000003</v>
      </c>
      <c r="P669" s="11">
        <v>59.787999999999997</v>
      </c>
      <c r="Q669" s="11">
        <v>59.122</v>
      </c>
      <c r="R669" s="11">
        <v>98.6</v>
      </c>
      <c r="S669" s="11">
        <v>98.59</v>
      </c>
      <c r="T669" s="11">
        <v>63.645000000000003</v>
      </c>
      <c r="U669" s="11">
        <v>66.509</v>
      </c>
      <c r="V669" s="11">
        <v>36.354999999999997</v>
      </c>
      <c r="W669" s="11">
        <v>33.491</v>
      </c>
      <c r="X669" s="11">
        <v>14.606999999999999</v>
      </c>
      <c r="Y669" s="11">
        <v>16.562999999999999</v>
      </c>
      <c r="Z669" s="11">
        <v>33.491</v>
      </c>
      <c r="AA669" s="11">
        <v>36.354999999999997</v>
      </c>
      <c r="AB669" s="11">
        <v>9.3350000000000009</v>
      </c>
      <c r="AC669" s="11">
        <v>11</v>
      </c>
      <c r="AD669" s="11">
        <v>14</v>
      </c>
      <c r="AE669" s="11">
        <v>11</v>
      </c>
      <c r="AF669" s="11">
        <v>11</v>
      </c>
    </row>
    <row r="670" spans="1:32" s="11" customFormat="1" x14ac:dyDescent="0.2">
      <c r="A670" s="11">
        <v>798</v>
      </c>
      <c r="F670" s="11" t="s">
        <v>16414</v>
      </c>
      <c r="G670" s="11" t="s">
        <v>16415</v>
      </c>
      <c r="H670" s="12">
        <v>75.2</v>
      </c>
      <c r="I670" s="11" t="s">
        <v>16404</v>
      </c>
      <c r="L670" s="11">
        <v>56.841000000000001</v>
      </c>
      <c r="M670" s="11">
        <v>55.996000000000002</v>
      </c>
      <c r="N670" s="11">
        <v>115.101</v>
      </c>
      <c r="O670" s="11">
        <v>111.848</v>
      </c>
      <c r="P670" s="11">
        <v>121.13500000000001</v>
      </c>
      <c r="Q670" s="11">
        <v>120.59699999999999</v>
      </c>
      <c r="R670" s="11">
        <v>125.81399999999999</v>
      </c>
      <c r="S670" s="11">
        <v>127.547</v>
      </c>
      <c r="T670" s="11">
        <v>59.472000000000001</v>
      </c>
      <c r="U670" s="11">
        <v>64.143000000000001</v>
      </c>
      <c r="V670" s="11">
        <v>40.527999999999999</v>
      </c>
      <c r="W670" s="11">
        <v>35.856999999999999</v>
      </c>
      <c r="X670" s="11">
        <v>12.567</v>
      </c>
      <c r="Y670" s="11">
        <v>11.109</v>
      </c>
      <c r="Z670" s="11">
        <v>35.856999999999999</v>
      </c>
      <c r="AA670" s="11">
        <v>40.527999999999999</v>
      </c>
      <c r="AB670" s="11">
        <v>7.23</v>
      </c>
      <c r="AC670" s="11">
        <v>10</v>
      </c>
      <c r="AD670" s="11">
        <v>11</v>
      </c>
      <c r="AE670" s="11">
        <v>10</v>
      </c>
      <c r="AF670" s="11">
        <v>10</v>
      </c>
    </row>
    <row r="671" spans="1:32" s="11" customFormat="1" x14ac:dyDescent="0.2">
      <c r="A671" s="11">
        <v>799</v>
      </c>
      <c r="F671" s="11" t="s">
        <v>16424</v>
      </c>
      <c r="G671" s="11" t="s">
        <v>16425</v>
      </c>
      <c r="H671" s="12">
        <v>68.400000000000006</v>
      </c>
      <c r="I671" s="11" t="s">
        <v>16407</v>
      </c>
      <c r="L671" s="11">
        <v>34.905000000000001</v>
      </c>
      <c r="M671" s="11">
        <v>28.677</v>
      </c>
      <c r="N671" s="11">
        <v>63.024999999999999</v>
      </c>
      <c r="O671" s="11">
        <v>63.933999999999997</v>
      </c>
      <c r="P671" s="11">
        <v>34.865000000000002</v>
      </c>
      <c r="Q671" s="11">
        <v>35.399000000000001</v>
      </c>
      <c r="R671" s="11">
        <v>67.069000000000003</v>
      </c>
      <c r="S671" s="11">
        <v>66.882000000000005</v>
      </c>
      <c r="T671" s="11">
        <v>69.5</v>
      </c>
      <c r="U671" s="11">
        <v>75.165999999999997</v>
      </c>
      <c r="V671" s="11">
        <v>30.5</v>
      </c>
      <c r="W671" s="11">
        <v>24.834</v>
      </c>
      <c r="X671" s="11">
        <v>22.952000000000002</v>
      </c>
      <c r="Y671" s="11">
        <v>21.972999999999999</v>
      </c>
      <c r="Z671" s="11">
        <v>24.834</v>
      </c>
      <c r="AA671" s="11">
        <v>30.5</v>
      </c>
      <c r="AB671" s="11">
        <v>13.898</v>
      </c>
      <c r="AC671" s="11">
        <v>11</v>
      </c>
      <c r="AD671" s="11">
        <v>9</v>
      </c>
      <c r="AE671" s="11">
        <v>9</v>
      </c>
      <c r="AF671" s="11">
        <v>9</v>
      </c>
    </row>
    <row r="672" spans="1:32" s="11" customFormat="1" x14ac:dyDescent="0.2">
      <c r="A672" s="11">
        <v>800</v>
      </c>
      <c r="F672" s="11" t="s">
        <v>16420</v>
      </c>
      <c r="G672" s="11" t="s">
        <v>16421</v>
      </c>
      <c r="H672" s="12">
        <v>76.900000000000006</v>
      </c>
      <c r="I672" s="11" t="s">
        <v>16407</v>
      </c>
      <c r="L672" s="11">
        <v>55.743000000000002</v>
      </c>
      <c r="M672" s="11">
        <v>55.542999999999999</v>
      </c>
      <c r="N672" s="11">
        <v>111.03100000000001</v>
      </c>
      <c r="O672" s="11">
        <v>111.681</v>
      </c>
      <c r="P672" s="11">
        <v>134.33699999999999</v>
      </c>
      <c r="Q672" s="11">
        <v>134.73099999999999</v>
      </c>
      <c r="R672" s="11">
        <v>145.27500000000001</v>
      </c>
      <c r="S672" s="11">
        <v>144.505</v>
      </c>
      <c r="T672" s="11">
        <v>59.473999999999997</v>
      </c>
      <c r="U672" s="11">
        <v>58.795000000000002</v>
      </c>
      <c r="V672" s="11">
        <v>40.526000000000003</v>
      </c>
      <c r="W672" s="11">
        <v>41.204999999999998</v>
      </c>
      <c r="X672" s="11">
        <v>8.9269999999999996</v>
      </c>
      <c r="Y672" s="11">
        <v>10.304</v>
      </c>
      <c r="Z672" s="11">
        <v>41.204999999999998</v>
      </c>
      <c r="AA672" s="11">
        <v>40.526000000000003</v>
      </c>
      <c r="AB672" s="11">
        <v>9.91</v>
      </c>
      <c r="AC672" s="11">
        <v>14</v>
      </c>
      <c r="AD672" s="11">
        <v>11</v>
      </c>
      <c r="AE672" s="11">
        <v>11</v>
      </c>
      <c r="AF672" s="11">
        <v>11</v>
      </c>
    </row>
    <row r="673" spans="1:32" s="11" customFormat="1" x14ac:dyDescent="0.2">
      <c r="A673" s="11">
        <v>801</v>
      </c>
      <c r="F673" s="11" t="s">
        <v>16414</v>
      </c>
      <c r="G673" s="11" t="s">
        <v>16415</v>
      </c>
      <c r="H673" s="12">
        <v>77.900000000000006</v>
      </c>
      <c r="I673" s="11" t="s">
        <v>16407</v>
      </c>
      <c r="L673" s="11">
        <v>30.274999999999999</v>
      </c>
      <c r="M673" s="11">
        <v>28.05</v>
      </c>
      <c r="N673" s="11">
        <v>58.353999999999999</v>
      </c>
      <c r="O673" s="11">
        <v>57.993000000000002</v>
      </c>
      <c r="P673" s="11">
        <v>55.351999999999997</v>
      </c>
      <c r="Q673" s="11">
        <v>55.366</v>
      </c>
      <c r="R673" s="11">
        <v>113.63500000000001</v>
      </c>
      <c r="S673" s="11">
        <v>114.565</v>
      </c>
      <c r="T673" s="11">
        <v>64.004999999999995</v>
      </c>
      <c r="U673" s="11">
        <v>68.316000000000003</v>
      </c>
      <c r="V673" s="11">
        <v>35.994</v>
      </c>
      <c r="W673" s="11">
        <v>31.684000000000001</v>
      </c>
      <c r="X673" s="11">
        <v>18.529</v>
      </c>
      <c r="Y673" s="11">
        <v>13.930999999999999</v>
      </c>
      <c r="Z673" s="11">
        <v>31.684000000000001</v>
      </c>
      <c r="AA673" s="11">
        <v>35.994</v>
      </c>
      <c r="AB673" s="11">
        <v>8.702</v>
      </c>
      <c r="AC673" s="11">
        <v>17</v>
      </c>
      <c r="AD673" s="11">
        <v>17</v>
      </c>
      <c r="AE673" s="11">
        <v>17</v>
      </c>
      <c r="AF673" s="11">
        <v>17</v>
      </c>
    </row>
    <row r="674" spans="1:32" s="11" customFormat="1" x14ac:dyDescent="0.2">
      <c r="A674" s="11">
        <v>802</v>
      </c>
      <c r="F674" s="11" t="s">
        <v>16403</v>
      </c>
      <c r="G674" s="11" t="s">
        <v>16403</v>
      </c>
      <c r="H674" s="12">
        <v>999</v>
      </c>
      <c r="I674" s="11" t="s">
        <v>16403</v>
      </c>
      <c r="L674" s="11">
        <v>34.673000000000002</v>
      </c>
      <c r="M674" s="11">
        <v>37.506999999999998</v>
      </c>
      <c r="N674" s="11">
        <v>72.587000000000003</v>
      </c>
      <c r="O674" s="11">
        <v>72.337000000000003</v>
      </c>
      <c r="P674" s="11">
        <v>59.787999999999997</v>
      </c>
      <c r="Q674" s="11">
        <v>59.122</v>
      </c>
      <c r="R674" s="11">
        <v>98.6</v>
      </c>
      <c r="S674" s="11">
        <v>98.59</v>
      </c>
      <c r="T674" s="11">
        <v>63.645000000000003</v>
      </c>
      <c r="U674" s="11">
        <v>66.509</v>
      </c>
      <c r="V674" s="11">
        <v>36.354999999999997</v>
      </c>
      <c r="W674" s="11">
        <v>33.491</v>
      </c>
      <c r="X674" s="11">
        <v>14.606999999999999</v>
      </c>
      <c r="Y674" s="11">
        <v>16.562999999999999</v>
      </c>
      <c r="Z674" s="11">
        <v>33.491</v>
      </c>
      <c r="AA674" s="11">
        <v>36.354999999999997</v>
      </c>
      <c r="AB674" s="11">
        <v>9.3350000000000009</v>
      </c>
      <c r="AC674" s="11">
        <v>11</v>
      </c>
      <c r="AD674" s="11">
        <v>14</v>
      </c>
      <c r="AE674" s="11">
        <v>11</v>
      </c>
      <c r="AF674" s="11">
        <v>11</v>
      </c>
    </row>
    <row r="675" spans="1:32" s="11" customFormat="1" x14ac:dyDescent="0.2">
      <c r="A675" s="11">
        <v>803</v>
      </c>
      <c r="F675" s="11" t="s">
        <v>16424</v>
      </c>
      <c r="G675" s="11" t="s">
        <v>16425</v>
      </c>
      <c r="H675" s="12">
        <v>69.900000000000006</v>
      </c>
      <c r="I675" s="11" t="s">
        <v>16407</v>
      </c>
      <c r="L675" s="11">
        <v>34.673000000000002</v>
      </c>
      <c r="M675" s="11">
        <v>37.506999999999998</v>
      </c>
      <c r="N675" s="11">
        <v>72.587000000000003</v>
      </c>
      <c r="O675" s="11">
        <v>72.337000000000003</v>
      </c>
      <c r="P675" s="11">
        <v>59.787999999999997</v>
      </c>
      <c r="Q675" s="11">
        <v>59.122</v>
      </c>
      <c r="R675" s="11">
        <v>98.6</v>
      </c>
      <c r="S675" s="11">
        <v>98.59</v>
      </c>
      <c r="T675" s="11">
        <v>63.645000000000003</v>
      </c>
      <c r="U675" s="11">
        <v>66.509</v>
      </c>
      <c r="V675" s="11">
        <v>36.354999999999997</v>
      </c>
      <c r="W675" s="11">
        <v>33.491</v>
      </c>
      <c r="X675" s="11">
        <v>14.606999999999999</v>
      </c>
      <c r="Y675" s="11">
        <v>16.562999999999999</v>
      </c>
      <c r="Z675" s="11">
        <v>33.491</v>
      </c>
      <c r="AA675" s="11">
        <v>36.354999999999997</v>
      </c>
      <c r="AB675" s="11">
        <v>9.3350000000000009</v>
      </c>
      <c r="AC675" s="11">
        <v>11</v>
      </c>
      <c r="AD675" s="11">
        <v>14</v>
      </c>
      <c r="AE675" s="11">
        <v>11</v>
      </c>
      <c r="AF675" s="11">
        <v>11</v>
      </c>
    </row>
    <row r="676" spans="1:32" s="11" customFormat="1" x14ac:dyDescent="0.2">
      <c r="A676" s="11">
        <v>804</v>
      </c>
      <c r="F676" s="11" t="s">
        <v>16414</v>
      </c>
      <c r="G676" s="11" t="s">
        <v>16415</v>
      </c>
      <c r="H676" s="12">
        <v>74.900000000000006</v>
      </c>
      <c r="I676" s="11" t="s">
        <v>16407</v>
      </c>
      <c r="L676" s="11">
        <v>52.32</v>
      </c>
      <c r="M676" s="11">
        <v>49.777000000000001</v>
      </c>
      <c r="N676" s="11">
        <v>101.85</v>
      </c>
      <c r="O676" s="11">
        <v>102.608</v>
      </c>
      <c r="P676" s="11">
        <v>84.9</v>
      </c>
      <c r="Q676" s="11">
        <v>84.486000000000004</v>
      </c>
      <c r="R676" s="11">
        <v>99.912999999999997</v>
      </c>
      <c r="S676" s="11">
        <v>98.894999999999996</v>
      </c>
      <c r="T676" s="11">
        <v>63.655999999999999</v>
      </c>
      <c r="U676" s="11">
        <v>63.945</v>
      </c>
      <c r="V676" s="11">
        <v>36.344999999999999</v>
      </c>
      <c r="W676" s="11">
        <v>36.055</v>
      </c>
      <c r="X676" s="11">
        <v>14.462999999999999</v>
      </c>
      <c r="Y676" s="11">
        <v>13.792999999999999</v>
      </c>
      <c r="Z676" s="11">
        <v>36.055</v>
      </c>
      <c r="AA676" s="11">
        <v>36.344999999999999</v>
      </c>
      <c r="AB676" s="11">
        <v>10.238</v>
      </c>
      <c r="AC676" s="11">
        <v>14</v>
      </c>
      <c r="AD676" s="11">
        <v>11</v>
      </c>
      <c r="AE676" s="11">
        <v>11</v>
      </c>
      <c r="AF676" s="11">
        <v>11</v>
      </c>
    </row>
    <row r="677" spans="1:32" s="11" customFormat="1" x14ac:dyDescent="0.2">
      <c r="A677" s="11">
        <v>805</v>
      </c>
      <c r="F677" s="11" t="s">
        <v>16416</v>
      </c>
      <c r="G677" s="11" t="s">
        <v>16417</v>
      </c>
      <c r="H677" s="12">
        <v>83.8</v>
      </c>
      <c r="I677" s="11" t="s">
        <v>16404</v>
      </c>
      <c r="L677" s="11">
        <v>34.340000000000003</v>
      </c>
      <c r="M677" s="11">
        <v>38.838000000000001</v>
      </c>
      <c r="N677" s="11">
        <v>73.194999999999993</v>
      </c>
      <c r="O677" s="11">
        <v>72.900999999999996</v>
      </c>
      <c r="P677" s="11">
        <v>58.45</v>
      </c>
      <c r="Q677" s="11">
        <v>57.884999999999998</v>
      </c>
      <c r="R677" s="11">
        <v>95.46</v>
      </c>
      <c r="S677" s="11">
        <v>94.947999999999993</v>
      </c>
      <c r="T677" s="11">
        <v>68.471999999999994</v>
      </c>
      <c r="U677" s="11">
        <v>68.325000000000003</v>
      </c>
      <c r="V677" s="11">
        <v>31.527999999999999</v>
      </c>
      <c r="W677" s="11">
        <v>31.675000000000001</v>
      </c>
      <c r="X677" s="11">
        <v>17.701000000000001</v>
      </c>
      <c r="Y677" s="11">
        <v>19.259</v>
      </c>
      <c r="Z677" s="11">
        <v>31.675000000000001</v>
      </c>
      <c r="AA677" s="11">
        <v>31.527999999999999</v>
      </c>
      <c r="AB677" s="11">
        <v>17.36</v>
      </c>
      <c r="AC677" s="11">
        <v>14</v>
      </c>
      <c r="AD677" s="11">
        <v>15</v>
      </c>
      <c r="AE677" s="11">
        <v>14</v>
      </c>
      <c r="AF677" s="11">
        <v>14</v>
      </c>
    </row>
    <row r="678" spans="1:32" s="11" customFormat="1" x14ac:dyDescent="0.2">
      <c r="A678" s="11">
        <v>806</v>
      </c>
      <c r="F678" s="11" t="s">
        <v>16414</v>
      </c>
      <c r="G678" s="11" t="s">
        <v>16415</v>
      </c>
      <c r="H678" s="12">
        <v>66.599999999999994</v>
      </c>
      <c r="I678" s="11" t="s">
        <v>16404</v>
      </c>
      <c r="L678" s="11">
        <v>52.13</v>
      </c>
      <c r="M678" s="11">
        <v>45.738999999999997</v>
      </c>
      <c r="N678" s="11">
        <v>98.55</v>
      </c>
      <c r="O678" s="11">
        <v>98.001999999999995</v>
      </c>
      <c r="P678" s="11">
        <v>80.337999999999994</v>
      </c>
      <c r="Q678" s="11">
        <v>81.183999999999997</v>
      </c>
      <c r="R678" s="11">
        <v>97.787999999999997</v>
      </c>
      <c r="S678" s="11">
        <v>99.027000000000001</v>
      </c>
      <c r="T678" s="11">
        <v>64.665999999999997</v>
      </c>
      <c r="U678" s="11">
        <v>63.194000000000003</v>
      </c>
      <c r="V678" s="11">
        <v>35.334000000000003</v>
      </c>
      <c r="W678" s="11">
        <v>36.805999999999997</v>
      </c>
      <c r="X678" s="11">
        <v>13.612</v>
      </c>
      <c r="Y678" s="11">
        <v>14.413</v>
      </c>
      <c r="Z678" s="11">
        <v>36.805999999999997</v>
      </c>
      <c r="AA678" s="11">
        <v>35.334000000000003</v>
      </c>
      <c r="AB678" s="11">
        <v>12.853999999999999</v>
      </c>
      <c r="AC678" s="11">
        <v>12</v>
      </c>
      <c r="AD678" s="11">
        <v>13</v>
      </c>
      <c r="AE678" s="11">
        <v>12</v>
      </c>
      <c r="AF678" s="11">
        <v>12</v>
      </c>
    </row>
    <row r="679" spans="1:32" s="11" customFormat="1" x14ac:dyDescent="0.2">
      <c r="A679" s="11">
        <v>807</v>
      </c>
      <c r="F679" s="11" t="s">
        <v>16438</v>
      </c>
      <c r="G679" s="11" t="s">
        <v>16439</v>
      </c>
      <c r="H679" s="12">
        <v>57.9</v>
      </c>
      <c r="I679" s="11" t="s">
        <v>16407</v>
      </c>
      <c r="L679" s="11">
        <v>53.268999999999998</v>
      </c>
      <c r="M679" s="11">
        <v>51.664999999999999</v>
      </c>
      <c r="N679" s="11">
        <v>104.764</v>
      </c>
      <c r="O679" s="11">
        <v>104.408</v>
      </c>
      <c r="P679" s="11">
        <v>104.292</v>
      </c>
      <c r="Q679" s="11">
        <v>104.377</v>
      </c>
      <c r="R679" s="11">
        <v>119.41800000000001</v>
      </c>
      <c r="S679" s="11">
        <v>120.017</v>
      </c>
      <c r="T679" s="11">
        <v>62.61</v>
      </c>
      <c r="U679" s="11">
        <v>62.566000000000003</v>
      </c>
      <c r="V679" s="11">
        <v>37.39</v>
      </c>
      <c r="W679" s="11">
        <v>37.433999999999997</v>
      </c>
      <c r="X679" s="11">
        <v>13.292999999999999</v>
      </c>
      <c r="Y679" s="11">
        <v>12.092000000000001</v>
      </c>
      <c r="Z679" s="11">
        <v>37.433999999999997</v>
      </c>
      <c r="AA679" s="11">
        <v>37.39</v>
      </c>
      <c r="AB679" s="11">
        <v>10.725</v>
      </c>
      <c r="AC679" s="11">
        <v>17</v>
      </c>
      <c r="AD679" s="11">
        <v>15</v>
      </c>
      <c r="AE679" s="11">
        <v>15</v>
      </c>
      <c r="AF679" s="11">
        <v>15</v>
      </c>
    </row>
    <row r="680" spans="1:32" s="11" customFormat="1" x14ac:dyDescent="0.2">
      <c r="A680" s="11">
        <v>808</v>
      </c>
      <c r="F680" s="11" t="s">
        <v>16420</v>
      </c>
      <c r="G680" s="11" t="s">
        <v>16421</v>
      </c>
      <c r="H680" s="12">
        <v>57.7</v>
      </c>
      <c r="I680" s="11" t="s">
        <v>16404</v>
      </c>
      <c r="L680" s="11">
        <v>50.317999999999998</v>
      </c>
      <c r="M680" s="11">
        <v>52.067</v>
      </c>
      <c r="N680" s="11">
        <v>102.167</v>
      </c>
      <c r="O680" s="11">
        <v>102.82</v>
      </c>
      <c r="P680" s="11">
        <v>86.869</v>
      </c>
      <c r="Q680" s="11">
        <v>87.448999999999998</v>
      </c>
      <c r="R680" s="11">
        <v>101.97799999999999</v>
      </c>
      <c r="S680" s="11">
        <v>102.015</v>
      </c>
      <c r="T680" s="11">
        <v>64.007000000000005</v>
      </c>
      <c r="U680" s="11">
        <v>62.027999999999999</v>
      </c>
      <c r="V680" s="11">
        <v>35.993000000000002</v>
      </c>
      <c r="W680" s="11">
        <v>37.972000000000001</v>
      </c>
      <c r="X680" s="11">
        <v>12.779</v>
      </c>
      <c r="Y680" s="11">
        <v>13.656000000000001</v>
      </c>
      <c r="Z680" s="11">
        <v>37.972000000000001</v>
      </c>
      <c r="AA680" s="11">
        <v>35.993000000000002</v>
      </c>
      <c r="AB680" s="11">
        <v>17.257999999999999</v>
      </c>
      <c r="AC680" s="11">
        <v>13</v>
      </c>
      <c r="AD680" s="11">
        <v>13</v>
      </c>
      <c r="AE680" s="11">
        <v>13</v>
      </c>
      <c r="AF680" s="11">
        <v>13</v>
      </c>
    </row>
    <row r="681" spans="1:32" s="11" customFormat="1" x14ac:dyDescent="0.2">
      <c r="A681" s="11">
        <v>809</v>
      </c>
      <c r="F681" s="11" t="s">
        <v>16420</v>
      </c>
      <c r="G681" s="11" t="s">
        <v>16421</v>
      </c>
      <c r="H681" s="12">
        <v>81.2</v>
      </c>
      <c r="I681" s="11" t="s">
        <v>16404</v>
      </c>
      <c r="L681" s="11">
        <v>54.31</v>
      </c>
      <c r="M681" s="11">
        <v>54.762999999999998</v>
      </c>
      <c r="N681" s="11">
        <v>109.05</v>
      </c>
      <c r="O681" s="11">
        <v>109.10599999999999</v>
      </c>
      <c r="P681" s="11">
        <v>98.760999999999996</v>
      </c>
      <c r="Q681" s="11">
        <v>99.677000000000007</v>
      </c>
      <c r="R681" s="11">
        <v>108.57599999999999</v>
      </c>
      <c r="S681" s="11">
        <v>109.084</v>
      </c>
      <c r="T681" s="11">
        <v>64.915999999999997</v>
      </c>
      <c r="U681" s="11">
        <v>64.674999999999997</v>
      </c>
      <c r="V681" s="11">
        <v>35.084000000000003</v>
      </c>
      <c r="W681" s="11">
        <v>35.325000000000003</v>
      </c>
      <c r="X681" s="11">
        <v>13.938000000000001</v>
      </c>
      <c r="Y681" s="11">
        <v>16.347000000000001</v>
      </c>
      <c r="Z681" s="11">
        <v>35.325000000000003</v>
      </c>
      <c r="AA681" s="11">
        <v>35.084000000000003</v>
      </c>
      <c r="AB681" s="11">
        <v>8.3230000000000004</v>
      </c>
      <c r="AC681" s="11">
        <v>16</v>
      </c>
      <c r="AD681" s="11">
        <v>12</v>
      </c>
      <c r="AE681" s="11">
        <v>12</v>
      </c>
      <c r="AF681" s="11">
        <v>12</v>
      </c>
    </row>
    <row r="682" spans="1:32" s="11" customFormat="1" x14ac:dyDescent="0.2">
      <c r="A682" s="11">
        <v>810</v>
      </c>
      <c r="F682" s="11" t="s">
        <v>16460</v>
      </c>
      <c r="G682" s="11" t="s">
        <v>16461</v>
      </c>
      <c r="H682" s="12">
        <v>80.599999999999994</v>
      </c>
      <c r="I682" s="11" t="s">
        <v>16404</v>
      </c>
      <c r="L682" s="11">
        <v>45.247</v>
      </c>
      <c r="M682" s="11">
        <v>49.155999999999999</v>
      </c>
      <c r="N682" s="11">
        <v>94.555000000000007</v>
      </c>
      <c r="O682" s="11">
        <v>94.6</v>
      </c>
      <c r="P682" s="11">
        <v>74.878</v>
      </c>
      <c r="Q682" s="11">
        <v>74.646000000000001</v>
      </c>
      <c r="R682" s="11">
        <v>95.516000000000005</v>
      </c>
      <c r="S682" s="11">
        <v>94.125</v>
      </c>
      <c r="T682" s="11">
        <v>69.456999999999994</v>
      </c>
      <c r="U682" s="11">
        <v>67.768000000000001</v>
      </c>
      <c r="V682" s="11">
        <v>30.542999999999999</v>
      </c>
      <c r="W682" s="11">
        <v>32.231999999999999</v>
      </c>
      <c r="X682" s="11">
        <v>18.312999999999999</v>
      </c>
      <c r="Y682" s="11">
        <v>19.048999999999999</v>
      </c>
      <c r="Z682" s="11">
        <v>32.231999999999999</v>
      </c>
      <c r="AA682" s="11">
        <v>30.542999999999999</v>
      </c>
      <c r="AB682" s="11">
        <v>8.6479999999999997</v>
      </c>
      <c r="AC682" s="11">
        <v>12</v>
      </c>
      <c r="AD682" s="11">
        <v>12</v>
      </c>
      <c r="AE682" s="11">
        <v>12</v>
      </c>
      <c r="AF682" s="11">
        <v>12</v>
      </c>
    </row>
    <row r="683" spans="1:32" s="11" customFormat="1" x14ac:dyDescent="0.2">
      <c r="A683" s="11">
        <v>811</v>
      </c>
      <c r="F683" s="11" t="s">
        <v>16414</v>
      </c>
      <c r="G683" s="11" t="s">
        <v>16415</v>
      </c>
      <c r="H683" s="12">
        <v>75.599999999999994</v>
      </c>
      <c r="I683" s="11" t="s">
        <v>16404</v>
      </c>
      <c r="L683" s="11" t="s">
        <v>16403</v>
      </c>
      <c r="M683" s="11" t="s">
        <v>16403</v>
      </c>
      <c r="N683" s="11" t="s">
        <v>16403</v>
      </c>
      <c r="O683" s="11" t="s">
        <v>16403</v>
      </c>
      <c r="P683" s="11" t="s">
        <v>16403</v>
      </c>
      <c r="Q683" s="11" t="s">
        <v>16403</v>
      </c>
      <c r="R683" s="11" t="s">
        <v>16403</v>
      </c>
      <c r="S683" s="11" t="s">
        <v>16403</v>
      </c>
      <c r="T683" s="11" t="s">
        <v>16403</v>
      </c>
      <c r="U683" s="11" t="s">
        <v>16403</v>
      </c>
      <c r="V683" s="11" t="s">
        <v>16403</v>
      </c>
      <c r="W683" s="11" t="s">
        <v>16403</v>
      </c>
      <c r="X683" s="11" t="s">
        <v>16403</v>
      </c>
      <c r="Y683" s="11" t="s">
        <v>16403</v>
      </c>
      <c r="Z683" s="11" t="s">
        <v>16403</v>
      </c>
      <c r="AA683" s="11" t="s">
        <v>16403</v>
      </c>
      <c r="AB683" s="11" t="s">
        <v>16403</v>
      </c>
      <c r="AC683" s="11" t="s">
        <v>16403</v>
      </c>
      <c r="AD683" s="11" t="s">
        <v>16403</v>
      </c>
      <c r="AE683" s="11" t="s">
        <v>16403</v>
      </c>
      <c r="AF683" s="11" t="s">
        <v>16403</v>
      </c>
    </row>
    <row r="684" spans="1:32" s="11" customFormat="1" x14ac:dyDescent="0.2">
      <c r="A684" s="11">
        <v>812</v>
      </c>
      <c r="F684" s="11" t="s">
        <v>16414</v>
      </c>
      <c r="G684" s="11" t="s">
        <v>16415</v>
      </c>
      <c r="H684" s="12">
        <v>74.900000000000006</v>
      </c>
      <c r="I684" s="11" t="s">
        <v>16404</v>
      </c>
      <c r="L684" s="11">
        <v>41.204000000000001</v>
      </c>
      <c r="M684" s="11">
        <v>47.88</v>
      </c>
      <c r="N684" s="11">
        <v>89.399000000000001</v>
      </c>
      <c r="O684" s="11">
        <v>89.022999999999996</v>
      </c>
      <c r="P684" s="11">
        <v>53.402000000000001</v>
      </c>
      <c r="Q684" s="11">
        <v>53.241999999999997</v>
      </c>
      <c r="R684" s="11">
        <v>71.024000000000001</v>
      </c>
      <c r="S684" s="11">
        <v>70.972999999999999</v>
      </c>
      <c r="T684" s="11">
        <v>70.807000000000002</v>
      </c>
      <c r="U684" s="11">
        <v>71.061999999999998</v>
      </c>
      <c r="V684" s="11">
        <v>29.193000000000001</v>
      </c>
      <c r="W684" s="11">
        <v>28.937999999999999</v>
      </c>
      <c r="X684" s="11">
        <v>22.305</v>
      </c>
      <c r="Y684" s="11">
        <v>19.282</v>
      </c>
      <c r="Z684" s="11">
        <v>28.937999999999999</v>
      </c>
      <c r="AA684" s="11">
        <v>29.193000000000001</v>
      </c>
      <c r="AB684" s="11">
        <v>11.98</v>
      </c>
      <c r="AC684" s="11">
        <v>7</v>
      </c>
      <c r="AD684" s="11">
        <v>7</v>
      </c>
      <c r="AE684" s="11">
        <v>7</v>
      </c>
      <c r="AF684" s="11">
        <v>7</v>
      </c>
    </row>
    <row r="685" spans="1:32" s="11" customFormat="1" x14ac:dyDescent="0.2">
      <c r="A685" s="11">
        <v>813</v>
      </c>
      <c r="F685" s="11" t="s">
        <v>16414</v>
      </c>
      <c r="G685" s="11" t="s">
        <v>16415</v>
      </c>
      <c r="H685" s="12">
        <v>74.400000000000006</v>
      </c>
      <c r="I685" s="11" t="s">
        <v>16404</v>
      </c>
      <c r="L685" s="11">
        <v>52.875</v>
      </c>
      <c r="M685" s="11">
        <v>52.329000000000001</v>
      </c>
      <c r="N685" s="11">
        <v>105.858</v>
      </c>
      <c r="O685" s="11">
        <v>105.26600000000001</v>
      </c>
      <c r="P685" s="11">
        <v>96.888999999999996</v>
      </c>
      <c r="Q685" s="11">
        <v>96.754000000000005</v>
      </c>
      <c r="R685" s="11">
        <v>109.45399999999999</v>
      </c>
      <c r="S685" s="11">
        <v>109.65900000000001</v>
      </c>
      <c r="T685" s="11">
        <v>64.149000000000001</v>
      </c>
      <c r="U685" s="11">
        <v>64.938000000000002</v>
      </c>
      <c r="V685" s="11">
        <v>35.850999999999999</v>
      </c>
      <c r="W685" s="11">
        <v>35.061999999999998</v>
      </c>
      <c r="X685" s="11">
        <v>13.680999999999999</v>
      </c>
      <c r="Y685" s="11">
        <v>15.497999999999999</v>
      </c>
      <c r="Z685" s="11">
        <v>35.061999999999998</v>
      </c>
      <c r="AA685" s="11">
        <v>35.850999999999999</v>
      </c>
      <c r="AB685" s="11">
        <v>16.167999999999999</v>
      </c>
      <c r="AC685" s="11">
        <v>10</v>
      </c>
      <c r="AD685" s="11">
        <v>14</v>
      </c>
      <c r="AE685" s="11">
        <v>10</v>
      </c>
      <c r="AF685" s="11">
        <v>10</v>
      </c>
    </row>
    <row r="686" spans="1:32" s="11" customFormat="1" x14ac:dyDescent="0.2">
      <c r="A686" s="11">
        <v>814</v>
      </c>
      <c r="F686" s="11" t="s">
        <v>16462</v>
      </c>
      <c r="G686" s="11" t="s">
        <v>16463</v>
      </c>
      <c r="H686" s="12">
        <v>77.7</v>
      </c>
      <c r="I686" s="11" t="s">
        <v>16407</v>
      </c>
      <c r="L686" s="11">
        <v>42.723999999999997</v>
      </c>
      <c r="M686" s="11">
        <v>45.793999999999997</v>
      </c>
      <c r="N686" s="11">
        <v>89.355999999999995</v>
      </c>
      <c r="O686" s="11">
        <v>87.793000000000006</v>
      </c>
      <c r="P686" s="11">
        <v>63.189</v>
      </c>
      <c r="Q686" s="11">
        <v>62.515000000000001</v>
      </c>
      <c r="R686" s="11">
        <v>85.611999999999995</v>
      </c>
      <c r="S686" s="11">
        <v>84.793000000000006</v>
      </c>
      <c r="T686" s="11">
        <v>66.134</v>
      </c>
      <c r="U686" s="11">
        <v>68.412999999999997</v>
      </c>
      <c r="V686" s="11">
        <v>33.866</v>
      </c>
      <c r="W686" s="11">
        <v>31.587</v>
      </c>
      <c r="X686" s="11">
        <v>18.161999999999999</v>
      </c>
      <c r="Y686" s="11">
        <v>16.882000000000001</v>
      </c>
      <c r="Z686" s="11">
        <v>31.587</v>
      </c>
      <c r="AA686" s="11">
        <v>33.866</v>
      </c>
      <c r="AB686" s="11">
        <v>11.686999999999999</v>
      </c>
      <c r="AC686" s="11">
        <v>11</v>
      </c>
      <c r="AD686" s="11">
        <v>11</v>
      </c>
      <c r="AE686" s="11">
        <v>11</v>
      </c>
      <c r="AF686" s="11">
        <v>11</v>
      </c>
    </row>
    <row r="687" spans="1:32" s="11" customFormat="1" x14ac:dyDescent="0.2">
      <c r="A687" s="11">
        <v>815</v>
      </c>
      <c r="F687" s="11" t="s">
        <v>16403</v>
      </c>
      <c r="G687" s="11" t="s">
        <v>16403</v>
      </c>
      <c r="H687" s="12">
        <v>999</v>
      </c>
      <c r="I687" s="11" t="s">
        <v>16403</v>
      </c>
      <c r="L687" s="11" t="s">
        <v>16403</v>
      </c>
      <c r="M687" s="11" t="s">
        <v>16403</v>
      </c>
      <c r="N687" s="11" t="s">
        <v>16403</v>
      </c>
      <c r="O687" s="11" t="s">
        <v>16403</v>
      </c>
      <c r="P687" s="11" t="s">
        <v>16403</v>
      </c>
      <c r="Q687" s="11" t="s">
        <v>16403</v>
      </c>
      <c r="R687" s="11" t="s">
        <v>16403</v>
      </c>
      <c r="S687" s="11" t="s">
        <v>16403</v>
      </c>
      <c r="T687" s="11" t="s">
        <v>16403</v>
      </c>
      <c r="U687" s="11" t="s">
        <v>16403</v>
      </c>
      <c r="V687" s="11" t="s">
        <v>16403</v>
      </c>
      <c r="W687" s="11" t="s">
        <v>16403</v>
      </c>
      <c r="X687" s="11" t="s">
        <v>16403</v>
      </c>
      <c r="Y687" s="11" t="s">
        <v>16403</v>
      </c>
      <c r="Z687" s="11" t="s">
        <v>16403</v>
      </c>
      <c r="AA687" s="11" t="s">
        <v>16403</v>
      </c>
      <c r="AB687" s="11" t="s">
        <v>16403</v>
      </c>
      <c r="AC687" s="11" t="s">
        <v>16403</v>
      </c>
      <c r="AD687" s="11" t="s">
        <v>16403</v>
      </c>
      <c r="AE687" s="11" t="s">
        <v>16403</v>
      </c>
      <c r="AF687" s="11" t="s">
        <v>16403</v>
      </c>
    </row>
    <row r="688" spans="1:32" s="11" customFormat="1" x14ac:dyDescent="0.2">
      <c r="A688" s="11">
        <v>816</v>
      </c>
      <c r="F688" s="11" t="s">
        <v>16420</v>
      </c>
      <c r="G688" s="11" t="s">
        <v>16421</v>
      </c>
      <c r="H688" s="12">
        <v>55.5</v>
      </c>
      <c r="I688" s="11" t="s">
        <v>16404</v>
      </c>
      <c r="L688" s="11">
        <v>58.999000000000002</v>
      </c>
      <c r="M688" s="11">
        <v>61.96</v>
      </c>
      <c r="N688" s="11">
        <v>121.71299999999999</v>
      </c>
      <c r="O688" s="11">
        <v>120.705</v>
      </c>
      <c r="P688" s="11">
        <v>95.602999999999994</v>
      </c>
      <c r="Q688" s="11">
        <v>94.727000000000004</v>
      </c>
      <c r="R688" s="11">
        <v>94.483999999999995</v>
      </c>
      <c r="S688" s="11">
        <v>94.164000000000001</v>
      </c>
      <c r="T688" s="11">
        <v>62.399000000000001</v>
      </c>
      <c r="U688" s="11">
        <v>66.578000000000003</v>
      </c>
      <c r="V688" s="11">
        <v>37.600999999999999</v>
      </c>
      <c r="W688" s="11">
        <v>33.421999999999997</v>
      </c>
      <c r="X688" s="11">
        <v>14.798</v>
      </c>
      <c r="Y688" s="11">
        <v>14.326000000000001</v>
      </c>
      <c r="Z688" s="11">
        <v>33.421999999999997</v>
      </c>
      <c r="AA688" s="11">
        <v>37.600999999999999</v>
      </c>
      <c r="AB688" s="11">
        <v>12.448</v>
      </c>
      <c r="AC688" s="11">
        <v>12</v>
      </c>
      <c r="AD688" s="11">
        <v>15</v>
      </c>
      <c r="AE688" s="11">
        <v>12</v>
      </c>
      <c r="AF688" s="11">
        <v>12</v>
      </c>
    </row>
    <row r="689" spans="1:32" s="11" customFormat="1" x14ac:dyDescent="0.2">
      <c r="A689" s="11">
        <v>817</v>
      </c>
      <c r="F689" s="11" t="s">
        <v>16403</v>
      </c>
      <c r="G689" s="11" t="s">
        <v>16403</v>
      </c>
      <c r="H689" s="12">
        <v>999</v>
      </c>
      <c r="I689" s="11" t="s">
        <v>16403</v>
      </c>
      <c r="L689" s="11">
        <v>66.069000000000003</v>
      </c>
      <c r="M689" s="11">
        <v>63.618000000000002</v>
      </c>
      <c r="N689" s="11">
        <v>129.905</v>
      </c>
      <c r="O689" s="11">
        <v>130.095</v>
      </c>
      <c r="P689" s="11">
        <v>117.09099999999999</v>
      </c>
      <c r="Q689" s="11">
        <v>117.29300000000001</v>
      </c>
      <c r="R689" s="11">
        <v>108.52800000000001</v>
      </c>
      <c r="S689" s="11">
        <v>108.361</v>
      </c>
      <c r="T689" s="11">
        <v>61.622</v>
      </c>
      <c r="U689" s="11">
        <v>61.676000000000002</v>
      </c>
      <c r="V689" s="11">
        <v>38.378</v>
      </c>
      <c r="W689" s="11">
        <v>38.323999999999998</v>
      </c>
      <c r="X689" s="11">
        <v>11.093999999999999</v>
      </c>
      <c r="Y689" s="11">
        <v>12.362</v>
      </c>
      <c r="Z689" s="11">
        <v>38.323999999999998</v>
      </c>
      <c r="AA689" s="11">
        <v>38.378</v>
      </c>
      <c r="AB689" s="11">
        <v>14.071</v>
      </c>
      <c r="AC689" s="11">
        <v>16</v>
      </c>
      <c r="AD689" s="11">
        <v>16</v>
      </c>
      <c r="AE689" s="11">
        <v>16</v>
      </c>
      <c r="AF689" s="11">
        <v>16</v>
      </c>
    </row>
    <row r="690" spans="1:32" s="11" customFormat="1" x14ac:dyDescent="0.2">
      <c r="A690" s="11">
        <v>818</v>
      </c>
      <c r="F690" s="11" t="s">
        <v>16414</v>
      </c>
      <c r="G690" s="11" t="s">
        <v>16415</v>
      </c>
      <c r="H690" s="12">
        <v>58.1</v>
      </c>
      <c r="I690" s="11" t="s">
        <v>16407</v>
      </c>
      <c r="L690" s="11">
        <v>0.67200000000000004</v>
      </c>
      <c r="M690" s="11">
        <v>10.069000000000001</v>
      </c>
      <c r="N690" s="11">
        <v>10.87</v>
      </c>
      <c r="O690" s="11">
        <v>11.500999999999999</v>
      </c>
      <c r="P690" s="11">
        <v>8.3729999999999993</v>
      </c>
      <c r="Q690" s="11">
        <v>8.5169999999999995</v>
      </c>
      <c r="R690" s="11">
        <v>81.825999999999993</v>
      </c>
      <c r="S690" s="11">
        <v>89.933000000000007</v>
      </c>
      <c r="T690" s="11">
        <v>80.847999999999999</v>
      </c>
      <c r="U690" s="11">
        <v>89.686999999999998</v>
      </c>
      <c r="V690" s="11">
        <v>19.152000000000001</v>
      </c>
      <c r="W690" s="11">
        <v>10.313000000000001</v>
      </c>
      <c r="X690" s="11">
        <v>24.959</v>
      </c>
      <c r="Y690" s="11">
        <v>44.591000000000001</v>
      </c>
      <c r="Z690" s="11">
        <v>10.313000000000001</v>
      </c>
      <c r="AA690" s="11">
        <v>19.152000000000001</v>
      </c>
      <c r="AB690" s="11">
        <v>23.37</v>
      </c>
      <c r="AC690" s="11">
        <v>16</v>
      </c>
      <c r="AD690" s="11">
        <v>15</v>
      </c>
      <c r="AE690" s="11">
        <v>15</v>
      </c>
      <c r="AF690" s="11">
        <v>15</v>
      </c>
    </row>
    <row r="691" spans="1:32" s="11" customFormat="1" x14ac:dyDescent="0.2">
      <c r="A691" s="11">
        <v>819</v>
      </c>
      <c r="F691" s="11" t="s">
        <v>16414</v>
      </c>
      <c r="G691" s="11" t="s">
        <v>16415</v>
      </c>
      <c r="H691" s="12">
        <v>73.2</v>
      </c>
      <c r="I691" s="11" t="s">
        <v>16404</v>
      </c>
      <c r="L691" s="11">
        <v>54.798999999999999</v>
      </c>
      <c r="M691" s="11">
        <v>52.786999999999999</v>
      </c>
      <c r="N691" s="11">
        <v>107.774</v>
      </c>
      <c r="O691" s="11">
        <v>108.642</v>
      </c>
      <c r="P691" s="11">
        <v>96.257999999999996</v>
      </c>
      <c r="Q691" s="11">
        <v>96.287999999999997</v>
      </c>
      <c r="R691" s="11">
        <v>106.41200000000001</v>
      </c>
      <c r="S691" s="11">
        <v>105.93899999999999</v>
      </c>
      <c r="T691" s="11">
        <v>63.301000000000002</v>
      </c>
      <c r="U691" s="11">
        <v>61.957000000000001</v>
      </c>
      <c r="V691" s="11">
        <v>36.698999999999998</v>
      </c>
      <c r="W691" s="11">
        <v>38.042999999999999</v>
      </c>
      <c r="X691" s="11">
        <v>12.618</v>
      </c>
      <c r="Y691" s="11">
        <v>12.933999999999999</v>
      </c>
      <c r="Z691" s="11">
        <v>38.042999999999999</v>
      </c>
      <c r="AA691" s="11">
        <v>36.698999999999998</v>
      </c>
      <c r="AB691" s="11">
        <v>12.182</v>
      </c>
      <c r="AC691" s="11">
        <v>13</v>
      </c>
      <c r="AD691" s="11">
        <v>12</v>
      </c>
      <c r="AE691" s="11">
        <v>12</v>
      </c>
      <c r="AF691" s="11">
        <v>12</v>
      </c>
    </row>
    <row r="692" spans="1:32" s="11" customFormat="1" x14ac:dyDescent="0.2">
      <c r="A692" s="11">
        <v>820</v>
      </c>
      <c r="F692" s="11" t="s">
        <v>16420</v>
      </c>
      <c r="G692" s="11" t="s">
        <v>16421</v>
      </c>
      <c r="H692" s="12">
        <v>67.599999999999994</v>
      </c>
      <c r="I692" s="11" t="s">
        <v>16404</v>
      </c>
      <c r="L692" s="11">
        <v>59.718000000000004</v>
      </c>
      <c r="M692" s="11">
        <v>55.26</v>
      </c>
      <c r="N692" s="11">
        <v>114.98</v>
      </c>
      <c r="O692" s="11">
        <v>115.289</v>
      </c>
      <c r="P692" s="11">
        <v>107.93899999999999</v>
      </c>
      <c r="Q692" s="11">
        <v>108.379</v>
      </c>
      <c r="R692" s="11">
        <v>112.34699999999999</v>
      </c>
      <c r="S692" s="11">
        <v>112.078</v>
      </c>
      <c r="T692" s="11">
        <v>63.601999999999997</v>
      </c>
      <c r="U692" s="11">
        <v>62.841000000000001</v>
      </c>
      <c r="V692" s="11">
        <v>36.398000000000003</v>
      </c>
      <c r="W692" s="11">
        <v>37.158999999999999</v>
      </c>
      <c r="X692" s="11">
        <v>13.676</v>
      </c>
      <c r="Y692" s="11">
        <v>12.839</v>
      </c>
      <c r="Z692" s="11">
        <v>37.158999999999999</v>
      </c>
      <c r="AA692" s="11">
        <v>36.398000000000003</v>
      </c>
      <c r="AB692" s="11">
        <v>9.77</v>
      </c>
      <c r="AC692" s="11">
        <v>15</v>
      </c>
      <c r="AD692" s="11">
        <v>12</v>
      </c>
      <c r="AE692" s="11">
        <v>12</v>
      </c>
      <c r="AF692" s="11">
        <v>12</v>
      </c>
    </row>
    <row r="693" spans="1:32" s="11" customFormat="1" x14ac:dyDescent="0.2">
      <c r="A693" s="11">
        <v>821</v>
      </c>
      <c r="F693" s="11" t="s">
        <v>16414</v>
      </c>
      <c r="G693" s="11" t="s">
        <v>16415</v>
      </c>
      <c r="H693" s="12">
        <v>74.599999999999994</v>
      </c>
      <c r="I693" s="11" t="s">
        <v>16404</v>
      </c>
      <c r="L693" s="11" t="s">
        <v>16403</v>
      </c>
      <c r="M693" s="11" t="s">
        <v>16403</v>
      </c>
      <c r="N693" s="11" t="s">
        <v>16403</v>
      </c>
      <c r="O693" s="11" t="s">
        <v>16403</v>
      </c>
      <c r="P693" s="11" t="s">
        <v>16403</v>
      </c>
      <c r="Q693" s="11" t="s">
        <v>16403</v>
      </c>
      <c r="R693" s="11" t="s">
        <v>16403</v>
      </c>
      <c r="S693" s="11" t="s">
        <v>16403</v>
      </c>
      <c r="T693" s="11" t="s">
        <v>16403</v>
      </c>
      <c r="U693" s="11" t="s">
        <v>16403</v>
      </c>
      <c r="V693" s="11" t="s">
        <v>16403</v>
      </c>
      <c r="W693" s="11" t="s">
        <v>16403</v>
      </c>
      <c r="X693" s="11" t="s">
        <v>16403</v>
      </c>
      <c r="Y693" s="11" t="s">
        <v>16403</v>
      </c>
      <c r="Z693" s="11" t="s">
        <v>16403</v>
      </c>
      <c r="AA693" s="11" t="s">
        <v>16403</v>
      </c>
      <c r="AB693" s="11" t="s">
        <v>16403</v>
      </c>
      <c r="AC693" s="11" t="s">
        <v>16403</v>
      </c>
      <c r="AD693" s="11" t="s">
        <v>16403</v>
      </c>
      <c r="AE693" s="11" t="s">
        <v>16403</v>
      </c>
      <c r="AF693" s="11" t="s">
        <v>16403</v>
      </c>
    </row>
    <row r="694" spans="1:32" s="11" customFormat="1" x14ac:dyDescent="0.2">
      <c r="A694" s="11">
        <v>822</v>
      </c>
      <c r="F694" s="11" t="s">
        <v>16403</v>
      </c>
      <c r="G694" s="11" t="s">
        <v>16403</v>
      </c>
      <c r="H694" s="12">
        <v>999</v>
      </c>
      <c r="I694" s="11" t="s">
        <v>16403</v>
      </c>
      <c r="L694" s="11">
        <v>50.8</v>
      </c>
      <c r="M694" s="11">
        <v>65.322999999999993</v>
      </c>
      <c r="N694" s="11">
        <v>115.113</v>
      </c>
      <c r="O694" s="11">
        <v>116.29</v>
      </c>
      <c r="P694" s="11">
        <v>94.01</v>
      </c>
      <c r="Q694" s="11">
        <v>94.713999999999999</v>
      </c>
      <c r="R694" s="11">
        <v>99.128</v>
      </c>
      <c r="S694" s="11">
        <v>98.379000000000005</v>
      </c>
      <c r="T694" s="11">
        <v>61.43</v>
      </c>
      <c r="U694" s="11">
        <v>62.034999999999997</v>
      </c>
      <c r="V694" s="11">
        <v>38.57</v>
      </c>
      <c r="W694" s="11">
        <v>37.965000000000003</v>
      </c>
      <c r="X694" s="11">
        <v>12.63</v>
      </c>
      <c r="Y694" s="11">
        <v>11.923</v>
      </c>
      <c r="Z694" s="11">
        <v>37.965000000000003</v>
      </c>
      <c r="AA694" s="11">
        <v>38.57</v>
      </c>
      <c r="AB694" s="11">
        <v>8.86</v>
      </c>
      <c r="AC694" s="11">
        <v>14</v>
      </c>
      <c r="AD694" s="11">
        <v>17</v>
      </c>
      <c r="AE694" s="11">
        <v>14</v>
      </c>
      <c r="AF694" s="11">
        <v>14</v>
      </c>
    </row>
    <row r="695" spans="1:32" s="11" customFormat="1" x14ac:dyDescent="0.2">
      <c r="A695" s="11">
        <v>823</v>
      </c>
      <c r="F695" s="11" t="s">
        <v>16403</v>
      </c>
      <c r="G695" s="11" t="s">
        <v>16403</v>
      </c>
      <c r="H695" s="12">
        <v>999</v>
      </c>
      <c r="I695" s="11" t="s">
        <v>16403</v>
      </c>
      <c r="L695" s="11">
        <v>50.668999999999997</v>
      </c>
      <c r="M695" s="11">
        <v>48.664999999999999</v>
      </c>
      <c r="N695" s="11">
        <v>99.091999999999999</v>
      </c>
      <c r="O695" s="11">
        <v>99.790999999999997</v>
      </c>
      <c r="P695" s="11">
        <v>89.28</v>
      </c>
      <c r="Q695" s="11">
        <v>89.766000000000005</v>
      </c>
      <c r="R695" s="11">
        <v>108.15600000000001</v>
      </c>
      <c r="S695" s="11">
        <v>107.76900000000001</v>
      </c>
      <c r="T695" s="11">
        <v>62.750999999999998</v>
      </c>
      <c r="U695" s="11">
        <v>63.445</v>
      </c>
      <c r="V695" s="11">
        <v>37.249000000000002</v>
      </c>
      <c r="W695" s="11">
        <v>36.555</v>
      </c>
      <c r="X695" s="11">
        <v>14.084</v>
      </c>
      <c r="Y695" s="11">
        <v>12.208</v>
      </c>
      <c r="Z695" s="11">
        <v>36.555</v>
      </c>
      <c r="AA695" s="11">
        <v>37.249000000000002</v>
      </c>
      <c r="AB695" s="11">
        <v>11.866</v>
      </c>
      <c r="AC695" s="11">
        <v>16</v>
      </c>
      <c r="AD695" s="11">
        <v>15</v>
      </c>
      <c r="AE695" s="11">
        <v>15</v>
      </c>
      <c r="AF695" s="11">
        <v>15</v>
      </c>
    </row>
    <row r="696" spans="1:32" s="11" customFormat="1" x14ac:dyDescent="0.2">
      <c r="A696" s="11">
        <v>824</v>
      </c>
      <c r="F696" s="11" t="s">
        <v>16414</v>
      </c>
      <c r="G696" s="11" t="s">
        <v>16415</v>
      </c>
      <c r="H696" s="12">
        <v>62.8</v>
      </c>
      <c r="I696" s="11" t="s">
        <v>16404</v>
      </c>
      <c r="L696" s="11">
        <v>57.485999999999997</v>
      </c>
      <c r="M696" s="11">
        <v>58.488</v>
      </c>
      <c r="N696" s="11">
        <v>116.774</v>
      </c>
      <c r="O696" s="11">
        <v>116.227</v>
      </c>
      <c r="P696" s="11">
        <v>107.46</v>
      </c>
      <c r="Q696" s="11">
        <v>106.866</v>
      </c>
      <c r="R696" s="11">
        <v>110.08199999999999</v>
      </c>
      <c r="S696" s="11">
        <v>109.873</v>
      </c>
      <c r="T696" s="11">
        <v>62.652999999999999</v>
      </c>
      <c r="U696" s="11">
        <v>62.148000000000003</v>
      </c>
      <c r="V696" s="11">
        <v>37.347000000000001</v>
      </c>
      <c r="W696" s="11">
        <v>37.851999999999997</v>
      </c>
      <c r="X696" s="11">
        <v>13.045999999999999</v>
      </c>
      <c r="Y696" s="11">
        <v>12.337999999999999</v>
      </c>
      <c r="Z696" s="11">
        <v>37.851999999999997</v>
      </c>
      <c r="AA696" s="11">
        <v>37.347000000000001</v>
      </c>
      <c r="AB696" s="11">
        <v>13.09</v>
      </c>
      <c r="AC696" s="11">
        <v>11</v>
      </c>
      <c r="AD696" s="11">
        <v>9</v>
      </c>
      <c r="AE696" s="11">
        <v>9</v>
      </c>
      <c r="AF696" s="11">
        <v>9</v>
      </c>
    </row>
    <row r="697" spans="1:32" s="11" customFormat="1" x14ac:dyDescent="0.2">
      <c r="A697" s="11">
        <v>825</v>
      </c>
      <c r="F697" s="11" t="s">
        <v>16414</v>
      </c>
      <c r="G697" s="11" t="s">
        <v>16415</v>
      </c>
      <c r="H697" s="12">
        <v>73.2</v>
      </c>
      <c r="I697" s="11" t="s">
        <v>16404</v>
      </c>
      <c r="L697" s="11">
        <v>46.295999999999999</v>
      </c>
      <c r="M697" s="11">
        <v>47.781999999999996</v>
      </c>
      <c r="N697" s="11">
        <v>93.911000000000001</v>
      </c>
      <c r="O697" s="11">
        <v>94.102999999999994</v>
      </c>
      <c r="P697" s="11">
        <v>96.736999999999995</v>
      </c>
      <c r="Q697" s="11">
        <v>96.896000000000001</v>
      </c>
      <c r="R697" s="11">
        <v>123.13500000000001</v>
      </c>
      <c r="S697" s="11">
        <v>123.169</v>
      </c>
      <c r="T697" s="11">
        <v>63.905000000000001</v>
      </c>
      <c r="U697" s="11">
        <v>61.654000000000003</v>
      </c>
      <c r="V697" s="11">
        <v>36.094999999999999</v>
      </c>
      <c r="W697" s="11">
        <v>38.345999999999997</v>
      </c>
      <c r="X697" s="11">
        <v>12.759</v>
      </c>
      <c r="Y697" s="11">
        <v>12.69</v>
      </c>
      <c r="Z697" s="11">
        <v>38.345999999999997</v>
      </c>
      <c r="AA697" s="11">
        <v>36.094999999999999</v>
      </c>
      <c r="AB697" s="11">
        <v>12.651999999999999</v>
      </c>
      <c r="AC697" s="11">
        <v>13</v>
      </c>
      <c r="AD697" s="11">
        <v>14</v>
      </c>
      <c r="AE697" s="11">
        <v>13</v>
      </c>
      <c r="AF697" s="11">
        <v>13</v>
      </c>
    </row>
    <row r="698" spans="1:32" s="11" customFormat="1" x14ac:dyDescent="0.2">
      <c r="A698" s="11">
        <v>826</v>
      </c>
      <c r="F698" s="11" t="s">
        <v>16403</v>
      </c>
      <c r="G698" s="11" t="s">
        <v>16403</v>
      </c>
      <c r="H698" s="12">
        <v>999</v>
      </c>
      <c r="I698" s="11" t="s">
        <v>16403</v>
      </c>
      <c r="L698" s="11" t="s">
        <v>16403</v>
      </c>
      <c r="M698" s="11" t="s">
        <v>16403</v>
      </c>
      <c r="N698" s="11" t="s">
        <v>16403</v>
      </c>
      <c r="O698" s="11" t="s">
        <v>16403</v>
      </c>
      <c r="P698" s="11" t="s">
        <v>16403</v>
      </c>
      <c r="Q698" s="11" t="s">
        <v>16403</v>
      </c>
      <c r="R698" s="11" t="s">
        <v>16403</v>
      </c>
      <c r="S698" s="11" t="s">
        <v>16403</v>
      </c>
      <c r="T698" s="11" t="s">
        <v>16403</v>
      </c>
      <c r="U698" s="11" t="s">
        <v>16403</v>
      </c>
      <c r="V698" s="11" t="s">
        <v>16403</v>
      </c>
      <c r="W698" s="11" t="s">
        <v>16403</v>
      </c>
      <c r="X698" s="11" t="s">
        <v>16403</v>
      </c>
      <c r="Y698" s="11" t="s">
        <v>16403</v>
      </c>
      <c r="Z698" s="11" t="s">
        <v>16403</v>
      </c>
      <c r="AA698" s="11" t="s">
        <v>16403</v>
      </c>
      <c r="AB698" s="11" t="s">
        <v>16403</v>
      </c>
      <c r="AC698" s="11" t="s">
        <v>16403</v>
      </c>
      <c r="AD698" s="11" t="s">
        <v>16403</v>
      </c>
      <c r="AE698" s="11" t="s">
        <v>16403</v>
      </c>
      <c r="AF698" s="11" t="s">
        <v>16403</v>
      </c>
    </row>
    <row r="699" spans="1:32" s="11" customFormat="1" x14ac:dyDescent="0.2">
      <c r="A699" s="11">
        <v>827</v>
      </c>
      <c r="F699" s="11" t="s">
        <v>16414</v>
      </c>
      <c r="G699" s="11" t="s">
        <v>16415</v>
      </c>
      <c r="H699" s="12">
        <v>80.2</v>
      </c>
      <c r="I699" s="11" t="s">
        <v>16404</v>
      </c>
      <c r="L699" s="11">
        <v>52.906999999999996</v>
      </c>
      <c r="M699" s="11">
        <v>45.965000000000003</v>
      </c>
      <c r="N699" s="11">
        <v>98.906000000000006</v>
      </c>
      <c r="O699" s="11">
        <v>98.778000000000006</v>
      </c>
      <c r="P699" s="11">
        <v>88.177999999999997</v>
      </c>
      <c r="Q699" s="11">
        <v>86.78</v>
      </c>
      <c r="R699" s="11">
        <v>106.041</v>
      </c>
      <c r="S699" s="11">
        <v>105.229</v>
      </c>
      <c r="T699" s="11">
        <v>65.843000000000004</v>
      </c>
      <c r="U699" s="11">
        <v>64.400999999999996</v>
      </c>
      <c r="V699" s="11">
        <v>34.156999999999996</v>
      </c>
      <c r="W699" s="11">
        <v>35.598999999999997</v>
      </c>
      <c r="X699" s="11">
        <v>16.254999999999999</v>
      </c>
      <c r="Y699" s="11">
        <v>14.534000000000001</v>
      </c>
      <c r="Z699" s="11">
        <v>35.598999999999997</v>
      </c>
      <c r="AA699" s="11">
        <v>34.156999999999996</v>
      </c>
      <c r="AB699" s="11">
        <v>13.954000000000001</v>
      </c>
      <c r="AC699" s="11">
        <v>13</v>
      </c>
      <c r="AD699" s="11">
        <v>12</v>
      </c>
      <c r="AE699" s="11">
        <v>12</v>
      </c>
      <c r="AF699" s="11">
        <v>12</v>
      </c>
    </row>
    <row r="700" spans="1:32" s="11" customFormat="1" x14ac:dyDescent="0.2">
      <c r="A700" s="11">
        <v>828</v>
      </c>
      <c r="F700" s="11" t="s">
        <v>16414</v>
      </c>
      <c r="G700" s="11" t="s">
        <v>16415</v>
      </c>
      <c r="H700" s="12">
        <v>68.599999999999994</v>
      </c>
      <c r="I700" s="11" t="s">
        <v>16404</v>
      </c>
      <c r="L700" s="11">
        <v>58.95</v>
      </c>
      <c r="M700" s="11">
        <v>56.491999999999997</v>
      </c>
      <c r="N700" s="11">
        <v>115.28400000000001</v>
      </c>
      <c r="O700" s="11">
        <v>115.82599999999999</v>
      </c>
      <c r="P700" s="11">
        <v>112.352</v>
      </c>
      <c r="Q700" s="11">
        <v>112.556</v>
      </c>
      <c r="R700" s="11">
        <v>117.124</v>
      </c>
      <c r="S700" s="11">
        <v>116.53700000000001</v>
      </c>
      <c r="T700" s="11">
        <v>62.088000000000001</v>
      </c>
      <c r="U700" s="11">
        <v>63.594000000000001</v>
      </c>
      <c r="V700" s="11">
        <v>37.911999999999999</v>
      </c>
      <c r="W700" s="11">
        <v>36.405999999999999</v>
      </c>
      <c r="X700" s="11">
        <v>12.994</v>
      </c>
      <c r="Y700" s="11">
        <v>12.948</v>
      </c>
      <c r="Z700" s="11">
        <v>36.405999999999999</v>
      </c>
      <c r="AA700" s="11">
        <v>37.911999999999999</v>
      </c>
      <c r="AB700" s="11">
        <v>9.9</v>
      </c>
      <c r="AC700" s="11">
        <v>11</v>
      </c>
      <c r="AD700" s="11">
        <v>10</v>
      </c>
      <c r="AE700" s="11">
        <v>10</v>
      </c>
      <c r="AF700" s="11">
        <v>10</v>
      </c>
    </row>
    <row r="701" spans="1:32" s="11" customFormat="1" x14ac:dyDescent="0.2">
      <c r="A701" s="11">
        <v>829</v>
      </c>
      <c r="F701" s="11" t="s">
        <v>16420</v>
      </c>
      <c r="G701" s="11" t="s">
        <v>16421</v>
      </c>
      <c r="H701" s="12">
        <v>58</v>
      </c>
      <c r="I701" s="11" t="s">
        <v>16404</v>
      </c>
      <c r="L701" s="11">
        <v>65.903999999999996</v>
      </c>
      <c r="M701" s="11">
        <v>64.313999999999993</v>
      </c>
      <c r="N701" s="11">
        <v>130.37299999999999</v>
      </c>
      <c r="O701" s="11">
        <v>130.01499999999999</v>
      </c>
      <c r="P701" s="11">
        <v>117.119</v>
      </c>
      <c r="Q701" s="11">
        <v>116.931</v>
      </c>
      <c r="R701" s="11">
        <v>108.104</v>
      </c>
      <c r="S701" s="11">
        <v>107.505</v>
      </c>
      <c r="T701" s="11">
        <v>62.195999999999998</v>
      </c>
      <c r="U701" s="11">
        <v>62.686</v>
      </c>
      <c r="V701" s="11">
        <v>37.804000000000002</v>
      </c>
      <c r="W701" s="11">
        <v>37.314</v>
      </c>
      <c r="X701" s="11">
        <v>12.01</v>
      </c>
      <c r="Y701" s="11">
        <v>12.462999999999999</v>
      </c>
      <c r="Z701" s="11">
        <v>37.314</v>
      </c>
      <c r="AA701" s="11">
        <v>37.804000000000002</v>
      </c>
      <c r="AB701" s="11">
        <v>12.064</v>
      </c>
      <c r="AC701" s="11">
        <v>8</v>
      </c>
      <c r="AD701" s="11">
        <v>10</v>
      </c>
      <c r="AE701" s="11">
        <v>8</v>
      </c>
      <c r="AF701" s="11">
        <v>8</v>
      </c>
    </row>
    <row r="702" spans="1:32" s="11" customFormat="1" x14ac:dyDescent="0.2">
      <c r="A702" s="11">
        <v>830</v>
      </c>
      <c r="F702" s="11" t="s">
        <v>16424</v>
      </c>
      <c r="G702" s="11" t="s">
        <v>16425</v>
      </c>
      <c r="H702" s="12">
        <v>72.599999999999994</v>
      </c>
      <c r="I702" s="11" t="s">
        <v>16404</v>
      </c>
      <c r="L702" s="11">
        <v>59.48</v>
      </c>
      <c r="M702" s="11">
        <v>61.902000000000001</v>
      </c>
      <c r="N702" s="11">
        <v>122.669</v>
      </c>
      <c r="O702" s="11">
        <v>121.09099999999999</v>
      </c>
      <c r="P702" s="11">
        <v>121.03</v>
      </c>
      <c r="Q702" s="11">
        <v>120.735</v>
      </c>
      <c r="R702" s="11">
        <v>117.828</v>
      </c>
      <c r="S702" s="11">
        <v>119.123</v>
      </c>
      <c r="T702" s="11">
        <v>62.83</v>
      </c>
      <c r="U702" s="11">
        <v>62.106999999999999</v>
      </c>
      <c r="V702" s="11">
        <v>37.17</v>
      </c>
      <c r="W702" s="11">
        <v>37.892000000000003</v>
      </c>
      <c r="X702" s="11">
        <v>12.125</v>
      </c>
      <c r="Y702" s="11">
        <v>12.372999999999999</v>
      </c>
      <c r="Z702" s="11">
        <v>37.892000000000003</v>
      </c>
      <c r="AA702" s="11">
        <v>37.17</v>
      </c>
      <c r="AB702" s="11">
        <v>10.901999999999999</v>
      </c>
      <c r="AC702" s="11">
        <v>8</v>
      </c>
      <c r="AD702" s="11">
        <v>7</v>
      </c>
      <c r="AE702" s="11">
        <v>7</v>
      </c>
      <c r="AF702" s="11">
        <v>7</v>
      </c>
    </row>
    <row r="703" spans="1:32" s="11" customFormat="1" x14ac:dyDescent="0.2">
      <c r="A703" s="11">
        <v>831</v>
      </c>
      <c r="F703" s="11" t="s">
        <v>16414</v>
      </c>
      <c r="G703" s="11" t="s">
        <v>16415</v>
      </c>
      <c r="H703" s="12">
        <v>44.5</v>
      </c>
      <c r="I703" s="11" t="s">
        <v>16404</v>
      </c>
      <c r="L703" s="11">
        <v>46.7</v>
      </c>
      <c r="M703" s="11">
        <v>42.537999999999997</v>
      </c>
      <c r="N703" s="11">
        <v>89.647999999999996</v>
      </c>
      <c r="O703" s="11">
        <v>88.730999999999995</v>
      </c>
      <c r="P703" s="11">
        <v>66.531999999999996</v>
      </c>
      <c r="Q703" s="11">
        <v>66.215999999999994</v>
      </c>
      <c r="R703" s="11">
        <v>89.454999999999998</v>
      </c>
      <c r="S703" s="11">
        <v>89.504999999999995</v>
      </c>
      <c r="T703" s="11">
        <v>58.966999999999999</v>
      </c>
      <c r="U703" s="11">
        <v>64.766999999999996</v>
      </c>
      <c r="V703" s="11">
        <v>41.033000000000001</v>
      </c>
      <c r="W703" s="11">
        <v>35.232999999999997</v>
      </c>
      <c r="X703" s="11">
        <v>9.0060000000000002</v>
      </c>
      <c r="Y703" s="11">
        <v>15.55</v>
      </c>
      <c r="Z703" s="11">
        <v>35.232999999999997</v>
      </c>
      <c r="AA703" s="11">
        <v>41.033000000000001</v>
      </c>
      <c r="AB703" s="11">
        <v>12.347</v>
      </c>
      <c r="AC703" s="11">
        <v>12</v>
      </c>
      <c r="AD703" s="11">
        <v>11</v>
      </c>
      <c r="AE703" s="11">
        <v>11</v>
      </c>
      <c r="AF703" s="11">
        <v>11</v>
      </c>
    </row>
    <row r="704" spans="1:32" s="11" customFormat="1" x14ac:dyDescent="0.2">
      <c r="A704" s="11">
        <v>832</v>
      </c>
      <c r="F704" s="11" t="s">
        <v>16428</v>
      </c>
      <c r="G704" s="11" t="s">
        <v>16429</v>
      </c>
      <c r="H704" s="12">
        <v>23.7</v>
      </c>
      <c r="I704" s="11" t="s">
        <v>16407</v>
      </c>
      <c r="L704" s="11">
        <v>59.883000000000003</v>
      </c>
      <c r="M704" s="11">
        <v>50.735999999999997</v>
      </c>
      <c r="N704" s="11">
        <v>110.58</v>
      </c>
      <c r="O704" s="11">
        <v>111.098</v>
      </c>
      <c r="P704" s="11">
        <v>99.927000000000007</v>
      </c>
      <c r="Q704" s="11">
        <v>100.81</v>
      </c>
      <c r="R704" s="11">
        <v>108.405</v>
      </c>
      <c r="S704" s="11">
        <v>108.721</v>
      </c>
      <c r="T704" s="11">
        <v>62.829000000000001</v>
      </c>
      <c r="U704" s="11">
        <v>60.69</v>
      </c>
      <c r="V704" s="11">
        <v>37.170999999999999</v>
      </c>
      <c r="W704" s="11">
        <v>39.31</v>
      </c>
      <c r="X704" s="11">
        <v>12.228</v>
      </c>
      <c r="Y704" s="11">
        <v>11.198</v>
      </c>
      <c r="Z704" s="11">
        <v>39.31</v>
      </c>
      <c r="AA704" s="11">
        <v>37.170999999999999</v>
      </c>
      <c r="AB704" s="11">
        <v>15.49</v>
      </c>
      <c r="AC704" s="11">
        <v>13</v>
      </c>
      <c r="AD704" s="11">
        <v>10</v>
      </c>
      <c r="AE704" s="11">
        <v>10</v>
      </c>
      <c r="AF704" s="11">
        <v>10</v>
      </c>
    </row>
    <row r="705" spans="1:32" s="11" customFormat="1" x14ac:dyDescent="0.2">
      <c r="A705" s="11">
        <v>833</v>
      </c>
      <c r="F705" s="11" t="s">
        <v>16424</v>
      </c>
      <c r="G705" s="11" t="s">
        <v>16425</v>
      </c>
      <c r="H705" s="12">
        <v>71.599999999999994</v>
      </c>
      <c r="I705" s="11" t="s">
        <v>16407</v>
      </c>
      <c r="L705" s="11">
        <v>59.981999999999999</v>
      </c>
      <c r="M705" s="11">
        <v>62.222999999999999</v>
      </c>
      <c r="N705" s="11">
        <v>122.65900000000001</v>
      </c>
      <c r="O705" s="11">
        <v>122.233</v>
      </c>
      <c r="P705" s="11">
        <v>117.265</v>
      </c>
      <c r="Q705" s="11">
        <v>116.803</v>
      </c>
      <c r="R705" s="11">
        <v>115.074</v>
      </c>
      <c r="S705" s="11">
        <v>114.723</v>
      </c>
      <c r="T705" s="11">
        <v>61.945</v>
      </c>
      <c r="U705" s="11">
        <v>61.026000000000003</v>
      </c>
      <c r="V705" s="11">
        <v>38.055</v>
      </c>
      <c r="W705" s="11">
        <v>38.973999999999997</v>
      </c>
      <c r="X705" s="11">
        <v>12.372999999999999</v>
      </c>
      <c r="Y705" s="11">
        <v>11.746</v>
      </c>
      <c r="Z705" s="11">
        <v>38.973999999999997</v>
      </c>
      <c r="AA705" s="11">
        <v>38.055</v>
      </c>
      <c r="AB705" s="11">
        <v>8.952</v>
      </c>
      <c r="AC705" s="11">
        <v>10</v>
      </c>
      <c r="AD705" s="11">
        <v>9</v>
      </c>
      <c r="AE705" s="11">
        <v>9</v>
      </c>
      <c r="AF705" s="11">
        <v>9</v>
      </c>
    </row>
    <row r="706" spans="1:32" s="11" customFormat="1" x14ac:dyDescent="0.2">
      <c r="A706" s="11">
        <v>834</v>
      </c>
      <c r="F706" s="11" t="s">
        <v>16414</v>
      </c>
      <c r="G706" s="11" t="s">
        <v>16415</v>
      </c>
      <c r="H706" s="12">
        <v>55.8</v>
      </c>
      <c r="I706" s="11" t="s">
        <v>16404</v>
      </c>
      <c r="L706" s="11">
        <v>36.591999999999999</v>
      </c>
      <c r="M706" s="11">
        <v>37.399000000000001</v>
      </c>
      <c r="N706" s="11">
        <v>74.156999999999996</v>
      </c>
      <c r="O706" s="11">
        <v>74.11</v>
      </c>
      <c r="P706" s="11">
        <v>61.524000000000001</v>
      </c>
      <c r="Q706" s="11">
        <v>61.957000000000001</v>
      </c>
      <c r="R706" s="11">
        <v>100.29</v>
      </c>
      <c r="S706" s="11">
        <v>99.852000000000004</v>
      </c>
      <c r="T706" s="11">
        <v>68.953999999999994</v>
      </c>
      <c r="U706" s="11">
        <v>63.146000000000001</v>
      </c>
      <c r="V706" s="11">
        <v>31.045999999999999</v>
      </c>
      <c r="W706" s="11">
        <v>36.853999999999999</v>
      </c>
      <c r="X706" s="11">
        <v>15.695</v>
      </c>
      <c r="Y706" s="11">
        <v>16.364000000000001</v>
      </c>
      <c r="Z706" s="11">
        <v>36.853999999999999</v>
      </c>
      <c r="AA706" s="11">
        <v>31.045999999999999</v>
      </c>
      <c r="AB706" s="11">
        <v>15.532</v>
      </c>
      <c r="AC706" s="11">
        <v>15</v>
      </c>
      <c r="AD706" s="11">
        <v>16</v>
      </c>
      <c r="AE706" s="11">
        <v>15</v>
      </c>
      <c r="AF706" s="11">
        <v>15</v>
      </c>
    </row>
    <row r="707" spans="1:32" s="11" customFormat="1" x14ac:dyDescent="0.2">
      <c r="A707" s="11">
        <v>835</v>
      </c>
      <c r="F707" s="11" t="s">
        <v>16414</v>
      </c>
      <c r="G707" s="11" t="s">
        <v>16415</v>
      </c>
      <c r="H707" s="12">
        <v>62.1</v>
      </c>
      <c r="I707" s="11" t="s">
        <v>16404</v>
      </c>
      <c r="L707" s="11">
        <v>44.793999999999997</v>
      </c>
      <c r="M707" s="11">
        <v>30.49</v>
      </c>
      <c r="N707" s="11">
        <v>75.373000000000005</v>
      </c>
      <c r="O707" s="11">
        <v>75.622</v>
      </c>
      <c r="P707" s="11">
        <v>66.781999999999996</v>
      </c>
      <c r="Q707" s="11">
        <v>67.450999999999993</v>
      </c>
      <c r="R707" s="11">
        <v>106.27</v>
      </c>
      <c r="S707" s="11">
        <v>104.786</v>
      </c>
      <c r="T707" s="11">
        <v>67.370999999999995</v>
      </c>
      <c r="U707" s="11">
        <v>66.64</v>
      </c>
      <c r="V707" s="11">
        <v>32.628999999999998</v>
      </c>
      <c r="W707" s="11">
        <v>33.36</v>
      </c>
      <c r="X707" s="11">
        <v>12.904999999999999</v>
      </c>
      <c r="Y707" s="11">
        <v>21.138999999999999</v>
      </c>
      <c r="Z707" s="11">
        <v>33.36</v>
      </c>
      <c r="AA707" s="11">
        <v>32.628999999999998</v>
      </c>
      <c r="AB707" s="11">
        <v>13.178000000000001</v>
      </c>
      <c r="AC707" s="11">
        <v>15</v>
      </c>
      <c r="AD707" s="11">
        <v>12</v>
      </c>
      <c r="AE707" s="11">
        <v>12</v>
      </c>
      <c r="AF707" s="11">
        <v>12</v>
      </c>
    </row>
    <row r="708" spans="1:32" s="11" customFormat="1" x14ac:dyDescent="0.2">
      <c r="A708" s="11">
        <v>836</v>
      </c>
      <c r="F708" s="11" t="s">
        <v>16414</v>
      </c>
      <c r="G708" s="11" t="s">
        <v>16415</v>
      </c>
      <c r="H708" s="12">
        <v>65.599999999999994</v>
      </c>
      <c r="I708" s="11" t="s">
        <v>16407</v>
      </c>
      <c r="L708" s="11">
        <v>43.052</v>
      </c>
      <c r="M708" s="11">
        <v>44.21</v>
      </c>
      <c r="N708" s="11">
        <v>87.307000000000002</v>
      </c>
      <c r="O708" s="11">
        <v>86.977999999999994</v>
      </c>
      <c r="P708" s="11">
        <v>72.3</v>
      </c>
      <c r="Q708" s="11">
        <v>72.682000000000002</v>
      </c>
      <c r="R708" s="11">
        <v>99.233999999999995</v>
      </c>
      <c r="S708" s="11">
        <v>100.01900000000001</v>
      </c>
      <c r="T708" s="11">
        <v>65.436000000000007</v>
      </c>
      <c r="U708" s="11">
        <v>63.439</v>
      </c>
      <c r="V708" s="11">
        <v>34.564</v>
      </c>
      <c r="W708" s="11">
        <v>36.561</v>
      </c>
      <c r="X708" s="11">
        <v>16.567</v>
      </c>
      <c r="Y708" s="11">
        <v>12.199</v>
      </c>
      <c r="Z708" s="11">
        <v>36.561</v>
      </c>
      <c r="AA708" s="11">
        <v>34.564</v>
      </c>
      <c r="AB708" s="11">
        <v>14.981999999999999</v>
      </c>
      <c r="AC708" s="11">
        <v>11</v>
      </c>
      <c r="AD708" s="11">
        <v>12</v>
      </c>
      <c r="AE708" s="11">
        <v>11</v>
      </c>
      <c r="AF708" s="11">
        <v>11</v>
      </c>
    </row>
    <row r="709" spans="1:32" s="11" customFormat="1" x14ac:dyDescent="0.2">
      <c r="A709" s="11">
        <v>837</v>
      </c>
      <c r="F709" s="11" t="s">
        <v>16414</v>
      </c>
      <c r="G709" s="11" t="s">
        <v>16415</v>
      </c>
      <c r="H709" s="12">
        <v>81.2</v>
      </c>
      <c r="I709" s="11" t="s">
        <v>16404</v>
      </c>
      <c r="L709" s="11">
        <v>18.457000000000001</v>
      </c>
      <c r="M709" s="11">
        <v>12.301</v>
      </c>
      <c r="N709" s="11">
        <v>31.373000000000001</v>
      </c>
      <c r="O709" s="11">
        <v>31.548999999999999</v>
      </c>
      <c r="P709" s="11">
        <v>21.119</v>
      </c>
      <c r="Q709" s="11">
        <v>20.991</v>
      </c>
      <c r="R709" s="11">
        <v>80.754999999999995</v>
      </c>
      <c r="S709" s="11">
        <v>81.191999999999993</v>
      </c>
      <c r="T709" s="11">
        <v>75.528999999999996</v>
      </c>
      <c r="U709" s="11">
        <v>72.376000000000005</v>
      </c>
      <c r="V709" s="11">
        <v>24.47</v>
      </c>
      <c r="W709" s="11">
        <v>27.623999999999999</v>
      </c>
      <c r="X709" s="11">
        <v>19.007000000000001</v>
      </c>
      <c r="Y709" s="11">
        <v>28.934000000000001</v>
      </c>
      <c r="Z709" s="11">
        <v>27.623999999999999</v>
      </c>
      <c r="AA709" s="11">
        <v>24.47</v>
      </c>
      <c r="AB709" s="11">
        <v>13.21</v>
      </c>
      <c r="AC709" s="11">
        <v>14</v>
      </c>
      <c r="AD709" s="11">
        <v>14</v>
      </c>
      <c r="AE709" s="11">
        <v>14</v>
      </c>
      <c r="AF709" s="11">
        <v>14</v>
      </c>
    </row>
    <row r="710" spans="1:32" s="11" customFormat="1" x14ac:dyDescent="0.2">
      <c r="A710" s="11">
        <v>838</v>
      </c>
      <c r="F710" s="11" t="s">
        <v>16414</v>
      </c>
      <c r="G710" s="11" t="s">
        <v>16415</v>
      </c>
      <c r="H710" s="12">
        <v>85.7</v>
      </c>
      <c r="I710" s="11" t="s">
        <v>16407</v>
      </c>
      <c r="L710" s="11">
        <v>34.658999999999999</v>
      </c>
      <c r="M710" s="11">
        <v>38.070999999999998</v>
      </c>
      <c r="N710" s="11">
        <v>72.834000000000003</v>
      </c>
      <c r="O710" s="11">
        <v>72.808999999999997</v>
      </c>
      <c r="P710" s="11">
        <v>49.634</v>
      </c>
      <c r="Q710" s="11">
        <v>49.863</v>
      </c>
      <c r="R710" s="11">
        <v>81.453000000000003</v>
      </c>
      <c r="S710" s="11">
        <v>81.960999999999999</v>
      </c>
      <c r="T710" s="11">
        <v>68.551000000000002</v>
      </c>
      <c r="U710" s="11">
        <v>69.352000000000004</v>
      </c>
      <c r="V710" s="11">
        <v>31.449000000000002</v>
      </c>
      <c r="W710" s="11">
        <v>30.648</v>
      </c>
      <c r="X710" s="11">
        <v>18.446000000000002</v>
      </c>
      <c r="Y710" s="11">
        <v>19.018999999999998</v>
      </c>
      <c r="Z710" s="11">
        <v>30.648</v>
      </c>
      <c r="AA710" s="11">
        <v>31.449000000000002</v>
      </c>
      <c r="AB710" s="11">
        <v>10.865</v>
      </c>
      <c r="AC710" s="11">
        <v>13</v>
      </c>
      <c r="AD710" s="11">
        <v>14</v>
      </c>
      <c r="AE710" s="11">
        <v>13</v>
      </c>
      <c r="AF710" s="11">
        <v>13</v>
      </c>
    </row>
    <row r="711" spans="1:32" s="11" customFormat="1" x14ac:dyDescent="0.2">
      <c r="A711" s="11">
        <v>839</v>
      </c>
      <c r="F711" s="11" t="s">
        <v>16414</v>
      </c>
      <c r="G711" s="11" t="s">
        <v>16415</v>
      </c>
      <c r="H711" s="12">
        <v>60.8</v>
      </c>
      <c r="I711" s="11" t="s">
        <v>16404</v>
      </c>
      <c r="L711" s="11">
        <v>27.489000000000001</v>
      </c>
      <c r="M711" s="11">
        <v>34.832000000000001</v>
      </c>
      <c r="N711" s="11">
        <v>62.564999999999998</v>
      </c>
      <c r="O711" s="11">
        <v>62.72</v>
      </c>
      <c r="P711" s="11">
        <v>63.146999999999998</v>
      </c>
      <c r="Q711" s="11">
        <v>62.765000000000001</v>
      </c>
      <c r="R711" s="11">
        <v>119.10899999999999</v>
      </c>
      <c r="S711" s="11">
        <v>119.652</v>
      </c>
      <c r="T711" s="11">
        <v>64.177999999999997</v>
      </c>
      <c r="U711" s="11">
        <v>62.841999999999999</v>
      </c>
      <c r="V711" s="11">
        <v>35.822000000000003</v>
      </c>
      <c r="W711" s="11">
        <v>37.158000000000001</v>
      </c>
      <c r="X711" s="11">
        <v>12.459</v>
      </c>
      <c r="Y711" s="11">
        <v>13.798</v>
      </c>
      <c r="Z711" s="11">
        <v>37.158000000000001</v>
      </c>
      <c r="AA711" s="11">
        <v>35.822000000000003</v>
      </c>
      <c r="AB711" s="11">
        <v>11.8</v>
      </c>
      <c r="AC711" s="11">
        <v>14</v>
      </c>
      <c r="AD711" s="11">
        <v>12</v>
      </c>
      <c r="AE711" s="11">
        <v>12</v>
      </c>
      <c r="AF711" s="11">
        <v>12</v>
      </c>
    </row>
    <row r="712" spans="1:32" s="11" customFormat="1" x14ac:dyDescent="0.2">
      <c r="A712" s="11">
        <v>840</v>
      </c>
      <c r="F712" s="11" t="s">
        <v>16403</v>
      </c>
      <c r="G712" s="11" t="s">
        <v>16403</v>
      </c>
      <c r="H712" s="12">
        <v>999</v>
      </c>
      <c r="I712" s="11" t="s">
        <v>16403</v>
      </c>
      <c r="L712" s="11">
        <v>61.957000000000001</v>
      </c>
      <c r="M712" s="11">
        <v>64.302999999999997</v>
      </c>
      <c r="N712" s="11">
        <v>125.985</v>
      </c>
      <c r="O712" s="11">
        <v>126.98</v>
      </c>
      <c r="P712" s="11">
        <v>100.68600000000001</v>
      </c>
      <c r="Q712" s="11">
        <v>101.88500000000001</v>
      </c>
      <c r="R712" s="11">
        <v>96.614999999999995</v>
      </c>
      <c r="S712" s="11">
        <v>97.027000000000001</v>
      </c>
      <c r="T712" s="11">
        <v>60.933</v>
      </c>
      <c r="U712" s="11">
        <v>63.594000000000001</v>
      </c>
      <c r="V712" s="11">
        <v>39.067</v>
      </c>
      <c r="W712" s="11">
        <v>36.405999999999999</v>
      </c>
      <c r="X712" s="11">
        <v>12.974</v>
      </c>
      <c r="Y712" s="11">
        <v>12.465</v>
      </c>
      <c r="Z712" s="11">
        <v>36.405999999999999</v>
      </c>
      <c r="AA712" s="11">
        <v>39.067</v>
      </c>
      <c r="AB712" s="11">
        <v>12.836</v>
      </c>
      <c r="AC712" s="11">
        <v>9</v>
      </c>
      <c r="AD712" s="11">
        <v>10</v>
      </c>
      <c r="AE712" s="11">
        <v>9</v>
      </c>
      <c r="AF712" s="11">
        <v>9</v>
      </c>
    </row>
    <row r="713" spans="1:32" s="11" customFormat="1" x14ac:dyDescent="0.2">
      <c r="A713" s="11">
        <v>841</v>
      </c>
      <c r="F713" s="11" t="s">
        <v>16454</v>
      </c>
      <c r="G713" s="11" t="s">
        <v>16455</v>
      </c>
      <c r="H713" s="12">
        <v>82.2</v>
      </c>
      <c r="I713" s="11" t="s">
        <v>16404</v>
      </c>
      <c r="L713" s="11">
        <v>7.18</v>
      </c>
      <c r="M713" s="11">
        <v>16.03</v>
      </c>
      <c r="N713" s="11">
        <v>23.529</v>
      </c>
      <c r="O713" s="11">
        <v>23.053000000000001</v>
      </c>
      <c r="P713" s="11">
        <v>29.13</v>
      </c>
      <c r="Q713" s="11">
        <v>28.63</v>
      </c>
      <c r="R713" s="11">
        <v>150.929</v>
      </c>
      <c r="S713" s="11">
        <v>149.12100000000001</v>
      </c>
      <c r="T713" s="11">
        <v>67.667000000000002</v>
      </c>
      <c r="U713" s="11">
        <v>67.873000000000005</v>
      </c>
      <c r="V713" s="11">
        <v>32.332999999999998</v>
      </c>
      <c r="W713" s="11">
        <v>32.127000000000002</v>
      </c>
      <c r="X713" s="11">
        <v>16.978000000000002</v>
      </c>
      <c r="Y713" s="11">
        <v>18.739999999999998</v>
      </c>
      <c r="Z713" s="11">
        <v>32.127000000000002</v>
      </c>
      <c r="AA713" s="11">
        <v>32.332999999999998</v>
      </c>
      <c r="AB713" s="11">
        <v>14.82</v>
      </c>
      <c r="AC713" s="11">
        <v>16</v>
      </c>
      <c r="AD713" s="11">
        <v>16</v>
      </c>
      <c r="AE713" s="11">
        <v>16</v>
      </c>
      <c r="AF713" s="11">
        <v>16</v>
      </c>
    </row>
    <row r="714" spans="1:32" s="11" customFormat="1" x14ac:dyDescent="0.2">
      <c r="A714" s="11">
        <v>842</v>
      </c>
      <c r="F714" s="11" t="s">
        <v>16424</v>
      </c>
      <c r="G714" s="11" t="s">
        <v>16425</v>
      </c>
      <c r="H714" s="12">
        <v>69.8</v>
      </c>
      <c r="I714" s="11" t="s">
        <v>16404</v>
      </c>
      <c r="L714" s="11">
        <v>59.628999999999998</v>
      </c>
      <c r="M714" s="11">
        <v>56.548000000000002</v>
      </c>
      <c r="N714" s="11">
        <v>116.36499999999999</v>
      </c>
      <c r="O714" s="11">
        <v>116.524</v>
      </c>
      <c r="P714" s="11">
        <v>98.554000000000002</v>
      </c>
      <c r="Q714" s="11">
        <v>97.852999999999994</v>
      </c>
      <c r="R714" s="11">
        <v>101.09</v>
      </c>
      <c r="S714" s="11">
        <v>101.001</v>
      </c>
      <c r="T714" s="11">
        <v>61.893000000000001</v>
      </c>
      <c r="U714" s="11">
        <v>61.625999999999998</v>
      </c>
      <c r="V714" s="11">
        <v>38.106999999999999</v>
      </c>
      <c r="W714" s="11">
        <v>38.374000000000002</v>
      </c>
      <c r="X714" s="11">
        <v>11.507</v>
      </c>
      <c r="Y714" s="11">
        <v>12.433999999999999</v>
      </c>
      <c r="Z714" s="11">
        <v>38.374000000000002</v>
      </c>
      <c r="AA714" s="11">
        <v>38.106999999999999</v>
      </c>
      <c r="AB714" s="11">
        <v>15.103999999999999</v>
      </c>
      <c r="AC714" s="11">
        <v>10</v>
      </c>
      <c r="AD714" s="11">
        <v>11</v>
      </c>
      <c r="AE714" s="11">
        <v>10</v>
      </c>
      <c r="AF714" s="11">
        <v>10</v>
      </c>
    </row>
    <row r="715" spans="1:32" s="11" customFormat="1" x14ac:dyDescent="0.2">
      <c r="A715" s="11">
        <v>843</v>
      </c>
      <c r="F715" s="11" t="s">
        <v>16403</v>
      </c>
      <c r="G715" s="11" t="s">
        <v>16403</v>
      </c>
      <c r="H715" s="12">
        <v>999</v>
      </c>
      <c r="I715" s="11" t="s">
        <v>16403</v>
      </c>
      <c r="L715" s="11" t="s">
        <v>16403</v>
      </c>
      <c r="M715" s="11" t="s">
        <v>16403</v>
      </c>
      <c r="N715" s="11" t="s">
        <v>16403</v>
      </c>
      <c r="O715" s="11" t="s">
        <v>16403</v>
      </c>
      <c r="P715" s="11" t="s">
        <v>16403</v>
      </c>
      <c r="Q715" s="11" t="s">
        <v>16403</v>
      </c>
      <c r="R715" s="11" t="s">
        <v>16403</v>
      </c>
      <c r="S715" s="11" t="s">
        <v>16403</v>
      </c>
      <c r="T715" s="11" t="s">
        <v>16403</v>
      </c>
      <c r="U715" s="11" t="s">
        <v>16403</v>
      </c>
      <c r="V715" s="11" t="s">
        <v>16403</v>
      </c>
      <c r="W715" s="11" t="s">
        <v>16403</v>
      </c>
      <c r="X715" s="11" t="s">
        <v>16403</v>
      </c>
      <c r="Y715" s="11" t="s">
        <v>16403</v>
      </c>
      <c r="Z715" s="11" t="s">
        <v>16403</v>
      </c>
      <c r="AA715" s="11" t="s">
        <v>16403</v>
      </c>
      <c r="AB715" s="11" t="s">
        <v>16403</v>
      </c>
      <c r="AC715" s="11" t="s">
        <v>16403</v>
      </c>
      <c r="AD715" s="11" t="s">
        <v>16403</v>
      </c>
      <c r="AE715" s="11" t="s">
        <v>16403</v>
      </c>
      <c r="AF715" s="11" t="s">
        <v>16403</v>
      </c>
    </row>
    <row r="716" spans="1:32" s="11" customFormat="1" x14ac:dyDescent="0.2">
      <c r="A716" s="11">
        <v>844</v>
      </c>
      <c r="F716" s="11" t="s">
        <v>16414</v>
      </c>
      <c r="G716" s="11" t="s">
        <v>16415</v>
      </c>
      <c r="H716" s="12">
        <v>76.8</v>
      </c>
      <c r="I716" s="11" t="s">
        <v>16407</v>
      </c>
      <c r="L716" s="11">
        <v>51.576999999999998</v>
      </c>
      <c r="M716" s="11">
        <v>53.274000000000001</v>
      </c>
      <c r="N716" s="11">
        <v>104.887</v>
      </c>
      <c r="O716" s="11">
        <v>104.476</v>
      </c>
      <c r="P716" s="11">
        <v>97.353999999999999</v>
      </c>
      <c r="Q716" s="11">
        <v>97.165999999999997</v>
      </c>
      <c r="R716" s="11">
        <v>111.851</v>
      </c>
      <c r="S716" s="11">
        <v>111.9</v>
      </c>
      <c r="T716" s="11">
        <v>65.519000000000005</v>
      </c>
      <c r="U716" s="11">
        <v>61.820999999999998</v>
      </c>
      <c r="V716" s="11">
        <v>34.481000000000002</v>
      </c>
      <c r="W716" s="11">
        <v>38.179000000000002</v>
      </c>
      <c r="X716" s="11">
        <v>14.590999999999999</v>
      </c>
      <c r="Y716" s="11">
        <v>13.009</v>
      </c>
      <c r="Z716" s="11">
        <v>38.179000000000002</v>
      </c>
      <c r="AA716" s="11">
        <v>34.481000000000002</v>
      </c>
      <c r="AB716" s="11">
        <v>4.3600000000000003</v>
      </c>
      <c r="AC716" s="11">
        <v>13</v>
      </c>
      <c r="AD716" s="11">
        <v>11</v>
      </c>
      <c r="AE716" s="11">
        <v>11</v>
      </c>
      <c r="AF716" s="11">
        <v>11</v>
      </c>
    </row>
    <row r="717" spans="1:32" s="11" customFormat="1" x14ac:dyDescent="0.2">
      <c r="A717" s="11">
        <v>845</v>
      </c>
      <c r="F717" s="11" t="s">
        <v>16420</v>
      </c>
      <c r="G717" s="11" t="s">
        <v>16421</v>
      </c>
      <c r="H717" s="12">
        <v>77.400000000000006</v>
      </c>
      <c r="I717" s="11" t="s">
        <v>16404</v>
      </c>
      <c r="L717" s="11">
        <v>68.658000000000001</v>
      </c>
      <c r="M717" s="11">
        <v>70.429000000000002</v>
      </c>
      <c r="N717" s="11">
        <v>138.88900000000001</v>
      </c>
      <c r="O717" s="11">
        <v>139.22999999999999</v>
      </c>
      <c r="P717" s="11">
        <v>117.31399999999999</v>
      </c>
      <c r="Q717" s="11">
        <v>117.468</v>
      </c>
      <c r="R717" s="11">
        <v>101.43300000000001</v>
      </c>
      <c r="S717" s="11">
        <v>100.551</v>
      </c>
      <c r="T717" s="11">
        <v>62.072000000000003</v>
      </c>
      <c r="U717" s="11">
        <v>61.15</v>
      </c>
      <c r="V717" s="11">
        <v>37.927999999999997</v>
      </c>
      <c r="W717" s="11">
        <v>38.85</v>
      </c>
      <c r="X717" s="11">
        <v>11.46</v>
      </c>
      <c r="Y717" s="11">
        <v>11.848000000000001</v>
      </c>
      <c r="Z717" s="11">
        <v>38.85</v>
      </c>
      <c r="AA717" s="11">
        <v>37.927999999999997</v>
      </c>
      <c r="AB717" s="11">
        <v>9.4120000000000008</v>
      </c>
      <c r="AC717" s="11">
        <v>7</v>
      </c>
      <c r="AD717" s="11">
        <v>9</v>
      </c>
      <c r="AE717" s="11">
        <v>7</v>
      </c>
      <c r="AF717" s="11">
        <v>7</v>
      </c>
    </row>
    <row r="718" spans="1:32" s="11" customFormat="1" x14ac:dyDescent="0.2">
      <c r="A718" s="11">
        <v>846</v>
      </c>
      <c r="F718" s="11" t="s">
        <v>16414</v>
      </c>
      <c r="G718" s="11" t="s">
        <v>16415</v>
      </c>
      <c r="H718" s="12">
        <v>65.3</v>
      </c>
      <c r="I718" s="11" t="s">
        <v>16404</v>
      </c>
      <c r="L718" s="11">
        <v>56.494999999999997</v>
      </c>
      <c r="M718" s="11">
        <v>57.497</v>
      </c>
      <c r="N718" s="11">
        <v>113.596</v>
      </c>
      <c r="O718" s="11">
        <v>114.205</v>
      </c>
      <c r="P718" s="11">
        <v>98.683000000000007</v>
      </c>
      <c r="Q718" s="11">
        <v>98.718000000000004</v>
      </c>
      <c r="R718" s="11">
        <v>103.756</v>
      </c>
      <c r="S718" s="11">
        <v>103.29600000000001</v>
      </c>
      <c r="T718" s="11">
        <v>63.320999999999998</v>
      </c>
      <c r="U718" s="11">
        <v>62.585999999999999</v>
      </c>
      <c r="V718" s="11">
        <v>36.679000000000002</v>
      </c>
      <c r="W718" s="11">
        <v>37.414000000000001</v>
      </c>
      <c r="X718" s="11">
        <v>12.236000000000001</v>
      </c>
      <c r="Y718" s="11">
        <v>14.081</v>
      </c>
      <c r="Z718" s="11">
        <v>37.414000000000001</v>
      </c>
      <c r="AA718" s="11">
        <v>36.679000000000002</v>
      </c>
      <c r="AB718" s="11">
        <v>14.098000000000001</v>
      </c>
      <c r="AC718" s="11">
        <v>12</v>
      </c>
      <c r="AD718" s="11">
        <v>11</v>
      </c>
      <c r="AE718" s="11">
        <v>11</v>
      </c>
      <c r="AF718" s="11">
        <v>11</v>
      </c>
    </row>
    <row r="719" spans="1:32" s="11" customFormat="1" x14ac:dyDescent="0.2">
      <c r="A719" s="11">
        <v>847</v>
      </c>
      <c r="F719" s="11" t="s">
        <v>16424</v>
      </c>
      <c r="G719" s="11" t="s">
        <v>16425</v>
      </c>
      <c r="H719" s="12">
        <v>51.3</v>
      </c>
      <c r="I719" s="11" t="s">
        <v>16404</v>
      </c>
      <c r="L719" s="11">
        <v>62.390999999999998</v>
      </c>
      <c r="M719" s="11">
        <v>60.033999999999999</v>
      </c>
      <c r="N719" s="11">
        <v>122.26</v>
      </c>
      <c r="O719" s="11">
        <v>122.449</v>
      </c>
      <c r="P719" s="11">
        <v>107.91800000000001</v>
      </c>
      <c r="Q719" s="11">
        <v>108.661</v>
      </c>
      <c r="R719" s="11">
        <v>105.828</v>
      </c>
      <c r="S719" s="11">
        <v>105.78700000000001</v>
      </c>
      <c r="T719" s="11">
        <v>60.905999999999999</v>
      </c>
      <c r="U719" s="11">
        <v>61.456000000000003</v>
      </c>
      <c r="V719" s="11">
        <v>39.094000000000001</v>
      </c>
      <c r="W719" s="11">
        <v>38.543999999999997</v>
      </c>
      <c r="X719" s="11">
        <v>11.162000000000001</v>
      </c>
      <c r="Y719" s="11">
        <v>11.092000000000001</v>
      </c>
      <c r="Z719" s="11">
        <v>38.543999999999997</v>
      </c>
      <c r="AA719" s="11">
        <v>39.094000000000001</v>
      </c>
      <c r="AB719" s="11">
        <v>11.098000000000001</v>
      </c>
      <c r="AC719" s="11">
        <v>10</v>
      </c>
      <c r="AD719" s="11">
        <v>10</v>
      </c>
      <c r="AE719" s="11">
        <v>10</v>
      </c>
      <c r="AF719" s="11">
        <v>10</v>
      </c>
    </row>
    <row r="720" spans="1:32" s="11" customFormat="1" x14ac:dyDescent="0.2">
      <c r="A720" s="11">
        <v>848</v>
      </c>
      <c r="F720" s="11" t="s">
        <v>16424</v>
      </c>
      <c r="G720" s="11" t="s">
        <v>16425</v>
      </c>
      <c r="H720" s="12">
        <v>84.9</v>
      </c>
      <c r="I720" s="11" t="s">
        <v>16407</v>
      </c>
      <c r="L720" s="11">
        <v>27.105</v>
      </c>
      <c r="M720" s="11">
        <v>24.847000000000001</v>
      </c>
      <c r="N720" s="11">
        <v>52.033000000000001</v>
      </c>
      <c r="O720" s="11">
        <v>51.853999999999999</v>
      </c>
      <c r="P720" s="11">
        <v>43.884</v>
      </c>
      <c r="Q720" s="11">
        <v>43.814</v>
      </c>
      <c r="R720" s="11">
        <v>100.753</v>
      </c>
      <c r="S720" s="11">
        <v>100.495</v>
      </c>
      <c r="T720" s="11">
        <v>73.474000000000004</v>
      </c>
      <c r="U720" s="11">
        <v>73.305999999999997</v>
      </c>
      <c r="V720" s="11">
        <v>26.526</v>
      </c>
      <c r="W720" s="11">
        <v>26.693999999999999</v>
      </c>
      <c r="X720" s="11">
        <v>22.574999999999999</v>
      </c>
      <c r="Y720" s="11">
        <v>24.356999999999999</v>
      </c>
      <c r="Z720" s="11">
        <v>26.693999999999999</v>
      </c>
      <c r="AA720" s="11">
        <v>26.526</v>
      </c>
      <c r="AB720" s="11">
        <v>12.97</v>
      </c>
      <c r="AC720" s="11">
        <v>15</v>
      </c>
      <c r="AD720" s="11">
        <v>14</v>
      </c>
      <c r="AE720" s="11">
        <v>14</v>
      </c>
      <c r="AF720" s="11">
        <v>14</v>
      </c>
    </row>
    <row r="721" spans="1:32" s="11" customFormat="1" x14ac:dyDescent="0.2">
      <c r="A721" s="11">
        <v>849</v>
      </c>
      <c r="F721" s="11" t="s">
        <v>16424</v>
      </c>
      <c r="G721" s="11" t="s">
        <v>16425</v>
      </c>
      <c r="H721" s="12">
        <v>72.599999999999994</v>
      </c>
      <c r="I721" s="11" t="s">
        <v>16407</v>
      </c>
      <c r="L721" s="11">
        <v>38.890999999999998</v>
      </c>
      <c r="M721" s="11">
        <v>44.59</v>
      </c>
      <c r="N721" s="11">
        <v>83.686000000000007</v>
      </c>
      <c r="O721" s="11">
        <v>83.198999999999998</v>
      </c>
      <c r="P721" s="11">
        <v>87.68</v>
      </c>
      <c r="Q721" s="11">
        <v>88.173000000000002</v>
      </c>
      <c r="R721" s="11">
        <v>126.794</v>
      </c>
      <c r="S721" s="11">
        <v>128.02600000000001</v>
      </c>
      <c r="T721" s="11">
        <v>65.058000000000007</v>
      </c>
      <c r="U721" s="11">
        <v>61.472999999999999</v>
      </c>
      <c r="V721" s="11">
        <v>34.942</v>
      </c>
      <c r="W721" s="11">
        <v>38.527000000000001</v>
      </c>
      <c r="X721" s="11">
        <v>13.627000000000001</v>
      </c>
      <c r="Y721" s="11">
        <v>13.718</v>
      </c>
      <c r="Z721" s="11">
        <v>38.527000000000001</v>
      </c>
      <c r="AA721" s="11">
        <v>34.942</v>
      </c>
      <c r="AB721" s="11">
        <v>19.600000000000001</v>
      </c>
      <c r="AC721" s="11">
        <v>16</v>
      </c>
      <c r="AD721" s="11">
        <v>16</v>
      </c>
      <c r="AE721" s="11">
        <v>16</v>
      </c>
      <c r="AF721" s="11">
        <v>16</v>
      </c>
    </row>
    <row r="722" spans="1:32" s="11" customFormat="1" x14ac:dyDescent="0.2">
      <c r="A722" s="11">
        <v>850</v>
      </c>
      <c r="F722" s="11" t="s">
        <v>16424</v>
      </c>
      <c r="G722" s="11" t="s">
        <v>16425</v>
      </c>
      <c r="H722" s="12">
        <v>81.5</v>
      </c>
      <c r="I722" s="11" t="s">
        <v>16407</v>
      </c>
      <c r="L722" s="11">
        <v>33.125</v>
      </c>
      <c r="M722" s="11">
        <v>30.177</v>
      </c>
      <c r="N722" s="11">
        <v>62.984000000000002</v>
      </c>
      <c r="O722" s="11">
        <v>62.533999999999999</v>
      </c>
      <c r="P722" s="11">
        <v>45.279000000000003</v>
      </c>
      <c r="Q722" s="11">
        <v>45.747</v>
      </c>
      <c r="R722" s="11">
        <v>86.447999999999993</v>
      </c>
      <c r="S722" s="11">
        <v>87.917000000000002</v>
      </c>
      <c r="T722" s="11">
        <v>64.061000000000007</v>
      </c>
      <c r="U722" s="11">
        <v>65.254999999999995</v>
      </c>
      <c r="V722" s="11">
        <v>35.939</v>
      </c>
      <c r="W722" s="11">
        <v>34.744999999999997</v>
      </c>
      <c r="X722" s="11">
        <v>14.773999999999999</v>
      </c>
      <c r="Y722" s="11">
        <v>14.734999999999999</v>
      </c>
      <c r="Z722" s="11">
        <v>34.744999999999997</v>
      </c>
      <c r="AA722" s="11">
        <v>35.939</v>
      </c>
      <c r="AB722" s="11">
        <v>10.651999999999999</v>
      </c>
      <c r="AC722" s="11">
        <v>14</v>
      </c>
      <c r="AD722" s="11">
        <v>13</v>
      </c>
      <c r="AE722" s="11">
        <v>13</v>
      </c>
      <c r="AF722" s="11">
        <v>13</v>
      </c>
    </row>
    <row r="723" spans="1:32" s="11" customFormat="1" x14ac:dyDescent="0.2">
      <c r="A723" s="11">
        <v>851</v>
      </c>
      <c r="F723" s="11" t="s">
        <v>16414</v>
      </c>
      <c r="G723" s="11" t="s">
        <v>16415</v>
      </c>
      <c r="H723" s="12">
        <v>50.8</v>
      </c>
      <c r="I723" s="11" t="s">
        <v>16404</v>
      </c>
      <c r="L723" s="11">
        <v>75.471999999999994</v>
      </c>
      <c r="M723" s="11">
        <v>76.649000000000001</v>
      </c>
      <c r="N723" s="11">
        <v>154.89699999999999</v>
      </c>
      <c r="O723" s="11">
        <v>148.642</v>
      </c>
      <c r="P723" s="11">
        <v>127.878</v>
      </c>
      <c r="Q723" s="11">
        <v>127.76900000000001</v>
      </c>
      <c r="R723" s="11">
        <v>98.91</v>
      </c>
      <c r="S723" s="11">
        <v>101.93899999999999</v>
      </c>
      <c r="T723" s="11">
        <v>63.02</v>
      </c>
      <c r="U723" s="11">
        <v>62.573</v>
      </c>
      <c r="V723" s="11">
        <v>36.979999999999997</v>
      </c>
      <c r="W723" s="11">
        <v>37.427</v>
      </c>
      <c r="X723" s="11">
        <v>13.923999999999999</v>
      </c>
      <c r="Y723" s="11">
        <v>13.21</v>
      </c>
      <c r="Z723" s="11">
        <v>37.427</v>
      </c>
      <c r="AA723" s="11">
        <v>36.979999999999997</v>
      </c>
      <c r="AB723" s="11">
        <v>11.75</v>
      </c>
      <c r="AC723" s="11">
        <v>8</v>
      </c>
      <c r="AD723" s="11">
        <v>9</v>
      </c>
      <c r="AE723" s="11">
        <v>8</v>
      </c>
      <c r="AF723" s="11">
        <v>8</v>
      </c>
    </row>
    <row r="724" spans="1:32" s="11" customFormat="1" x14ac:dyDescent="0.2">
      <c r="A724" s="11">
        <v>852</v>
      </c>
      <c r="F724" s="11" t="s">
        <v>16426</v>
      </c>
      <c r="G724" s="11" t="s">
        <v>16427</v>
      </c>
      <c r="H724" s="12">
        <v>60.1</v>
      </c>
      <c r="I724" s="11" t="s">
        <v>16404</v>
      </c>
      <c r="L724" s="11">
        <v>52.151000000000003</v>
      </c>
      <c r="M724" s="11">
        <v>50.613</v>
      </c>
      <c r="N724" s="11">
        <v>103.57299999999999</v>
      </c>
      <c r="O724" s="11">
        <v>102.744</v>
      </c>
      <c r="P724" s="11">
        <v>86.432000000000002</v>
      </c>
      <c r="Q724" s="11">
        <v>85.686000000000007</v>
      </c>
      <c r="R724" s="11">
        <v>99.483999999999995</v>
      </c>
      <c r="S724" s="11">
        <v>99.531999999999996</v>
      </c>
      <c r="T724" s="11">
        <v>63.274000000000001</v>
      </c>
      <c r="U724" s="11">
        <v>64.662999999999997</v>
      </c>
      <c r="V724" s="11">
        <v>36.725999999999999</v>
      </c>
      <c r="W724" s="11">
        <v>35.337000000000003</v>
      </c>
      <c r="X724" s="11">
        <v>13.992000000000001</v>
      </c>
      <c r="Y724" s="11">
        <v>14.28</v>
      </c>
      <c r="Z724" s="11">
        <v>35.337000000000003</v>
      </c>
      <c r="AA724" s="11">
        <v>36.725999999999999</v>
      </c>
      <c r="AB724" s="11">
        <v>10.256</v>
      </c>
      <c r="AC724" s="11">
        <v>11</v>
      </c>
      <c r="AD724" s="11">
        <v>13</v>
      </c>
      <c r="AE724" s="11">
        <v>11</v>
      </c>
      <c r="AF724" s="11">
        <v>11</v>
      </c>
    </row>
    <row r="725" spans="1:32" s="11" customFormat="1" x14ac:dyDescent="0.2">
      <c r="A725" s="11">
        <v>853</v>
      </c>
      <c r="F725" s="11" t="s">
        <v>16414</v>
      </c>
      <c r="G725" s="11" t="s">
        <v>16415</v>
      </c>
      <c r="H725" s="12">
        <v>999</v>
      </c>
      <c r="I725" s="11" t="s">
        <v>16403</v>
      </c>
      <c r="L725" s="11">
        <v>54.231000000000002</v>
      </c>
      <c r="M725" s="11">
        <v>54.203000000000003</v>
      </c>
      <c r="N725" s="11">
        <v>107.62</v>
      </c>
      <c r="O725" s="11">
        <v>108.84699999999999</v>
      </c>
      <c r="P725" s="11">
        <v>111.361</v>
      </c>
      <c r="Q725" s="11">
        <v>112.947</v>
      </c>
      <c r="R725" s="11">
        <v>122.82599999999999</v>
      </c>
      <c r="S725" s="11">
        <v>123.248</v>
      </c>
      <c r="T725" s="11">
        <v>62.429000000000002</v>
      </c>
      <c r="U725" s="11">
        <v>61.6</v>
      </c>
      <c r="V725" s="11">
        <v>37.570999999999998</v>
      </c>
      <c r="W725" s="11">
        <v>38.4</v>
      </c>
      <c r="X725" s="11">
        <v>12.52</v>
      </c>
      <c r="Y725" s="11">
        <v>11.708</v>
      </c>
      <c r="Z725" s="11">
        <v>38.4</v>
      </c>
      <c r="AA725" s="11">
        <v>37.570999999999998</v>
      </c>
      <c r="AB725" s="11">
        <v>9.44</v>
      </c>
      <c r="AC725" s="11">
        <v>11</v>
      </c>
      <c r="AD725" s="11">
        <v>12</v>
      </c>
      <c r="AE725" s="11">
        <v>11</v>
      </c>
      <c r="AF725" s="11">
        <v>11</v>
      </c>
    </row>
    <row r="726" spans="1:32" s="11" customFormat="1" x14ac:dyDescent="0.2">
      <c r="A726" s="11">
        <v>854</v>
      </c>
      <c r="F726" s="11" t="s">
        <v>16414</v>
      </c>
      <c r="G726" s="11" t="s">
        <v>16415</v>
      </c>
      <c r="H726" s="12">
        <v>67.900000000000006</v>
      </c>
      <c r="I726" s="11" t="s">
        <v>16407</v>
      </c>
      <c r="L726" s="11">
        <v>41.311</v>
      </c>
      <c r="M726" s="11">
        <v>33.695</v>
      </c>
      <c r="N726" s="11">
        <v>75.113</v>
      </c>
      <c r="O726" s="11">
        <v>74.552000000000007</v>
      </c>
      <c r="P726" s="11">
        <v>62.152000000000001</v>
      </c>
      <c r="Q726" s="11">
        <v>61.918999999999997</v>
      </c>
      <c r="R726" s="11">
        <v>98.953999999999994</v>
      </c>
      <c r="S726" s="11">
        <v>99.284999999999997</v>
      </c>
      <c r="T726" s="11">
        <v>67.591999999999999</v>
      </c>
      <c r="U726" s="11">
        <v>66.897000000000006</v>
      </c>
      <c r="V726" s="11">
        <v>32.408000000000001</v>
      </c>
      <c r="W726" s="11">
        <v>33.103000000000002</v>
      </c>
      <c r="X726" s="11">
        <v>16.815999999999999</v>
      </c>
      <c r="Y726" s="11">
        <v>17.399000000000001</v>
      </c>
      <c r="Z726" s="11">
        <v>33.103000000000002</v>
      </c>
      <c r="AA726" s="11">
        <v>32.408000000000001</v>
      </c>
      <c r="AB726" s="11">
        <v>10.003</v>
      </c>
      <c r="AC726" s="11">
        <v>14</v>
      </c>
      <c r="AD726" s="11">
        <v>15</v>
      </c>
      <c r="AE726" s="11">
        <v>14</v>
      </c>
      <c r="AF726" s="11">
        <v>14</v>
      </c>
    </row>
    <row r="727" spans="1:32" s="11" customFormat="1" x14ac:dyDescent="0.2">
      <c r="A727" s="11">
        <v>855</v>
      </c>
      <c r="F727" s="11" t="s">
        <v>16403</v>
      </c>
      <c r="G727" s="11" t="s">
        <v>16403</v>
      </c>
      <c r="H727" s="12">
        <v>999</v>
      </c>
      <c r="I727" s="11" t="s">
        <v>16403</v>
      </c>
      <c r="L727" s="11">
        <v>61.085000000000001</v>
      </c>
      <c r="M727" s="11">
        <v>59.101999999999997</v>
      </c>
      <c r="N727" s="11">
        <v>120.27800000000001</v>
      </c>
      <c r="O727" s="11">
        <v>120.93899999999999</v>
      </c>
      <c r="P727" s="11">
        <v>116.851</v>
      </c>
      <c r="Q727" s="11">
        <v>116.47</v>
      </c>
      <c r="R727" s="11">
        <v>116.887</v>
      </c>
      <c r="S727" s="11">
        <v>114.631</v>
      </c>
      <c r="T727" s="11">
        <v>63.481000000000002</v>
      </c>
      <c r="U727" s="11">
        <v>65.555000000000007</v>
      </c>
      <c r="V727" s="11">
        <v>36.518999999999998</v>
      </c>
      <c r="W727" s="11">
        <v>34.445</v>
      </c>
      <c r="X727" s="11">
        <v>14.731999999999999</v>
      </c>
      <c r="Y727" s="11">
        <v>14.548</v>
      </c>
      <c r="Z727" s="11">
        <v>34.445</v>
      </c>
      <c r="AA727" s="11">
        <v>36.518999999999998</v>
      </c>
      <c r="AB727" s="11">
        <v>11.885999999999999</v>
      </c>
      <c r="AC727" s="11">
        <v>10</v>
      </c>
      <c r="AD727" s="11">
        <v>10</v>
      </c>
      <c r="AE727" s="11">
        <v>10</v>
      </c>
      <c r="AF727" s="11">
        <v>10</v>
      </c>
    </row>
    <row r="728" spans="1:32" s="11" customFormat="1" x14ac:dyDescent="0.2">
      <c r="A728" s="11">
        <v>856</v>
      </c>
      <c r="F728" s="11" t="s">
        <v>16414</v>
      </c>
      <c r="G728" s="11" t="s">
        <v>16415</v>
      </c>
      <c r="H728" s="12">
        <v>73.599999999999994</v>
      </c>
      <c r="I728" s="11" t="s">
        <v>16407</v>
      </c>
      <c r="L728" s="11">
        <v>53.313000000000002</v>
      </c>
      <c r="M728" s="11">
        <v>50.05</v>
      </c>
      <c r="N728" s="11">
        <v>103.43899999999999</v>
      </c>
      <c r="O728" s="11">
        <v>103.205</v>
      </c>
      <c r="P728" s="11">
        <v>85.147999999999996</v>
      </c>
      <c r="Q728" s="11">
        <v>84.025999999999996</v>
      </c>
      <c r="R728" s="11">
        <v>98.363</v>
      </c>
      <c r="S728" s="11">
        <v>97.328000000000003</v>
      </c>
      <c r="T728" s="11">
        <v>64.792000000000002</v>
      </c>
      <c r="U728" s="11">
        <v>66.900000000000006</v>
      </c>
      <c r="V728" s="11">
        <v>35.207999999999998</v>
      </c>
      <c r="W728" s="11">
        <v>33.1</v>
      </c>
      <c r="X728" s="11">
        <v>15.824999999999999</v>
      </c>
      <c r="Y728" s="11">
        <v>15.925000000000001</v>
      </c>
      <c r="Z728" s="11">
        <v>33.1</v>
      </c>
      <c r="AA728" s="11">
        <v>35.207999999999998</v>
      </c>
      <c r="AB728" s="11">
        <v>6.2050000000000001</v>
      </c>
      <c r="AC728" s="11">
        <v>10</v>
      </c>
      <c r="AD728" s="11">
        <v>10</v>
      </c>
      <c r="AE728" s="11">
        <v>10</v>
      </c>
      <c r="AF728" s="11">
        <v>10</v>
      </c>
    </row>
    <row r="729" spans="1:32" s="11" customFormat="1" x14ac:dyDescent="0.2">
      <c r="A729" s="11">
        <v>857</v>
      </c>
      <c r="F729" s="11" t="s">
        <v>16414</v>
      </c>
      <c r="G729" s="11" t="s">
        <v>16415</v>
      </c>
      <c r="H729" s="12">
        <v>71.900000000000006</v>
      </c>
      <c r="I729" s="11" t="s">
        <v>16404</v>
      </c>
      <c r="L729" s="11">
        <v>44.805</v>
      </c>
      <c r="M729" s="11">
        <v>47.097999999999999</v>
      </c>
      <c r="N729" s="11">
        <v>92.738</v>
      </c>
      <c r="O729" s="11">
        <v>92.17</v>
      </c>
      <c r="P729" s="11">
        <v>95.067999999999998</v>
      </c>
      <c r="Q729" s="11">
        <v>95.042000000000002</v>
      </c>
      <c r="R729" s="11">
        <v>123.691</v>
      </c>
      <c r="S729" s="11">
        <v>123.28400000000001</v>
      </c>
      <c r="T729" s="11">
        <v>61.042999999999999</v>
      </c>
      <c r="U729" s="11">
        <v>63.258000000000003</v>
      </c>
      <c r="V729" s="11">
        <v>38.957000000000001</v>
      </c>
      <c r="W729" s="11">
        <v>36.741999999999997</v>
      </c>
      <c r="X729" s="11">
        <v>11.257999999999999</v>
      </c>
      <c r="Y729" s="11">
        <v>12.536</v>
      </c>
      <c r="Z729" s="11">
        <v>36.741999999999997</v>
      </c>
      <c r="AA729" s="11">
        <v>38.957000000000001</v>
      </c>
      <c r="AB729" s="11">
        <v>8.2759999999999998</v>
      </c>
      <c r="AC729" s="11">
        <v>14</v>
      </c>
      <c r="AD729" s="11">
        <v>14</v>
      </c>
      <c r="AE729" s="11">
        <v>14</v>
      </c>
      <c r="AF729" s="11">
        <v>14</v>
      </c>
    </row>
    <row r="730" spans="1:32" s="11" customFormat="1" x14ac:dyDescent="0.2">
      <c r="A730" s="11">
        <v>858</v>
      </c>
      <c r="F730" s="11" t="s">
        <v>16414</v>
      </c>
      <c r="G730" s="11" t="s">
        <v>16415</v>
      </c>
      <c r="H730" s="12">
        <v>53.1</v>
      </c>
      <c r="I730" s="11" t="s">
        <v>16407</v>
      </c>
      <c r="L730" s="11">
        <v>46.042000000000002</v>
      </c>
      <c r="M730" s="11">
        <v>41.817</v>
      </c>
      <c r="N730" s="11">
        <v>87.468999999999994</v>
      </c>
      <c r="O730" s="11">
        <v>88.251000000000005</v>
      </c>
      <c r="P730" s="11">
        <v>78.289000000000001</v>
      </c>
      <c r="Q730" s="11">
        <v>78.837000000000003</v>
      </c>
      <c r="R730" s="11">
        <v>107.553</v>
      </c>
      <c r="S730" s="11">
        <v>106.836</v>
      </c>
      <c r="T730" s="11">
        <v>65.006</v>
      </c>
      <c r="U730" s="11">
        <v>64.082999999999998</v>
      </c>
      <c r="V730" s="11">
        <v>34.994</v>
      </c>
      <c r="W730" s="11">
        <v>35.917000000000002</v>
      </c>
      <c r="X730" s="11">
        <v>14.847</v>
      </c>
      <c r="Y730" s="11">
        <v>14.576000000000001</v>
      </c>
      <c r="Z730" s="11">
        <v>35.917000000000002</v>
      </c>
      <c r="AA730" s="11">
        <v>34.994</v>
      </c>
      <c r="AB730" s="11">
        <v>14.055</v>
      </c>
      <c r="AC730" s="11">
        <v>16</v>
      </c>
      <c r="AD730" s="11">
        <v>16</v>
      </c>
      <c r="AE730" s="11">
        <v>16</v>
      </c>
      <c r="AF730" s="11">
        <v>16</v>
      </c>
    </row>
    <row r="731" spans="1:32" s="11" customFormat="1" x14ac:dyDescent="0.2">
      <c r="A731" s="11">
        <v>859</v>
      </c>
      <c r="F731" s="11" t="s">
        <v>16424</v>
      </c>
      <c r="G731" s="11" t="s">
        <v>16425</v>
      </c>
      <c r="H731" s="12">
        <v>67.400000000000006</v>
      </c>
      <c r="I731" s="11" t="s">
        <v>16407</v>
      </c>
      <c r="L731" s="11" t="s">
        <v>16403</v>
      </c>
      <c r="M731" s="11" t="s">
        <v>16403</v>
      </c>
      <c r="N731" s="11" t="s">
        <v>16403</v>
      </c>
      <c r="O731" s="11" t="s">
        <v>16403</v>
      </c>
      <c r="P731" s="11" t="s">
        <v>16403</v>
      </c>
      <c r="Q731" s="11" t="s">
        <v>16403</v>
      </c>
      <c r="R731" s="11" t="s">
        <v>16403</v>
      </c>
      <c r="S731" s="11" t="s">
        <v>16403</v>
      </c>
      <c r="T731" s="11" t="s">
        <v>16403</v>
      </c>
      <c r="U731" s="11" t="s">
        <v>16403</v>
      </c>
      <c r="V731" s="11" t="s">
        <v>16403</v>
      </c>
      <c r="W731" s="11" t="s">
        <v>16403</v>
      </c>
      <c r="X731" s="11" t="s">
        <v>16403</v>
      </c>
      <c r="Y731" s="11" t="s">
        <v>16403</v>
      </c>
      <c r="Z731" s="11" t="s">
        <v>16403</v>
      </c>
      <c r="AA731" s="11" t="s">
        <v>16403</v>
      </c>
      <c r="AB731" s="11" t="s">
        <v>16403</v>
      </c>
      <c r="AC731" s="11" t="s">
        <v>16403</v>
      </c>
      <c r="AD731" s="11" t="s">
        <v>16403</v>
      </c>
      <c r="AE731" s="11" t="s">
        <v>16403</v>
      </c>
      <c r="AF731" s="11" t="s">
        <v>16403</v>
      </c>
    </row>
    <row r="732" spans="1:32" s="11" customFormat="1" x14ac:dyDescent="0.2">
      <c r="A732" s="11">
        <v>860</v>
      </c>
      <c r="F732" s="11" t="s">
        <v>16403</v>
      </c>
      <c r="G732" s="11" t="s">
        <v>16403</v>
      </c>
      <c r="H732" s="12">
        <v>999</v>
      </c>
      <c r="I732" s="11" t="s">
        <v>16403</v>
      </c>
      <c r="L732" s="11">
        <v>65.879000000000005</v>
      </c>
      <c r="M732" s="11">
        <v>64.180999999999997</v>
      </c>
      <c r="N732" s="11">
        <v>130.27000000000001</v>
      </c>
      <c r="O732" s="11">
        <v>130.084</v>
      </c>
      <c r="P732" s="11">
        <v>122.06</v>
      </c>
      <c r="Q732" s="11">
        <v>122.18300000000001</v>
      </c>
      <c r="R732" s="11">
        <v>112.175</v>
      </c>
      <c r="S732" s="11">
        <v>112.009</v>
      </c>
      <c r="T732" s="11">
        <v>61.683999999999997</v>
      </c>
      <c r="U732" s="11">
        <v>62.203000000000003</v>
      </c>
      <c r="V732" s="11">
        <v>38.316000000000003</v>
      </c>
      <c r="W732" s="11">
        <v>37.796999999999997</v>
      </c>
      <c r="X732" s="11">
        <v>11.917</v>
      </c>
      <c r="Y732" s="11">
        <v>12.598000000000001</v>
      </c>
      <c r="Z732" s="11">
        <v>37.796999999999997</v>
      </c>
      <c r="AA732" s="11">
        <v>38.316000000000003</v>
      </c>
      <c r="AB732" s="11">
        <v>12.676</v>
      </c>
      <c r="AC732" s="11">
        <v>10</v>
      </c>
      <c r="AD732" s="11">
        <v>10</v>
      </c>
      <c r="AE732" s="11">
        <v>10</v>
      </c>
      <c r="AF732" s="11">
        <v>10</v>
      </c>
    </row>
    <row r="733" spans="1:32" s="11" customFormat="1" x14ac:dyDescent="0.2">
      <c r="A733" s="11">
        <v>861</v>
      </c>
      <c r="F733" s="11" t="s">
        <v>16420</v>
      </c>
      <c r="G733" s="11" t="s">
        <v>16421</v>
      </c>
      <c r="H733" s="12">
        <v>54.2</v>
      </c>
      <c r="I733" s="11" t="s">
        <v>16407</v>
      </c>
      <c r="L733" s="11">
        <v>53.915999999999997</v>
      </c>
      <c r="M733" s="11">
        <v>52.078000000000003</v>
      </c>
      <c r="N733" s="11">
        <v>105.91800000000001</v>
      </c>
      <c r="O733" s="11">
        <v>104.91800000000001</v>
      </c>
      <c r="P733" s="11">
        <v>104.988</v>
      </c>
      <c r="Q733" s="11">
        <v>104.96</v>
      </c>
      <c r="R733" s="11">
        <v>119.004</v>
      </c>
      <c r="S733" s="11">
        <v>119.099</v>
      </c>
      <c r="T733" s="11">
        <v>64.808000000000007</v>
      </c>
      <c r="U733" s="11">
        <v>63.744999999999997</v>
      </c>
      <c r="V733" s="11">
        <v>35.192</v>
      </c>
      <c r="W733" s="11">
        <v>36.255000000000003</v>
      </c>
      <c r="X733" s="11">
        <v>14.039</v>
      </c>
      <c r="Y733" s="11">
        <v>14.178000000000001</v>
      </c>
      <c r="Z733" s="11">
        <v>36.255000000000003</v>
      </c>
      <c r="AA733" s="11">
        <v>35.192</v>
      </c>
      <c r="AB733" s="11">
        <v>9.5920000000000005</v>
      </c>
      <c r="AC733" s="11">
        <v>15</v>
      </c>
      <c r="AD733" s="11">
        <v>13</v>
      </c>
      <c r="AE733" s="11">
        <v>13</v>
      </c>
      <c r="AF733" s="11">
        <v>13</v>
      </c>
    </row>
    <row r="734" spans="1:32" s="11" customFormat="1" x14ac:dyDescent="0.2">
      <c r="A734" s="11">
        <v>862</v>
      </c>
      <c r="F734" s="11" t="s">
        <v>16424</v>
      </c>
      <c r="G734" s="11" t="s">
        <v>16425</v>
      </c>
      <c r="H734" s="12">
        <v>79.2</v>
      </c>
      <c r="I734" s="11" t="s">
        <v>16407</v>
      </c>
      <c r="L734" s="11">
        <v>56.893000000000001</v>
      </c>
      <c r="M734" s="11">
        <v>56.746000000000002</v>
      </c>
      <c r="N734" s="11">
        <v>113.173</v>
      </c>
      <c r="O734" s="11">
        <v>113.524</v>
      </c>
      <c r="P734" s="11">
        <v>104.211</v>
      </c>
      <c r="Q734" s="11">
        <v>104.256</v>
      </c>
      <c r="R734" s="11">
        <v>111.006</v>
      </c>
      <c r="S734" s="11">
        <v>110.43600000000001</v>
      </c>
      <c r="T734" s="11">
        <v>61.182000000000002</v>
      </c>
      <c r="U734" s="11">
        <v>60.530999999999999</v>
      </c>
      <c r="V734" s="11">
        <v>38.817999999999998</v>
      </c>
      <c r="W734" s="11">
        <v>39.469000000000001</v>
      </c>
      <c r="X734" s="11">
        <v>11.398999999999999</v>
      </c>
      <c r="Y734" s="11">
        <v>10.73</v>
      </c>
      <c r="Z734" s="11">
        <v>39.469000000000001</v>
      </c>
      <c r="AA734" s="11">
        <v>38.817999999999998</v>
      </c>
      <c r="AB734" s="11">
        <v>9.5340000000000007</v>
      </c>
      <c r="AC734" s="11">
        <v>11</v>
      </c>
      <c r="AD734" s="11">
        <v>12</v>
      </c>
      <c r="AE734" s="11">
        <v>11</v>
      </c>
      <c r="AF734" s="11">
        <v>11</v>
      </c>
    </row>
    <row r="735" spans="1:32" s="11" customFormat="1" x14ac:dyDescent="0.2">
      <c r="A735" s="11">
        <v>863</v>
      </c>
      <c r="F735" s="11" t="s">
        <v>16414</v>
      </c>
      <c r="G735" s="11" t="s">
        <v>16415</v>
      </c>
      <c r="H735" s="12">
        <v>71.8</v>
      </c>
      <c r="I735" s="11" t="s">
        <v>16404</v>
      </c>
      <c r="L735" s="11" t="s">
        <v>16403</v>
      </c>
      <c r="M735" s="11" t="s">
        <v>16403</v>
      </c>
      <c r="N735" s="11" t="s">
        <v>16403</v>
      </c>
      <c r="O735" s="11" t="s">
        <v>16403</v>
      </c>
      <c r="P735" s="11" t="s">
        <v>16403</v>
      </c>
      <c r="Q735" s="11" t="s">
        <v>16403</v>
      </c>
      <c r="R735" s="11" t="s">
        <v>16403</v>
      </c>
      <c r="S735" s="11" t="s">
        <v>16403</v>
      </c>
      <c r="T735" s="11" t="s">
        <v>16403</v>
      </c>
      <c r="U735" s="11" t="s">
        <v>16403</v>
      </c>
      <c r="V735" s="11" t="s">
        <v>16403</v>
      </c>
      <c r="W735" s="11" t="s">
        <v>16403</v>
      </c>
      <c r="X735" s="11" t="s">
        <v>16403</v>
      </c>
      <c r="Y735" s="11" t="s">
        <v>16403</v>
      </c>
      <c r="Z735" s="11" t="s">
        <v>16403</v>
      </c>
      <c r="AA735" s="11" t="s">
        <v>16403</v>
      </c>
      <c r="AB735" s="11" t="s">
        <v>16403</v>
      </c>
      <c r="AC735" s="11" t="s">
        <v>16403</v>
      </c>
      <c r="AD735" s="11" t="s">
        <v>16403</v>
      </c>
      <c r="AE735" s="11" t="s">
        <v>16403</v>
      </c>
      <c r="AF735" s="11" t="s">
        <v>16403</v>
      </c>
    </row>
    <row r="736" spans="1:32" s="11" customFormat="1" x14ac:dyDescent="0.2">
      <c r="A736" s="11">
        <v>864</v>
      </c>
      <c r="F736" s="11" t="s">
        <v>16403</v>
      </c>
      <c r="G736" s="11" t="s">
        <v>16403</v>
      </c>
      <c r="H736" s="12">
        <v>999</v>
      </c>
      <c r="I736" s="11" t="s">
        <v>16403</v>
      </c>
      <c r="L736" s="11">
        <v>36.177999999999997</v>
      </c>
      <c r="M736" s="11">
        <v>39.140999999999998</v>
      </c>
      <c r="N736" s="11">
        <v>75.225999999999999</v>
      </c>
      <c r="O736" s="11">
        <v>75.731999999999999</v>
      </c>
      <c r="P736" s="11">
        <v>57.204999999999998</v>
      </c>
      <c r="Q736" s="11">
        <v>57.713000000000001</v>
      </c>
      <c r="R736" s="11">
        <v>91.35</v>
      </c>
      <c r="S736" s="11">
        <v>90.766000000000005</v>
      </c>
      <c r="T736" s="11">
        <v>66.888000000000005</v>
      </c>
      <c r="U736" s="11">
        <v>63.834000000000003</v>
      </c>
      <c r="V736" s="11">
        <v>33.112000000000002</v>
      </c>
      <c r="W736" s="11">
        <v>36.165999999999997</v>
      </c>
      <c r="X736" s="11">
        <v>14.840999999999999</v>
      </c>
      <c r="Y736" s="11">
        <v>15.483000000000001</v>
      </c>
      <c r="Z736" s="11">
        <v>36.165999999999997</v>
      </c>
      <c r="AA736" s="11">
        <v>33.112000000000002</v>
      </c>
      <c r="AB736" s="11">
        <v>13.797000000000001</v>
      </c>
      <c r="AC736" s="11">
        <v>10</v>
      </c>
      <c r="AD736" s="11">
        <v>11</v>
      </c>
      <c r="AE736" s="11">
        <v>10</v>
      </c>
      <c r="AF736" s="11">
        <v>10</v>
      </c>
    </row>
    <row r="737" spans="1:32" s="11" customFormat="1" x14ac:dyDescent="0.2">
      <c r="A737" s="11">
        <v>865</v>
      </c>
      <c r="F737" s="11" t="s">
        <v>16420</v>
      </c>
      <c r="G737" s="11" t="s">
        <v>16421</v>
      </c>
      <c r="H737" s="12">
        <v>67.5</v>
      </c>
      <c r="I737" s="11" t="s">
        <v>16404</v>
      </c>
      <c r="L737" s="11">
        <v>56.682000000000002</v>
      </c>
      <c r="M737" s="11">
        <v>59.161999999999999</v>
      </c>
      <c r="N737" s="11">
        <v>116.026</v>
      </c>
      <c r="O737" s="11">
        <v>116.34699999999999</v>
      </c>
      <c r="P737" s="11">
        <v>89.022999999999996</v>
      </c>
      <c r="Q737" s="11">
        <v>88.99</v>
      </c>
      <c r="R737" s="11">
        <v>91.995000000000005</v>
      </c>
      <c r="S737" s="11">
        <v>91.984999999999999</v>
      </c>
      <c r="T737" s="11">
        <v>64.015000000000001</v>
      </c>
      <c r="U737" s="11">
        <v>63.021000000000001</v>
      </c>
      <c r="V737" s="11">
        <v>35.984999999999999</v>
      </c>
      <c r="W737" s="11">
        <v>36.978999999999999</v>
      </c>
      <c r="X737" s="11">
        <v>14.305999999999999</v>
      </c>
      <c r="Y737" s="11">
        <v>13.589</v>
      </c>
      <c r="Z737" s="11">
        <v>36.978999999999999</v>
      </c>
      <c r="AA737" s="11">
        <v>35.984999999999999</v>
      </c>
      <c r="AB737" s="11">
        <v>13.974</v>
      </c>
      <c r="AC737" s="11">
        <v>12</v>
      </c>
      <c r="AD737" s="11">
        <v>11</v>
      </c>
      <c r="AE737" s="11">
        <v>11</v>
      </c>
      <c r="AF737" s="11">
        <v>11</v>
      </c>
    </row>
    <row r="738" spans="1:32" s="11" customFormat="1" x14ac:dyDescent="0.2">
      <c r="A738" s="11">
        <v>866</v>
      </c>
      <c r="F738" s="11" t="s">
        <v>16424</v>
      </c>
      <c r="G738" s="11" t="s">
        <v>16425</v>
      </c>
      <c r="H738" s="12">
        <v>67.2</v>
      </c>
      <c r="I738" s="11" t="s">
        <v>16407</v>
      </c>
      <c r="L738" s="11" t="s">
        <v>16403</v>
      </c>
      <c r="M738" s="11" t="s">
        <v>16403</v>
      </c>
      <c r="N738" s="11" t="s">
        <v>16403</v>
      </c>
      <c r="O738" s="11" t="s">
        <v>16403</v>
      </c>
      <c r="P738" s="11" t="s">
        <v>16403</v>
      </c>
      <c r="Q738" s="11" t="s">
        <v>16403</v>
      </c>
      <c r="R738" s="11" t="s">
        <v>16403</v>
      </c>
      <c r="S738" s="11" t="s">
        <v>16403</v>
      </c>
      <c r="T738" s="11" t="s">
        <v>16403</v>
      </c>
      <c r="U738" s="11" t="s">
        <v>16403</v>
      </c>
      <c r="V738" s="11" t="s">
        <v>16403</v>
      </c>
      <c r="W738" s="11" t="s">
        <v>16403</v>
      </c>
      <c r="X738" s="11" t="s">
        <v>16403</v>
      </c>
      <c r="Y738" s="11" t="s">
        <v>16403</v>
      </c>
      <c r="Z738" s="11" t="s">
        <v>16403</v>
      </c>
      <c r="AA738" s="11" t="s">
        <v>16403</v>
      </c>
      <c r="AB738" s="11" t="s">
        <v>16403</v>
      </c>
      <c r="AC738" s="11" t="s">
        <v>16403</v>
      </c>
      <c r="AD738" s="11" t="s">
        <v>16403</v>
      </c>
      <c r="AE738" s="11" t="s">
        <v>16403</v>
      </c>
      <c r="AF738" s="11" t="s">
        <v>16403</v>
      </c>
    </row>
    <row r="739" spans="1:32" s="11" customFormat="1" x14ac:dyDescent="0.2">
      <c r="A739" s="11">
        <v>867</v>
      </c>
      <c r="F739" s="11" t="s">
        <v>16420</v>
      </c>
      <c r="G739" s="11" t="s">
        <v>16421</v>
      </c>
      <c r="H739" s="12">
        <v>77.7</v>
      </c>
      <c r="I739" s="11" t="s">
        <v>16407</v>
      </c>
      <c r="L739" s="11">
        <v>70.847999999999999</v>
      </c>
      <c r="M739" s="11">
        <v>67.799000000000007</v>
      </c>
      <c r="N739" s="11">
        <v>139.00399999999999</v>
      </c>
      <c r="O739" s="11">
        <v>137.756</v>
      </c>
      <c r="P739" s="11">
        <v>130.65100000000001</v>
      </c>
      <c r="Q739" s="11">
        <v>129.821</v>
      </c>
      <c r="R739" s="11">
        <v>112.008</v>
      </c>
      <c r="S739" s="11">
        <v>112.108</v>
      </c>
      <c r="T739" s="11">
        <v>59.399000000000001</v>
      </c>
      <c r="U739" s="11">
        <v>60.844000000000001</v>
      </c>
      <c r="V739" s="11">
        <v>40.600999999999999</v>
      </c>
      <c r="W739" s="11">
        <v>39.155999999999999</v>
      </c>
      <c r="X739" s="11">
        <v>10.855</v>
      </c>
      <c r="Y739" s="11">
        <v>10.622999999999999</v>
      </c>
      <c r="Z739" s="11">
        <v>39.155999999999999</v>
      </c>
      <c r="AA739" s="11">
        <v>40.600999999999999</v>
      </c>
      <c r="AB739" s="11">
        <v>9.1129999999999995</v>
      </c>
      <c r="AC739" s="11">
        <v>11</v>
      </c>
      <c r="AD739" s="11">
        <v>8</v>
      </c>
      <c r="AE739" s="11">
        <v>8</v>
      </c>
      <c r="AF739" s="11">
        <v>8</v>
      </c>
    </row>
    <row r="740" spans="1:32" s="11" customFormat="1" x14ac:dyDescent="0.2">
      <c r="A740" s="11">
        <v>868</v>
      </c>
      <c r="F740" s="11" t="s">
        <v>16464</v>
      </c>
      <c r="G740" s="11" t="s">
        <v>16465</v>
      </c>
      <c r="H740" s="12">
        <v>66.900000000000006</v>
      </c>
      <c r="I740" s="11" t="s">
        <v>16404</v>
      </c>
      <c r="L740" s="11">
        <v>52.069000000000003</v>
      </c>
      <c r="M740" s="11">
        <v>56.848999999999997</v>
      </c>
      <c r="N740" s="11">
        <v>108.663</v>
      </c>
      <c r="O740" s="11">
        <v>109.551</v>
      </c>
      <c r="P740" s="11">
        <v>92.673000000000002</v>
      </c>
      <c r="Q740" s="11">
        <v>93.417000000000002</v>
      </c>
      <c r="R740" s="11">
        <v>102.048</v>
      </c>
      <c r="S740" s="11">
        <v>101.85</v>
      </c>
      <c r="T740" s="11">
        <v>64.367000000000004</v>
      </c>
      <c r="U740" s="11">
        <v>63.491999999999997</v>
      </c>
      <c r="V740" s="11">
        <v>35.633000000000003</v>
      </c>
      <c r="W740" s="11">
        <v>36.508000000000003</v>
      </c>
      <c r="X740" s="11">
        <v>14.186999999999999</v>
      </c>
      <c r="Y740" s="11">
        <v>14.592000000000001</v>
      </c>
      <c r="Z740" s="11">
        <v>36.508000000000003</v>
      </c>
      <c r="AA740" s="11">
        <v>35.633000000000003</v>
      </c>
      <c r="AB740" s="11">
        <v>8.6059999999999999</v>
      </c>
      <c r="AC740" s="11">
        <v>11</v>
      </c>
      <c r="AD740" s="11">
        <v>14</v>
      </c>
      <c r="AE740" s="11">
        <v>11</v>
      </c>
      <c r="AF740" s="11">
        <v>11</v>
      </c>
    </row>
    <row r="741" spans="1:32" s="11" customFormat="1" x14ac:dyDescent="0.2">
      <c r="A741" s="11">
        <v>869</v>
      </c>
      <c r="F741" s="11" t="s">
        <v>16414</v>
      </c>
      <c r="G741" s="11" t="s">
        <v>16415</v>
      </c>
      <c r="H741" s="12">
        <v>76.5</v>
      </c>
      <c r="I741" s="11" t="s">
        <v>16404</v>
      </c>
      <c r="L741" s="11">
        <v>46.353999999999999</v>
      </c>
      <c r="M741" s="11">
        <v>49.45</v>
      </c>
      <c r="N741" s="11">
        <v>97.007000000000005</v>
      </c>
      <c r="O741" s="11">
        <v>95.57</v>
      </c>
      <c r="P741" s="11">
        <v>78.117999999999995</v>
      </c>
      <c r="Q741" s="11">
        <v>77.513000000000005</v>
      </c>
      <c r="R741" s="11">
        <v>97.748999999999995</v>
      </c>
      <c r="S741" s="11">
        <v>97.117999999999995</v>
      </c>
      <c r="T741" s="11">
        <v>65.091999999999999</v>
      </c>
      <c r="U741" s="11">
        <v>63.866</v>
      </c>
      <c r="V741" s="11">
        <v>34.908000000000001</v>
      </c>
      <c r="W741" s="11">
        <v>36.134</v>
      </c>
      <c r="X741" s="11">
        <v>14.625999999999999</v>
      </c>
      <c r="Y741" s="11">
        <v>14.33</v>
      </c>
      <c r="Z741" s="11">
        <v>36.134</v>
      </c>
      <c r="AA741" s="11">
        <v>34.908000000000001</v>
      </c>
      <c r="AB741" s="11">
        <v>14.167999999999999</v>
      </c>
      <c r="AC741" s="11">
        <v>11</v>
      </c>
      <c r="AD741" s="11">
        <v>15</v>
      </c>
      <c r="AE741" s="11">
        <v>11</v>
      </c>
      <c r="AF741" s="11">
        <v>11</v>
      </c>
    </row>
    <row r="742" spans="1:32" s="11" customFormat="1" x14ac:dyDescent="0.2">
      <c r="A742" s="11">
        <v>870</v>
      </c>
      <c r="F742" s="11" t="s">
        <v>16424</v>
      </c>
      <c r="G742" s="11" t="s">
        <v>16425</v>
      </c>
      <c r="H742" s="12">
        <v>78.5</v>
      </c>
      <c r="I742" s="11" t="s">
        <v>16404</v>
      </c>
      <c r="L742" s="11">
        <v>61.063000000000002</v>
      </c>
      <c r="M742" s="11">
        <v>65.917000000000002</v>
      </c>
      <c r="N742" s="11">
        <v>127.18600000000001</v>
      </c>
      <c r="O742" s="11">
        <v>127.526</v>
      </c>
      <c r="P742" s="11">
        <v>122.063</v>
      </c>
      <c r="Q742" s="11">
        <v>122.294</v>
      </c>
      <c r="R742" s="11">
        <v>114.926</v>
      </c>
      <c r="S742" s="11">
        <v>114.499</v>
      </c>
      <c r="T742" s="11">
        <v>62.04</v>
      </c>
      <c r="U742" s="11">
        <v>62.893999999999998</v>
      </c>
      <c r="V742" s="11">
        <v>37.96</v>
      </c>
      <c r="W742" s="11">
        <v>37.106000000000002</v>
      </c>
      <c r="X742" s="11">
        <v>11.967000000000001</v>
      </c>
      <c r="Y742" s="11">
        <v>12.989000000000001</v>
      </c>
      <c r="Z742" s="11">
        <v>37.106000000000002</v>
      </c>
      <c r="AA742" s="11">
        <v>37.96</v>
      </c>
      <c r="AB742" s="11">
        <v>12.04</v>
      </c>
      <c r="AC742" s="11">
        <v>12</v>
      </c>
      <c r="AD742" s="11">
        <v>9</v>
      </c>
      <c r="AE742" s="11">
        <v>9</v>
      </c>
      <c r="AF742" s="11">
        <v>9</v>
      </c>
    </row>
    <row r="743" spans="1:32" s="11" customFormat="1" x14ac:dyDescent="0.2">
      <c r="A743" s="11">
        <v>871</v>
      </c>
      <c r="F743" s="11" t="s">
        <v>16403</v>
      </c>
      <c r="G743" s="11" t="s">
        <v>16403</v>
      </c>
      <c r="H743" s="12">
        <v>999</v>
      </c>
      <c r="I743" s="11" t="s">
        <v>16403</v>
      </c>
      <c r="L743" s="11">
        <v>36.156999999999996</v>
      </c>
      <c r="M743" s="11">
        <v>45.279000000000003</v>
      </c>
      <c r="N743" s="11">
        <v>82.528999999999996</v>
      </c>
      <c r="O743" s="11">
        <v>81.198999999999998</v>
      </c>
      <c r="P743" s="11">
        <v>75.209999999999994</v>
      </c>
      <c r="Q743" s="11">
        <v>74.462999999999994</v>
      </c>
      <c r="R743" s="11">
        <v>109.399</v>
      </c>
      <c r="S743" s="11">
        <v>108.738</v>
      </c>
      <c r="T743" s="11">
        <v>66.275999999999996</v>
      </c>
      <c r="U743" s="11">
        <v>65.712000000000003</v>
      </c>
      <c r="V743" s="11">
        <v>33.723999999999997</v>
      </c>
      <c r="W743" s="11">
        <v>34.287999999999997</v>
      </c>
      <c r="X743" s="11">
        <v>16.940999999999999</v>
      </c>
      <c r="Y743" s="11">
        <v>15.007</v>
      </c>
      <c r="Z743" s="11">
        <v>34.287999999999997</v>
      </c>
      <c r="AA743" s="11">
        <v>33.723999999999997</v>
      </c>
      <c r="AB743" s="11">
        <v>14.045999999999999</v>
      </c>
      <c r="AC743" s="11">
        <v>15</v>
      </c>
      <c r="AD743" s="11">
        <v>19</v>
      </c>
      <c r="AE743" s="11">
        <v>15</v>
      </c>
      <c r="AF743" s="11">
        <v>15</v>
      </c>
    </row>
    <row r="744" spans="1:32" s="11" customFormat="1" x14ac:dyDescent="0.2">
      <c r="A744" s="11">
        <v>872</v>
      </c>
      <c r="F744" s="11" t="s">
        <v>16403</v>
      </c>
      <c r="G744" s="11" t="s">
        <v>16403</v>
      </c>
      <c r="H744" s="12">
        <v>999</v>
      </c>
      <c r="I744" s="11" t="s">
        <v>16403</v>
      </c>
      <c r="L744" s="11" t="s">
        <v>16403</v>
      </c>
      <c r="M744" s="11" t="s">
        <v>16403</v>
      </c>
      <c r="N744" s="11" t="s">
        <v>16403</v>
      </c>
      <c r="O744" s="11" t="s">
        <v>16403</v>
      </c>
      <c r="P744" s="11" t="s">
        <v>16403</v>
      </c>
      <c r="Q744" s="11" t="s">
        <v>16403</v>
      </c>
      <c r="R744" s="11" t="s">
        <v>16403</v>
      </c>
      <c r="S744" s="11" t="s">
        <v>16403</v>
      </c>
      <c r="T744" s="11" t="s">
        <v>16403</v>
      </c>
      <c r="U744" s="11" t="s">
        <v>16403</v>
      </c>
      <c r="V744" s="11" t="s">
        <v>16403</v>
      </c>
      <c r="W744" s="11" t="s">
        <v>16403</v>
      </c>
      <c r="X744" s="11" t="s">
        <v>16403</v>
      </c>
      <c r="Y744" s="11" t="s">
        <v>16403</v>
      </c>
      <c r="Z744" s="11" t="s">
        <v>16403</v>
      </c>
      <c r="AA744" s="11" t="s">
        <v>16403</v>
      </c>
      <c r="AB744" s="11" t="s">
        <v>16403</v>
      </c>
      <c r="AC744" s="11" t="s">
        <v>16403</v>
      </c>
      <c r="AD744" s="11" t="s">
        <v>16403</v>
      </c>
      <c r="AE744" s="11" t="s">
        <v>16403</v>
      </c>
      <c r="AF744" s="11" t="s">
        <v>16403</v>
      </c>
    </row>
    <row r="745" spans="1:32" s="11" customFormat="1" x14ac:dyDescent="0.2">
      <c r="A745" s="11">
        <v>873</v>
      </c>
      <c r="F745" s="11" t="s">
        <v>16420</v>
      </c>
      <c r="G745" s="11" t="s">
        <v>16421</v>
      </c>
      <c r="H745" s="12">
        <v>73.599999999999994</v>
      </c>
      <c r="I745" s="11" t="s">
        <v>16404</v>
      </c>
      <c r="L745" s="11">
        <v>45.463999999999999</v>
      </c>
      <c r="M745" s="11">
        <v>40.442999999999998</v>
      </c>
      <c r="N745" s="11">
        <v>85.71</v>
      </c>
      <c r="O745" s="11">
        <v>85.884</v>
      </c>
      <c r="P745" s="11">
        <v>70.759</v>
      </c>
      <c r="Q745" s="11">
        <v>71.138999999999996</v>
      </c>
      <c r="R745" s="11">
        <v>99.599000000000004</v>
      </c>
      <c r="S745" s="11">
        <v>100.098</v>
      </c>
      <c r="T745" s="11">
        <v>65.465999999999994</v>
      </c>
      <c r="U745" s="11">
        <v>65.638999999999996</v>
      </c>
      <c r="V745" s="11">
        <v>34.533999999999999</v>
      </c>
      <c r="W745" s="11">
        <v>34.360999999999997</v>
      </c>
      <c r="X745" s="11">
        <v>14.683999999999999</v>
      </c>
      <c r="Y745" s="11">
        <v>16.681000000000001</v>
      </c>
      <c r="Z745" s="11">
        <v>34.360999999999997</v>
      </c>
      <c r="AA745" s="11">
        <v>34.533999999999999</v>
      </c>
      <c r="AB745" s="11">
        <v>15.497999999999999</v>
      </c>
      <c r="AC745" s="11">
        <v>16</v>
      </c>
      <c r="AD745" s="11">
        <v>15</v>
      </c>
      <c r="AE745" s="11">
        <v>15</v>
      </c>
      <c r="AF745" s="11">
        <v>15</v>
      </c>
    </row>
    <row r="746" spans="1:32" s="11" customFormat="1" x14ac:dyDescent="0.2">
      <c r="A746" s="11">
        <v>874</v>
      </c>
      <c r="F746" s="11" t="s">
        <v>16414</v>
      </c>
      <c r="G746" s="11" t="s">
        <v>16415</v>
      </c>
      <c r="H746" s="12">
        <v>56.3</v>
      </c>
      <c r="I746" s="11" t="s">
        <v>16407</v>
      </c>
      <c r="L746" s="11">
        <v>28.021999999999998</v>
      </c>
      <c r="M746" s="11">
        <v>26.79</v>
      </c>
      <c r="N746" s="11">
        <v>54.396999999999998</v>
      </c>
      <c r="O746" s="11">
        <v>54.981000000000002</v>
      </c>
      <c r="P746" s="11">
        <v>58.825000000000003</v>
      </c>
      <c r="Q746" s="11">
        <v>59.009</v>
      </c>
      <c r="R746" s="11">
        <v>129.91300000000001</v>
      </c>
      <c r="S746" s="11">
        <v>129.28299999999999</v>
      </c>
      <c r="T746" s="11">
        <v>68.356999999999999</v>
      </c>
      <c r="U746" s="11">
        <v>67.31</v>
      </c>
      <c r="V746" s="11">
        <v>31.643000000000001</v>
      </c>
      <c r="W746" s="11">
        <v>32.69</v>
      </c>
      <c r="X746" s="11">
        <v>19.084</v>
      </c>
      <c r="Y746" s="11">
        <v>16.719000000000001</v>
      </c>
      <c r="Z746" s="11">
        <v>32.69</v>
      </c>
      <c r="AA746" s="11">
        <v>31.643000000000001</v>
      </c>
      <c r="AB746" s="11">
        <v>12.888</v>
      </c>
      <c r="AC746" s="11">
        <v>20</v>
      </c>
      <c r="AD746" s="11">
        <v>21</v>
      </c>
      <c r="AE746" s="11">
        <v>20</v>
      </c>
      <c r="AF746" s="11">
        <v>20</v>
      </c>
    </row>
    <row r="747" spans="1:32" s="11" customFormat="1" x14ac:dyDescent="0.2">
      <c r="A747" s="11">
        <v>875</v>
      </c>
      <c r="F747" s="11" t="s">
        <v>16403</v>
      </c>
      <c r="G747" s="11" t="s">
        <v>16403</v>
      </c>
      <c r="H747" s="12">
        <v>999</v>
      </c>
      <c r="I747" s="11" t="s">
        <v>16403</v>
      </c>
      <c r="L747" s="11">
        <v>61.44</v>
      </c>
      <c r="M747" s="11">
        <v>62.337000000000003</v>
      </c>
      <c r="N747" s="11">
        <v>124.27</v>
      </c>
      <c r="O747" s="11">
        <v>124.08199999999999</v>
      </c>
      <c r="P747" s="11">
        <v>122.624</v>
      </c>
      <c r="Q747" s="11">
        <v>122.752</v>
      </c>
      <c r="R747" s="11">
        <v>118.97</v>
      </c>
      <c r="S747" s="11">
        <v>119.024</v>
      </c>
      <c r="T747" s="11">
        <v>59.874000000000002</v>
      </c>
      <c r="U747" s="11">
        <v>59.981000000000002</v>
      </c>
      <c r="V747" s="11">
        <v>40.125999999999998</v>
      </c>
      <c r="W747" s="11">
        <v>40.018999999999998</v>
      </c>
      <c r="X747" s="11">
        <v>9.8420000000000005</v>
      </c>
      <c r="Y747" s="11">
        <v>10.134</v>
      </c>
      <c r="Z747" s="11">
        <v>40.018999999999998</v>
      </c>
      <c r="AA747" s="11">
        <v>40.125999999999998</v>
      </c>
      <c r="AB747" s="11">
        <v>9.0709999999999997</v>
      </c>
      <c r="AC747" s="11">
        <v>17</v>
      </c>
      <c r="AD747" s="11">
        <v>18</v>
      </c>
      <c r="AE747" s="11">
        <v>17</v>
      </c>
      <c r="AF747" s="11">
        <v>17</v>
      </c>
    </row>
    <row r="748" spans="1:32" s="11" customFormat="1" x14ac:dyDescent="0.2">
      <c r="A748" s="11">
        <v>876</v>
      </c>
      <c r="F748" s="11" t="s">
        <v>16420</v>
      </c>
      <c r="G748" s="11" t="s">
        <v>16421</v>
      </c>
      <c r="H748" s="12">
        <v>62.4</v>
      </c>
      <c r="I748" s="11" t="s">
        <v>16407</v>
      </c>
      <c r="L748" s="11">
        <v>53.649000000000001</v>
      </c>
      <c r="M748" s="11">
        <v>54.11</v>
      </c>
      <c r="N748" s="11">
        <v>108.28400000000001</v>
      </c>
      <c r="O748" s="11">
        <v>107.81699999999999</v>
      </c>
      <c r="P748" s="11">
        <v>103.578</v>
      </c>
      <c r="Q748" s="11">
        <v>102.6</v>
      </c>
      <c r="R748" s="11">
        <v>115.042</v>
      </c>
      <c r="S748" s="11">
        <v>114.46</v>
      </c>
      <c r="T748" s="11">
        <v>62.56</v>
      </c>
      <c r="U748" s="11">
        <v>62.738999999999997</v>
      </c>
      <c r="V748" s="11">
        <v>37.44</v>
      </c>
      <c r="W748" s="11">
        <v>37.261000000000003</v>
      </c>
      <c r="X748" s="11">
        <v>12.625999999999999</v>
      </c>
      <c r="Y748" s="11">
        <v>12.736000000000001</v>
      </c>
      <c r="Z748" s="11">
        <v>37.261000000000003</v>
      </c>
      <c r="AA748" s="11">
        <v>37.44</v>
      </c>
      <c r="AB748" s="11">
        <v>8.59</v>
      </c>
      <c r="AC748" s="11">
        <v>17</v>
      </c>
      <c r="AD748" s="11">
        <v>18</v>
      </c>
      <c r="AE748" s="11">
        <v>17</v>
      </c>
      <c r="AF748" s="11">
        <v>17</v>
      </c>
    </row>
    <row r="749" spans="1:32" s="11" customFormat="1" x14ac:dyDescent="0.2">
      <c r="A749" s="11">
        <v>877</v>
      </c>
      <c r="F749" s="11" t="s">
        <v>16426</v>
      </c>
      <c r="G749" s="11" t="s">
        <v>16427</v>
      </c>
      <c r="H749" s="12">
        <v>75.7</v>
      </c>
      <c r="I749" s="11" t="s">
        <v>16404</v>
      </c>
      <c r="L749" s="11">
        <v>34.951999999999998</v>
      </c>
      <c r="M749" s="11">
        <v>33.444000000000003</v>
      </c>
      <c r="N749" s="11">
        <v>68.588999999999999</v>
      </c>
      <c r="O749" s="11">
        <v>68.5</v>
      </c>
      <c r="P749" s="11">
        <v>57.048000000000002</v>
      </c>
      <c r="Q749" s="11">
        <v>56.896000000000001</v>
      </c>
      <c r="R749" s="11">
        <v>99.843999999999994</v>
      </c>
      <c r="S749" s="11">
        <v>99.361000000000004</v>
      </c>
      <c r="T749" s="11">
        <v>67.335999999999999</v>
      </c>
      <c r="U749" s="11">
        <v>69.623000000000005</v>
      </c>
      <c r="V749" s="11">
        <v>32.664000000000001</v>
      </c>
      <c r="W749" s="11">
        <v>30.376999999999999</v>
      </c>
      <c r="X749" s="11">
        <v>19.198</v>
      </c>
      <c r="Y749" s="11">
        <v>17.713999999999999</v>
      </c>
      <c r="Z749" s="11">
        <v>30.376999999999999</v>
      </c>
      <c r="AA749" s="11">
        <v>32.664000000000001</v>
      </c>
      <c r="AB749" s="11">
        <v>11.385</v>
      </c>
      <c r="AC749" s="11">
        <v>16</v>
      </c>
      <c r="AD749" s="11">
        <v>16</v>
      </c>
      <c r="AE749" s="11">
        <v>16</v>
      </c>
      <c r="AF749" s="11">
        <v>16</v>
      </c>
    </row>
    <row r="750" spans="1:32" s="11" customFormat="1" x14ac:dyDescent="0.2">
      <c r="A750" s="11">
        <v>878</v>
      </c>
      <c r="F750" s="11" t="s">
        <v>16424</v>
      </c>
      <c r="G750" s="11" t="s">
        <v>16425</v>
      </c>
      <c r="H750" s="12">
        <v>26</v>
      </c>
      <c r="I750" s="11" t="s">
        <v>16407</v>
      </c>
      <c r="L750" s="11">
        <v>59.173999999999999</v>
      </c>
      <c r="M750" s="11">
        <v>58.082000000000001</v>
      </c>
      <c r="N750" s="11">
        <v>117.20699999999999</v>
      </c>
      <c r="O750" s="11">
        <v>117.675</v>
      </c>
      <c r="P750" s="11">
        <v>98.066999999999993</v>
      </c>
      <c r="Q750" s="11">
        <v>98.5</v>
      </c>
      <c r="R750" s="11">
        <v>100.66800000000001</v>
      </c>
      <c r="S750" s="11">
        <v>100.32299999999999</v>
      </c>
      <c r="T750" s="11">
        <v>63.244</v>
      </c>
      <c r="U750" s="11">
        <v>64.44</v>
      </c>
      <c r="V750" s="11">
        <v>36.756</v>
      </c>
      <c r="W750" s="11">
        <v>35.56</v>
      </c>
      <c r="X750" s="11">
        <v>14.853999999999999</v>
      </c>
      <c r="Y750" s="11">
        <v>13.301</v>
      </c>
      <c r="Z750" s="11">
        <v>35.56</v>
      </c>
      <c r="AA750" s="11">
        <v>36.756</v>
      </c>
      <c r="AB750" s="11">
        <v>7.0730000000000004</v>
      </c>
      <c r="AC750" s="11">
        <v>16</v>
      </c>
      <c r="AD750" s="11">
        <v>16</v>
      </c>
      <c r="AE750" s="11">
        <v>16</v>
      </c>
      <c r="AF750" s="11">
        <v>16</v>
      </c>
    </row>
    <row r="751" spans="1:32" s="11" customFormat="1" x14ac:dyDescent="0.2">
      <c r="A751" s="11">
        <v>879</v>
      </c>
      <c r="F751" s="11" t="s">
        <v>16414</v>
      </c>
      <c r="G751" s="11" t="s">
        <v>16415</v>
      </c>
      <c r="H751" s="12">
        <v>70.400000000000006</v>
      </c>
      <c r="I751" s="11" t="s">
        <v>16404</v>
      </c>
      <c r="L751" s="11" t="s">
        <v>16403</v>
      </c>
      <c r="M751" s="11" t="s">
        <v>16403</v>
      </c>
      <c r="N751" s="11" t="s">
        <v>16403</v>
      </c>
      <c r="O751" s="11" t="s">
        <v>16403</v>
      </c>
      <c r="P751" s="11" t="s">
        <v>16403</v>
      </c>
      <c r="Q751" s="11" t="s">
        <v>16403</v>
      </c>
      <c r="R751" s="11" t="s">
        <v>16403</v>
      </c>
      <c r="S751" s="11" t="s">
        <v>16403</v>
      </c>
      <c r="T751" s="11" t="s">
        <v>16403</v>
      </c>
      <c r="U751" s="11" t="s">
        <v>16403</v>
      </c>
      <c r="V751" s="11" t="s">
        <v>16403</v>
      </c>
      <c r="W751" s="11" t="s">
        <v>16403</v>
      </c>
      <c r="X751" s="11" t="s">
        <v>16403</v>
      </c>
      <c r="Y751" s="11" t="s">
        <v>16403</v>
      </c>
      <c r="Z751" s="11" t="s">
        <v>16403</v>
      </c>
      <c r="AA751" s="11" t="s">
        <v>16403</v>
      </c>
      <c r="AB751" s="11" t="s">
        <v>16403</v>
      </c>
      <c r="AC751" s="11" t="s">
        <v>16403</v>
      </c>
      <c r="AD751" s="11" t="s">
        <v>16403</v>
      </c>
      <c r="AE751" s="11" t="s">
        <v>16403</v>
      </c>
      <c r="AF751" s="11" t="s">
        <v>16403</v>
      </c>
    </row>
    <row r="752" spans="1:32" s="11" customFormat="1" x14ac:dyDescent="0.2">
      <c r="A752" s="11">
        <v>880</v>
      </c>
      <c r="F752" s="11" t="s">
        <v>16403</v>
      </c>
      <c r="G752" s="11" t="s">
        <v>16403</v>
      </c>
      <c r="H752" s="12">
        <v>999</v>
      </c>
      <c r="I752" s="11" t="s">
        <v>16403</v>
      </c>
      <c r="L752" s="11">
        <v>44.542999999999999</v>
      </c>
      <c r="M752" s="11">
        <v>46.85</v>
      </c>
      <c r="N752" s="11">
        <v>92.262</v>
      </c>
      <c r="O752" s="11">
        <v>91.42</v>
      </c>
      <c r="P752" s="11">
        <v>86.203999999999994</v>
      </c>
      <c r="Q752" s="11">
        <v>85.781000000000006</v>
      </c>
      <c r="R752" s="11">
        <v>112.258</v>
      </c>
      <c r="S752" s="11">
        <v>112.28</v>
      </c>
      <c r="T752" s="11">
        <v>62.42</v>
      </c>
      <c r="U752" s="11">
        <v>62.045999999999999</v>
      </c>
      <c r="V752" s="11">
        <v>37.58</v>
      </c>
      <c r="W752" s="11">
        <v>37.954000000000001</v>
      </c>
      <c r="X752" s="11">
        <v>11.598000000000001</v>
      </c>
      <c r="Y752" s="11">
        <v>13.02</v>
      </c>
      <c r="Z752" s="11">
        <v>37.954000000000001</v>
      </c>
      <c r="AA752" s="11">
        <v>37.58</v>
      </c>
      <c r="AB752" s="11">
        <v>11.516999999999999</v>
      </c>
      <c r="AC752" s="11">
        <v>18</v>
      </c>
      <c r="AD752" s="11">
        <v>20</v>
      </c>
      <c r="AE752" s="11">
        <v>18</v>
      </c>
      <c r="AF752" s="11">
        <v>18</v>
      </c>
    </row>
    <row r="753" spans="1:32" s="11" customFormat="1" x14ac:dyDescent="0.2">
      <c r="A753" s="11">
        <v>881</v>
      </c>
      <c r="F753" s="11" t="s">
        <v>16420</v>
      </c>
      <c r="G753" s="11" t="s">
        <v>16421</v>
      </c>
      <c r="H753" s="12">
        <v>79.7</v>
      </c>
      <c r="I753" s="11" t="s">
        <v>16407</v>
      </c>
      <c r="L753" s="11">
        <v>44.616</v>
      </c>
      <c r="M753" s="11">
        <v>47.856999999999999</v>
      </c>
      <c r="N753" s="11">
        <v>92.950999999999993</v>
      </c>
      <c r="O753" s="11">
        <v>92.340999999999994</v>
      </c>
      <c r="P753" s="11">
        <v>72.691999999999993</v>
      </c>
      <c r="Q753" s="11">
        <v>72.171999999999997</v>
      </c>
      <c r="R753" s="11">
        <v>94.224000000000004</v>
      </c>
      <c r="S753" s="11">
        <v>93.406999999999996</v>
      </c>
      <c r="T753" s="11">
        <v>65.221999999999994</v>
      </c>
      <c r="U753" s="11">
        <v>64.004000000000005</v>
      </c>
      <c r="V753" s="11">
        <v>34.777999999999999</v>
      </c>
      <c r="W753" s="11">
        <v>35.996000000000002</v>
      </c>
      <c r="X753" s="11">
        <v>14.563000000000001</v>
      </c>
      <c r="Y753" s="11">
        <v>14.436</v>
      </c>
      <c r="Z753" s="11">
        <v>35.996000000000002</v>
      </c>
      <c r="AA753" s="11">
        <v>34.777999999999999</v>
      </c>
      <c r="AB753" s="11">
        <v>15.942</v>
      </c>
      <c r="AC753" s="11">
        <v>14</v>
      </c>
      <c r="AD753" s="11">
        <v>17</v>
      </c>
      <c r="AE753" s="11">
        <v>14</v>
      </c>
      <c r="AF753" s="11">
        <v>14</v>
      </c>
    </row>
    <row r="754" spans="1:32" s="11" customFormat="1" x14ac:dyDescent="0.2">
      <c r="A754" s="11">
        <v>882</v>
      </c>
      <c r="F754" s="11" t="s">
        <v>16458</v>
      </c>
      <c r="G754" s="11" t="s">
        <v>16459</v>
      </c>
      <c r="H754" s="12">
        <v>61.1</v>
      </c>
      <c r="I754" s="11" t="s">
        <v>16404</v>
      </c>
      <c r="L754" s="11">
        <v>66.709999999999994</v>
      </c>
      <c r="M754" s="11">
        <v>66.909000000000006</v>
      </c>
      <c r="N754" s="11">
        <v>132.96799999999999</v>
      </c>
      <c r="O754" s="11">
        <v>132.708</v>
      </c>
      <c r="P754" s="11">
        <v>108.398</v>
      </c>
      <c r="Q754" s="11">
        <v>108.982</v>
      </c>
      <c r="R754" s="11">
        <v>97.700999999999993</v>
      </c>
      <c r="S754" s="11">
        <v>99.472999999999999</v>
      </c>
      <c r="T754" s="11">
        <v>65.093000000000004</v>
      </c>
      <c r="U754" s="11">
        <v>63.582999999999998</v>
      </c>
      <c r="V754" s="11">
        <v>34.906999999999996</v>
      </c>
      <c r="W754" s="11">
        <v>36.417000000000002</v>
      </c>
      <c r="X754" s="11">
        <v>14.004</v>
      </c>
      <c r="Y754" s="11">
        <v>15.56</v>
      </c>
      <c r="Z754" s="11">
        <v>36.417000000000002</v>
      </c>
      <c r="AA754" s="11">
        <v>34.906999999999996</v>
      </c>
      <c r="AB754" s="11">
        <v>18.585000000000001</v>
      </c>
      <c r="AC754" s="11">
        <v>12</v>
      </c>
      <c r="AD754" s="11">
        <v>11</v>
      </c>
      <c r="AE754" s="11">
        <v>11</v>
      </c>
      <c r="AF754" s="11">
        <v>11</v>
      </c>
    </row>
    <row r="755" spans="1:32" s="11" customFormat="1" x14ac:dyDescent="0.2">
      <c r="A755" s="11">
        <v>883</v>
      </c>
      <c r="F755" s="11" t="s">
        <v>16414</v>
      </c>
      <c r="G755" s="11" t="s">
        <v>16415</v>
      </c>
      <c r="H755" s="12">
        <v>47.7</v>
      </c>
      <c r="I755" s="11" t="s">
        <v>16404</v>
      </c>
      <c r="L755" s="11">
        <v>48.42</v>
      </c>
      <c r="M755" s="11">
        <v>58.985999999999997</v>
      </c>
      <c r="N755" s="11">
        <v>108.401</v>
      </c>
      <c r="O755" s="11">
        <v>107.059</v>
      </c>
      <c r="P755" s="11">
        <v>68.599999999999994</v>
      </c>
      <c r="Q755" s="11">
        <v>67.682000000000002</v>
      </c>
      <c r="R755" s="11">
        <v>75.391999999999996</v>
      </c>
      <c r="S755" s="11">
        <v>76.295000000000002</v>
      </c>
      <c r="T755" s="11">
        <v>70.003</v>
      </c>
      <c r="U755" s="11">
        <v>60.915999999999997</v>
      </c>
      <c r="V755" s="11">
        <v>29.997</v>
      </c>
      <c r="W755" s="11">
        <v>39.084000000000003</v>
      </c>
      <c r="X755" s="11">
        <v>12.205</v>
      </c>
      <c r="Y755" s="11">
        <v>18.626000000000001</v>
      </c>
      <c r="Z755" s="11">
        <v>39.084000000000003</v>
      </c>
      <c r="AA755" s="11">
        <v>29.997</v>
      </c>
      <c r="AB755" s="11">
        <v>19.558</v>
      </c>
      <c r="AC755" s="11">
        <v>11</v>
      </c>
      <c r="AD755" s="11">
        <v>13</v>
      </c>
      <c r="AE755" s="11">
        <v>11</v>
      </c>
      <c r="AF755" s="11">
        <v>11</v>
      </c>
    </row>
    <row r="756" spans="1:32" s="11" customFormat="1" x14ac:dyDescent="0.2">
      <c r="A756" s="11">
        <v>884</v>
      </c>
      <c r="F756" s="11" t="s">
        <v>16424</v>
      </c>
      <c r="G756" s="11" t="s">
        <v>16425</v>
      </c>
      <c r="H756" s="12">
        <v>58.1</v>
      </c>
      <c r="I756" s="11" t="s">
        <v>16407</v>
      </c>
      <c r="L756" s="11">
        <v>65.971999999999994</v>
      </c>
      <c r="M756" s="11">
        <v>63.726999999999997</v>
      </c>
      <c r="N756" s="11">
        <v>129.95599999999999</v>
      </c>
      <c r="O756" s="11">
        <v>129.69</v>
      </c>
      <c r="P756" s="11">
        <v>138.065</v>
      </c>
      <c r="Q756" s="11">
        <v>137.386</v>
      </c>
      <c r="R756" s="11">
        <v>127.19799999999999</v>
      </c>
      <c r="S756" s="11">
        <v>127.06699999999999</v>
      </c>
      <c r="T756" s="11">
        <v>59.89</v>
      </c>
      <c r="U756" s="11">
        <v>60.307000000000002</v>
      </c>
      <c r="V756" s="11">
        <v>40.11</v>
      </c>
      <c r="W756" s="11">
        <v>39.692999999999998</v>
      </c>
      <c r="X756" s="11">
        <v>10.491</v>
      </c>
      <c r="Y756" s="11">
        <v>10.054</v>
      </c>
      <c r="Z756" s="11">
        <v>39.692999999999998</v>
      </c>
      <c r="AA756" s="11">
        <v>40.11</v>
      </c>
      <c r="AB756" s="11">
        <v>8.8879999999999999</v>
      </c>
      <c r="AC756" s="11">
        <v>18</v>
      </c>
      <c r="AD756" s="11">
        <v>19</v>
      </c>
      <c r="AE756" s="11">
        <v>18</v>
      </c>
      <c r="AF756" s="11">
        <v>18</v>
      </c>
    </row>
    <row r="757" spans="1:32" s="11" customFormat="1" x14ac:dyDescent="0.2">
      <c r="A757" s="11">
        <v>885</v>
      </c>
      <c r="F757" s="11" t="s">
        <v>16420</v>
      </c>
      <c r="G757" s="11" t="s">
        <v>16421</v>
      </c>
      <c r="H757" s="12">
        <v>74.7</v>
      </c>
      <c r="I757" s="11" t="s">
        <v>16407</v>
      </c>
      <c r="L757" s="11">
        <v>53.755000000000003</v>
      </c>
      <c r="M757" s="11">
        <v>55.567999999999998</v>
      </c>
      <c r="N757" s="11">
        <v>109.23699999999999</v>
      </c>
      <c r="O757" s="11">
        <v>109.16800000000001</v>
      </c>
      <c r="P757" s="11">
        <v>93.284000000000006</v>
      </c>
      <c r="Q757" s="11">
        <v>93.272999999999996</v>
      </c>
      <c r="R757" s="11">
        <v>102.152</v>
      </c>
      <c r="S757" s="11">
        <v>102.337</v>
      </c>
      <c r="T757" s="11">
        <v>61.975000000000001</v>
      </c>
      <c r="U757" s="11">
        <v>62.488</v>
      </c>
      <c r="V757" s="11">
        <v>38.024999999999999</v>
      </c>
      <c r="W757" s="11">
        <v>37.512</v>
      </c>
      <c r="X757" s="11">
        <v>13.257999999999999</v>
      </c>
      <c r="Y757" s="11">
        <v>11.77</v>
      </c>
      <c r="Z757" s="11">
        <v>37.512</v>
      </c>
      <c r="AA757" s="11">
        <v>38.024999999999999</v>
      </c>
      <c r="AB757" s="11">
        <v>8.1929999999999996</v>
      </c>
      <c r="AC757" s="11">
        <v>15</v>
      </c>
      <c r="AD757" s="11">
        <v>15</v>
      </c>
      <c r="AE757" s="11">
        <v>15</v>
      </c>
      <c r="AF757" s="11">
        <v>15</v>
      </c>
    </row>
    <row r="758" spans="1:32" s="11" customFormat="1" x14ac:dyDescent="0.2">
      <c r="A758" s="11">
        <v>886</v>
      </c>
      <c r="F758" s="11" t="s">
        <v>16424</v>
      </c>
      <c r="G758" s="11" t="s">
        <v>16425</v>
      </c>
      <c r="H758" s="12">
        <v>32.4</v>
      </c>
      <c r="I758" s="11" t="s">
        <v>16404</v>
      </c>
      <c r="L758" s="11">
        <v>44.688000000000002</v>
      </c>
      <c r="M758" s="11">
        <v>40.194000000000003</v>
      </c>
      <c r="N758" s="11">
        <v>84.37</v>
      </c>
      <c r="O758" s="11">
        <v>84.709000000000003</v>
      </c>
      <c r="P758" s="11">
        <v>70.61</v>
      </c>
      <c r="Q758" s="11">
        <v>71.344999999999999</v>
      </c>
      <c r="R758" s="11">
        <v>100.967</v>
      </c>
      <c r="S758" s="11">
        <v>100.624</v>
      </c>
      <c r="T758" s="11">
        <v>67.117000000000004</v>
      </c>
      <c r="U758" s="11">
        <v>68.975999999999999</v>
      </c>
      <c r="V758" s="11">
        <v>32.883000000000003</v>
      </c>
      <c r="W758" s="11">
        <v>31.024000000000001</v>
      </c>
      <c r="X758" s="11">
        <v>16.763000000000002</v>
      </c>
      <c r="Y758" s="11">
        <v>19.47</v>
      </c>
      <c r="Z758" s="11">
        <v>31.024000000000001</v>
      </c>
      <c r="AA758" s="11">
        <v>32.883000000000003</v>
      </c>
      <c r="AB758" s="11">
        <v>24.228000000000002</v>
      </c>
      <c r="AC758" s="11">
        <v>13</v>
      </c>
      <c r="AD758" s="11">
        <v>12</v>
      </c>
      <c r="AE758" s="11">
        <v>12</v>
      </c>
      <c r="AF758" s="11">
        <v>12</v>
      </c>
    </row>
    <row r="759" spans="1:32" s="11" customFormat="1" x14ac:dyDescent="0.2">
      <c r="A759" s="11">
        <v>887</v>
      </c>
      <c r="F759" s="11" t="s">
        <v>16414</v>
      </c>
      <c r="G759" s="11" t="s">
        <v>16415</v>
      </c>
      <c r="H759" s="12">
        <v>63.2</v>
      </c>
      <c r="I759" s="11" t="s">
        <v>16404</v>
      </c>
      <c r="L759" s="11">
        <v>9.8940000000000001</v>
      </c>
      <c r="M759" s="11">
        <v>11.3</v>
      </c>
      <c r="N759" s="11">
        <v>21.140999999999998</v>
      </c>
      <c r="O759" s="11">
        <v>20.87</v>
      </c>
      <c r="P759" s="11">
        <v>30.109000000000002</v>
      </c>
      <c r="Q759" s="11">
        <v>30.033000000000001</v>
      </c>
      <c r="R759" s="11">
        <v>182.09100000000001</v>
      </c>
      <c r="S759" s="11">
        <v>180.45699999999999</v>
      </c>
      <c r="T759" s="11">
        <v>74.849000000000004</v>
      </c>
      <c r="U759" s="11">
        <v>73.268000000000001</v>
      </c>
      <c r="V759" s="11">
        <v>25.151</v>
      </c>
      <c r="W759" s="11">
        <v>26.731999999999999</v>
      </c>
      <c r="X759" s="11">
        <v>24.506</v>
      </c>
      <c r="Y759" s="11">
        <v>23.350999999999999</v>
      </c>
      <c r="Z759" s="11">
        <v>26.731999999999999</v>
      </c>
      <c r="AA759" s="11">
        <v>25.151</v>
      </c>
      <c r="AB759" s="11">
        <v>17.225999999999999</v>
      </c>
      <c r="AC759" s="11">
        <v>24</v>
      </c>
      <c r="AD759" s="11">
        <v>23</v>
      </c>
      <c r="AE759" s="11">
        <v>23</v>
      </c>
      <c r="AF759" s="11">
        <v>23</v>
      </c>
    </row>
    <row r="760" spans="1:32" s="11" customFormat="1" x14ac:dyDescent="0.2">
      <c r="A760" s="11">
        <v>888</v>
      </c>
      <c r="F760" s="11" t="s">
        <v>16414</v>
      </c>
      <c r="G760" s="11" t="s">
        <v>16415</v>
      </c>
      <c r="H760" s="12">
        <v>86.7</v>
      </c>
      <c r="I760" s="11" t="s">
        <v>16407</v>
      </c>
      <c r="L760" s="11">
        <v>43.381999999999998</v>
      </c>
      <c r="M760" s="11">
        <v>42.15</v>
      </c>
      <c r="N760" s="11">
        <v>86.36</v>
      </c>
      <c r="O760" s="11">
        <v>85.634</v>
      </c>
      <c r="P760" s="11">
        <v>93.14</v>
      </c>
      <c r="Q760" s="11">
        <v>92.319000000000003</v>
      </c>
      <c r="R760" s="11">
        <v>129.078</v>
      </c>
      <c r="S760" s="11">
        <v>129.251</v>
      </c>
      <c r="T760" s="11">
        <v>60.24</v>
      </c>
      <c r="U760" s="11">
        <v>63.113999999999997</v>
      </c>
      <c r="V760" s="11">
        <v>39.76</v>
      </c>
      <c r="W760" s="11">
        <v>36.886000000000003</v>
      </c>
      <c r="X760" s="11">
        <v>12.759</v>
      </c>
      <c r="Y760" s="11">
        <v>10.409000000000001</v>
      </c>
      <c r="Z760" s="11">
        <v>36.886000000000003</v>
      </c>
      <c r="AA760" s="11">
        <v>39.76</v>
      </c>
      <c r="AB760" s="11">
        <v>12.183999999999999</v>
      </c>
      <c r="AC760" s="11">
        <v>22</v>
      </c>
      <c r="AD760" s="11">
        <v>27</v>
      </c>
      <c r="AE760" s="11">
        <v>22</v>
      </c>
      <c r="AF760" s="11">
        <v>22</v>
      </c>
    </row>
    <row r="761" spans="1:32" s="11" customFormat="1" x14ac:dyDescent="0.2">
      <c r="A761" s="11">
        <v>889</v>
      </c>
      <c r="F761" s="11" t="s">
        <v>16424</v>
      </c>
      <c r="G761" s="11" t="s">
        <v>16425</v>
      </c>
      <c r="H761" s="12">
        <v>19.3</v>
      </c>
      <c r="I761" s="11" t="s">
        <v>16407</v>
      </c>
      <c r="L761" s="11">
        <v>63.692999999999998</v>
      </c>
      <c r="M761" s="11">
        <v>64.406000000000006</v>
      </c>
      <c r="N761" s="11">
        <v>126.93600000000001</v>
      </c>
      <c r="O761" s="11">
        <v>124.20699999999999</v>
      </c>
      <c r="P761" s="11">
        <v>106.264</v>
      </c>
      <c r="Q761" s="11">
        <v>103.04600000000001</v>
      </c>
      <c r="R761" s="11">
        <v>101.169</v>
      </c>
      <c r="S761" s="11">
        <v>101.05</v>
      </c>
      <c r="T761" s="11">
        <v>63.779000000000003</v>
      </c>
      <c r="U761" s="11">
        <v>62.890999999999998</v>
      </c>
      <c r="V761" s="11">
        <v>36.220999999999997</v>
      </c>
      <c r="W761" s="11">
        <v>37.109000000000002</v>
      </c>
      <c r="X761" s="11">
        <v>13.696999999999999</v>
      </c>
      <c r="Y761" s="11">
        <v>13.93</v>
      </c>
      <c r="Z761" s="11">
        <v>37.109000000000002</v>
      </c>
      <c r="AA761" s="11">
        <v>36.220999999999997</v>
      </c>
      <c r="AB761" s="11">
        <v>14.614000000000001</v>
      </c>
      <c r="AC761" s="11">
        <v>10</v>
      </c>
      <c r="AD761" s="11">
        <v>8</v>
      </c>
      <c r="AE761" s="11">
        <v>8</v>
      </c>
      <c r="AF761" s="11">
        <v>8</v>
      </c>
    </row>
    <row r="762" spans="1:32" s="11" customFormat="1" x14ac:dyDescent="0.2">
      <c r="A762" s="11">
        <v>890</v>
      </c>
      <c r="F762" s="11" t="s">
        <v>16414</v>
      </c>
      <c r="G762" s="11" t="s">
        <v>16415</v>
      </c>
      <c r="H762" s="12">
        <v>65.8</v>
      </c>
      <c r="I762" s="11" t="s">
        <v>16407</v>
      </c>
      <c r="L762" s="11">
        <v>61.701999999999998</v>
      </c>
      <c r="M762" s="11">
        <v>58.847999999999999</v>
      </c>
      <c r="N762" s="11">
        <v>120.816</v>
      </c>
      <c r="O762" s="11">
        <v>121.223</v>
      </c>
      <c r="P762" s="11">
        <v>100.295</v>
      </c>
      <c r="Q762" s="11">
        <v>100.035</v>
      </c>
      <c r="R762" s="11">
        <v>98.507000000000005</v>
      </c>
      <c r="S762" s="11">
        <v>98.503</v>
      </c>
      <c r="T762" s="11">
        <v>64.108000000000004</v>
      </c>
      <c r="U762" s="11">
        <v>62.335999999999999</v>
      </c>
      <c r="V762" s="11">
        <v>35.892000000000003</v>
      </c>
      <c r="W762" s="11">
        <v>37.664000000000001</v>
      </c>
      <c r="X762" s="11">
        <v>12.907999999999999</v>
      </c>
      <c r="Y762" s="11">
        <v>13.973000000000001</v>
      </c>
      <c r="Z762" s="11">
        <v>37.664000000000001</v>
      </c>
      <c r="AA762" s="11">
        <v>35.892000000000003</v>
      </c>
      <c r="AB762" s="11">
        <v>7.234</v>
      </c>
      <c r="AC762" s="11">
        <v>10</v>
      </c>
      <c r="AD762" s="11">
        <v>11</v>
      </c>
      <c r="AE762" s="11">
        <v>10</v>
      </c>
      <c r="AF762" s="11">
        <v>10</v>
      </c>
    </row>
    <row r="763" spans="1:32" s="11" customFormat="1" x14ac:dyDescent="0.2">
      <c r="A763" s="11">
        <v>891</v>
      </c>
      <c r="F763" s="11" t="s">
        <v>16414</v>
      </c>
      <c r="G763" s="11" t="s">
        <v>16415</v>
      </c>
      <c r="H763" s="12">
        <v>86</v>
      </c>
      <c r="I763" s="11" t="s">
        <v>16404</v>
      </c>
      <c r="L763" s="11">
        <v>58.585999999999999</v>
      </c>
      <c r="M763" s="11">
        <v>58.448</v>
      </c>
      <c r="N763" s="11">
        <v>117.06100000000001</v>
      </c>
      <c r="O763" s="11">
        <v>117.504</v>
      </c>
      <c r="P763" s="11">
        <v>117.464</v>
      </c>
      <c r="Q763" s="11">
        <v>117.452</v>
      </c>
      <c r="R763" s="11">
        <v>119.877</v>
      </c>
      <c r="S763" s="11">
        <v>119.926</v>
      </c>
      <c r="T763" s="11">
        <v>63.237000000000002</v>
      </c>
      <c r="U763" s="11">
        <v>62.174999999999997</v>
      </c>
      <c r="V763" s="11">
        <v>36.762999999999998</v>
      </c>
      <c r="W763" s="11">
        <v>37.825000000000003</v>
      </c>
      <c r="X763" s="11">
        <v>13.234</v>
      </c>
      <c r="Y763" s="11">
        <v>12.73</v>
      </c>
      <c r="Z763" s="11">
        <v>37.825000000000003</v>
      </c>
      <c r="AA763" s="11">
        <v>36.762999999999998</v>
      </c>
      <c r="AB763" s="11">
        <v>13.032</v>
      </c>
      <c r="AC763" s="11">
        <v>11</v>
      </c>
      <c r="AD763" s="11">
        <v>13</v>
      </c>
      <c r="AE763" s="11">
        <v>11</v>
      </c>
      <c r="AF763" s="11">
        <v>11</v>
      </c>
    </row>
    <row r="764" spans="1:32" s="11" customFormat="1" x14ac:dyDescent="0.2">
      <c r="A764" s="11">
        <v>892</v>
      </c>
      <c r="F764" s="11" t="s">
        <v>16403</v>
      </c>
      <c r="G764" s="11" t="s">
        <v>16403</v>
      </c>
      <c r="H764" s="12">
        <v>999</v>
      </c>
      <c r="I764" s="11" t="s">
        <v>16403</v>
      </c>
      <c r="L764" s="11">
        <v>25.8</v>
      </c>
      <c r="M764" s="11">
        <v>23.370999999999999</v>
      </c>
      <c r="N764" s="11">
        <v>48.59</v>
      </c>
      <c r="O764" s="11">
        <v>49.011000000000003</v>
      </c>
      <c r="P764" s="11">
        <v>48.146000000000001</v>
      </c>
      <c r="Q764" s="11">
        <v>48.883000000000003</v>
      </c>
      <c r="R764" s="11">
        <v>117.694</v>
      </c>
      <c r="S764" s="11">
        <v>118.161</v>
      </c>
      <c r="T764" s="11">
        <v>67.611000000000004</v>
      </c>
      <c r="U764" s="11">
        <v>67.323999999999998</v>
      </c>
      <c r="V764" s="11">
        <v>32.389000000000003</v>
      </c>
      <c r="W764" s="11">
        <v>32.676000000000002</v>
      </c>
      <c r="X764" s="11">
        <v>15.555</v>
      </c>
      <c r="Y764" s="11">
        <v>18.812000000000001</v>
      </c>
      <c r="Z764" s="11">
        <v>32.676000000000002</v>
      </c>
      <c r="AA764" s="11">
        <v>32.389000000000003</v>
      </c>
      <c r="AB764" s="11">
        <v>8.61</v>
      </c>
      <c r="AC764" s="11">
        <v>11</v>
      </c>
      <c r="AD764" s="11">
        <v>12</v>
      </c>
      <c r="AE764" s="11">
        <v>11</v>
      </c>
      <c r="AF764" s="11">
        <v>11</v>
      </c>
    </row>
    <row r="765" spans="1:32" s="11" customFormat="1" x14ac:dyDescent="0.2">
      <c r="A765" s="11">
        <v>893</v>
      </c>
      <c r="F765" s="11" t="s">
        <v>16414</v>
      </c>
      <c r="G765" s="11" t="s">
        <v>16415</v>
      </c>
      <c r="H765" s="12">
        <v>60</v>
      </c>
      <c r="I765" s="11" t="s">
        <v>16404</v>
      </c>
      <c r="L765" s="11">
        <v>33.143999999999998</v>
      </c>
      <c r="M765" s="11">
        <v>42.515999999999998</v>
      </c>
      <c r="N765" s="11">
        <v>76.161000000000001</v>
      </c>
      <c r="O765" s="11">
        <v>75.930000000000007</v>
      </c>
      <c r="P765" s="11">
        <v>77.644999999999996</v>
      </c>
      <c r="Q765" s="11">
        <v>77.194999999999993</v>
      </c>
      <c r="R765" s="11">
        <v>121.556</v>
      </c>
      <c r="S765" s="11">
        <v>120.551</v>
      </c>
      <c r="T765" s="11">
        <v>57.207000000000001</v>
      </c>
      <c r="U765" s="11">
        <v>66.158000000000001</v>
      </c>
      <c r="V765" s="11">
        <v>42.792999999999999</v>
      </c>
      <c r="W765" s="11">
        <v>33.841999999999999</v>
      </c>
      <c r="X765" s="11">
        <v>8.7219999999999995</v>
      </c>
      <c r="Y765" s="11">
        <v>14.967000000000001</v>
      </c>
      <c r="Z765" s="11">
        <v>33.841999999999999</v>
      </c>
      <c r="AA765" s="11">
        <v>42.792999999999999</v>
      </c>
      <c r="AB765" s="11">
        <v>13.151999999999999</v>
      </c>
      <c r="AC765" s="11">
        <v>15</v>
      </c>
      <c r="AD765" s="11">
        <v>15</v>
      </c>
      <c r="AE765" s="11">
        <v>15</v>
      </c>
      <c r="AF765" s="11">
        <v>15</v>
      </c>
    </row>
    <row r="766" spans="1:32" s="11" customFormat="1" x14ac:dyDescent="0.2">
      <c r="A766" s="11">
        <v>894</v>
      </c>
      <c r="F766" s="11" t="s">
        <v>16414</v>
      </c>
      <c r="G766" s="11" t="s">
        <v>16415</v>
      </c>
      <c r="H766" s="12">
        <v>74.8</v>
      </c>
      <c r="I766" s="11" t="s">
        <v>16404</v>
      </c>
      <c r="L766" s="11" t="s">
        <v>16403</v>
      </c>
      <c r="M766" s="11" t="s">
        <v>16403</v>
      </c>
      <c r="N766" s="11" t="s">
        <v>16403</v>
      </c>
      <c r="O766" s="11" t="s">
        <v>16403</v>
      </c>
      <c r="P766" s="11" t="s">
        <v>16403</v>
      </c>
      <c r="Q766" s="11" t="s">
        <v>16403</v>
      </c>
      <c r="R766" s="11" t="s">
        <v>16403</v>
      </c>
      <c r="S766" s="11" t="s">
        <v>16403</v>
      </c>
      <c r="T766" s="11" t="s">
        <v>16403</v>
      </c>
      <c r="U766" s="11" t="s">
        <v>16403</v>
      </c>
      <c r="V766" s="11" t="s">
        <v>16403</v>
      </c>
      <c r="W766" s="11" t="s">
        <v>16403</v>
      </c>
      <c r="X766" s="11" t="s">
        <v>16403</v>
      </c>
      <c r="Y766" s="11" t="s">
        <v>16403</v>
      </c>
      <c r="Z766" s="11" t="s">
        <v>16403</v>
      </c>
      <c r="AA766" s="11" t="s">
        <v>16403</v>
      </c>
      <c r="AB766" s="11" t="s">
        <v>16403</v>
      </c>
      <c r="AC766" s="11" t="s">
        <v>16403</v>
      </c>
      <c r="AD766" s="11" t="s">
        <v>16403</v>
      </c>
      <c r="AE766" s="11" t="s">
        <v>16403</v>
      </c>
      <c r="AF766" s="11" t="s">
        <v>16403</v>
      </c>
    </row>
    <row r="767" spans="1:32" s="11" customFormat="1" x14ac:dyDescent="0.2">
      <c r="A767" s="11">
        <v>895</v>
      </c>
      <c r="F767" s="11" t="s">
        <v>16420</v>
      </c>
      <c r="G767" s="11" t="s">
        <v>16421</v>
      </c>
      <c r="H767" s="12">
        <v>70.8</v>
      </c>
      <c r="I767" s="11" t="s">
        <v>16404</v>
      </c>
      <c r="L767" s="11">
        <v>62.924999999999997</v>
      </c>
      <c r="M767" s="11">
        <v>63.029000000000003</v>
      </c>
      <c r="N767" s="11">
        <v>125.578</v>
      </c>
      <c r="O767" s="11">
        <v>126.339</v>
      </c>
      <c r="P767" s="11">
        <v>112.64100000000001</v>
      </c>
      <c r="Q767" s="11">
        <v>113.738</v>
      </c>
      <c r="R767" s="11">
        <v>107.023</v>
      </c>
      <c r="S767" s="11">
        <v>107.492</v>
      </c>
      <c r="T767" s="11">
        <v>62.594999999999999</v>
      </c>
      <c r="U767" s="11">
        <v>62.271000000000001</v>
      </c>
      <c r="V767" s="11">
        <v>37.405000000000001</v>
      </c>
      <c r="W767" s="11">
        <v>37.728999999999999</v>
      </c>
      <c r="X767" s="11">
        <v>12.63</v>
      </c>
      <c r="Y767" s="11">
        <v>12.933999999999999</v>
      </c>
      <c r="Z767" s="11">
        <v>37.728999999999999</v>
      </c>
      <c r="AA767" s="11">
        <v>37.405000000000001</v>
      </c>
      <c r="AB767" s="11">
        <v>12.73</v>
      </c>
      <c r="AC767" s="11">
        <v>9</v>
      </c>
      <c r="AD767" s="11">
        <v>9</v>
      </c>
      <c r="AE767" s="11">
        <v>9</v>
      </c>
      <c r="AF767" s="11">
        <v>9</v>
      </c>
    </row>
    <row r="768" spans="1:32" s="11" customFormat="1" x14ac:dyDescent="0.2">
      <c r="A768" s="11">
        <v>896</v>
      </c>
      <c r="F768" s="11" t="s">
        <v>16403</v>
      </c>
      <c r="G768" s="11" t="s">
        <v>16403</v>
      </c>
      <c r="H768" s="12">
        <v>74</v>
      </c>
      <c r="I768" s="11" t="s">
        <v>16407</v>
      </c>
      <c r="L768" s="11" t="s">
        <v>16403</v>
      </c>
      <c r="M768" s="11" t="s">
        <v>16403</v>
      </c>
      <c r="N768" s="11" t="s">
        <v>16403</v>
      </c>
      <c r="O768" s="11" t="s">
        <v>16403</v>
      </c>
      <c r="P768" s="11" t="s">
        <v>16403</v>
      </c>
      <c r="Q768" s="11" t="s">
        <v>16403</v>
      </c>
      <c r="R768" s="11" t="s">
        <v>16403</v>
      </c>
      <c r="S768" s="11" t="s">
        <v>16403</v>
      </c>
      <c r="T768" s="11" t="s">
        <v>16403</v>
      </c>
      <c r="U768" s="11" t="s">
        <v>16403</v>
      </c>
      <c r="V768" s="11" t="s">
        <v>16403</v>
      </c>
      <c r="W768" s="11" t="s">
        <v>16403</v>
      </c>
      <c r="X768" s="11" t="s">
        <v>16403</v>
      </c>
      <c r="Y768" s="11" t="s">
        <v>16403</v>
      </c>
      <c r="Z768" s="11" t="s">
        <v>16403</v>
      </c>
      <c r="AA768" s="11" t="s">
        <v>16403</v>
      </c>
      <c r="AB768" s="11" t="s">
        <v>16403</v>
      </c>
      <c r="AC768" s="11" t="s">
        <v>16403</v>
      </c>
      <c r="AD768" s="11" t="s">
        <v>16403</v>
      </c>
      <c r="AE768" s="11" t="s">
        <v>16403</v>
      </c>
      <c r="AF768" s="11" t="s">
        <v>16403</v>
      </c>
    </row>
    <row r="769" spans="1:32" s="11" customFormat="1" x14ac:dyDescent="0.2">
      <c r="A769" s="11">
        <v>897</v>
      </c>
      <c r="F769" s="11" t="s">
        <v>16414</v>
      </c>
      <c r="G769" s="11" t="s">
        <v>16415</v>
      </c>
      <c r="H769" s="12">
        <v>68.7</v>
      </c>
      <c r="I769" s="11" t="s">
        <v>16407</v>
      </c>
      <c r="L769" s="11">
        <v>52.793999999999997</v>
      </c>
      <c r="M769" s="11">
        <v>52.603999999999999</v>
      </c>
      <c r="N769" s="11">
        <v>104.999</v>
      </c>
      <c r="O769" s="11">
        <v>105.71</v>
      </c>
      <c r="P769" s="11">
        <v>87.617999999999995</v>
      </c>
      <c r="Q769" s="11">
        <v>87.891000000000005</v>
      </c>
      <c r="R769" s="11">
        <v>99.445999999999998</v>
      </c>
      <c r="S769" s="11">
        <v>98.808999999999997</v>
      </c>
      <c r="T769" s="11">
        <v>64.203999999999994</v>
      </c>
      <c r="U769" s="11">
        <v>62.058</v>
      </c>
      <c r="V769" s="11">
        <v>35.795999999999999</v>
      </c>
      <c r="W769" s="11">
        <v>37.942</v>
      </c>
      <c r="X769" s="11">
        <v>14.085000000000001</v>
      </c>
      <c r="Y769" s="11">
        <v>12.813000000000001</v>
      </c>
      <c r="Z769" s="11">
        <v>37.942</v>
      </c>
      <c r="AA769" s="11">
        <v>35.795999999999999</v>
      </c>
      <c r="AB769" s="11">
        <v>10.888</v>
      </c>
      <c r="AC769" s="11">
        <v>12</v>
      </c>
      <c r="AD769" s="11">
        <v>10</v>
      </c>
      <c r="AE769" s="11">
        <v>10</v>
      </c>
      <c r="AF769" s="11">
        <v>10</v>
      </c>
    </row>
    <row r="770" spans="1:32" s="11" customFormat="1" x14ac:dyDescent="0.2">
      <c r="A770" s="11">
        <v>898</v>
      </c>
      <c r="F770" s="11" t="s">
        <v>16414</v>
      </c>
      <c r="G770" s="11" t="s">
        <v>16415</v>
      </c>
      <c r="H770" s="12">
        <v>73.5</v>
      </c>
      <c r="I770" s="11" t="s">
        <v>16404</v>
      </c>
      <c r="L770" s="11">
        <v>50.073</v>
      </c>
      <c r="M770" s="11">
        <v>47.656999999999996</v>
      </c>
      <c r="N770" s="11">
        <v>98.628</v>
      </c>
      <c r="O770" s="11">
        <v>98.05</v>
      </c>
      <c r="P770" s="11">
        <v>102.059</v>
      </c>
      <c r="Q770" s="11">
        <v>102.432</v>
      </c>
      <c r="R770" s="11">
        <v>124.39700000000001</v>
      </c>
      <c r="S770" s="11">
        <v>124.97</v>
      </c>
      <c r="T770" s="11">
        <v>62.710999999999999</v>
      </c>
      <c r="U770" s="11">
        <v>61.755000000000003</v>
      </c>
      <c r="V770" s="11">
        <v>37.289000000000001</v>
      </c>
      <c r="W770" s="11">
        <v>38.244999999999997</v>
      </c>
      <c r="X770" s="11">
        <v>12.813000000000001</v>
      </c>
      <c r="Y770" s="11">
        <v>11.638</v>
      </c>
      <c r="Z770" s="11">
        <v>38.244999999999997</v>
      </c>
      <c r="AA770" s="11">
        <v>37.289000000000001</v>
      </c>
      <c r="AB770" s="11">
        <v>12.18</v>
      </c>
      <c r="AC770" s="11">
        <v>14</v>
      </c>
      <c r="AD770" s="11">
        <v>12</v>
      </c>
      <c r="AE770" s="11">
        <v>12</v>
      </c>
      <c r="AF770" s="11">
        <v>12</v>
      </c>
    </row>
    <row r="771" spans="1:32" s="11" customFormat="1" x14ac:dyDescent="0.2">
      <c r="A771" s="11">
        <v>899</v>
      </c>
      <c r="F771" s="11" t="s">
        <v>16403</v>
      </c>
      <c r="G771" s="11" t="s">
        <v>16403</v>
      </c>
      <c r="H771" s="12">
        <v>999</v>
      </c>
      <c r="I771" s="11" t="s">
        <v>16403</v>
      </c>
      <c r="L771" s="11">
        <v>43.322000000000003</v>
      </c>
      <c r="M771" s="11">
        <v>42.21</v>
      </c>
      <c r="N771" s="11">
        <v>85.474999999999994</v>
      </c>
      <c r="O771" s="11">
        <v>86.268000000000001</v>
      </c>
      <c r="P771" s="11">
        <v>81.968000000000004</v>
      </c>
      <c r="Q771" s="11">
        <v>82.289000000000001</v>
      </c>
      <c r="R771" s="11">
        <v>115.164</v>
      </c>
      <c r="S771" s="11">
        <v>114.381</v>
      </c>
      <c r="T771" s="11">
        <v>62.302</v>
      </c>
      <c r="U771" s="11">
        <v>64.474000000000004</v>
      </c>
      <c r="V771" s="11">
        <v>37.698</v>
      </c>
      <c r="W771" s="11">
        <v>35.526000000000003</v>
      </c>
      <c r="X771" s="11">
        <v>14.446</v>
      </c>
      <c r="Y771" s="11">
        <v>12.989000000000001</v>
      </c>
      <c r="Z771" s="11">
        <v>35.526000000000003</v>
      </c>
      <c r="AA771" s="11">
        <v>37.698</v>
      </c>
      <c r="AB771" s="11">
        <v>15.186</v>
      </c>
      <c r="AC771" s="11">
        <v>17</v>
      </c>
      <c r="AD771" s="11">
        <v>14</v>
      </c>
      <c r="AE771" s="11">
        <v>14</v>
      </c>
      <c r="AF771" s="11">
        <v>14</v>
      </c>
    </row>
    <row r="772" spans="1:32" s="11" customFormat="1" x14ac:dyDescent="0.2">
      <c r="A772" s="11">
        <v>900</v>
      </c>
      <c r="F772" s="11" t="s">
        <v>16403</v>
      </c>
      <c r="G772" s="11" t="s">
        <v>16403</v>
      </c>
      <c r="H772" s="12">
        <v>77.900000000000006</v>
      </c>
      <c r="I772" s="11" t="s">
        <v>16404</v>
      </c>
      <c r="L772" s="11" t="s">
        <v>16403</v>
      </c>
      <c r="M772" s="11" t="s">
        <v>16403</v>
      </c>
      <c r="N772" s="11" t="s">
        <v>16403</v>
      </c>
      <c r="O772" s="11" t="s">
        <v>16403</v>
      </c>
      <c r="P772" s="11" t="s">
        <v>16403</v>
      </c>
      <c r="Q772" s="11" t="s">
        <v>16403</v>
      </c>
      <c r="R772" s="11" t="s">
        <v>16403</v>
      </c>
      <c r="S772" s="11" t="s">
        <v>16403</v>
      </c>
      <c r="T772" s="11" t="s">
        <v>16403</v>
      </c>
      <c r="U772" s="11" t="s">
        <v>16403</v>
      </c>
      <c r="V772" s="11" t="s">
        <v>16403</v>
      </c>
      <c r="W772" s="11" t="s">
        <v>16403</v>
      </c>
      <c r="X772" s="11" t="s">
        <v>16403</v>
      </c>
      <c r="Y772" s="11" t="s">
        <v>16403</v>
      </c>
      <c r="Z772" s="11" t="s">
        <v>16403</v>
      </c>
      <c r="AA772" s="11" t="s">
        <v>16403</v>
      </c>
      <c r="AB772" s="11" t="s">
        <v>16403</v>
      </c>
      <c r="AC772" s="11" t="s">
        <v>16403</v>
      </c>
      <c r="AD772" s="11" t="s">
        <v>16403</v>
      </c>
      <c r="AE772" s="11" t="s">
        <v>16403</v>
      </c>
      <c r="AF772" s="11" t="s">
        <v>16403</v>
      </c>
    </row>
    <row r="773" spans="1:32" s="11" customFormat="1" x14ac:dyDescent="0.2">
      <c r="A773" s="11">
        <v>901</v>
      </c>
      <c r="F773" s="11" t="s">
        <v>16403</v>
      </c>
      <c r="G773" s="11" t="s">
        <v>16403</v>
      </c>
      <c r="H773" s="12">
        <v>999</v>
      </c>
      <c r="I773" s="11" t="s">
        <v>16403</v>
      </c>
      <c r="L773" s="11" t="s">
        <v>16403</v>
      </c>
      <c r="M773" s="11" t="s">
        <v>16403</v>
      </c>
      <c r="N773" s="11" t="s">
        <v>16403</v>
      </c>
      <c r="O773" s="11" t="s">
        <v>16403</v>
      </c>
      <c r="P773" s="11" t="s">
        <v>16403</v>
      </c>
      <c r="Q773" s="11" t="s">
        <v>16403</v>
      </c>
      <c r="R773" s="11" t="s">
        <v>16403</v>
      </c>
      <c r="S773" s="11" t="s">
        <v>16403</v>
      </c>
      <c r="T773" s="11" t="s">
        <v>16403</v>
      </c>
      <c r="U773" s="11" t="s">
        <v>16403</v>
      </c>
      <c r="V773" s="11" t="s">
        <v>16403</v>
      </c>
      <c r="W773" s="11" t="s">
        <v>16403</v>
      </c>
      <c r="X773" s="11" t="s">
        <v>16403</v>
      </c>
      <c r="Y773" s="11" t="s">
        <v>16403</v>
      </c>
      <c r="Z773" s="11" t="s">
        <v>16403</v>
      </c>
      <c r="AA773" s="11" t="s">
        <v>16403</v>
      </c>
      <c r="AB773" s="11" t="s">
        <v>16403</v>
      </c>
      <c r="AC773" s="11" t="s">
        <v>16403</v>
      </c>
      <c r="AD773" s="11" t="s">
        <v>16403</v>
      </c>
      <c r="AE773" s="11" t="s">
        <v>16403</v>
      </c>
      <c r="AF773" s="11" t="s">
        <v>16403</v>
      </c>
    </row>
    <row r="774" spans="1:32" s="11" customFormat="1" x14ac:dyDescent="0.2">
      <c r="A774" s="11">
        <v>902</v>
      </c>
      <c r="F774" s="11" t="s">
        <v>16420</v>
      </c>
      <c r="G774" s="11" t="s">
        <v>16421</v>
      </c>
      <c r="H774" s="12">
        <v>75.900000000000006</v>
      </c>
      <c r="I774" s="11" t="s">
        <v>16404</v>
      </c>
      <c r="L774" s="11">
        <v>37.395000000000003</v>
      </c>
      <c r="M774" s="11">
        <v>30.036999999999999</v>
      </c>
      <c r="N774" s="11">
        <v>67.641999999999996</v>
      </c>
      <c r="O774" s="11">
        <v>67.238</v>
      </c>
      <c r="P774" s="11">
        <v>63.313000000000002</v>
      </c>
      <c r="Q774" s="11">
        <v>62.991</v>
      </c>
      <c r="R774" s="11">
        <v>112.501</v>
      </c>
      <c r="S774" s="11">
        <v>112.182</v>
      </c>
      <c r="T774" s="11">
        <v>65.876000000000005</v>
      </c>
      <c r="U774" s="11">
        <v>65.001999999999995</v>
      </c>
      <c r="V774" s="11">
        <v>34.124000000000002</v>
      </c>
      <c r="W774" s="11">
        <v>34.997999999999998</v>
      </c>
      <c r="X774" s="11">
        <v>16.643999999999998</v>
      </c>
      <c r="Y774" s="11">
        <v>14.201000000000001</v>
      </c>
      <c r="Z774" s="11">
        <v>34.997999999999998</v>
      </c>
      <c r="AA774" s="11">
        <v>34.124000000000002</v>
      </c>
      <c r="AB774" s="11">
        <v>8.08</v>
      </c>
      <c r="AC774" s="11">
        <v>15</v>
      </c>
      <c r="AD774" s="11">
        <v>15</v>
      </c>
      <c r="AE774" s="11">
        <v>15</v>
      </c>
      <c r="AF774" s="11">
        <v>15</v>
      </c>
    </row>
    <row r="775" spans="1:32" s="11" customFormat="1" x14ac:dyDescent="0.2">
      <c r="A775" s="11">
        <v>903</v>
      </c>
      <c r="F775" s="11" t="s">
        <v>16403</v>
      </c>
      <c r="G775" s="11" t="s">
        <v>16403</v>
      </c>
      <c r="H775" s="12">
        <v>999</v>
      </c>
      <c r="I775" s="11" t="s">
        <v>16403</v>
      </c>
      <c r="L775" s="11">
        <v>15.375999999999999</v>
      </c>
      <c r="M775" s="11">
        <v>26.966999999999999</v>
      </c>
      <c r="N775" s="11">
        <v>42.655999999999999</v>
      </c>
      <c r="O775" s="11">
        <v>41.616999999999997</v>
      </c>
      <c r="P775" s="11">
        <v>36.192</v>
      </c>
      <c r="Q775" s="11">
        <v>36.133000000000003</v>
      </c>
      <c r="R775" s="11">
        <v>101.624</v>
      </c>
      <c r="S775" s="11">
        <v>101.38200000000001</v>
      </c>
      <c r="T775" s="11">
        <v>69.787000000000006</v>
      </c>
      <c r="U775" s="11">
        <v>76.492000000000004</v>
      </c>
      <c r="V775" s="11">
        <v>30.213000000000001</v>
      </c>
      <c r="W775" s="11">
        <v>23.507999999999999</v>
      </c>
      <c r="X775" s="11">
        <v>12.000999999999999</v>
      </c>
      <c r="Y775" s="11">
        <v>33.96</v>
      </c>
      <c r="Z775" s="11">
        <v>23.507999999999999</v>
      </c>
      <c r="AA775" s="11">
        <v>30.213000000000001</v>
      </c>
      <c r="AB775" s="11">
        <v>16.14</v>
      </c>
      <c r="AC775" s="11">
        <v>21</v>
      </c>
      <c r="AD775" s="11">
        <v>22</v>
      </c>
      <c r="AE775" s="11">
        <v>21</v>
      </c>
      <c r="AF775" s="11">
        <v>21</v>
      </c>
    </row>
    <row r="776" spans="1:32" s="11" customFormat="1" x14ac:dyDescent="0.2">
      <c r="A776" s="11">
        <v>904</v>
      </c>
      <c r="F776" s="11" t="s">
        <v>16403</v>
      </c>
      <c r="G776" s="11" t="s">
        <v>16403</v>
      </c>
      <c r="H776" s="12">
        <v>999</v>
      </c>
      <c r="I776" s="11" t="s">
        <v>16403</v>
      </c>
      <c r="L776" s="11">
        <v>49.856000000000002</v>
      </c>
      <c r="M776" s="11">
        <v>52.244999999999997</v>
      </c>
      <c r="N776" s="11">
        <v>103.024</v>
      </c>
      <c r="O776" s="11">
        <v>101.629</v>
      </c>
      <c r="P776" s="11">
        <v>101.25</v>
      </c>
      <c r="Q776" s="11">
        <v>100.64100000000001</v>
      </c>
      <c r="R776" s="11">
        <v>118.08499999999999</v>
      </c>
      <c r="S776" s="11">
        <v>117.556</v>
      </c>
      <c r="T776" s="11">
        <v>67.200999999999993</v>
      </c>
      <c r="U776" s="11">
        <v>61.247999999999998</v>
      </c>
      <c r="V776" s="11">
        <v>32.798999999999999</v>
      </c>
      <c r="W776" s="11">
        <v>38.752000000000002</v>
      </c>
      <c r="X776" s="11">
        <v>14.183</v>
      </c>
      <c r="Y776" s="11">
        <v>14.666</v>
      </c>
      <c r="Z776" s="11">
        <v>38.752000000000002</v>
      </c>
      <c r="AA776" s="11">
        <v>32.798999999999999</v>
      </c>
      <c r="AB776" s="11">
        <v>14.462</v>
      </c>
      <c r="AC776" s="11">
        <v>13</v>
      </c>
      <c r="AD776" s="11">
        <v>12</v>
      </c>
      <c r="AE776" s="11">
        <v>12</v>
      </c>
      <c r="AF776" s="11">
        <v>12</v>
      </c>
    </row>
    <row r="777" spans="1:32" s="11" customFormat="1" x14ac:dyDescent="0.2">
      <c r="A777" s="11">
        <v>905</v>
      </c>
      <c r="F777" s="11" t="s">
        <v>16403</v>
      </c>
      <c r="G777" s="11" t="s">
        <v>16403</v>
      </c>
      <c r="H777" s="12">
        <v>999</v>
      </c>
      <c r="I777" s="11" t="s">
        <v>16403</v>
      </c>
      <c r="L777" s="11" t="s">
        <v>16403</v>
      </c>
      <c r="M777" s="11" t="s">
        <v>16403</v>
      </c>
      <c r="N777" s="11" t="s">
        <v>16403</v>
      </c>
      <c r="O777" s="11" t="s">
        <v>16403</v>
      </c>
      <c r="P777" s="11" t="s">
        <v>16403</v>
      </c>
      <c r="Q777" s="11" t="s">
        <v>16403</v>
      </c>
      <c r="R777" s="11" t="s">
        <v>16403</v>
      </c>
      <c r="S777" s="11" t="s">
        <v>16403</v>
      </c>
      <c r="T777" s="11" t="s">
        <v>16403</v>
      </c>
      <c r="U777" s="11" t="s">
        <v>16403</v>
      </c>
      <c r="V777" s="11" t="s">
        <v>16403</v>
      </c>
      <c r="W777" s="11" t="s">
        <v>16403</v>
      </c>
      <c r="X777" s="11" t="s">
        <v>16403</v>
      </c>
      <c r="Y777" s="11" t="s">
        <v>16403</v>
      </c>
      <c r="Z777" s="11" t="s">
        <v>16403</v>
      </c>
      <c r="AA777" s="11" t="s">
        <v>16403</v>
      </c>
      <c r="AB777" s="11" t="s">
        <v>16403</v>
      </c>
      <c r="AC777" s="11" t="s">
        <v>16403</v>
      </c>
      <c r="AD777" s="11" t="s">
        <v>16403</v>
      </c>
      <c r="AE777" s="11" t="s">
        <v>16403</v>
      </c>
      <c r="AF777" s="11" t="s">
        <v>16403</v>
      </c>
    </row>
    <row r="778" spans="1:32" s="11" customFormat="1" x14ac:dyDescent="0.2">
      <c r="A778" s="11">
        <v>906</v>
      </c>
      <c r="F778" s="11" t="s">
        <v>16403</v>
      </c>
      <c r="G778" s="11" t="s">
        <v>16403</v>
      </c>
      <c r="H778" s="12">
        <v>75.8</v>
      </c>
      <c r="I778" s="11" t="s">
        <v>16404</v>
      </c>
      <c r="L778" s="11" t="s">
        <v>16403</v>
      </c>
      <c r="M778" s="11" t="s">
        <v>16403</v>
      </c>
      <c r="N778" s="11" t="s">
        <v>16403</v>
      </c>
      <c r="O778" s="11" t="s">
        <v>16403</v>
      </c>
      <c r="P778" s="11" t="s">
        <v>16403</v>
      </c>
      <c r="Q778" s="11" t="s">
        <v>16403</v>
      </c>
      <c r="R778" s="11" t="s">
        <v>16403</v>
      </c>
      <c r="S778" s="11" t="s">
        <v>16403</v>
      </c>
      <c r="T778" s="11" t="s">
        <v>16403</v>
      </c>
      <c r="U778" s="11" t="s">
        <v>16403</v>
      </c>
      <c r="V778" s="11" t="s">
        <v>16403</v>
      </c>
      <c r="W778" s="11" t="s">
        <v>16403</v>
      </c>
      <c r="X778" s="11" t="s">
        <v>16403</v>
      </c>
      <c r="Y778" s="11" t="s">
        <v>16403</v>
      </c>
      <c r="Z778" s="11" t="s">
        <v>16403</v>
      </c>
      <c r="AA778" s="11" t="s">
        <v>16403</v>
      </c>
      <c r="AB778" s="11" t="s">
        <v>16403</v>
      </c>
      <c r="AC778" s="11" t="s">
        <v>16403</v>
      </c>
      <c r="AD778" s="11" t="s">
        <v>16403</v>
      </c>
      <c r="AE778" s="11" t="s">
        <v>16403</v>
      </c>
      <c r="AF778" s="11" t="s">
        <v>16403</v>
      </c>
    </row>
    <row r="779" spans="1:32" s="11" customFormat="1" x14ac:dyDescent="0.2">
      <c r="A779" s="11">
        <v>907</v>
      </c>
      <c r="F779" s="11" t="s">
        <v>16414</v>
      </c>
      <c r="G779" s="11" t="s">
        <v>16415</v>
      </c>
      <c r="H779" s="12">
        <v>67.3</v>
      </c>
      <c r="I779" s="11" t="s">
        <v>16404</v>
      </c>
      <c r="L779" s="11" t="s">
        <v>16403</v>
      </c>
      <c r="M779" s="11" t="s">
        <v>16403</v>
      </c>
      <c r="N779" s="11" t="s">
        <v>16403</v>
      </c>
      <c r="O779" s="11" t="s">
        <v>16403</v>
      </c>
      <c r="P779" s="11" t="s">
        <v>16403</v>
      </c>
      <c r="Q779" s="11" t="s">
        <v>16403</v>
      </c>
      <c r="R779" s="11" t="s">
        <v>16403</v>
      </c>
      <c r="S779" s="11" t="s">
        <v>16403</v>
      </c>
      <c r="T779" s="11" t="s">
        <v>16403</v>
      </c>
      <c r="U779" s="11" t="s">
        <v>16403</v>
      </c>
      <c r="V779" s="11" t="s">
        <v>16403</v>
      </c>
      <c r="W779" s="11" t="s">
        <v>16403</v>
      </c>
      <c r="X779" s="11" t="s">
        <v>16403</v>
      </c>
      <c r="Y779" s="11" t="s">
        <v>16403</v>
      </c>
      <c r="Z779" s="11" t="s">
        <v>16403</v>
      </c>
      <c r="AA779" s="11" t="s">
        <v>16403</v>
      </c>
      <c r="AB779" s="11" t="s">
        <v>16403</v>
      </c>
      <c r="AC779" s="11" t="s">
        <v>16403</v>
      </c>
      <c r="AD779" s="11" t="s">
        <v>16403</v>
      </c>
      <c r="AE779" s="11" t="s">
        <v>16403</v>
      </c>
      <c r="AF779" s="11" t="s">
        <v>16403</v>
      </c>
    </row>
    <row r="780" spans="1:32" s="11" customFormat="1" x14ac:dyDescent="0.2">
      <c r="A780" s="11">
        <v>908</v>
      </c>
      <c r="F780" s="11" t="s">
        <v>16403</v>
      </c>
      <c r="G780" s="11" t="s">
        <v>16403</v>
      </c>
      <c r="H780" s="12">
        <v>999</v>
      </c>
      <c r="I780" s="11" t="s">
        <v>16403</v>
      </c>
      <c r="L780" s="11">
        <v>58.643999999999998</v>
      </c>
      <c r="M780" s="11">
        <v>60.555</v>
      </c>
      <c r="N780" s="11">
        <v>119.02500000000001</v>
      </c>
      <c r="O780" s="11">
        <v>118.827</v>
      </c>
      <c r="P780" s="11">
        <v>103.794</v>
      </c>
      <c r="Q780" s="11">
        <v>104.96599999999999</v>
      </c>
      <c r="R780" s="11">
        <v>104.70699999999999</v>
      </c>
      <c r="S780" s="11">
        <v>105.79900000000001</v>
      </c>
      <c r="T780" s="11">
        <v>61.256999999999998</v>
      </c>
      <c r="U780" s="11">
        <v>62.094999999999999</v>
      </c>
      <c r="V780" s="11">
        <v>38.743000000000002</v>
      </c>
      <c r="W780" s="11">
        <v>37.905000000000001</v>
      </c>
      <c r="X780" s="11">
        <v>12.045</v>
      </c>
      <c r="Y780" s="11">
        <v>11.949</v>
      </c>
      <c r="Z780" s="11">
        <v>37.905000000000001</v>
      </c>
      <c r="AA780" s="11">
        <v>38.743000000000002</v>
      </c>
      <c r="AB780" s="11">
        <v>10.02</v>
      </c>
      <c r="AC780" s="11">
        <v>12</v>
      </c>
      <c r="AD780" s="11">
        <v>10</v>
      </c>
      <c r="AE780" s="11">
        <v>10</v>
      </c>
      <c r="AF780" s="11">
        <v>10</v>
      </c>
    </row>
    <row r="781" spans="1:32" s="11" customFormat="1" x14ac:dyDescent="0.2">
      <c r="A781" s="11">
        <v>909</v>
      </c>
      <c r="F781" s="11" t="s">
        <v>16403</v>
      </c>
      <c r="G781" s="11" t="s">
        <v>16403</v>
      </c>
      <c r="H781" s="12">
        <v>999</v>
      </c>
      <c r="I781" s="11" t="s">
        <v>16403</v>
      </c>
      <c r="L781" s="11">
        <v>38.281999999999996</v>
      </c>
      <c r="M781" s="11">
        <v>45.652999999999999</v>
      </c>
      <c r="N781" s="11">
        <v>83.861000000000004</v>
      </c>
      <c r="O781" s="11">
        <v>83.933000000000007</v>
      </c>
      <c r="P781" s="11">
        <v>82.22</v>
      </c>
      <c r="Q781" s="11">
        <v>82.521000000000001</v>
      </c>
      <c r="R781" s="11">
        <v>117.339</v>
      </c>
      <c r="S781" s="11">
        <v>117.872</v>
      </c>
      <c r="T781" s="11">
        <v>64.757999999999996</v>
      </c>
      <c r="U781" s="11">
        <v>64.481999999999999</v>
      </c>
      <c r="V781" s="11">
        <v>35.241999999999997</v>
      </c>
      <c r="W781" s="11">
        <v>35.518000000000001</v>
      </c>
      <c r="X781" s="11">
        <v>16.079000000000001</v>
      </c>
      <c r="Y781" s="11">
        <v>13.054</v>
      </c>
      <c r="Z781" s="11">
        <v>35.518000000000001</v>
      </c>
      <c r="AA781" s="11">
        <v>35.241999999999997</v>
      </c>
      <c r="AB781" s="11">
        <v>8.6999999999999993</v>
      </c>
      <c r="AC781" s="11">
        <v>11</v>
      </c>
      <c r="AD781" s="11">
        <v>12</v>
      </c>
      <c r="AE781" s="11">
        <v>11</v>
      </c>
      <c r="AF781" s="11">
        <v>11</v>
      </c>
    </row>
    <row r="782" spans="1:32" s="11" customFormat="1" x14ac:dyDescent="0.2">
      <c r="A782" s="11">
        <v>910</v>
      </c>
      <c r="F782" s="11" t="s">
        <v>16403</v>
      </c>
      <c r="G782" s="11" t="s">
        <v>16403</v>
      </c>
      <c r="H782" s="12">
        <v>46.4</v>
      </c>
      <c r="I782" s="11" t="s">
        <v>16407</v>
      </c>
      <c r="L782" s="11">
        <v>56.7</v>
      </c>
      <c r="M782" s="11">
        <v>44.52</v>
      </c>
      <c r="N782" s="11">
        <v>101.34</v>
      </c>
      <c r="O782" s="11">
        <v>98.88</v>
      </c>
      <c r="P782" s="11">
        <v>73.92</v>
      </c>
      <c r="Q782" s="11">
        <v>72.53</v>
      </c>
      <c r="R782" s="11">
        <v>87.43</v>
      </c>
      <c r="S782" s="11">
        <v>88.08</v>
      </c>
      <c r="T782" s="11">
        <v>62.6</v>
      </c>
      <c r="U782" s="11">
        <v>71.260000000000005</v>
      </c>
      <c r="V782" s="11">
        <v>37.4</v>
      </c>
      <c r="W782" s="11">
        <v>28.74</v>
      </c>
      <c r="X782" s="11">
        <v>14.46</v>
      </c>
      <c r="Y782" s="11">
        <v>19.649999999999999</v>
      </c>
      <c r="Z782" s="11">
        <v>28.74</v>
      </c>
      <c r="AA782" s="11">
        <v>37.4</v>
      </c>
      <c r="AB782" s="11">
        <v>26.58</v>
      </c>
      <c r="AC782" s="11">
        <v>14</v>
      </c>
      <c r="AD782" s="11">
        <v>11</v>
      </c>
      <c r="AE782" s="11">
        <v>10</v>
      </c>
      <c r="AF782" s="11">
        <v>10</v>
      </c>
    </row>
    <row r="783" spans="1:32" s="11" customFormat="1" x14ac:dyDescent="0.2">
      <c r="A783" s="11">
        <v>911</v>
      </c>
      <c r="F783" s="11" t="s">
        <v>16403</v>
      </c>
      <c r="G783" s="11" t="s">
        <v>16403</v>
      </c>
      <c r="H783" s="12">
        <v>73.8</v>
      </c>
      <c r="I783" s="11" t="s">
        <v>16404</v>
      </c>
      <c r="L783" s="11" t="s">
        <v>16403</v>
      </c>
      <c r="M783" s="11" t="s">
        <v>16403</v>
      </c>
      <c r="N783" s="11" t="s">
        <v>16403</v>
      </c>
      <c r="O783" s="11" t="s">
        <v>16403</v>
      </c>
      <c r="P783" s="11" t="s">
        <v>16403</v>
      </c>
      <c r="Q783" s="11" t="s">
        <v>16403</v>
      </c>
      <c r="R783" s="11" t="s">
        <v>16403</v>
      </c>
      <c r="S783" s="11" t="s">
        <v>16403</v>
      </c>
      <c r="T783" s="11" t="s">
        <v>16403</v>
      </c>
      <c r="U783" s="11" t="s">
        <v>16403</v>
      </c>
      <c r="V783" s="11" t="s">
        <v>16403</v>
      </c>
      <c r="W783" s="11" t="s">
        <v>16403</v>
      </c>
      <c r="X783" s="11" t="s">
        <v>16403</v>
      </c>
      <c r="Y783" s="11" t="s">
        <v>16403</v>
      </c>
      <c r="Z783" s="11" t="s">
        <v>16403</v>
      </c>
      <c r="AA783" s="11" t="s">
        <v>16403</v>
      </c>
      <c r="AB783" s="11" t="s">
        <v>16403</v>
      </c>
      <c r="AC783" s="11" t="s">
        <v>16403</v>
      </c>
      <c r="AD783" s="11" t="s">
        <v>16403</v>
      </c>
      <c r="AE783" s="11" t="s">
        <v>16403</v>
      </c>
      <c r="AF783" s="11" t="s">
        <v>16403</v>
      </c>
    </row>
    <row r="784" spans="1:32" s="11" customFormat="1" x14ac:dyDescent="0.2">
      <c r="A784" s="11">
        <v>912</v>
      </c>
      <c r="F784" s="11" t="s">
        <v>16403</v>
      </c>
      <c r="G784" s="11" t="s">
        <v>16403</v>
      </c>
      <c r="H784" s="12">
        <v>65.8</v>
      </c>
      <c r="I784" s="11" t="s">
        <v>16404</v>
      </c>
      <c r="L784" s="11">
        <v>34.363</v>
      </c>
      <c r="M784" s="11">
        <v>34.683999999999997</v>
      </c>
      <c r="N784" s="11">
        <v>69.245000000000005</v>
      </c>
      <c r="O784" s="11">
        <v>68.36</v>
      </c>
      <c r="P784" s="11">
        <v>45.137</v>
      </c>
      <c r="Q784" s="11">
        <v>45.531999999999996</v>
      </c>
      <c r="R784" s="11">
        <v>78.816999999999993</v>
      </c>
      <c r="S784" s="11">
        <v>79.938999999999993</v>
      </c>
      <c r="T784" s="11">
        <v>69.141999999999996</v>
      </c>
      <c r="U784" s="11">
        <v>73.576999999999998</v>
      </c>
      <c r="V784" s="11">
        <v>30.858000000000001</v>
      </c>
      <c r="W784" s="11">
        <v>26.422999999999998</v>
      </c>
      <c r="X784" s="11">
        <v>21.373999999999999</v>
      </c>
      <c r="Y784" s="11">
        <v>21.934000000000001</v>
      </c>
      <c r="Z784" s="11">
        <v>26.422999999999998</v>
      </c>
      <c r="AA784" s="11">
        <v>30.858000000000001</v>
      </c>
      <c r="AB784" s="11">
        <v>13.82</v>
      </c>
      <c r="AC784" s="11">
        <v>13</v>
      </c>
      <c r="AD784" s="11">
        <v>12</v>
      </c>
      <c r="AE784" s="11">
        <v>12</v>
      </c>
      <c r="AF784" s="11">
        <v>12</v>
      </c>
    </row>
    <row r="785" spans="1:32" s="11" customFormat="1" x14ac:dyDescent="0.2">
      <c r="A785" s="11">
        <v>913</v>
      </c>
      <c r="F785" s="11" t="s">
        <v>16403</v>
      </c>
      <c r="G785" s="11" t="s">
        <v>16403</v>
      </c>
      <c r="H785" s="12">
        <v>66.400000000000006</v>
      </c>
      <c r="I785" s="11" t="s">
        <v>16404</v>
      </c>
      <c r="L785" s="11">
        <v>27.667000000000002</v>
      </c>
      <c r="M785" s="11">
        <v>25.367999999999999</v>
      </c>
      <c r="N785" s="11">
        <v>52.869</v>
      </c>
      <c r="O785" s="11">
        <v>53.040999999999997</v>
      </c>
      <c r="P785" s="11">
        <v>45.776000000000003</v>
      </c>
      <c r="Q785" s="11">
        <v>46.25</v>
      </c>
      <c r="R785" s="11">
        <v>104.815</v>
      </c>
      <c r="S785" s="11">
        <v>105.8</v>
      </c>
      <c r="T785" s="11">
        <v>66.730999999999995</v>
      </c>
      <c r="U785" s="11">
        <v>71.638999999999996</v>
      </c>
      <c r="V785" s="11">
        <v>33.268999999999998</v>
      </c>
      <c r="W785" s="11">
        <v>28.361000000000001</v>
      </c>
      <c r="X785" s="11">
        <v>19.210999999999999</v>
      </c>
      <c r="Y785" s="11">
        <v>19.184000000000001</v>
      </c>
      <c r="Z785" s="11">
        <v>28.361000000000001</v>
      </c>
      <c r="AA785" s="11">
        <v>33.268999999999998</v>
      </c>
      <c r="AB785" s="11">
        <v>11.602</v>
      </c>
      <c r="AC785" s="11">
        <v>19</v>
      </c>
      <c r="AD785" s="11">
        <v>16</v>
      </c>
      <c r="AE785" s="11">
        <v>16</v>
      </c>
      <c r="AF785" s="11">
        <v>16</v>
      </c>
    </row>
    <row r="786" spans="1:32" s="11" customFormat="1" x14ac:dyDescent="0.2">
      <c r="A786" s="11">
        <v>914</v>
      </c>
      <c r="F786" s="11" t="s">
        <v>16403</v>
      </c>
      <c r="G786" s="11" t="s">
        <v>16403</v>
      </c>
      <c r="H786" s="12">
        <v>57</v>
      </c>
      <c r="I786" s="11" t="s">
        <v>16404</v>
      </c>
      <c r="L786" s="11">
        <v>37.508000000000003</v>
      </c>
      <c r="M786" s="11">
        <v>36.04</v>
      </c>
      <c r="N786" s="11">
        <v>73.036000000000001</v>
      </c>
      <c r="O786" s="11">
        <v>73.546000000000006</v>
      </c>
      <c r="P786" s="11">
        <v>79.494</v>
      </c>
      <c r="Q786" s="11">
        <v>79.790000000000006</v>
      </c>
      <c r="R786" s="11">
        <v>129.73500000000001</v>
      </c>
      <c r="S786" s="11">
        <v>130.56899999999999</v>
      </c>
      <c r="T786" s="11">
        <v>63.991</v>
      </c>
      <c r="U786" s="11">
        <v>64.849000000000004</v>
      </c>
      <c r="V786" s="11">
        <v>36.009</v>
      </c>
      <c r="W786" s="11">
        <v>35.151000000000003</v>
      </c>
      <c r="X786" s="11">
        <v>15.003</v>
      </c>
      <c r="Y786" s="11">
        <v>13.244</v>
      </c>
      <c r="Z786" s="11">
        <v>35.151000000000003</v>
      </c>
      <c r="AA786" s="11">
        <v>36.009</v>
      </c>
      <c r="AB786" s="11">
        <v>16.187999999999999</v>
      </c>
      <c r="AC786" s="11">
        <v>11</v>
      </c>
      <c r="AD786" s="11">
        <v>14</v>
      </c>
      <c r="AE786" s="11">
        <v>11</v>
      </c>
      <c r="AF786" s="11">
        <v>11</v>
      </c>
    </row>
    <row r="787" spans="1:32" s="11" customFormat="1" x14ac:dyDescent="0.2">
      <c r="A787" s="11">
        <v>915</v>
      </c>
      <c r="F787" s="11" t="s">
        <v>16403</v>
      </c>
      <c r="G787" s="11" t="s">
        <v>16403</v>
      </c>
      <c r="H787" s="12">
        <v>63.7</v>
      </c>
      <c r="I787" s="11" t="s">
        <v>16407</v>
      </c>
      <c r="L787" s="11">
        <v>53.935000000000002</v>
      </c>
      <c r="M787" s="11">
        <v>51.606000000000002</v>
      </c>
      <c r="N787" s="11">
        <v>105.223</v>
      </c>
      <c r="O787" s="11">
        <v>105.831</v>
      </c>
      <c r="P787" s="11">
        <v>89.144999999999996</v>
      </c>
      <c r="Q787" s="11">
        <v>89.533000000000001</v>
      </c>
      <c r="R787" s="11">
        <v>100.819</v>
      </c>
      <c r="S787" s="11">
        <v>101.274</v>
      </c>
      <c r="T787" s="11">
        <v>64.998000000000005</v>
      </c>
      <c r="U787" s="11">
        <v>63.357999999999997</v>
      </c>
      <c r="V787" s="11">
        <v>35.002000000000002</v>
      </c>
      <c r="W787" s="11">
        <v>36.642000000000003</v>
      </c>
      <c r="X787" s="11">
        <v>14.202</v>
      </c>
      <c r="Y787" s="11">
        <v>14.215</v>
      </c>
      <c r="Z787" s="11">
        <v>36.642000000000003</v>
      </c>
      <c r="AA787" s="11">
        <v>35.002000000000002</v>
      </c>
      <c r="AB787" s="11">
        <v>10.486000000000001</v>
      </c>
      <c r="AC787" s="11">
        <v>7</v>
      </c>
      <c r="AD787" s="11">
        <v>9</v>
      </c>
      <c r="AE787" s="11">
        <v>7</v>
      </c>
      <c r="AF787" s="11">
        <v>7</v>
      </c>
    </row>
    <row r="788" spans="1:32" s="11" customFormat="1" x14ac:dyDescent="0.2">
      <c r="A788" s="11">
        <v>916</v>
      </c>
      <c r="F788" s="11" t="s">
        <v>16403</v>
      </c>
      <c r="G788" s="11" t="s">
        <v>16403</v>
      </c>
      <c r="H788" s="12">
        <v>72.400000000000006</v>
      </c>
      <c r="I788" s="11" t="s">
        <v>16404</v>
      </c>
      <c r="L788" s="11">
        <v>42.414999999999999</v>
      </c>
      <c r="M788" s="11">
        <v>36.703000000000003</v>
      </c>
      <c r="N788" s="11">
        <v>79.049000000000007</v>
      </c>
      <c r="O788" s="11">
        <v>79.138999999999996</v>
      </c>
      <c r="P788" s="11">
        <v>79.087000000000003</v>
      </c>
      <c r="Q788" s="11">
        <v>79.114000000000004</v>
      </c>
      <c r="R788" s="11">
        <v>120.197</v>
      </c>
      <c r="S788" s="11">
        <v>119.773</v>
      </c>
      <c r="T788" s="11">
        <v>65.798000000000002</v>
      </c>
      <c r="U788" s="11">
        <v>65.39</v>
      </c>
      <c r="V788" s="11">
        <v>34.201999999999998</v>
      </c>
      <c r="W788" s="11">
        <v>34.61</v>
      </c>
      <c r="X788" s="11">
        <v>16.736999999999998</v>
      </c>
      <c r="Y788" s="11">
        <v>14.340999999999999</v>
      </c>
      <c r="Z788" s="11">
        <v>34.61</v>
      </c>
      <c r="AA788" s="11">
        <v>34.201999999999998</v>
      </c>
      <c r="AB788" s="11">
        <v>10.308</v>
      </c>
      <c r="AC788" s="11">
        <v>12</v>
      </c>
      <c r="AD788" s="11">
        <v>15</v>
      </c>
      <c r="AE788" s="11">
        <v>12</v>
      </c>
      <c r="AF788" s="11">
        <v>12</v>
      </c>
    </row>
    <row r="789" spans="1:32" s="11" customFormat="1" x14ac:dyDescent="0.2">
      <c r="A789" s="11">
        <v>917</v>
      </c>
      <c r="F789" s="11" t="s">
        <v>16403</v>
      </c>
      <c r="G789" s="11" t="s">
        <v>16403</v>
      </c>
      <c r="H789" s="12">
        <v>70.8</v>
      </c>
      <c r="I789" s="11" t="s">
        <v>16404</v>
      </c>
      <c r="L789" s="11">
        <v>66.116</v>
      </c>
      <c r="M789" s="11">
        <v>67.465000000000003</v>
      </c>
      <c r="N789" s="11">
        <v>132.56899999999999</v>
      </c>
      <c r="O789" s="11">
        <v>135.62299999999999</v>
      </c>
      <c r="P789" s="11">
        <v>101.592</v>
      </c>
      <c r="Q789" s="11">
        <v>103.724</v>
      </c>
      <c r="R789" s="11">
        <v>91.802000000000007</v>
      </c>
      <c r="S789" s="11">
        <v>91.587999999999994</v>
      </c>
      <c r="T789" s="11">
        <v>63.65</v>
      </c>
      <c r="U789" s="11">
        <v>63.341999999999999</v>
      </c>
      <c r="V789" s="11">
        <v>36.35</v>
      </c>
      <c r="W789" s="11">
        <v>36.658000000000001</v>
      </c>
      <c r="X789" s="11">
        <v>14.301</v>
      </c>
      <c r="Y789" s="11">
        <v>14.516999999999999</v>
      </c>
      <c r="Z789" s="11">
        <v>36.658000000000001</v>
      </c>
      <c r="AA789" s="11">
        <v>36.35</v>
      </c>
      <c r="AB789" s="11">
        <v>9.7520000000000007</v>
      </c>
      <c r="AC789" s="11">
        <v>8</v>
      </c>
      <c r="AD789" s="11">
        <v>6</v>
      </c>
      <c r="AE789" s="11">
        <v>6</v>
      </c>
      <c r="AF789" s="11">
        <v>6</v>
      </c>
    </row>
    <row r="790" spans="1:32" s="11" customFormat="1" x14ac:dyDescent="0.2">
      <c r="A790" s="11">
        <v>918</v>
      </c>
      <c r="F790" s="11" t="s">
        <v>16403</v>
      </c>
      <c r="G790" s="11" t="s">
        <v>16403</v>
      </c>
      <c r="H790" s="12">
        <v>0</v>
      </c>
      <c r="I790" s="11" t="s">
        <v>16404</v>
      </c>
      <c r="L790" s="11" t="s">
        <v>16403</v>
      </c>
      <c r="M790" s="11" t="s">
        <v>16403</v>
      </c>
      <c r="N790" s="11" t="s">
        <v>16403</v>
      </c>
      <c r="O790" s="11" t="s">
        <v>16403</v>
      </c>
      <c r="P790" s="11" t="s">
        <v>16403</v>
      </c>
      <c r="Q790" s="11" t="s">
        <v>16403</v>
      </c>
      <c r="R790" s="11" t="s">
        <v>16403</v>
      </c>
      <c r="S790" s="11" t="s">
        <v>16403</v>
      </c>
      <c r="T790" s="11" t="s">
        <v>16403</v>
      </c>
      <c r="U790" s="11" t="s">
        <v>16403</v>
      </c>
      <c r="V790" s="11" t="s">
        <v>16403</v>
      </c>
      <c r="W790" s="11" t="s">
        <v>16403</v>
      </c>
      <c r="X790" s="11" t="s">
        <v>16403</v>
      </c>
      <c r="Y790" s="11" t="s">
        <v>16403</v>
      </c>
      <c r="Z790" s="11" t="s">
        <v>16403</v>
      </c>
      <c r="AA790" s="11" t="s">
        <v>16403</v>
      </c>
      <c r="AB790" s="11" t="s">
        <v>16403</v>
      </c>
      <c r="AC790" s="11" t="s">
        <v>16403</v>
      </c>
      <c r="AD790" s="11" t="s">
        <v>16403</v>
      </c>
      <c r="AE790" s="11" t="s">
        <v>16403</v>
      </c>
      <c r="AF790" s="11" t="s">
        <v>16403</v>
      </c>
    </row>
    <row r="791" spans="1:32" s="11" customFormat="1" x14ac:dyDescent="0.2">
      <c r="A791" s="11">
        <v>919</v>
      </c>
      <c r="F791" s="11" t="s">
        <v>16403</v>
      </c>
      <c r="G791" s="11" t="s">
        <v>16403</v>
      </c>
      <c r="H791" s="12">
        <v>0</v>
      </c>
      <c r="I791" s="11" t="s">
        <v>16404</v>
      </c>
      <c r="L791" s="11" t="s">
        <v>16403</v>
      </c>
      <c r="M791" s="11" t="s">
        <v>16403</v>
      </c>
      <c r="N791" s="11" t="s">
        <v>16403</v>
      </c>
      <c r="O791" s="11" t="s">
        <v>16403</v>
      </c>
      <c r="P791" s="11" t="s">
        <v>16403</v>
      </c>
      <c r="Q791" s="11" t="s">
        <v>16403</v>
      </c>
      <c r="R791" s="11" t="s">
        <v>16403</v>
      </c>
      <c r="S791" s="11" t="s">
        <v>16403</v>
      </c>
      <c r="T791" s="11" t="s">
        <v>16403</v>
      </c>
      <c r="U791" s="11" t="s">
        <v>16403</v>
      </c>
      <c r="V791" s="11" t="s">
        <v>16403</v>
      </c>
      <c r="W791" s="11" t="s">
        <v>16403</v>
      </c>
      <c r="X791" s="11" t="s">
        <v>16403</v>
      </c>
      <c r="Y791" s="11" t="s">
        <v>16403</v>
      </c>
      <c r="Z791" s="11" t="s">
        <v>16403</v>
      </c>
      <c r="AA791" s="11" t="s">
        <v>16403</v>
      </c>
      <c r="AB791" s="11" t="s">
        <v>16403</v>
      </c>
      <c r="AC791" s="11" t="s">
        <v>16403</v>
      </c>
      <c r="AD791" s="11" t="s">
        <v>16403</v>
      </c>
      <c r="AE791" s="11" t="s">
        <v>16403</v>
      </c>
      <c r="AF791" s="11" t="s">
        <v>16403</v>
      </c>
    </row>
    <row r="792" spans="1:32" s="11" customFormat="1" x14ac:dyDescent="0.2">
      <c r="A792" s="11">
        <v>920</v>
      </c>
      <c r="F792" s="11" t="s">
        <v>16403</v>
      </c>
      <c r="G792" s="11" t="s">
        <v>16403</v>
      </c>
      <c r="H792" s="12">
        <v>56.4</v>
      </c>
      <c r="I792" s="11" t="s">
        <v>16404</v>
      </c>
      <c r="L792" s="11">
        <v>53.055</v>
      </c>
      <c r="M792" s="11">
        <v>53.427999999999997</v>
      </c>
      <c r="N792" s="11">
        <v>106.92400000000001</v>
      </c>
      <c r="O792" s="11">
        <v>106.634</v>
      </c>
      <c r="P792" s="11">
        <v>76.317999999999998</v>
      </c>
      <c r="Q792" s="11">
        <v>75.981999999999999</v>
      </c>
      <c r="R792" s="11">
        <v>84.98</v>
      </c>
      <c r="S792" s="11">
        <v>84.991</v>
      </c>
      <c r="T792" s="11">
        <v>64.352000000000004</v>
      </c>
      <c r="U792" s="11">
        <v>64.576999999999998</v>
      </c>
      <c r="V792" s="11">
        <v>35.648000000000003</v>
      </c>
      <c r="W792" s="11">
        <v>35.423000000000002</v>
      </c>
      <c r="X792" s="11">
        <v>16.565999999999999</v>
      </c>
      <c r="Y792" s="11">
        <v>13.343999999999999</v>
      </c>
      <c r="Z792" s="11">
        <v>35.423000000000002</v>
      </c>
      <c r="AA792" s="11">
        <v>35.648000000000003</v>
      </c>
      <c r="AB792" s="11">
        <v>11.032</v>
      </c>
      <c r="AC792" s="11">
        <v>10</v>
      </c>
      <c r="AD792" s="11">
        <v>10</v>
      </c>
      <c r="AE792" s="11">
        <v>10</v>
      </c>
      <c r="AF792" s="11">
        <v>10</v>
      </c>
    </row>
    <row r="793" spans="1:32" s="11" customFormat="1" x14ac:dyDescent="0.2">
      <c r="A793" s="11">
        <v>921</v>
      </c>
      <c r="F793" s="11" t="s">
        <v>16403</v>
      </c>
      <c r="G793" s="11" t="s">
        <v>16403</v>
      </c>
      <c r="H793" s="12">
        <v>42.5</v>
      </c>
      <c r="I793" s="11" t="s">
        <v>16404</v>
      </c>
      <c r="L793" s="11" t="s">
        <v>16403</v>
      </c>
      <c r="M793" s="11" t="s">
        <v>16403</v>
      </c>
      <c r="N793" s="11" t="s">
        <v>16403</v>
      </c>
      <c r="O793" s="11" t="s">
        <v>16403</v>
      </c>
      <c r="P793" s="11" t="s">
        <v>16403</v>
      </c>
      <c r="Q793" s="11" t="s">
        <v>16403</v>
      </c>
      <c r="R793" s="11" t="s">
        <v>16403</v>
      </c>
      <c r="S793" s="11" t="s">
        <v>16403</v>
      </c>
      <c r="T793" s="11" t="s">
        <v>16403</v>
      </c>
      <c r="U793" s="11" t="s">
        <v>16403</v>
      </c>
      <c r="V793" s="11" t="s">
        <v>16403</v>
      </c>
      <c r="W793" s="11" t="s">
        <v>16403</v>
      </c>
      <c r="X793" s="11" t="s">
        <v>16403</v>
      </c>
      <c r="Y793" s="11" t="s">
        <v>16403</v>
      </c>
      <c r="Z793" s="11" t="s">
        <v>16403</v>
      </c>
      <c r="AA793" s="11" t="s">
        <v>16403</v>
      </c>
      <c r="AB793" s="11" t="s">
        <v>16403</v>
      </c>
      <c r="AC793" s="11" t="s">
        <v>16403</v>
      </c>
      <c r="AD793" s="11" t="s">
        <v>16403</v>
      </c>
      <c r="AE793" s="11" t="s">
        <v>16403</v>
      </c>
      <c r="AF793" s="11" t="s">
        <v>16403</v>
      </c>
    </row>
    <row r="794" spans="1:32" s="11" customFormat="1" x14ac:dyDescent="0.2">
      <c r="A794" s="11">
        <v>922</v>
      </c>
      <c r="F794" s="11" t="s">
        <v>16403</v>
      </c>
      <c r="G794" s="11" t="s">
        <v>16403</v>
      </c>
      <c r="H794" s="12">
        <v>999</v>
      </c>
      <c r="I794" s="11" t="s">
        <v>16404</v>
      </c>
      <c r="L794" s="11">
        <v>30.427</v>
      </c>
      <c r="M794" s="11">
        <v>29.791</v>
      </c>
      <c r="N794" s="11">
        <v>60.460999999999999</v>
      </c>
      <c r="O794" s="11">
        <v>60.015000000000001</v>
      </c>
      <c r="P794" s="11">
        <v>36.340000000000003</v>
      </c>
      <c r="Q794" s="11">
        <v>36.792999999999999</v>
      </c>
      <c r="R794" s="11">
        <v>72.677999999999997</v>
      </c>
      <c r="S794" s="11">
        <v>73.39</v>
      </c>
      <c r="T794" s="11">
        <v>72.853999999999999</v>
      </c>
      <c r="U794" s="11">
        <v>72.853999999999999</v>
      </c>
      <c r="V794" s="11">
        <v>27.146000000000001</v>
      </c>
      <c r="W794" s="11">
        <v>27.146000000000001</v>
      </c>
      <c r="X794" s="11">
        <v>24.640999999999998</v>
      </c>
      <c r="Y794" s="11">
        <v>21.245000000000001</v>
      </c>
      <c r="Z794" s="11">
        <v>27.146000000000001</v>
      </c>
      <c r="AA794" s="11">
        <v>27.146000000000001</v>
      </c>
      <c r="AB794" s="11">
        <v>31.262</v>
      </c>
      <c r="AC794" s="11">
        <v>16</v>
      </c>
      <c r="AD794" s="11">
        <v>18</v>
      </c>
      <c r="AE794" s="11">
        <v>16</v>
      </c>
      <c r="AF794" s="11">
        <v>16</v>
      </c>
    </row>
    <row r="795" spans="1:32" s="11" customFormat="1" x14ac:dyDescent="0.2">
      <c r="A795" s="11">
        <v>923</v>
      </c>
      <c r="F795" s="11" t="s">
        <v>16403</v>
      </c>
      <c r="G795" s="11" t="s">
        <v>16403</v>
      </c>
      <c r="H795" s="12">
        <v>73.7</v>
      </c>
      <c r="I795" s="11" t="s">
        <v>16407</v>
      </c>
      <c r="L795" s="11">
        <v>38.735999999999997</v>
      </c>
      <c r="M795" s="11">
        <v>38.351999999999997</v>
      </c>
      <c r="N795" s="11">
        <v>76.540000000000006</v>
      </c>
      <c r="O795" s="11">
        <v>77.397999999999996</v>
      </c>
      <c r="P795" s="11">
        <v>75.838999999999999</v>
      </c>
      <c r="Q795" s="11">
        <v>75.611000000000004</v>
      </c>
      <c r="R795" s="11">
        <v>118.98099999999999</v>
      </c>
      <c r="S795" s="11">
        <v>118.124</v>
      </c>
      <c r="T795" s="11">
        <v>63.070999999999998</v>
      </c>
      <c r="U795" s="11">
        <v>62.597000000000001</v>
      </c>
      <c r="V795" s="11">
        <v>36.929000000000002</v>
      </c>
      <c r="W795" s="11">
        <v>37.402999999999999</v>
      </c>
      <c r="X795" s="11">
        <v>12.369</v>
      </c>
      <c r="Y795" s="11">
        <v>13.063000000000001</v>
      </c>
      <c r="Z795" s="11">
        <v>37.402999999999999</v>
      </c>
      <c r="AA795" s="11">
        <v>36.929000000000002</v>
      </c>
      <c r="AB795" s="11">
        <v>5.9420000000000002</v>
      </c>
      <c r="AC795" s="11">
        <v>13</v>
      </c>
      <c r="AD795" s="11">
        <v>13</v>
      </c>
      <c r="AE795" s="11">
        <v>13</v>
      </c>
      <c r="AF795" s="11">
        <v>13</v>
      </c>
    </row>
    <row r="796" spans="1:32" s="11" customFormat="1" x14ac:dyDescent="0.2">
      <c r="A796" s="11">
        <v>924</v>
      </c>
      <c r="F796" s="11" t="s">
        <v>16403</v>
      </c>
      <c r="G796" s="11" t="s">
        <v>16403</v>
      </c>
      <c r="H796" s="12">
        <v>34.1</v>
      </c>
      <c r="I796" s="11" t="s">
        <v>16403</v>
      </c>
      <c r="L796" s="11">
        <v>57.128</v>
      </c>
      <c r="M796" s="11">
        <v>53.988</v>
      </c>
      <c r="N796" s="11">
        <v>111.815</v>
      </c>
      <c r="O796" s="11">
        <v>110.861</v>
      </c>
      <c r="P796" s="11">
        <v>93.611999999999995</v>
      </c>
      <c r="Q796" s="11">
        <v>93.846000000000004</v>
      </c>
      <c r="R796" s="11">
        <v>100.245</v>
      </c>
      <c r="S796" s="11">
        <v>100.291</v>
      </c>
      <c r="T796" s="11">
        <v>63.03</v>
      </c>
      <c r="U796" s="11">
        <v>62.470999999999997</v>
      </c>
      <c r="V796" s="11">
        <v>36.97</v>
      </c>
      <c r="W796" s="11">
        <v>37.529000000000003</v>
      </c>
      <c r="X796" s="11">
        <v>13.231999999999999</v>
      </c>
      <c r="Y796" s="11">
        <v>13.037000000000001</v>
      </c>
      <c r="Z796" s="11">
        <v>37.529000000000003</v>
      </c>
      <c r="AA796" s="11">
        <v>36.97</v>
      </c>
      <c r="AB796" s="11">
        <v>9.1620000000000008</v>
      </c>
      <c r="AC796" s="11">
        <v>10</v>
      </c>
      <c r="AD796" s="11">
        <v>8</v>
      </c>
      <c r="AE796" s="11">
        <v>8</v>
      </c>
      <c r="AF796" s="11">
        <v>8</v>
      </c>
    </row>
    <row r="797" spans="1:32" s="11" customFormat="1" x14ac:dyDescent="0.2">
      <c r="A797" s="11">
        <v>925</v>
      </c>
      <c r="F797" s="11" t="s">
        <v>16403</v>
      </c>
      <c r="G797" s="11" t="s">
        <v>16403</v>
      </c>
      <c r="H797" s="12">
        <v>65</v>
      </c>
      <c r="I797" s="11" t="s">
        <v>16404</v>
      </c>
      <c r="L797" s="11">
        <v>41.152000000000001</v>
      </c>
      <c r="M797" s="11">
        <v>45.125</v>
      </c>
      <c r="N797" s="11">
        <v>85.134</v>
      </c>
      <c r="O797" s="11">
        <v>85.706999999999994</v>
      </c>
      <c r="P797" s="11">
        <v>71.903999999999996</v>
      </c>
      <c r="Q797" s="11">
        <v>73.403999999999996</v>
      </c>
      <c r="R797" s="11">
        <v>100.986</v>
      </c>
      <c r="S797" s="11">
        <v>101.557</v>
      </c>
      <c r="T797" s="11">
        <v>68.206999999999994</v>
      </c>
      <c r="U797" s="11">
        <v>64.183000000000007</v>
      </c>
      <c r="V797" s="11">
        <v>31.792999999999999</v>
      </c>
      <c r="W797" s="11">
        <v>35.817</v>
      </c>
      <c r="X797" s="11">
        <v>17.702999999999999</v>
      </c>
      <c r="Y797" s="11">
        <v>15.458</v>
      </c>
      <c r="Z797" s="11">
        <v>35.817</v>
      </c>
      <c r="AA797" s="11">
        <v>31.792999999999999</v>
      </c>
      <c r="AB797" s="11">
        <v>10.65</v>
      </c>
      <c r="AC797" s="11">
        <v>12</v>
      </c>
      <c r="AD797" s="11">
        <v>11</v>
      </c>
      <c r="AE797" s="11">
        <v>11</v>
      </c>
      <c r="AF797" s="11">
        <v>11</v>
      </c>
    </row>
    <row r="798" spans="1:32" s="11" customFormat="1" x14ac:dyDescent="0.2">
      <c r="A798" s="11">
        <v>926</v>
      </c>
      <c r="F798" s="11" t="s">
        <v>16403</v>
      </c>
      <c r="G798" s="11" t="s">
        <v>16403</v>
      </c>
      <c r="H798" s="12">
        <v>73.2</v>
      </c>
      <c r="I798" s="11" t="s">
        <v>16407</v>
      </c>
      <c r="L798" s="11">
        <v>32.604999999999997</v>
      </c>
      <c r="M798" s="11">
        <v>25.486000000000001</v>
      </c>
      <c r="N798" s="11">
        <v>58.137999999999998</v>
      </c>
      <c r="O798" s="11">
        <v>57.524999999999999</v>
      </c>
      <c r="P798" s="11">
        <v>51.64</v>
      </c>
      <c r="Q798" s="11">
        <v>51.015999999999998</v>
      </c>
      <c r="R798" s="11">
        <v>105.2</v>
      </c>
      <c r="S798" s="11">
        <v>105.029</v>
      </c>
      <c r="T798" s="11">
        <v>65.897000000000006</v>
      </c>
      <c r="U798" s="11">
        <v>67.102000000000004</v>
      </c>
      <c r="V798" s="11">
        <v>34.103000000000002</v>
      </c>
      <c r="W798" s="11">
        <v>32.898000000000003</v>
      </c>
      <c r="X798" s="11">
        <v>17.611999999999998</v>
      </c>
      <c r="Y798" s="11">
        <v>15.582000000000001</v>
      </c>
      <c r="Z798" s="11">
        <v>32.898000000000003</v>
      </c>
      <c r="AA798" s="11">
        <v>34.103000000000002</v>
      </c>
      <c r="AB798" s="11">
        <v>12.576000000000001</v>
      </c>
      <c r="AC798" s="11">
        <v>15</v>
      </c>
      <c r="AD798" s="11">
        <v>13</v>
      </c>
      <c r="AE798" s="11">
        <v>13</v>
      </c>
      <c r="AF798" s="11">
        <v>13</v>
      </c>
    </row>
    <row r="799" spans="1:32" s="11" customFormat="1" x14ac:dyDescent="0.2">
      <c r="A799" s="11">
        <v>927</v>
      </c>
      <c r="F799" s="11" t="s">
        <v>16403</v>
      </c>
      <c r="G799" s="11" t="s">
        <v>16403</v>
      </c>
      <c r="H799" s="12">
        <v>999</v>
      </c>
      <c r="I799" s="11" t="s">
        <v>16407</v>
      </c>
      <c r="L799" s="11" t="s">
        <v>16403</v>
      </c>
      <c r="M799" s="11" t="s">
        <v>16403</v>
      </c>
      <c r="N799" s="11" t="s">
        <v>16403</v>
      </c>
      <c r="O799" s="11" t="s">
        <v>16403</v>
      </c>
      <c r="P799" s="11" t="s">
        <v>16403</v>
      </c>
      <c r="Q799" s="11" t="s">
        <v>16403</v>
      </c>
      <c r="R799" s="11" t="s">
        <v>16403</v>
      </c>
      <c r="S799" s="11" t="s">
        <v>16403</v>
      </c>
      <c r="T799" s="11" t="s">
        <v>16403</v>
      </c>
      <c r="U799" s="11" t="s">
        <v>16403</v>
      </c>
      <c r="V799" s="11" t="s">
        <v>16403</v>
      </c>
      <c r="W799" s="11" t="s">
        <v>16403</v>
      </c>
      <c r="X799" s="11" t="s">
        <v>16403</v>
      </c>
      <c r="Y799" s="11" t="s">
        <v>16403</v>
      </c>
      <c r="Z799" s="11" t="s">
        <v>16403</v>
      </c>
      <c r="AA799" s="11" t="s">
        <v>16403</v>
      </c>
      <c r="AB799" s="11" t="s">
        <v>16403</v>
      </c>
      <c r="AC799" s="11" t="s">
        <v>16403</v>
      </c>
      <c r="AD799" s="11" t="s">
        <v>16403</v>
      </c>
      <c r="AE799" s="11" t="s">
        <v>16403</v>
      </c>
      <c r="AF799" s="11" t="s">
        <v>16403</v>
      </c>
    </row>
    <row r="800" spans="1:32" s="11" customFormat="1" x14ac:dyDescent="0.2">
      <c r="A800" s="11">
        <v>928</v>
      </c>
      <c r="F800" s="11" t="s">
        <v>16403</v>
      </c>
      <c r="G800" s="11" t="s">
        <v>16403</v>
      </c>
      <c r="H800" s="12">
        <v>72.400000000000006</v>
      </c>
      <c r="I800" s="11" t="s">
        <v>16404</v>
      </c>
      <c r="L800" s="11" t="s">
        <v>16403</v>
      </c>
      <c r="M800" s="11" t="s">
        <v>16403</v>
      </c>
      <c r="N800" s="11" t="s">
        <v>16403</v>
      </c>
      <c r="O800" s="11" t="s">
        <v>16403</v>
      </c>
      <c r="P800" s="11" t="s">
        <v>16403</v>
      </c>
      <c r="Q800" s="11" t="s">
        <v>16403</v>
      </c>
      <c r="R800" s="11" t="s">
        <v>16403</v>
      </c>
      <c r="S800" s="11" t="s">
        <v>16403</v>
      </c>
      <c r="T800" s="11" t="s">
        <v>16403</v>
      </c>
      <c r="U800" s="11" t="s">
        <v>16403</v>
      </c>
      <c r="V800" s="11" t="s">
        <v>16403</v>
      </c>
      <c r="W800" s="11" t="s">
        <v>16403</v>
      </c>
      <c r="X800" s="11" t="s">
        <v>16403</v>
      </c>
      <c r="Y800" s="11" t="s">
        <v>16403</v>
      </c>
      <c r="Z800" s="11" t="s">
        <v>16403</v>
      </c>
      <c r="AA800" s="11" t="s">
        <v>16403</v>
      </c>
      <c r="AB800" s="11" t="s">
        <v>16403</v>
      </c>
      <c r="AC800" s="11" t="s">
        <v>16403</v>
      </c>
      <c r="AD800" s="11" t="s">
        <v>16403</v>
      </c>
      <c r="AE800" s="11" t="s">
        <v>16403</v>
      </c>
      <c r="AF800" s="11" t="s">
        <v>16403</v>
      </c>
    </row>
    <row r="801" spans="1:32" s="11" customFormat="1" x14ac:dyDescent="0.2">
      <c r="A801" s="11">
        <v>929</v>
      </c>
      <c r="F801" s="11" t="s">
        <v>16403</v>
      </c>
      <c r="G801" s="11" t="s">
        <v>16403</v>
      </c>
      <c r="H801" s="12">
        <v>50.2</v>
      </c>
      <c r="I801" s="11" t="s">
        <v>16404</v>
      </c>
      <c r="L801" s="11">
        <v>50.695</v>
      </c>
      <c r="M801" s="11">
        <v>56.253999999999998</v>
      </c>
      <c r="N801" s="11">
        <v>106.825</v>
      </c>
      <c r="O801" s="11">
        <v>107.52200000000001</v>
      </c>
      <c r="P801" s="11">
        <v>70.709999999999994</v>
      </c>
      <c r="Q801" s="11">
        <v>71.025999999999996</v>
      </c>
      <c r="R801" s="11">
        <v>78.805999999999997</v>
      </c>
      <c r="S801" s="11">
        <v>79.158000000000001</v>
      </c>
      <c r="T801" s="11">
        <v>68.222999999999999</v>
      </c>
      <c r="U801" s="11">
        <v>64.185000000000002</v>
      </c>
      <c r="V801" s="11">
        <v>31.777000000000001</v>
      </c>
      <c r="W801" s="11">
        <v>35.814999999999998</v>
      </c>
      <c r="X801" s="11">
        <v>16.829999999999998</v>
      </c>
      <c r="Y801" s="11">
        <v>15.284000000000001</v>
      </c>
      <c r="Z801" s="11">
        <v>35.814999999999998</v>
      </c>
      <c r="AA801" s="11">
        <v>31.777000000000001</v>
      </c>
      <c r="AB801" s="11">
        <v>11.114000000000001</v>
      </c>
      <c r="AC801" s="11">
        <v>9</v>
      </c>
      <c r="AD801" s="11">
        <v>10</v>
      </c>
      <c r="AE801" s="11">
        <v>9</v>
      </c>
      <c r="AF801" s="11">
        <v>9</v>
      </c>
    </row>
    <row r="802" spans="1:32" s="11" customFormat="1" x14ac:dyDescent="0.2">
      <c r="A802" s="11">
        <v>930</v>
      </c>
      <c r="F802" s="11" t="s">
        <v>16403</v>
      </c>
      <c r="G802" s="11" t="s">
        <v>16403</v>
      </c>
      <c r="H802" s="12">
        <v>54.2</v>
      </c>
      <c r="I802" s="11" t="s">
        <v>16404</v>
      </c>
      <c r="L802" s="11" t="s">
        <v>16403</v>
      </c>
      <c r="M802" s="11" t="s">
        <v>16403</v>
      </c>
      <c r="N802" s="11" t="s">
        <v>16403</v>
      </c>
      <c r="O802" s="11" t="s">
        <v>16403</v>
      </c>
      <c r="P802" s="11" t="s">
        <v>16403</v>
      </c>
      <c r="Q802" s="11" t="s">
        <v>16403</v>
      </c>
      <c r="R802" s="11" t="s">
        <v>16403</v>
      </c>
      <c r="S802" s="11" t="s">
        <v>16403</v>
      </c>
      <c r="T802" s="11" t="s">
        <v>16403</v>
      </c>
      <c r="U802" s="11" t="s">
        <v>16403</v>
      </c>
      <c r="V802" s="11" t="s">
        <v>16403</v>
      </c>
      <c r="W802" s="11" t="s">
        <v>16403</v>
      </c>
      <c r="X802" s="11" t="s">
        <v>16403</v>
      </c>
      <c r="Y802" s="11" t="s">
        <v>16403</v>
      </c>
      <c r="Z802" s="11" t="s">
        <v>16403</v>
      </c>
      <c r="AA802" s="11" t="s">
        <v>16403</v>
      </c>
      <c r="AB802" s="11" t="s">
        <v>16403</v>
      </c>
      <c r="AC802" s="11" t="s">
        <v>16403</v>
      </c>
      <c r="AD802" s="11" t="s">
        <v>16403</v>
      </c>
      <c r="AE802" s="11" t="s">
        <v>16403</v>
      </c>
      <c r="AF802" s="11" t="s">
        <v>16403</v>
      </c>
    </row>
    <row r="803" spans="1:32" s="11" customFormat="1" x14ac:dyDescent="0.2">
      <c r="A803" s="11">
        <v>931</v>
      </c>
      <c r="F803" s="11" t="s">
        <v>16403</v>
      </c>
      <c r="G803" s="11" t="s">
        <v>16403</v>
      </c>
      <c r="H803" s="12">
        <v>68.8</v>
      </c>
      <c r="I803" s="11" t="s">
        <v>16404</v>
      </c>
      <c r="L803" s="11">
        <v>40.704000000000001</v>
      </c>
      <c r="M803" s="11">
        <v>37.127000000000002</v>
      </c>
      <c r="N803" s="11">
        <v>78.674999999999997</v>
      </c>
      <c r="O803" s="11">
        <v>76.239999999999995</v>
      </c>
      <c r="P803" s="11">
        <v>50.661999999999999</v>
      </c>
      <c r="Q803" s="11">
        <v>49.545000000000002</v>
      </c>
      <c r="R803" s="11">
        <v>76.771000000000001</v>
      </c>
      <c r="S803" s="11">
        <v>76.849999999999994</v>
      </c>
      <c r="T803" s="11">
        <v>68.876000000000005</v>
      </c>
      <c r="U803" s="11">
        <v>69.518000000000001</v>
      </c>
      <c r="V803" s="11">
        <v>31.123999999999999</v>
      </c>
      <c r="W803" s="11">
        <v>30.481999999999999</v>
      </c>
      <c r="X803" s="11">
        <v>18.544</v>
      </c>
      <c r="Y803" s="11">
        <v>20.274000000000001</v>
      </c>
      <c r="Z803" s="11">
        <v>30.481999999999999</v>
      </c>
      <c r="AA803" s="11">
        <v>31.123999999999999</v>
      </c>
      <c r="AB803" s="11">
        <v>15.496</v>
      </c>
      <c r="AC803" s="11">
        <v>13</v>
      </c>
      <c r="AD803" s="11">
        <v>11</v>
      </c>
      <c r="AE803" s="11">
        <v>11</v>
      </c>
      <c r="AF803" s="11">
        <v>11</v>
      </c>
    </row>
    <row r="804" spans="1:32" s="11" customFormat="1" x14ac:dyDescent="0.2">
      <c r="A804" s="11">
        <v>932</v>
      </c>
      <c r="F804" s="11" t="s">
        <v>16403</v>
      </c>
      <c r="G804" s="11" t="s">
        <v>16403</v>
      </c>
      <c r="H804" s="12">
        <v>74.400000000000006</v>
      </c>
      <c r="I804" s="11" t="s">
        <v>16404</v>
      </c>
      <c r="L804" s="11">
        <v>37.981999999999999</v>
      </c>
      <c r="M804" s="11">
        <v>33.6</v>
      </c>
      <c r="N804" s="11">
        <v>71.879000000000005</v>
      </c>
      <c r="O804" s="11">
        <v>70.930999999999997</v>
      </c>
      <c r="P804" s="11">
        <v>43.953000000000003</v>
      </c>
      <c r="Q804" s="11">
        <v>44.603000000000002</v>
      </c>
      <c r="R804" s="11">
        <v>73.715999999999994</v>
      </c>
      <c r="S804" s="11">
        <v>74.78</v>
      </c>
      <c r="T804" s="11">
        <v>69.617000000000004</v>
      </c>
      <c r="U804" s="11">
        <v>70.067999999999998</v>
      </c>
      <c r="V804" s="11">
        <v>30.382999999999999</v>
      </c>
      <c r="W804" s="11">
        <v>29.931999999999999</v>
      </c>
      <c r="X804" s="11">
        <v>19.12</v>
      </c>
      <c r="Y804" s="11">
        <v>20.704999999999998</v>
      </c>
      <c r="Z804" s="11">
        <v>29.931999999999999</v>
      </c>
      <c r="AA804" s="11">
        <v>30.382999999999999</v>
      </c>
      <c r="AB804" s="11">
        <v>16.010000000000002</v>
      </c>
      <c r="AC804" s="11">
        <v>13</v>
      </c>
      <c r="AD804" s="11">
        <v>13</v>
      </c>
      <c r="AE804" s="11">
        <v>13</v>
      </c>
      <c r="AF804" s="11">
        <v>13</v>
      </c>
    </row>
    <row r="805" spans="1:32" s="11" customFormat="1" x14ac:dyDescent="0.2">
      <c r="A805" s="11">
        <v>933</v>
      </c>
      <c r="F805" s="11" t="s">
        <v>16403</v>
      </c>
      <c r="G805" s="11" t="s">
        <v>16403</v>
      </c>
      <c r="H805" s="12">
        <v>70.599999999999994</v>
      </c>
      <c r="I805" s="11" t="s">
        <v>16404</v>
      </c>
      <c r="L805" s="11">
        <v>28.274000000000001</v>
      </c>
      <c r="M805" s="11">
        <v>27.39</v>
      </c>
      <c r="N805" s="11">
        <v>55.354999999999997</v>
      </c>
      <c r="O805" s="11">
        <v>55.503</v>
      </c>
      <c r="P805" s="11">
        <v>69.108999999999995</v>
      </c>
      <c r="Q805" s="11">
        <v>69.236000000000004</v>
      </c>
      <c r="R805" s="11">
        <v>149.74100000000001</v>
      </c>
      <c r="S805" s="11">
        <v>149.86600000000001</v>
      </c>
      <c r="T805" s="11">
        <v>65.876000000000005</v>
      </c>
      <c r="U805" s="11">
        <v>52.5</v>
      </c>
      <c r="V805" s="11">
        <v>34.124000000000002</v>
      </c>
      <c r="W805" s="11">
        <v>47.5</v>
      </c>
      <c r="X805" s="11">
        <v>3.6960000000000002</v>
      </c>
      <c r="Y805" s="11">
        <v>14.135999999999999</v>
      </c>
      <c r="Z805" s="11">
        <v>47.5</v>
      </c>
      <c r="AA805" s="11">
        <v>34.124000000000002</v>
      </c>
      <c r="AB805" s="11">
        <v>19.582000000000001</v>
      </c>
      <c r="AC805" s="11">
        <v>16</v>
      </c>
      <c r="AD805" s="11">
        <v>16</v>
      </c>
      <c r="AE805" s="11">
        <v>16</v>
      </c>
      <c r="AF805" s="11">
        <v>16</v>
      </c>
    </row>
    <row r="806" spans="1:32" s="11" customFormat="1" x14ac:dyDescent="0.2">
      <c r="A806" s="11">
        <v>934</v>
      </c>
      <c r="F806" s="11" t="s">
        <v>16403</v>
      </c>
      <c r="G806" s="11" t="s">
        <v>16403</v>
      </c>
      <c r="H806" s="12">
        <v>66.8</v>
      </c>
      <c r="I806" s="11" t="s">
        <v>16404</v>
      </c>
      <c r="L806" s="11" t="s">
        <v>16403</v>
      </c>
      <c r="M806" s="11" t="s">
        <v>16403</v>
      </c>
      <c r="N806" s="11" t="s">
        <v>16403</v>
      </c>
      <c r="O806" s="11" t="s">
        <v>16403</v>
      </c>
      <c r="P806" s="11" t="s">
        <v>16403</v>
      </c>
      <c r="Q806" s="11" t="s">
        <v>16403</v>
      </c>
      <c r="R806" s="11" t="s">
        <v>16403</v>
      </c>
      <c r="S806" s="11" t="s">
        <v>16403</v>
      </c>
      <c r="T806" s="11" t="s">
        <v>16403</v>
      </c>
      <c r="U806" s="11" t="s">
        <v>16403</v>
      </c>
      <c r="V806" s="11" t="s">
        <v>16403</v>
      </c>
      <c r="W806" s="11" t="s">
        <v>16403</v>
      </c>
      <c r="X806" s="11" t="s">
        <v>16403</v>
      </c>
      <c r="Y806" s="11" t="s">
        <v>16403</v>
      </c>
      <c r="Z806" s="11" t="s">
        <v>16403</v>
      </c>
      <c r="AA806" s="11" t="s">
        <v>16403</v>
      </c>
      <c r="AB806" s="11" t="s">
        <v>16403</v>
      </c>
      <c r="AC806" s="11" t="s">
        <v>16403</v>
      </c>
      <c r="AD806" s="11" t="s">
        <v>16403</v>
      </c>
      <c r="AE806" s="11" t="s">
        <v>16403</v>
      </c>
      <c r="AF806" s="11" t="s">
        <v>16403</v>
      </c>
    </row>
    <row r="807" spans="1:32" s="11" customFormat="1" x14ac:dyDescent="0.2">
      <c r="A807" s="11">
        <v>935</v>
      </c>
      <c r="F807" s="11" t="s">
        <v>16403</v>
      </c>
      <c r="G807" s="11" t="s">
        <v>16403</v>
      </c>
      <c r="H807" s="12">
        <v>999</v>
      </c>
      <c r="I807" s="11" t="s">
        <v>16403</v>
      </c>
      <c r="L807" s="11" t="s">
        <v>16403</v>
      </c>
      <c r="M807" s="11" t="s">
        <v>16403</v>
      </c>
      <c r="N807" s="11" t="s">
        <v>16403</v>
      </c>
      <c r="O807" s="11" t="s">
        <v>16403</v>
      </c>
      <c r="P807" s="11" t="s">
        <v>16403</v>
      </c>
      <c r="Q807" s="11" t="s">
        <v>16403</v>
      </c>
      <c r="R807" s="11" t="s">
        <v>16403</v>
      </c>
      <c r="S807" s="11" t="s">
        <v>16403</v>
      </c>
      <c r="T807" s="11" t="s">
        <v>16403</v>
      </c>
      <c r="U807" s="11" t="s">
        <v>16403</v>
      </c>
      <c r="V807" s="11" t="s">
        <v>16403</v>
      </c>
      <c r="W807" s="11" t="s">
        <v>16403</v>
      </c>
      <c r="X807" s="11" t="s">
        <v>16403</v>
      </c>
      <c r="Y807" s="11" t="s">
        <v>16403</v>
      </c>
      <c r="Z807" s="11" t="s">
        <v>16403</v>
      </c>
      <c r="AA807" s="11" t="s">
        <v>16403</v>
      </c>
      <c r="AB807" s="11" t="s">
        <v>16403</v>
      </c>
      <c r="AC807" s="11" t="s">
        <v>16403</v>
      </c>
      <c r="AD807" s="11" t="s">
        <v>16403</v>
      </c>
      <c r="AE807" s="11" t="s">
        <v>16403</v>
      </c>
      <c r="AF807" s="11" t="s">
        <v>16403</v>
      </c>
    </row>
    <row r="808" spans="1:32" s="11" customFormat="1" x14ac:dyDescent="0.2">
      <c r="A808" s="11">
        <v>936</v>
      </c>
      <c r="F808" s="11" t="s">
        <v>16403</v>
      </c>
      <c r="G808" s="11" t="s">
        <v>16403</v>
      </c>
      <c r="H808" s="12">
        <v>67.400000000000006</v>
      </c>
      <c r="I808" s="11" t="s">
        <v>16407</v>
      </c>
      <c r="L808" s="11">
        <v>32.603000000000002</v>
      </c>
      <c r="M808" s="11">
        <v>36.030999999999999</v>
      </c>
      <c r="N808" s="11">
        <v>68.995999999999995</v>
      </c>
      <c r="O808" s="11">
        <v>68.519000000000005</v>
      </c>
      <c r="P808" s="11">
        <v>51.628</v>
      </c>
      <c r="Q808" s="11">
        <v>51.588000000000001</v>
      </c>
      <c r="R808" s="11">
        <v>90.441999999999993</v>
      </c>
      <c r="S808" s="11">
        <v>90.671000000000006</v>
      </c>
      <c r="T808" s="11">
        <v>70.853999999999999</v>
      </c>
      <c r="U808" s="11">
        <v>68.164000000000001</v>
      </c>
      <c r="V808" s="11">
        <v>29.146000000000001</v>
      </c>
      <c r="W808" s="11">
        <v>31.835999999999999</v>
      </c>
      <c r="X808" s="11">
        <v>19.510999999999999</v>
      </c>
      <c r="Y808" s="11">
        <v>20.026</v>
      </c>
      <c r="Z808" s="11">
        <v>31.835999999999999</v>
      </c>
      <c r="AA808" s="11">
        <v>29.146000000000001</v>
      </c>
      <c r="AB808" s="11">
        <v>15.794</v>
      </c>
      <c r="AC808" s="11">
        <v>15</v>
      </c>
      <c r="AD808" s="11">
        <v>16</v>
      </c>
      <c r="AE808" s="11">
        <v>15</v>
      </c>
      <c r="AF808" s="11">
        <v>15</v>
      </c>
    </row>
    <row r="809" spans="1:32" s="11" customFormat="1" x14ac:dyDescent="0.2">
      <c r="A809" s="11">
        <v>937</v>
      </c>
      <c r="F809" s="11" t="s">
        <v>16403</v>
      </c>
      <c r="G809" s="11" t="s">
        <v>16403</v>
      </c>
      <c r="H809" s="12">
        <v>0</v>
      </c>
      <c r="I809" s="11" t="s">
        <v>16404</v>
      </c>
      <c r="L809" s="11">
        <v>39.237000000000002</v>
      </c>
      <c r="M809" s="11">
        <v>40.701000000000001</v>
      </c>
      <c r="N809" s="11">
        <v>79.724999999999994</v>
      </c>
      <c r="O809" s="11">
        <v>79.88</v>
      </c>
      <c r="P809" s="11">
        <v>74.522999999999996</v>
      </c>
      <c r="Q809" s="11">
        <v>74.873999999999995</v>
      </c>
      <c r="R809" s="11">
        <v>112.85</v>
      </c>
      <c r="S809" s="11">
        <v>112.279</v>
      </c>
      <c r="T809" s="11">
        <v>67.974999999999994</v>
      </c>
      <c r="U809" s="11">
        <v>68.174000000000007</v>
      </c>
      <c r="V809" s="11">
        <v>32.024999999999999</v>
      </c>
      <c r="W809" s="11">
        <v>31.826000000000001</v>
      </c>
      <c r="X809" s="11">
        <v>18.614000000000001</v>
      </c>
      <c r="Y809" s="11">
        <v>18.172000000000001</v>
      </c>
      <c r="Z809" s="11">
        <v>31.826000000000001</v>
      </c>
      <c r="AA809" s="11">
        <v>32.024999999999999</v>
      </c>
      <c r="AB809" s="11">
        <v>14.27</v>
      </c>
      <c r="AC809" s="11">
        <v>12</v>
      </c>
      <c r="AD809" s="11">
        <v>13</v>
      </c>
      <c r="AE809" s="11">
        <v>12</v>
      </c>
      <c r="AF809" s="11">
        <v>12</v>
      </c>
    </row>
    <row r="810" spans="1:32" s="11" customFormat="1" x14ac:dyDescent="0.2">
      <c r="A810" s="11">
        <v>938</v>
      </c>
      <c r="F810" s="11" t="s">
        <v>16403</v>
      </c>
      <c r="G810" s="11" t="s">
        <v>16403</v>
      </c>
      <c r="H810" s="12">
        <v>59.2</v>
      </c>
      <c r="I810" s="11" t="s">
        <v>16404</v>
      </c>
      <c r="L810" s="11">
        <v>27.966999999999999</v>
      </c>
      <c r="M810" s="11">
        <v>30.187999999999999</v>
      </c>
      <c r="N810" s="11">
        <v>58.439</v>
      </c>
      <c r="O810" s="11">
        <v>57.106999999999999</v>
      </c>
      <c r="P810" s="11">
        <v>55.43</v>
      </c>
      <c r="Q810" s="11">
        <v>55.066000000000003</v>
      </c>
      <c r="R810" s="11">
        <v>114.30800000000001</v>
      </c>
      <c r="S810" s="11">
        <v>115.723</v>
      </c>
      <c r="T810" s="11">
        <v>68.938999999999993</v>
      </c>
      <c r="U810" s="11">
        <v>64.852000000000004</v>
      </c>
      <c r="V810" s="11">
        <v>31.061</v>
      </c>
      <c r="W810" s="11">
        <v>35.148000000000003</v>
      </c>
      <c r="X810" s="11">
        <v>19.100000000000001</v>
      </c>
      <c r="Y810" s="11">
        <v>14.417</v>
      </c>
      <c r="Z810" s="11">
        <v>35.148000000000003</v>
      </c>
      <c r="AA810" s="11">
        <v>31.061</v>
      </c>
      <c r="AB810" s="11">
        <v>18.577999999999999</v>
      </c>
      <c r="AC810" s="11">
        <v>17</v>
      </c>
      <c r="AD810" s="11">
        <v>17</v>
      </c>
      <c r="AE810" s="11">
        <v>17</v>
      </c>
      <c r="AF810" s="11">
        <v>17</v>
      </c>
    </row>
    <row r="811" spans="1:32" s="11" customFormat="1" x14ac:dyDescent="0.2">
      <c r="A811" s="11">
        <v>939</v>
      </c>
      <c r="F811" s="11" t="s">
        <v>16403</v>
      </c>
      <c r="G811" s="11" t="s">
        <v>16403</v>
      </c>
      <c r="H811" s="12">
        <v>60.4</v>
      </c>
      <c r="I811" s="11" t="s">
        <v>16404</v>
      </c>
      <c r="L811" s="11">
        <v>47.152999999999999</v>
      </c>
      <c r="M811" s="11">
        <v>44.322000000000003</v>
      </c>
      <c r="N811" s="11">
        <v>91.991</v>
      </c>
      <c r="O811" s="11">
        <v>91.799000000000007</v>
      </c>
      <c r="P811" s="11">
        <v>68.064999999999998</v>
      </c>
      <c r="Q811" s="11">
        <v>68.191999999999993</v>
      </c>
      <c r="R811" s="11">
        <v>87.968000000000004</v>
      </c>
      <c r="S811" s="11">
        <v>88.498000000000005</v>
      </c>
      <c r="T811" s="11">
        <v>67.218999999999994</v>
      </c>
      <c r="U811" s="11">
        <v>66.058000000000007</v>
      </c>
      <c r="V811" s="11">
        <v>32.780999999999999</v>
      </c>
      <c r="W811" s="11">
        <v>33.942</v>
      </c>
      <c r="X811" s="11">
        <v>18.93</v>
      </c>
      <c r="Y811" s="11">
        <v>14.744</v>
      </c>
      <c r="Z811" s="11">
        <v>33.942</v>
      </c>
      <c r="AA811" s="11">
        <v>32.780999999999999</v>
      </c>
      <c r="AB811" s="11">
        <v>11.206</v>
      </c>
      <c r="AC811" s="11">
        <v>10</v>
      </c>
      <c r="AD811" s="11">
        <v>10</v>
      </c>
      <c r="AE811" s="11">
        <v>10</v>
      </c>
      <c r="AF811" s="11">
        <v>10</v>
      </c>
    </row>
    <row r="812" spans="1:32" s="11" customFormat="1" x14ac:dyDescent="0.2">
      <c r="A812" s="11">
        <v>940</v>
      </c>
      <c r="F812" s="11" t="s">
        <v>16403</v>
      </c>
      <c r="G812" s="11" t="s">
        <v>16403</v>
      </c>
      <c r="H812" s="12">
        <v>63.2</v>
      </c>
      <c r="I812" s="11" t="s">
        <v>16407</v>
      </c>
      <c r="L812" s="11">
        <v>28.663</v>
      </c>
      <c r="M812" s="11">
        <v>32.299999999999997</v>
      </c>
      <c r="N812" s="11">
        <v>60.587000000000003</v>
      </c>
      <c r="O812" s="11">
        <v>61.436999999999998</v>
      </c>
      <c r="P812" s="11">
        <v>50.906999999999996</v>
      </c>
      <c r="Q812" s="11">
        <v>51.189</v>
      </c>
      <c r="R812" s="11">
        <v>100.88200000000001</v>
      </c>
      <c r="S812" s="11">
        <v>100.39</v>
      </c>
      <c r="T812" s="11">
        <v>66.745000000000005</v>
      </c>
      <c r="U812" s="11">
        <v>65.548000000000002</v>
      </c>
      <c r="V812" s="11">
        <v>33.255000000000003</v>
      </c>
      <c r="W812" s="11">
        <v>34.451999999999998</v>
      </c>
      <c r="X812" s="11">
        <v>17.103000000000002</v>
      </c>
      <c r="Y812" s="11">
        <v>15.433999999999999</v>
      </c>
      <c r="Z812" s="11">
        <v>34.451999999999998</v>
      </c>
      <c r="AA812" s="11">
        <v>33.255000000000003</v>
      </c>
      <c r="AB812" s="11">
        <v>13.586</v>
      </c>
      <c r="AC812" s="11">
        <v>17</v>
      </c>
      <c r="AD812" s="11">
        <v>16</v>
      </c>
      <c r="AE812" s="11">
        <v>16</v>
      </c>
      <c r="AF812" s="11">
        <v>16</v>
      </c>
    </row>
    <row r="813" spans="1:32" s="11" customFormat="1" x14ac:dyDescent="0.2">
      <c r="A813" s="11">
        <v>941</v>
      </c>
      <c r="F813" s="11" t="s">
        <v>16403</v>
      </c>
      <c r="G813" s="11" t="s">
        <v>16403</v>
      </c>
      <c r="H813" s="12">
        <v>76</v>
      </c>
      <c r="I813" s="11" t="s">
        <v>16407</v>
      </c>
      <c r="L813" s="11">
        <v>41.048999999999999</v>
      </c>
      <c r="M813" s="11">
        <v>40.451999999999998</v>
      </c>
      <c r="N813" s="11">
        <v>81.489999999999995</v>
      </c>
      <c r="O813" s="11">
        <v>81.665000000000006</v>
      </c>
      <c r="P813" s="11">
        <v>59.951000000000001</v>
      </c>
      <c r="Q813" s="11">
        <v>60.298999999999999</v>
      </c>
      <c r="R813" s="11">
        <v>87.921999999999997</v>
      </c>
      <c r="S813" s="11">
        <v>88.533000000000001</v>
      </c>
      <c r="T813" s="11">
        <v>68.543999999999997</v>
      </c>
      <c r="U813" s="11">
        <v>67.239999999999995</v>
      </c>
      <c r="V813" s="11">
        <v>31.456</v>
      </c>
      <c r="W813" s="11">
        <v>32.76</v>
      </c>
      <c r="X813" s="11">
        <v>16.332999999999998</v>
      </c>
      <c r="Y813" s="11">
        <v>19.155999999999999</v>
      </c>
      <c r="Z813" s="11">
        <v>32.76</v>
      </c>
      <c r="AA813" s="11">
        <v>31.456</v>
      </c>
      <c r="AB813" s="11">
        <v>9.016</v>
      </c>
      <c r="AC813" s="11">
        <v>11</v>
      </c>
      <c r="AD813" s="11">
        <v>10</v>
      </c>
      <c r="AE813" s="11">
        <v>10</v>
      </c>
      <c r="AF813" s="11">
        <v>10</v>
      </c>
    </row>
    <row r="814" spans="1:32" s="11" customFormat="1" x14ac:dyDescent="0.2">
      <c r="A814" s="11">
        <v>1001</v>
      </c>
      <c r="F814" s="11" t="s">
        <v>16403</v>
      </c>
      <c r="G814" s="11" t="s">
        <v>16403</v>
      </c>
      <c r="H814" s="12">
        <v>68.5</v>
      </c>
      <c r="I814" s="11" t="s">
        <v>16404</v>
      </c>
      <c r="L814" s="11">
        <v>34.238</v>
      </c>
      <c r="M814" s="11">
        <v>39.899000000000001</v>
      </c>
      <c r="N814" s="11">
        <v>73.799000000000007</v>
      </c>
      <c r="O814" s="11">
        <v>75.182000000000002</v>
      </c>
      <c r="P814" s="11">
        <v>60.322000000000003</v>
      </c>
      <c r="Q814" s="11">
        <v>61.609000000000002</v>
      </c>
      <c r="R814" s="11">
        <v>99.051000000000002</v>
      </c>
      <c r="S814" s="11">
        <v>98.980999999999995</v>
      </c>
      <c r="T814" s="11">
        <v>62.710999999999999</v>
      </c>
      <c r="U814" s="11">
        <v>62.722000000000001</v>
      </c>
      <c r="V814" s="11">
        <v>37.289000000000001</v>
      </c>
      <c r="W814" s="11">
        <v>37.277999999999999</v>
      </c>
      <c r="X814" s="11">
        <v>13.618</v>
      </c>
      <c r="Y814" s="11">
        <v>12.672000000000001</v>
      </c>
      <c r="Z814" s="11">
        <v>37.277999999999999</v>
      </c>
      <c r="AA814" s="11">
        <v>37.289000000000001</v>
      </c>
      <c r="AB814" s="11">
        <v>15.885999999999999</v>
      </c>
      <c r="AC814" s="11">
        <v>15</v>
      </c>
      <c r="AD814" s="11">
        <v>14</v>
      </c>
      <c r="AE814" s="11">
        <v>14</v>
      </c>
      <c r="AF814" s="11">
        <v>14</v>
      </c>
    </row>
    <row r="815" spans="1:32" s="11" customFormat="1" x14ac:dyDescent="0.2">
      <c r="A815" s="11">
        <v>1002</v>
      </c>
      <c r="F815" s="11" t="s">
        <v>16403</v>
      </c>
      <c r="G815" s="11" t="s">
        <v>16403</v>
      </c>
      <c r="H815" s="12">
        <v>999</v>
      </c>
      <c r="I815" s="11" t="s">
        <v>16403</v>
      </c>
      <c r="L815" s="11">
        <v>18.48</v>
      </c>
      <c r="M815" s="11">
        <v>11.406000000000001</v>
      </c>
      <c r="N815" s="11">
        <v>29.869</v>
      </c>
      <c r="O815" s="11">
        <v>30.035</v>
      </c>
      <c r="P815" s="11">
        <v>18.55</v>
      </c>
      <c r="Q815" s="11">
        <v>18.451000000000001</v>
      </c>
      <c r="R815" s="11">
        <v>74.551000000000002</v>
      </c>
      <c r="S815" s="11">
        <v>73.239000000000004</v>
      </c>
      <c r="T815" s="11">
        <v>72.096000000000004</v>
      </c>
      <c r="U815" s="11">
        <v>79.914000000000001</v>
      </c>
      <c r="V815" s="11">
        <v>27.904</v>
      </c>
      <c r="W815" s="11">
        <v>20.085999999999999</v>
      </c>
      <c r="X815" s="11">
        <v>30.507000000000001</v>
      </c>
      <c r="Y815" s="11">
        <v>21.670999999999999</v>
      </c>
      <c r="Z815" s="11">
        <v>20.085999999999999</v>
      </c>
      <c r="AA815" s="11">
        <v>27.904</v>
      </c>
      <c r="AB815" s="11">
        <v>11.545</v>
      </c>
      <c r="AC815" s="11">
        <v>16</v>
      </c>
      <c r="AD815" s="11">
        <v>16</v>
      </c>
      <c r="AE815" s="11">
        <v>16</v>
      </c>
      <c r="AF815" s="11">
        <v>16</v>
      </c>
    </row>
    <row r="816" spans="1:32" s="11" customFormat="1" x14ac:dyDescent="0.2">
      <c r="A816" s="11">
        <v>1003</v>
      </c>
      <c r="F816" s="11" t="s">
        <v>16403</v>
      </c>
      <c r="G816" s="11" t="s">
        <v>16403</v>
      </c>
      <c r="H816" s="12">
        <v>999</v>
      </c>
      <c r="I816" s="11" t="s">
        <v>16404</v>
      </c>
      <c r="L816" s="11">
        <v>53.045000000000002</v>
      </c>
      <c r="M816" s="11">
        <v>52.527999999999999</v>
      </c>
      <c r="N816" s="11">
        <v>106.502</v>
      </c>
      <c r="O816" s="11">
        <v>104.967</v>
      </c>
      <c r="P816" s="11">
        <v>94.081000000000003</v>
      </c>
      <c r="Q816" s="11">
        <v>92.647000000000006</v>
      </c>
      <c r="R816" s="11">
        <v>105.96899999999999</v>
      </c>
      <c r="S816" s="11">
        <v>105.79</v>
      </c>
      <c r="T816" s="11">
        <v>63.924999999999997</v>
      </c>
      <c r="U816" s="11">
        <v>63.29</v>
      </c>
      <c r="V816" s="11">
        <v>36.075000000000003</v>
      </c>
      <c r="W816" s="11">
        <v>36.71</v>
      </c>
      <c r="X816" s="11">
        <v>14.771000000000001</v>
      </c>
      <c r="Y816" s="11">
        <v>12.691000000000001</v>
      </c>
      <c r="Z816" s="11">
        <v>36.71</v>
      </c>
      <c r="AA816" s="11">
        <v>36.075000000000003</v>
      </c>
      <c r="AB816" s="11">
        <v>12.614000000000001</v>
      </c>
      <c r="AC816" s="11">
        <v>12</v>
      </c>
      <c r="AD816" s="11">
        <v>13</v>
      </c>
      <c r="AE816" s="11">
        <v>12</v>
      </c>
      <c r="AF816" s="11">
        <v>12</v>
      </c>
    </row>
    <row r="817" spans="1:32" s="11" customFormat="1" x14ac:dyDescent="0.2">
      <c r="A817" s="11">
        <v>1004</v>
      </c>
      <c r="F817" s="11" t="s">
        <v>16403</v>
      </c>
      <c r="G817" s="11" t="s">
        <v>16403</v>
      </c>
      <c r="H817" s="12">
        <v>999</v>
      </c>
      <c r="I817" s="11" t="s">
        <v>16403</v>
      </c>
      <c r="L817" s="11">
        <v>53.07</v>
      </c>
      <c r="M817" s="11">
        <v>55.802</v>
      </c>
      <c r="N817" s="11">
        <v>108.81699999999999</v>
      </c>
      <c r="O817" s="11">
        <v>109.438</v>
      </c>
      <c r="P817" s="11">
        <v>101.431</v>
      </c>
      <c r="Q817" s="11">
        <v>102.05500000000001</v>
      </c>
      <c r="R817" s="11">
        <v>111.83499999999999</v>
      </c>
      <c r="S817" s="11">
        <v>111.395</v>
      </c>
      <c r="T817" s="11">
        <v>63.896999999999998</v>
      </c>
      <c r="U817" s="11">
        <v>63.046999999999997</v>
      </c>
      <c r="V817" s="11">
        <v>36.103000000000002</v>
      </c>
      <c r="W817" s="11">
        <v>36.953000000000003</v>
      </c>
      <c r="X817" s="11">
        <v>14.468</v>
      </c>
      <c r="Y817" s="11">
        <v>12.964</v>
      </c>
      <c r="Z817" s="11">
        <v>36.953000000000003</v>
      </c>
      <c r="AA817" s="11">
        <v>36.103000000000002</v>
      </c>
      <c r="AB817" s="11">
        <v>9.43</v>
      </c>
      <c r="AC817" s="11">
        <v>9</v>
      </c>
      <c r="AD817" s="11">
        <v>9</v>
      </c>
      <c r="AE817" s="11">
        <v>9</v>
      </c>
      <c r="AF817" s="11">
        <v>9</v>
      </c>
    </row>
    <row r="818" spans="1:32" s="11" customFormat="1" x14ac:dyDescent="0.2">
      <c r="A818" s="11">
        <v>1005</v>
      </c>
      <c r="F818" s="11" t="s">
        <v>16403</v>
      </c>
      <c r="G818" s="11" t="s">
        <v>16403</v>
      </c>
      <c r="H818" s="12">
        <v>999</v>
      </c>
      <c r="I818" s="11" t="s">
        <v>16404</v>
      </c>
      <c r="L818" s="11">
        <v>33.999000000000002</v>
      </c>
      <c r="M818" s="11">
        <v>40.234000000000002</v>
      </c>
      <c r="N818" s="11">
        <v>74.206999999999994</v>
      </c>
      <c r="O818" s="11">
        <v>74.366</v>
      </c>
      <c r="P818" s="11">
        <v>78.295000000000002</v>
      </c>
      <c r="Q818" s="11">
        <v>78.781999999999996</v>
      </c>
      <c r="R818" s="11">
        <v>126.38800000000001</v>
      </c>
      <c r="S818" s="11">
        <v>126.083</v>
      </c>
      <c r="T818" s="11">
        <v>64.537000000000006</v>
      </c>
      <c r="U818" s="11">
        <v>63.387999999999998</v>
      </c>
      <c r="V818" s="11">
        <v>35.463000000000001</v>
      </c>
      <c r="W818" s="11">
        <v>36.612000000000002</v>
      </c>
      <c r="X818" s="11">
        <v>14.122999999999999</v>
      </c>
      <c r="Y818" s="11">
        <v>14.111000000000001</v>
      </c>
      <c r="Z818" s="11">
        <v>36.612000000000002</v>
      </c>
      <c r="AA818" s="11">
        <v>35.463000000000001</v>
      </c>
      <c r="AB818" s="11">
        <v>11.08</v>
      </c>
      <c r="AC818" s="11">
        <v>17</v>
      </c>
      <c r="AD818" s="11">
        <v>16</v>
      </c>
      <c r="AE818" s="11">
        <v>16</v>
      </c>
      <c r="AF818" s="11">
        <v>16</v>
      </c>
    </row>
    <row r="819" spans="1:32" s="11" customFormat="1" x14ac:dyDescent="0.2">
      <c r="A819" s="11">
        <v>1006</v>
      </c>
      <c r="F819" s="11" t="s">
        <v>16403</v>
      </c>
      <c r="G819" s="11" t="s">
        <v>16403</v>
      </c>
      <c r="H819" s="12">
        <v>999</v>
      </c>
      <c r="I819" s="11" t="s">
        <v>16403</v>
      </c>
      <c r="L819" s="11">
        <v>39.866999999999997</v>
      </c>
      <c r="M819" s="11">
        <v>41.046999999999997</v>
      </c>
      <c r="N819" s="11">
        <v>80.265000000000001</v>
      </c>
      <c r="O819" s="11">
        <v>81.183000000000007</v>
      </c>
      <c r="P819" s="11">
        <v>83.576999999999998</v>
      </c>
      <c r="Q819" s="11">
        <v>84.293999999999997</v>
      </c>
      <c r="R819" s="11">
        <v>123.77500000000001</v>
      </c>
      <c r="S819" s="11">
        <v>123.709</v>
      </c>
      <c r="T819" s="11">
        <v>65.822000000000003</v>
      </c>
      <c r="U819" s="11">
        <v>64.897000000000006</v>
      </c>
      <c r="V819" s="11">
        <v>34.177999999999997</v>
      </c>
      <c r="W819" s="11">
        <v>35.103000000000002</v>
      </c>
      <c r="X819" s="11">
        <v>16.317</v>
      </c>
      <c r="Y819" s="11">
        <v>14.33</v>
      </c>
      <c r="Z819" s="11">
        <v>35.103000000000002</v>
      </c>
      <c r="AA819" s="11">
        <v>34.177999999999997</v>
      </c>
      <c r="AB819" s="11">
        <v>11.602</v>
      </c>
      <c r="AC819" s="11">
        <v>22</v>
      </c>
      <c r="AD819" s="11">
        <v>20</v>
      </c>
      <c r="AE819" s="11">
        <v>20</v>
      </c>
      <c r="AF819" s="11">
        <v>20</v>
      </c>
    </row>
    <row r="820" spans="1:32" s="11" customFormat="1" x14ac:dyDescent="0.2">
      <c r="A820" s="11">
        <v>1007</v>
      </c>
      <c r="F820" s="11" t="s">
        <v>16403</v>
      </c>
      <c r="G820" s="11" t="s">
        <v>16403</v>
      </c>
      <c r="H820" s="12">
        <v>999</v>
      </c>
      <c r="I820" s="11" t="s">
        <v>16403</v>
      </c>
      <c r="L820" s="11">
        <v>48.097999999999999</v>
      </c>
      <c r="M820" s="11">
        <v>44.033000000000001</v>
      </c>
      <c r="N820" s="11">
        <v>91.180999999999997</v>
      </c>
      <c r="O820" s="11">
        <v>93.227999999999994</v>
      </c>
      <c r="P820" s="11">
        <v>75.62</v>
      </c>
      <c r="Q820" s="11">
        <v>76.986000000000004</v>
      </c>
      <c r="R820" s="11">
        <v>98.998000000000005</v>
      </c>
      <c r="S820" s="11">
        <v>98.988</v>
      </c>
      <c r="T820" s="11">
        <v>63.661000000000001</v>
      </c>
      <c r="U820" s="11">
        <v>65.548000000000002</v>
      </c>
      <c r="V820" s="11">
        <v>36.338999999999999</v>
      </c>
      <c r="W820" s="11">
        <v>34.451999999999998</v>
      </c>
      <c r="X820" s="11">
        <v>14.545999999999999</v>
      </c>
      <c r="Y820" s="11">
        <v>15.634</v>
      </c>
      <c r="Z820" s="11">
        <v>34.451999999999998</v>
      </c>
      <c r="AA820" s="11">
        <v>36.338999999999999</v>
      </c>
      <c r="AB820" s="11">
        <v>10.255000000000001</v>
      </c>
      <c r="AC820" s="11">
        <v>13</v>
      </c>
      <c r="AD820" s="11">
        <v>12</v>
      </c>
      <c r="AE820" s="11">
        <v>12</v>
      </c>
      <c r="AF820" s="11">
        <v>12</v>
      </c>
    </row>
    <row r="821" spans="1:32" s="11" customFormat="1" x14ac:dyDescent="0.2">
      <c r="A821" s="11">
        <v>1008</v>
      </c>
      <c r="F821" s="11" t="s">
        <v>16403</v>
      </c>
      <c r="G821" s="11" t="s">
        <v>16403</v>
      </c>
      <c r="H821" s="12">
        <v>68.8</v>
      </c>
      <c r="I821" s="11" t="s">
        <v>16404</v>
      </c>
      <c r="L821" s="11">
        <v>50.204999999999998</v>
      </c>
      <c r="M821" s="11">
        <v>53.063000000000002</v>
      </c>
      <c r="N821" s="11">
        <v>102.788</v>
      </c>
      <c r="O821" s="11">
        <v>103.279</v>
      </c>
      <c r="P821" s="11">
        <v>80.959000000000003</v>
      </c>
      <c r="Q821" s="11">
        <v>81.478999999999999</v>
      </c>
      <c r="R821" s="11">
        <v>93.971999999999994</v>
      </c>
      <c r="S821" s="11">
        <v>94.433000000000007</v>
      </c>
      <c r="T821" s="11">
        <v>65.546000000000006</v>
      </c>
      <c r="U821" s="11">
        <v>61.728999999999999</v>
      </c>
      <c r="V821" s="11">
        <v>34.454000000000001</v>
      </c>
      <c r="W821" s="11">
        <v>38.271000000000001</v>
      </c>
      <c r="X821" s="11">
        <v>15.175000000000001</v>
      </c>
      <c r="Y821" s="11">
        <v>12.51</v>
      </c>
      <c r="Z821" s="11">
        <v>38.271000000000001</v>
      </c>
      <c r="AA821" s="11">
        <v>34.454000000000001</v>
      </c>
      <c r="AB821" s="11">
        <v>12.045</v>
      </c>
      <c r="AC821" s="11">
        <v>10</v>
      </c>
      <c r="AD821" s="11">
        <v>10</v>
      </c>
      <c r="AE821" s="11">
        <v>10</v>
      </c>
      <c r="AF821" s="11">
        <v>10</v>
      </c>
    </row>
    <row r="822" spans="1:32" s="11" customFormat="1" x14ac:dyDescent="0.2">
      <c r="A822" s="11">
        <v>1009</v>
      </c>
      <c r="F822" s="11" t="s">
        <v>16403</v>
      </c>
      <c r="G822" s="11" t="s">
        <v>16403</v>
      </c>
      <c r="H822" s="12">
        <v>999</v>
      </c>
      <c r="I822" s="11" t="s">
        <v>16404</v>
      </c>
      <c r="L822" s="11">
        <v>44.465000000000003</v>
      </c>
      <c r="M822" s="11">
        <v>47.933</v>
      </c>
      <c r="N822" s="11">
        <v>92.111000000000004</v>
      </c>
      <c r="O822" s="11">
        <v>92.427000000000007</v>
      </c>
      <c r="P822" s="11">
        <v>87.168000000000006</v>
      </c>
      <c r="Q822" s="11">
        <v>87.152000000000001</v>
      </c>
      <c r="R822" s="11">
        <v>113.29</v>
      </c>
      <c r="S822" s="11">
        <v>113.04</v>
      </c>
      <c r="T822" s="11">
        <v>63.862000000000002</v>
      </c>
      <c r="U822" s="11">
        <v>61.816000000000003</v>
      </c>
      <c r="V822" s="11">
        <v>36.137999999999998</v>
      </c>
      <c r="W822" s="11">
        <v>38.183999999999997</v>
      </c>
      <c r="X822" s="11">
        <v>12.867000000000001</v>
      </c>
      <c r="Y822" s="11">
        <v>13.124000000000001</v>
      </c>
      <c r="Z822" s="11">
        <v>38.183999999999997</v>
      </c>
      <c r="AA822" s="11">
        <v>36.137999999999998</v>
      </c>
      <c r="AB822" s="11">
        <v>11.218</v>
      </c>
      <c r="AC822" s="11">
        <v>16</v>
      </c>
      <c r="AD822" s="11">
        <v>15</v>
      </c>
      <c r="AE822" s="11">
        <v>15</v>
      </c>
      <c r="AF822" s="11">
        <v>15</v>
      </c>
    </row>
    <row r="823" spans="1:32" s="11" customFormat="1" x14ac:dyDescent="0.2">
      <c r="A823" s="11">
        <v>1010</v>
      </c>
      <c r="F823" s="11" t="s">
        <v>16403</v>
      </c>
      <c r="G823" s="11" t="s">
        <v>16403</v>
      </c>
      <c r="H823" s="12">
        <v>999</v>
      </c>
      <c r="I823" s="11" t="s">
        <v>16403</v>
      </c>
      <c r="L823" s="11">
        <v>40.32</v>
      </c>
      <c r="M823" s="11">
        <v>41.530999999999999</v>
      </c>
      <c r="N823" s="11">
        <v>81.721000000000004</v>
      </c>
      <c r="O823" s="11">
        <v>81.840999999999994</v>
      </c>
      <c r="P823" s="11">
        <v>95.915000000000006</v>
      </c>
      <c r="Q823" s="11">
        <v>96.525000000000006</v>
      </c>
      <c r="R823" s="11">
        <v>141.761</v>
      </c>
      <c r="S823" s="11">
        <v>141.23699999999999</v>
      </c>
      <c r="T823" s="11">
        <v>61.066000000000003</v>
      </c>
      <c r="U823" s="11">
        <v>61.201999999999998</v>
      </c>
      <c r="V823" s="11">
        <v>38.933999999999997</v>
      </c>
      <c r="W823" s="11">
        <v>38.798000000000002</v>
      </c>
      <c r="X823" s="11">
        <v>12.116</v>
      </c>
      <c r="Y823" s="11">
        <v>10.504</v>
      </c>
      <c r="Z823" s="11">
        <v>38.798000000000002</v>
      </c>
      <c r="AA823" s="11">
        <v>38.933999999999997</v>
      </c>
      <c r="AB823" s="11">
        <v>7.9749999999999996</v>
      </c>
      <c r="AC823" s="11">
        <v>16</v>
      </c>
      <c r="AD823" s="11">
        <v>14</v>
      </c>
      <c r="AE823" s="11">
        <v>14</v>
      </c>
      <c r="AF823" s="11">
        <v>14</v>
      </c>
    </row>
    <row r="824" spans="1:32" s="11" customFormat="1" x14ac:dyDescent="0.2">
      <c r="A824" s="11">
        <v>1011</v>
      </c>
      <c r="F824" s="11" t="s">
        <v>16403</v>
      </c>
      <c r="G824" s="11" t="s">
        <v>16403</v>
      </c>
      <c r="H824" s="12">
        <v>999</v>
      </c>
      <c r="I824" s="11" t="s">
        <v>16403</v>
      </c>
      <c r="L824" s="11">
        <v>30.475999999999999</v>
      </c>
      <c r="M824" s="11">
        <v>33.753999999999998</v>
      </c>
      <c r="N824" s="11">
        <v>64.775000000000006</v>
      </c>
      <c r="O824" s="11">
        <v>64.111999999999995</v>
      </c>
      <c r="P824" s="11">
        <v>65.421000000000006</v>
      </c>
      <c r="Q824" s="11">
        <v>65.111999999999995</v>
      </c>
      <c r="R824" s="11">
        <v>120.85599999999999</v>
      </c>
      <c r="S824" s="11">
        <v>120.992</v>
      </c>
      <c r="T824" s="11">
        <v>65.506</v>
      </c>
      <c r="U824" s="11">
        <v>66.656999999999996</v>
      </c>
      <c r="V824" s="11">
        <v>34.494</v>
      </c>
      <c r="W824" s="11">
        <v>33.343000000000004</v>
      </c>
      <c r="X824" s="11">
        <v>14.487</v>
      </c>
      <c r="Y824" s="11">
        <v>17.331</v>
      </c>
      <c r="Z824" s="11">
        <v>33.343000000000004</v>
      </c>
      <c r="AA824" s="11">
        <v>34.494</v>
      </c>
      <c r="AB824" s="11">
        <v>24.44</v>
      </c>
      <c r="AC824" s="11">
        <v>10</v>
      </c>
      <c r="AD824" s="11">
        <v>10</v>
      </c>
      <c r="AE824" s="11">
        <v>10</v>
      </c>
      <c r="AF824" s="11">
        <v>10</v>
      </c>
    </row>
    <row r="825" spans="1:32" s="11" customFormat="1" x14ac:dyDescent="0.2">
      <c r="A825" s="11">
        <v>1012</v>
      </c>
      <c r="F825" s="11" t="s">
        <v>16403</v>
      </c>
      <c r="G825" s="11" t="s">
        <v>16403</v>
      </c>
      <c r="H825" s="12">
        <v>999</v>
      </c>
      <c r="I825" s="11" t="s">
        <v>16403</v>
      </c>
      <c r="L825" s="11">
        <v>36.615000000000002</v>
      </c>
      <c r="M825" s="11">
        <v>27.248999999999999</v>
      </c>
      <c r="N825" s="11">
        <v>64.316999999999993</v>
      </c>
      <c r="O825" s="11">
        <v>64.025000000000006</v>
      </c>
      <c r="P825" s="11">
        <v>73.677999999999997</v>
      </c>
      <c r="Q825" s="11">
        <v>73.662000000000006</v>
      </c>
      <c r="R825" s="11">
        <v>139.404</v>
      </c>
      <c r="S825" s="11">
        <v>138.024</v>
      </c>
      <c r="T825" s="11">
        <v>62.578000000000003</v>
      </c>
      <c r="U825" s="11">
        <v>64.024000000000001</v>
      </c>
      <c r="V825" s="11">
        <v>37.421999999999997</v>
      </c>
      <c r="W825" s="11">
        <v>35.975999999999999</v>
      </c>
      <c r="X825" s="11">
        <v>15.906000000000001</v>
      </c>
      <c r="Y825" s="11">
        <v>10.717000000000001</v>
      </c>
      <c r="Z825" s="11">
        <v>35.975999999999999</v>
      </c>
      <c r="AA825" s="11">
        <v>37.421999999999997</v>
      </c>
      <c r="AB825" s="11">
        <v>22.036999999999999</v>
      </c>
      <c r="AC825" s="11">
        <v>18</v>
      </c>
      <c r="AD825" s="11">
        <v>17</v>
      </c>
      <c r="AE825" s="11">
        <v>17</v>
      </c>
      <c r="AF825" s="11">
        <v>17</v>
      </c>
    </row>
    <row r="826" spans="1:32" s="11" customFormat="1" x14ac:dyDescent="0.2">
      <c r="A826" s="11">
        <v>1013</v>
      </c>
      <c r="F826" s="11" t="s">
        <v>16403</v>
      </c>
      <c r="G826" s="11" t="s">
        <v>16403</v>
      </c>
      <c r="H826" s="12">
        <v>999</v>
      </c>
      <c r="I826" s="11" t="s">
        <v>16404</v>
      </c>
      <c r="L826" s="11">
        <v>43.862000000000002</v>
      </c>
      <c r="M826" s="11">
        <v>42.747999999999998</v>
      </c>
      <c r="N826" s="11">
        <v>86.626999999999995</v>
      </c>
      <c r="O826" s="11">
        <v>86.105000000000004</v>
      </c>
      <c r="P826" s="11">
        <v>88.352000000000004</v>
      </c>
      <c r="Q826" s="11">
        <v>88.555999999999997</v>
      </c>
      <c r="R826" s="11">
        <v>122.449</v>
      </c>
      <c r="S826" s="11">
        <v>123.092</v>
      </c>
      <c r="T826" s="11">
        <v>64.828999999999994</v>
      </c>
      <c r="U826" s="11">
        <v>62.552999999999997</v>
      </c>
      <c r="V826" s="11">
        <v>35.170999999999999</v>
      </c>
      <c r="W826" s="11">
        <v>37.447000000000003</v>
      </c>
      <c r="X826" s="11">
        <v>12.051</v>
      </c>
      <c r="Y826" s="11">
        <v>15.757999999999999</v>
      </c>
      <c r="Z826" s="11">
        <v>37.447000000000003</v>
      </c>
      <c r="AA826" s="11">
        <v>35.170999999999999</v>
      </c>
      <c r="AB826" s="11">
        <v>17.547999999999998</v>
      </c>
      <c r="AC826" s="11">
        <v>17</v>
      </c>
      <c r="AD826" s="11">
        <v>18</v>
      </c>
      <c r="AE826" s="11">
        <v>17</v>
      </c>
      <c r="AF826" s="11">
        <v>17</v>
      </c>
    </row>
    <row r="827" spans="1:32" s="11" customFormat="1" x14ac:dyDescent="0.2">
      <c r="A827" s="11">
        <v>1014</v>
      </c>
      <c r="F827" s="11" t="s">
        <v>16403</v>
      </c>
      <c r="G827" s="11" t="s">
        <v>16403</v>
      </c>
      <c r="H827" s="12">
        <v>72.2</v>
      </c>
      <c r="I827" s="11" t="s">
        <v>16403</v>
      </c>
      <c r="L827" s="11" t="s">
        <v>16403</v>
      </c>
      <c r="M827" s="11" t="s">
        <v>16403</v>
      </c>
      <c r="N827" s="11" t="s">
        <v>16403</v>
      </c>
      <c r="O827" s="11" t="s">
        <v>16403</v>
      </c>
      <c r="P827" s="11" t="s">
        <v>16403</v>
      </c>
      <c r="Q827" s="11" t="s">
        <v>16403</v>
      </c>
      <c r="R827" s="11" t="s">
        <v>16403</v>
      </c>
      <c r="S827" s="11" t="s">
        <v>16403</v>
      </c>
      <c r="T827" s="11" t="s">
        <v>16403</v>
      </c>
      <c r="U827" s="11" t="s">
        <v>16403</v>
      </c>
      <c r="V827" s="11" t="s">
        <v>16403</v>
      </c>
      <c r="W827" s="11" t="s">
        <v>16403</v>
      </c>
      <c r="X827" s="11" t="s">
        <v>16403</v>
      </c>
      <c r="Y827" s="11" t="s">
        <v>16403</v>
      </c>
      <c r="Z827" s="11" t="s">
        <v>16403</v>
      </c>
      <c r="AA827" s="11" t="s">
        <v>16403</v>
      </c>
      <c r="AB827" s="11" t="s">
        <v>16403</v>
      </c>
      <c r="AC827" s="11" t="s">
        <v>16403</v>
      </c>
      <c r="AD827" s="11" t="s">
        <v>16403</v>
      </c>
      <c r="AE827" s="11" t="s">
        <v>16403</v>
      </c>
      <c r="AF827" s="11" t="s">
        <v>16403</v>
      </c>
    </row>
    <row r="828" spans="1:32" s="11" customFormat="1" x14ac:dyDescent="0.2">
      <c r="A828" s="11">
        <v>1015</v>
      </c>
      <c r="F828" s="11" t="s">
        <v>16403</v>
      </c>
      <c r="G828" s="11" t="s">
        <v>16403</v>
      </c>
      <c r="H828" s="12">
        <v>999</v>
      </c>
      <c r="I828" s="11" t="s">
        <v>16403</v>
      </c>
      <c r="L828" s="11">
        <v>49.069000000000003</v>
      </c>
      <c r="M828" s="11">
        <v>50.335999999999999</v>
      </c>
      <c r="N828" s="11">
        <v>99.013000000000005</v>
      </c>
      <c r="O828" s="11">
        <v>100.005</v>
      </c>
      <c r="P828" s="11">
        <v>114.369</v>
      </c>
      <c r="Q828" s="11">
        <v>115.399</v>
      </c>
      <c r="R828" s="11">
        <v>140.61099999999999</v>
      </c>
      <c r="S828" s="11">
        <v>142.19200000000001</v>
      </c>
      <c r="T828" s="11">
        <v>60.363</v>
      </c>
      <c r="U828" s="11">
        <v>61.267000000000003</v>
      </c>
      <c r="V828" s="11">
        <v>39.637</v>
      </c>
      <c r="W828" s="11">
        <v>38.732999999999997</v>
      </c>
      <c r="X828" s="11">
        <v>12.019</v>
      </c>
      <c r="Y828" s="11">
        <v>9.7569999999999997</v>
      </c>
      <c r="Z828" s="11">
        <v>38.732999999999997</v>
      </c>
      <c r="AA828" s="11">
        <v>39.637</v>
      </c>
      <c r="AB828" s="11">
        <v>13.936</v>
      </c>
      <c r="AC828" s="11">
        <v>17</v>
      </c>
      <c r="AD828" s="11">
        <v>16</v>
      </c>
      <c r="AE828" s="11">
        <v>16</v>
      </c>
      <c r="AF828" s="11">
        <v>16</v>
      </c>
    </row>
    <row r="829" spans="1:32" s="11" customFormat="1" x14ac:dyDescent="0.2">
      <c r="A829" s="11">
        <v>1016</v>
      </c>
      <c r="F829" s="11" t="s">
        <v>16403</v>
      </c>
      <c r="G829" s="11" t="s">
        <v>16403</v>
      </c>
      <c r="H829" s="12">
        <v>999</v>
      </c>
      <c r="I829" s="11" t="s">
        <v>16403</v>
      </c>
      <c r="L829" s="11">
        <v>26.585999999999999</v>
      </c>
      <c r="M829" s="11">
        <v>40.590000000000003</v>
      </c>
      <c r="N829" s="11">
        <v>66.945999999999998</v>
      </c>
      <c r="O829" s="11">
        <v>66.554000000000002</v>
      </c>
      <c r="P829" s="11">
        <v>54.765000000000001</v>
      </c>
      <c r="Q829" s="11">
        <v>54.965000000000003</v>
      </c>
      <c r="R829" s="11">
        <v>100.392</v>
      </c>
      <c r="S829" s="11">
        <v>100.02800000000001</v>
      </c>
      <c r="T829" s="11">
        <v>67.966999999999999</v>
      </c>
      <c r="U829" s="11">
        <v>66.149000000000001</v>
      </c>
      <c r="V829" s="11">
        <v>32.033000000000001</v>
      </c>
      <c r="W829" s="11">
        <v>33.850999999999999</v>
      </c>
      <c r="X829" s="11">
        <v>17.77</v>
      </c>
      <c r="Y829" s="11">
        <v>16.521000000000001</v>
      </c>
      <c r="Z829" s="11">
        <v>33.850999999999999</v>
      </c>
      <c r="AA829" s="11">
        <v>32.033000000000001</v>
      </c>
      <c r="AB829" s="11">
        <v>11.875</v>
      </c>
      <c r="AC829" s="11">
        <v>19</v>
      </c>
      <c r="AD829" s="11">
        <v>16</v>
      </c>
      <c r="AE829" s="11">
        <v>16</v>
      </c>
      <c r="AF829" s="11">
        <v>16</v>
      </c>
    </row>
    <row r="830" spans="1:32" s="11" customFormat="1" x14ac:dyDescent="0.2">
      <c r="A830" s="11">
        <v>1017</v>
      </c>
      <c r="F830" s="11" t="s">
        <v>16403</v>
      </c>
      <c r="G830" s="11" t="s">
        <v>16403</v>
      </c>
      <c r="H830" s="12">
        <v>999</v>
      </c>
      <c r="I830" s="11" t="s">
        <v>16404</v>
      </c>
      <c r="L830" s="11">
        <v>50.195</v>
      </c>
      <c r="M830" s="11">
        <v>46.162999999999997</v>
      </c>
      <c r="N830" s="11">
        <v>96.707999999999998</v>
      </c>
      <c r="O830" s="11">
        <v>97.090999999999994</v>
      </c>
      <c r="P830" s="11">
        <v>121.758</v>
      </c>
      <c r="Q830" s="11">
        <v>121.67</v>
      </c>
      <c r="R830" s="11">
        <v>151.79900000000001</v>
      </c>
      <c r="S830" s="11">
        <v>151.03800000000001</v>
      </c>
      <c r="T830" s="11">
        <v>60.542000000000002</v>
      </c>
      <c r="U830" s="11">
        <v>60.234999999999999</v>
      </c>
      <c r="V830" s="11">
        <v>39.457999999999998</v>
      </c>
      <c r="W830" s="11">
        <v>39.765000000000001</v>
      </c>
      <c r="X830" s="11">
        <v>9.8119999999999994</v>
      </c>
      <c r="Y830" s="11">
        <v>11.186</v>
      </c>
      <c r="Z830" s="11">
        <v>39.765000000000001</v>
      </c>
      <c r="AA830" s="11">
        <v>39.457999999999998</v>
      </c>
      <c r="AB830" s="11">
        <v>9.9740000000000002</v>
      </c>
      <c r="AC830" s="11">
        <v>15</v>
      </c>
      <c r="AD830" s="11">
        <v>15</v>
      </c>
      <c r="AE830" s="11">
        <v>15</v>
      </c>
      <c r="AF830" s="11">
        <v>15</v>
      </c>
    </row>
    <row r="831" spans="1:32" s="11" customFormat="1" x14ac:dyDescent="0.2">
      <c r="A831" s="11">
        <v>1018</v>
      </c>
      <c r="F831" s="11" t="s">
        <v>16403</v>
      </c>
      <c r="G831" s="11" t="s">
        <v>16403</v>
      </c>
      <c r="H831" s="12">
        <v>999</v>
      </c>
      <c r="I831" s="11" t="s">
        <v>16403</v>
      </c>
      <c r="L831" s="11">
        <v>49.423999999999999</v>
      </c>
      <c r="M831" s="11">
        <v>50.253999999999998</v>
      </c>
      <c r="N831" s="11">
        <v>99.908000000000001</v>
      </c>
      <c r="O831" s="11">
        <v>99.533000000000001</v>
      </c>
      <c r="P831" s="11">
        <v>93.685000000000002</v>
      </c>
      <c r="Q831" s="11">
        <v>93.423000000000002</v>
      </c>
      <c r="R831" s="11">
        <v>112.654</v>
      </c>
      <c r="S831" s="11">
        <v>112.869</v>
      </c>
      <c r="T831" s="11">
        <v>63.4</v>
      </c>
      <c r="U831" s="11">
        <v>61.497999999999998</v>
      </c>
      <c r="V831" s="11">
        <v>36.6</v>
      </c>
      <c r="W831" s="11">
        <v>38.502000000000002</v>
      </c>
      <c r="X831" s="11">
        <v>13.683999999999999</v>
      </c>
      <c r="Y831" s="11">
        <v>11.058</v>
      </c>
      <c r="Z831" s="11">
        <v>38.502000000000002</v>
      </c>
      <c r="AA831" s="11">
        <v>36.6</v>
      </c>
      <c r="AB831" s="11">
        <v>12.342000000000001</v>
      </c>
      <c r="AC831" s="11">
        <v>14</v>
      </c>
      <c r="AD831" s="11">
        <v>11</v>
      </c>
      <c r="AE831" s="11">
        <v>11</v>
      </c>
      <c r="AF831" s="11">
        <v>11</v>
      </c>
    </row>
    <row r="832" spans="1:32" s="11" customFormat="1" x14ac:dyDescent="0.2">
      <c r="A832" s="11">
        <v>1019</v>
      </c>
      <c r="F832" s="11" t="s">
        <v>16403</v>
      </c>
      <c r="G832" s="11" t="s">
        <v>16403</v>
      </c>
      <c r="H832" s="12">
        <v>999</v>
      </c>
      <c r="I832" s="11" t="s">
        <v>16403</v>
      </c>
      <c r="L832" s="11">
        <v>49.082999999999998</v>
      </c>
      <c r="M832" s="11">
        <v>50.926000000000002</v>
      </c>
      <c r="N832" s="11">
        <v>100.14</v>
      </c>
      <c r="O832" s="11">
        <v>100.10599999999999</v>
      </c>
      <c r="P832" s="11">
        <v>84.71</v>
      </c>
      <c r="Q832" s="11">
        <v>84.918000000000006</v>
      </c>
      <c r="R832" s="11">
        <v>101.86</v>
      </c>
      <c r="S832" s="11">
        <v>101.76900000000001</v>
      </c>
      <c r="T832" s="11">
        <v>64.054000000000002</v>
      </c>
      <c r="U832" s="11">
        <v>64.201999999999998</v>
      </c>
      <c r="V832" s="11">
        <v>35.945999999999998</v>
      </c>
      <c r="W832" s="11">
        <v>35.798000000000002</v>
      </c>
      <c r="X832" s="11">
        <v>15.907999999999999</v>
      </c>
      <c r="Y832" s="11">
        <v>13.012</v>
      </c>
      <c r="Z832" s="11">
        <v>35.798000000000002</v>
      </c>
      <c r="AA832" s="11">
        <v>35.945999999999998</v>
      </c>
      <c r="AB832" s="11">
        <v>10.212</v>
      </c>
      <c r="AC832" s="11">
        <v>14</v>
      </c>
      <c r="AD832" s="11">
        <v>10</v>
      </c>
      <c r="AE832" s="11">
        <v>10</v>
      </c>
      <c r="AF832" s="11">
        <v>10</v>
      </c>
    </row>
    <row r="833" spans="1:32" s="11" customFormat="1" x14ac:dyDescent="0.2">
      <c r="A833" s="11">
        <v>1020</v>
      </c>
      <c r="F833" s="11" t="s">
        <v>16403</v>
      </c>
      <c r="G833" s="11" t="s">
        <v>16403</v>
      </c>
      <c r="H833" s="12">
        <v>999</v>
      </c>
      <c r="I833" s="11" t="s">
        <v>16403</v>
      </c>
      <c r="L833" s="11">
        <v>41.104999999999997</v>
      </c>
      <c r="M833" s="11">
        <v>36.593000000000004</v>
      </c>
      <c r="N833" s="11">
        <v>78.644999999999996</v>
      </c>
      <c r="O833" s="11">
        <v>78.040000000000006</v>
      </c>
      <c r="P833" s="11">
        <v>32.631999999999998</v>
      </c>
      <c r="Q833" s="11">
        <v>32.249000000000002</v>
      </c>
      <c r="R833" s="11">
        <v>49.55</v>
      </c>
      <c r="S833" s="11">
        <v>49.048999999999999</v>
      </c>
      <c r="T833" s="11">
        <v>75.218000000000004</v>
      </c>
      <c r="U833" s="11">
        <v>77.484999999999999</v>
      </c>
      <c r="V833" s="11">
        <v>24.782</v>
      </c>
      <c r="W833" s="11">
        <v>22.513999999999999</v>
      </c>
      <c r="X833" s="11">
        <v>27.228999999999999</v>
      </c>
      <c r="Y833" s="11">
        <v>26.052</v>
      </c>
      <c r="Z833" s="11">
        <v>22.513999999999999</v>
      </c>
      <c r="AA833" s="11">
        <v>24.782</v>
      </c>
      <c r="AB833" s="11">
        <v>9.3230000000000004</v>
      </c>
      <c r="AC833" s="11">
        <v>11</v>
      </c>
      <c r="AD833" s="11">
        <v>11</v>
      </c>
      <c r="AE833" s="11">
        <v>11</v>
      </c>
      <c r="AF833" s="11">
        <v>11</v>
      </c>
    </row>
    <row r="834" spans="1:32" s="11" customFormat="1" x14ac:dyDescent="0.2">
      <c r="A834" s="11">
        <v>1021</v>
      </c>
      <c r="F834" s="11" t="s">
        <v>16403</v>
      </c>
      <c r="G834" s="11" t="s">
        <v>16403</v>
      </c>
      <c r="H834" s="12">
        <v>999</v>
      </c>
      <c r="I834" s="11" t="s">
        <v>16403</v>
      </c>
      <c r="L834" s="11">
        <v>41.646000000000001</v>
      </c>
      <c r="M834" s="11">
        <v>44.790999999999997</v>
      </c>
      <c r="N834" s="11">
        <v>85.837999999999994</v>
      </c>
      <c r="O834" s="11">
        <v>87.864999999999995</v>
      </c>
      <c r="P834" s="11">
        <v>111.21899999999999</v>
      </c>
      <c r="Q834" s="11">
        <v>112.67100000000001</v>
      </c>
      <c r="R834" s="11">
        <v>154.67500000000001</v>
      </c>
      <c r="S834" s="11">
        <v>153.292</v>
      </c>
      <c r="T834" s="11">
        <v>60.206000000000003</v>
      </c>
      <c r="U834" s="11">
        <v>62.072000000000003</v>
      </c>
      <c r="V834" s="11">
        <v>39.793999999999997</v>
      </c>
      <c r="W834" s="11">
        <v>37.927999999999997</v>
      </c>
      <c r="X834" s="11">
        <v>11.461</v>
      </c>
      <c r="Y834" s="11">
        <v>10.260999999999999</v>
      </c>
      <c r="Z834" s="11">
        <v>37.927999999999997</v>
      </c>
      <c r="AA834" s="11">
        <v>39.793999999999997</v>
      </c>
      <c r="AB834" s="11">
        <v>9.6379999999999999</v>
      </c>
      <c r="AC834" s="11">
        <v>16</v>
      </c>
      <c r="AD834" s="11">
        <v>15</v>
      </c>
      <c r="AE834" s="11">
        <v>15</v>
      </c>
      <c r="AF834" s="11">
        <v>15</v>
      </c>
    </row>
    <row r="835" spans="1:32" s="11" customFormat="1" x14ac:dyDescent="0.2">
      <c r="A835" s="11">
        <v>1022</v>
      </c>
      <c r="F835" s="11" t="s">
        <v>16403</v>
      </c>
      <c r="G835" s="11" t="s">
        <v>16403</v>
      </c>
      <c r="H835" s="12">
        <v>999</v>
      </c>
      <c r="I835" s="11" t="s">
        <v>16403</v>
      </c>
      <c r="L835" s="11">
        <v>37.502000000000002</v>
      </c>
      <c r="M835" s="11">
        <v>37.088999999999999</v>
      </c>
      <c r="N835" s="11">
        <v>74.081999999999994</v>
      </c>
      <c r="O835" s="11">
        <v>74.799000000000007</v>
      </c>
      <c r="P835" s="11">
        <v>93.022999999999996</v>
      </c>
      <c r="Q835" s="11">
        <v>93.213999999999999</v>
      </c>
      <c r="R835" s="11">
        <v>150.88900000000001</v>
      </c>
      <c r="S835" s="11">
        <v>150.36099999999999</v>
      </c>
      <c r="T835" s="11">
        <v>64.933000000000007</v>
      </c>
      <c r="U835" s="11">
        <v>63.226999999999997</v>
      </c>
      <c r="V835" s="11">
        <v>35.067</v>
      </c>
      <c r="W835" s="11">
        <v>36.773000000000003</v>
      </c>
      <c r="X835" s="11">
        <v>13.919</v>
      </c>
      <c r="Y835" s="11">
        <v>14.326000000000001</v>
      </c>
      <c r="Z835" s="11">
        <v>36.773000000000003</v>
      </c>
      <c r="AA835" s="11">
        <v>35.067</v>
      </c>
      <c r="AB835" s="11">
        <v>20.498000000000001</v>
      </c>
      <c r="AC835" s="11">
        <v>19</v>
      </c>
      <c r="AD835" s="11">
        <v>22</v>
      </c>
      <c r="AE835" s="11">
        <v>19</v>
      </c>
      <c r="AF835" s="11">
        <v>19</v>
      </c>
    </row>
    <row r="836" spans="1:32" s="11" customFormat="1" x14ac:dyDescent="0.2">
      <c r="A836" s="11">
        <v>1023</v>
      </c>
      <c r="F836" s="11" t="s">
        <v>16403</v>
      </c>
      <c r="G836" s="11" t="s">
        <v>16403</v>
      </c>
      <c r="H836" s="12">
        <v>999</v>
      </c>
      <c r="I836" s="11" t="s">
        <v>16407</v>
      </c>
      <c r="L836" s="11">
        <v>43.308999999999997</v>
      </c>
      <c r="M836" s="11">
        <v>44.524999999999999</v>
      </c>
      <c r="N836" s="11">
        <v>87.965999999999994</v>
      </c>
      <c r="O836" s="11">
        <v>87.644999999999996</v>
      </c>
      <c r="P836" s="11">
        <v>81.23</v>
      </c>
      <c r="Q836" s="11">
        <v>81.182000000000002</v>
      </c>
      <c r="R836" s="11">
        <v>110.666</v>
      </c>
      <c r="S836" s="11">
        <v>110.605</v>
      </c>
      <c r="T836" s="11">
        <v>64.765000000000001</v>
      </c>
      <c r="U836" s="11">
        <v>65.811000000000007</v>
      </c>
      <c r="V836" s="11">
        <v>35.234999999999999</v>
      </c>
      <c r="W836" s="11">
        <v>34.189</v>
      </c>
      <c r="X836" s="11">
        <v>14.882</v>
      </c>
      <c r="Y836" s="11">
        <v>15.692</v>
      </c>
      <c r="Z836" s="11">
        <v>34.189</v>
      </c>
      <c r="AA836" s="11">
        <v>35.234999999999999</v>
      </c>
      <c r="AB836" s="11">
        <v>12.428000000000001</v>
      </c>
      <c r="AC836" s="11">
        <v>12</v>
      </c>
      <c r="AD836" s="11">
        <v>11</v>
      </c>
      <c r="AE836" s="11">
        <v>11</v>
      </c>
      <c r="AF836" s="11">
        <v>11</v>
      </c>
    </row>
    <row r="837" spans="1:32" s="11" customFormat="1" x14ac:dyDescent="0.2">
      <c r="A837" s="11">
        <v>1024</v>
      </c>
      <c r="F837" s="11" t="s">
        <v>16403</v>
      </c>
      <c r="G837" s="11" t="s">
        <v>16403</v>
      </c>
      <c r="H837" s="12">
        <v>999</v>
      </c>
      <c r="I837" s="11" t="s">
        <v>16403</v>
      </c>
      <c r="L837" s="11">
        <v>60.295999999999999</v>
      </c>
      <c r="M837" s="11">
        <v>61.124000000000002</v>
      </c>
      <c r="N837" s="11">
        <v>122.874</v>
      </c>
      <c r="O837" s="11">
        <v>120.697</v>
      </c>
      <c r="P837" s="11">
        <v>103.325</v>
      </c>
      <c r="Q837" s="11">
        <v>101.244</v>
      </c>
      <c r="R837" s="11">
        <v>101.29900000000001</v>
      </c>
      <c r="S837" s="11">
        <v>100.129</v>
      </c>
      <c r="T837" s="11">
        <v>64.021000000000001</v>
      </c>
      <c r="U837" s="11">
        <v>62.851999999999997</v>
      </c>
      <c r="V837" s="11">
        <v>35.978999999999999</v>
      </c>
      <c r="W837" s="11">
        <v>37.148000000000003</v>
      </c>
      <c r="X837" s="11">
        <v>13.555999999999999</v>
      </c>
      <c r="Y837" s="11">
        <v>13.532</v>
      </c>
      <c r="Z837" s="11">
        <v>37.148000000000003</v>
      </c>
      <c r="AA837" s="11">
        <v>35.978999999999999</v>
      </c>
      <c r="AB837" s="11">
        <v>11.332000000000001</v>
      </c>
      <c r="AC837" s="11">
        <v>10</v>
      </c>
      <c r="AD837" s="11">
        <v>11</v>
      </c>
      <c r="AE837" s="11">
        <v>10</v>
      </c>
      <c r="AF837" s="11">
        <v>10</v>
      </c>
    </row>
    <row r="838" spans="1:32" s="11" customFormat="1" x14ac:dyDescent="0.2">
      <c r="A838" s="11">
        <v>1025</v>
      </c>
      <c r="F838" s="11" t="s">
        <v>16403</v>
      </c>
      <c r="G838" s="11" t="s">
        <v>16403</v>
      </c>
      <c r="H838" s="12">
        <v>999</v>
      </c>
      <c r="I838" s="11" t="s">
        <v>16403</v>
      </c>
      <c r="L838" s="11">
        <v>22.835999999999999</v>
      </c>
      <c r="M838" s="11">
        <v>16.167000000000002</v>
      </c>
      <c r="N838" s="11">
        <v>37.954000000000001</v>
      </c>
      <c r="O838" s="11">
        <v>41.509</v>
      </c>
      <c r="P838" s="11">
        <v>40.692999999999998</v>
      </c>
      <c r="Q838" s="11">
        <v>42.645000000000003</v>
      </c>
      <c r="R838" s="11">
        <v>136.43100000000001</v>
      </c>
      <c r="S838" s="11">
        <v>133.91200000000001</v>
      </c>
      <c r="T838" s="11">
        <v>75.802000000000007</v>
      </c>
      <c r="U838" s="11">
        <v>74.063000000000002</v>
      </c>
      <c r="V838" s="11">
        <v>24.198</v>
      </c>
      <c r="W838" s="11">
        <v>25.937000000000001</v>
      </c>
      <c r="X838" s="11">
        <v>25.026</v>
      </c>
      <c r="Y838" s="11">
        <v>25.495000000000001</v>
      </c>
      <c r="Z838" s="11">
        <v>25.937000000000001</v>
      </c>
      <c r="AA838" s="11">
        <v>24.198</v>
      </c>
      <c r="AB838" s="11">
        <v>14.305</v>
      </c>
      <c r="AC838" s="11">
        <v>11</v>
      </c>
      <c r="AD838" s="11">
        <v>11</v>
      </c>
      <c r="AE838" s="11">
        <v>11</v>
      </c>
      <c r="AF838" s="11">
        <v>11</v>
      </c>
    </row>
    <row r="839" spans="1:32" s="11" customFormat="1" x14ac:dyDescent="0.2">
      <c r="A839" s="11">
        <v>1026</v>
      </c>
      <c r="F839" s="11" t="s">
        <v>16403</v>
      </c>
      <c r="G839" s="11" t="s">
        <v>16403</v>
      </c>
      <c r="H839" s="12">
        <v>999</v>
      </c>
      <c r="I839" s="11" t="s">
        <v>16403</v>
      </c>
      <c r="L839" s="11">
        <v>57.043999999999997</v>
      </c>
      <c r="M839" s="11">
        <v>53.247</v>
      </c>
      <c r="N839" s="11">
        <v>108.813</v>
      </c>
      <c r="O839" s="11">
        <v>110.291</v>
      </c>
      <c r="P839" s="11">
        <v>112.492</v>
      </c>
      <c r="Q839" s="11">
        <v>113.438</v>
      </c>
      <c r="R839" s="11">
        <v>123.04</v>
      </c>
      <c r="S839" s="11">
        <v>123.58799999999999</v>
      </c>
      <c r="T839" s="11">
        <v>64.754999999999995</v>
      </c>
      <c r="U839" s="11">
        <v>66.731999999999999</v>
      </c>
      <c r="V839" s="11">
        <v>35.244</v>
      </c>
      <c r="W839" s="11">
        <v>33.268000000000001</v>
      </c>
      <c r="X839" s="11">
        <v>15.048</v>
      </c>
      <c r="Y839" s="11">
        <v>16.3</v>
      </c>
      <c r="Z839" s="11">
        <v>33.268000000000001</v>
      </c>
      <c r="AA839" s="11">
        <v>35.244</v>
      </c>
      <c r="AB839" s="11">
        <v>5.6879999999999997</v>
      </c>
      <c r="AC839" s="11">
        <v>10</v>
      </c>
      <c r="AD839" s="11">
        <v>15</v>
      </c>
      <c r="AE839" s="11">
        <v>10</v>
      </c>
      <c r="AF839" s="11">
        <v>10</v>
      </c>
    </row>
    <row r="840" spans="1:32" s="11" customFormat="1" x14ac:dyDescent="0.2">
      <c r="A840" s="11">
        <v>1027</v>
      </c>
      <c r="F840" s="11" t="s">
        <v>16403</v>
      </c>
      <c r="G840" s="11" t="s">
        <v>16403</v>
      </c>
      <c r="H840" s="12">
        <v>999</v>
      </c>
      <c r="I840" s="11" t="s">
        <v>16403</v>
      </c>
      <c r="L840" s="11">
        <v>28.73</v>
      </c>
      <c r="M840" s="11">
        <v>30.265000000000001</v>
      </c>
      <c r="N840" s="11">
        <v>59.279000000000003</v>
      </c>
      <c r="O840" s="11">
        <v>59.194000000000003</v>
      </c>
      <c r="P840" s="11">
        <v>49.091000000000001</v>
      </c>
      <c r="Q840" s="11">
        <v>49.188000000000002</v>
      </c>
      <c r="R840" s="11">
        <v>99.658000000000001</v>
      </c>
      <c r="S840" s="11">
        <v>99.320999999999998</v>
      </c>
      <c r="T840" s="11">
        <v>68.594999999999999</v>
      </c>
      <c r="U840" s="11">
        <v>71.108000000000004</v>
      </c>
      <c r="V840" s="11">
        <v>31.405000000000001</v>
      </c>
      <c r="W840" s="11">
        <v>28.891999999999999</v>
      </c>
      <c r="X840" s="11">
        <v>22.248999999999999</v>
      </c>
      <c r="Y840" s="11">
        <v>17.561</v>
      </c>
      <c r="Z840" s="11">
        <v>28.891999999999999</v>
      </c>
      <c r="AA840" s="11">
        <v>31.405000000000001</v>
      </c>
      <c r="AB840" s="11">
        <v>14.72</v>
      </c>
      <c r="AC840" s="11">
        <v>18</v>
      </c>
      <c r="AD840" s="11">
        <v>18</v>
      </c>
      <c r="AE840" s="11">
        <v>18</v>
      </c>
      <c r="AF840" s="11">
        <v>18</v>
      </c>
    </row>
    <row r="841" spans="1:32" s="11" customFormat="1" x14ac:dyDescent="0.2">
      <c r="A841" s="11">
        <v>1028</v>
      </c>
      <c r="F841" s="11" t="s">
        <v>16403</v>
      </c>
      <c r="G841" s="11" t="s">
        <v>16403</v>
      </c>
      <c r="H841" s="12">
        <v>999</v>
      </c>
      <c r="I841" s="11" t="s">
        <v>16403</v>
      </c>
      <c r="L841" s="11">
        <v>62.628</v>
      </c>
      <c r="M841" s="11">
        <v>64.474999999999994</v>
      </c>
      <c r="N841" s="11">
        <v>126.511</v>
      </c>
      <c r="O841" s="11">
        <v>127.63</v>
      </c>
      <c r="P841" s="11">
        <v>121.014</v>
      </c>
      <c r="Q841" s="11">
        <v>121.602</v>
      </c>
      <c r="R841" s="11">
        <v>114.102</v>
      </c>
      <c r="S841" s="11">
        <v>114.538</v>
      </c>
      <c r="T841" s="11">
        <v>65.159000000000006</v>
      </c>
      <c r="U841" s="11">
        <v>64.106999999999999</v>
      </c>
      <c r="V841" s="11">
        <v>34.841000000000001</v>
      </c>
      <c r="W841" s="11">
        <v>35.893000000000001</v>
      </c>
      <c r="X841" s="11">
        <v>14.938000000000001</v>
      </c>
      <c r="Y841" s="11">
        <v>14.494999999999999</v>
      </c>
      <c r="Z841" s="11">
        <v>35.893000000000001</v>
      </c>
      <c r="AA841" s="11">
        <v>34.841000000000001</v>
      </c>
      <c r="AB841" s="11">
        <v>12.066000000000001</v>
      </c>
      <c r="AC841" s="11">
        <v>10</v>
      </c>
      <c r="AD841" s="11">
        <v>8</v>
      </c>
      <c r="AE841" s="11">
        <v>8</v>
      </c>
      <c r="AF841" s="11">
        <v>8</v>
      </c>
    </row>
    <row r="842" spans="1:32" s="11" customFormat="1" x14ac:dyDescent="0.2">
      <c r="A842" s="11">
        <v>1029</v>
      </c>
      <c r="F842" s="11" t="s">
        <v>16403</v>
      </c>
      <c r="G842" s="11" t="s">
        <v>16403</v>
      </c>
      <c r="H842" s="12">
        <v>999</v>
      </c>
      <c r="I842" s="11" t="s">
        <v>16403</v>
      </c>
      <c r="L842" s="11">
        <v>58.639000000000003</v>
      </c>
      <c r="M842" s="11">
        <v>66.781000000000006</v>
      </c>
      <c r="N842" s="11">
        <v>125.56399999999999</v>
      </c>
      <c r="O842" s="11">
        <v>126.012</v>
      </c>
      <c r="P842" s="11">
        <v>115.92100000000001</v>
      </c>
      <c r="Q842" s="11">
        <v>116.97499999999999</v>
      </c>
      <c r="R842" s="11">
        <v>111.479</v>
      </c>
      <c r="S842" s="11">
        <v>111.17</v>
      </c>
      <c r="T842" s="11">
        <v>60.064999999999998</v>
      </c>
      <c r="U842" s="11">
        <v>63.505000000000003</v>
      </c>
      <c r="V842" s="11">
        <v>39.935000000000002</v>
      </c>
      <c r="W842" s="11">
        <v>36.494999999999997</v>
      </c>
      <c r="X842" s="11">
        <v>10.763</v>
      </c>
      <c r="Y842" s="11">
        <v>13.115</v>
      </c>
      <c r="Z842" s="11">
        <v>36.494999999999997</v>
      </c>
      <c r="AA842" s="11">
        <v>39.935000000000002</v>
      </c>
      <c r="AB842" s="11">
        <v>11.222</v>
      </c>
      <c r="AC842" s="11">
        <v>11</v>
      </c>
      <c r="AD842" s="11">
        <v>10</v>
      </c>
      <c r="AE842" s="11">
        <v>10</v>
      </c>
      <c r="AF842" s="11">
        <v>10</v>
      </c>
    </row>
    <row r="843" spans="1:32" s="11" customFormat="1" x14ac:dyDescent="0.2">
      <c r="A843" s="11">
        <v>1030</v>
      </c>
      <c r="F843" s="11" t="s">
        <v>16403</v>
      </c>
      <c r="G843" s="11" t="s">
        <v>16403</v>
      </c>
      <c r="H843" s="12">
        <v>999</v>
      </c>
      <c r="I843" s="11" t="s">
        <v>16403</v>
      </c>
      <c r="L843" s="11">
        <v>48.255000000000003</v>
      </c>
      <c r="M843" s="11">
        <v>50.38</v>
      </c>
      <c r="N843" s="11">
        <v>100.367</v>
      </c>
      <c r="O843" s="11">
        <v>98.295000000000002</v>
      </c>
      <c r="P843" s="11">
        <v>91.218999999999994</v>
      </c>
      <c r="Q843" s="11">
        <v>90.906000000000006</v>
      </c>
      <c r="R843" s="11">
        <v>108.913</v>
      </c>
      <c r="S843" s="11">
        <v>109.41200000000001</v>
      </c>
      <c r="T843" s="11">
        <v>64.200999999999993</v>
      </c>
      <c r="U843" s="11">
        <v>63.465000000000003</v>
      </c>
      <c r="V843" s="11">
        <v>35.798999999999999</v>
      </c>
      <c r="W843" s="11">
        <v>36.534999999999997</v>
      </c>
      <c r="X843" s="11">
        <v>14.49</v>
      </c>
      <c r="Y843" s="11">
        <v>13.439</v>
      </c>
      <c r="Z843" s="11">
        <v>36.534999999999997</v>
      </c>
      <c r="AA843" s="11">
        <v>35.798999999999999</v>
      </c>
      <c r="AB843" s="11">
        <v>12.477</v>
      </c>
      <c r="AC843" s="11">
        <v>9</v>
      </c>
      <c r="AD843" s="11">
        <v>11</v>
      </c>
      <c r="AE843" s="11">
        <v>9</v>
      </c>
      <c r="AF843" s="11">
        <v>9</v>
      </c>
    </row>
    <row r="844" spans="1:32" s="11" customFormat="1" x14ac:dyDescent="0.2">
      <c r="A844" s="11">
        <v>1031</v>
      </c>
      <c r="F844" s="11" t="s">
        <v>16403</v>
      </c>
      <c r="G844" s="11" t="s">
        <v>16403</v>
      </c>
      <c r="H844" s="12">
        <v>999</v>
      </c>
      <c r="I844" s="11" t="s">
        <v>16403</v>
      </c>
      <c r="L844" s="11">
        <v>56.828000000000003</v>
      </c>
      <c r="M844" s="11">
        <v>59.253</v>
      </c>
      <c r="N844" s="11">
        <v>116.035</v>
      </c>
      <c r="O844" s="11">
        <v>115.125</v>
      </c>
      <c r="P844" s="11">
        <v>92.355999999999995</v>
      </c>
      <c r="Q844" s="11">
        <v>90.744</v>
      </c>
      <c r="R844" s="11">
        <v>95.185000000000002</v>
      </c>
      <c r="S844" s="11">
        <v>94.668999999999997</v>
      </c>
      <c r="T844" s="11">
        <v>64.245999999999995</v>
      </c>
      <c r="U844" s="11">
        <v>61.399000000000001</v>
      </c>
      <c r="V844" s="11">
        <v>35.753999999999998</v>
      </c>
      <c r="W844" s="11">
        <v>38.600999999999999</v>
      </c>
      <c r="X844" s="11">
        <v>12.428000000000001</v>
      </c>
      <c r="Y844" s="11">
        <v>13.349</v>
      </c>
      <c r="Z844" s="11">
        <v>38.600999999999999</v>
      </c>
      <c r="AA844" s="11">
        <v>35.753999999999998</v>
      </c>
      <c r="AB844" s="11">
        <v>11.932</v>
      </c>
      <c r="AC844" s="11">
        <v>15</v>
      </c>
      <c r="AD844" s="11">
        <v>14</v>
      </c>
      <c r="AE844" s="11">
        <v>14</v>
      </c>
      <c r="AF844" s="11">
        <v>14</v>
      </c>
    </row>
    <row r="845" spans="1:32" s="11" customFormat="1" x14ac:dyDescent="0.2">
      <c r="A845" s="11">
        <v>1032</v>
      </c>
      <c r="F845" s="11" t="s">
        <v>16403</v>
      </c>
      <c r="G845" s="11" t="s">
        <v>16403</v>
      </c>
      <c r="H845" s="12">
        <v>999</v>
      </c>
      <c r="I845" s="11" t="s">
        <v>16404</v>
      </c>
      <c r="L845" s="11">
        <v>38.218000000000004</v>
      </c>
      <c r="M845" s="11">
        <v>41.399000000000001</v>
      </c>
      <c r="N845" s="11">
        <v>79.662999999999997</v>
      </c>
      <c r="O845" s="11">
        <v>79.637</v>
      </c>
      <c r="P845" s="11">
        <v>75.162000000000006</v>
      </c>
      <c r="Q845" s="11">
        <v>74.56</v>
      </c>
      <c r="R845" s="11">
        <v>112.953</v>
      </c>
      <c r="S845" s="11">
        <v>112.887</v>
      </c>
      <c r="T845" s="11">
        <v>65.301000000000002</v>
      </c>
      <c r="U845" s="11">
        <v>66.034999999999997</v>
      </c>
      <c r="V845" s="11">
        <v>34.698999999999998</v>
      </c>
      <c r="W845" s="11">
        <v>33.965000000000003</v>
      </c>
      <c r="X845" s="11">
        <v>16.244</v>
      </c>
      <c r="Y845" s="11">
        <v>15.436</v>
      </c>
      <c r="Z845" s="11">
        <v>33.965000000000003</v>
      </c>
      <c r="AA845" s="11">
        <v>34.698999999999998</v>
      </c>
      <c r="AB845" s="11">
        <v>20.552</v>
      </c>
      <c r="AC845" s="11">
        <v>14</v>
      </c>
      <c r="AD845" s="11">
        <v>13</v>
      </c>
      <c r="AE845" s="11">
        <v>13</v>
      </c>
      <c r="AF845" s="11">
        <v>13</v>
      </c>
    </row>
    <row r="846" spans="1:32" s="11" customFormat="1" x14ac:dyDescent="0.2">
      <c r="A846" s="11">
        <v>1033</v>
      </c>
      <c r="F846" s="11" t="s">
        <v>16403</v>
      </c>
      <c r="G846" s="11" t="s">
        <v>16403</v>
      </c>
      <c r="H846" s="12">
        <v>999</v>
      </c>
      <c r="I846" s="11" t="s">
        <v>16403</v>
      </c>
      <c r="L846" s="11">
        <v>70.644999999999996</v>
      </c>
      <c r="M846" s="11">
        <v>68.251000000000005</v>
      </c>
      <c r="N846" s="11">
        <v>139.77099999999999</v>
      </c>
      <c r="O846" s="11">
        <v>139.90799999999999</v>
      </c>
      <c r="P846" s="11">
        <v>141.78299999999999</v>
      </c>
      <c r="Q846" s="11">
        <v>141.577</v>
      </c>
      <c r="R846" s="11">
        <v>122.753</v>
      </c>
      <c r="S846" s="11">
        <v>122.988</v>
      </c>
      <c r="T846" s="11">
        <v>59.648000000000003</v>
      </c>
      <c r="U846" s="11">
        <v>58.207000000000001</v>
      </c>
      <c r="V846" s="11">
        <v>40.351999999999997</v>
      </c>
      <c r="W846" s="11">
        <v>41.792999999999999</v>
      </c>
      <c r="X846" s="11">
        <v>9.3859999999999992</v>
      </c>
      <c r="Y846" s="11">
        <v>9.2309999999999999</v>
      </c>
      <c r="Z846" s="11">
        <v>41.792999999999999</v>
      </c>
      <c r="AA846" s="11">
        <v>40.351999999999997</v>
      </c>
      <c r="AB846" s="11">
        <v>12.385</v>
      </c>
      <c r="AC846" s="11">
        <v>5</v>
      </c>
      <c r="AD846" s="11">
        <v>5</v>
      </c>
      <c r="AE846" s="11">
        <v>5</v>
      </c>
      <c r="AF846" s="11">
        <v>5</v>
      </c>
    </row>
    <row r="847" spans="1:32" s="11" customFormat="1" x14ac:dyDescent="0.2">
      <c r="A847" s="11">
        <v>1034</v>
      </c>
      <c r="F847" s="11" t="s">
        <v>16403</v>
      </c>
      <c r="G847" s="11" t="s">
        <v>16403</v>
      </c>
      <c r="H847" s="12">
        <v>999</v>
      </c>
      <c r="I847" s="11" t="s">
        <v>16403</v>
      </c>
      <c r="L847" s="11">
        <v>57.082000000000001</v>
      </c>
      <c r="M847" s="11">
        <v>55.694000000000003</v>
      </c>
      <c r="N847" s="11">
        <v>113.06699999999999</v>
      </c>
      <c r="O847" s="11">
        <v>112.45</v>
      </c>
      <c r="P847" s="11">
        <v>116.15300000000001</v>
      </c>
      <c r="Q847" s="11">
        <v>115.134</v>
      </c>
      <c r="R847" s="11">
        <v>123.024</v>
      </c>
      <c r="S847" s="11">
        <v>122.42100000000001</v>
      </c>
      <c r="T847" s="11">
        <v>61.648000000000003</v>
      </c>
      <c r="U847" s="11">
        <v>61.481999999999999</v>
      </c>
      <c r="V847" s="11">
        <v>38.351999999999997</v>
      </c>
      <c r="W847" s="11">
        <v>38.518000000000001</v>
      </c>
      <c r="X847" s="11">
        <v>10.151</v>
      </c>
      <c r="Y847" s="11">
        <v>13.124000000000001</v>
      </c>
      <c r="Z847" s="11">
        <v>38.518000000000001</v>
      </c>
      <c r="AA847" s="11">
        <v>38.351999999999997</v>
      </c>
      <c r="AB847" s="11">
        <v>12.02</v>
      </c>
      <c r="AC847" s="11">
        <v>10</v>
      </c>
      <c r="AD847" s="11">
        <v>9</v>
      </c>
      <c r="AE847" s="11">
        <v>9</v>
      </c>
      <c r="AF847" s="11">
        <v>9</v>
      </c>
    </row>
    <row r="848" spans="1:32" s="11" customFormat="1" x14ac:dyDescent="0.2">
      <c r="A848" s="11">
        <v>1035</v>
      </c>
      <c r="F848" s="11" t="s">
        <v>16403</v>
      </c>
      <c r="G848" s="11" t="s">
        <v>16403</v>
      </c>
      <c r="H848" s="12">
        <v>999</v>
      </c>
      <c r="I848" s="11" t="s">
        <v>16403</v>
      </c>
      <c r="L848" s="11">
        <v>57.085000000000001</v>
      </c>
      <c r="M848" s="11">
        <v>58.488</v>
      </c>
      <c r="N848" s="11">
        <v>115.86799999999999</v>
      </c>
      <c r="O848" s="11">
        <v>115.401</v>
      </c>
      <c r="P848" s="11">
        <v>112.393</v>
      </c>
      <c r="Q848" s="11">
        <v>112.301</v>
      </c>
      <c r="R848" s="11">
        <v>116.083</v>
      </c>
      <c r="S848" s="11">
        <v>116.155</v>
      </c>
      <c r="T848" s="11">
        <v>60.734000000000002</v>
      </c>
      <c r="U848" s="11">
        <v>57.828000000000003</v>
      </c>
      <c r="V848" s="11">
        <v>39.265999999999998</v>
      </c>
      <c r="W848" s="11">
        <v>42.171999999999997</v>
      </c>
      <c r="X848" s="11">
        <v>9.0909999999999993</v>
      </c>
      <c r="Y848" s="11">
        <v>9.9220000000000006</v>
      </c>
      <c r="Z848" s="11">
        <v>42.171999999999997</v>
      </c>
      <c r="AA848" s="11">
        <v>39.265999999999998</v>
      </c>
      <c r="AB848" s="11">
        <v>11.391999999999999</v>
      </c>
      <c r="AC848" s="11">
        <v>11</v>
      </c>
      <c r="AD848" s="11">
        <v>10</v>
      </c>
      <c r="AE848" s="11">
        <v>10</v>
      </c>
      <c r="AF848" s="11">
        <v>10</v>
      </c>
    </row>
    <row r="849" spans="1:32" s="11" customFormat="1" x14ac:dyDescent="0.2">
      <c r="A849" s="11">
        <v>1036</v>
      </c>
      <c r="F849" s="11" t="s">
        <v>16403</v>
      </c>
      <c r="G849" s="11" t="s">
        <v>16403</v>
      </c>
      <c r="H849" s="12">
        <v>999</v>
      </c>
      <c r="I849" s="11" t="s">
        <v>16403</v>
      </c>
      <c r="L849" s="11">
        <v>52.56</v>
      </c>
      <c r="M849" s="11">
        <v>60.546999999999997</v>
      </c>
      <c r="N849" s="11">
        <v>113.425</v>
      </c>
      <c r="O849" s="11">
        <v>113.43899999999999</v>
      </c>
      <c r="P849" s="11">
        <v>106.664</v>
      </c>
      <c r="Q849" s="11">
        <v>106.26600000000001</v>
      </c>
      <c r="R849" s="11">
        <v>112.289</v>
      </c>
      <c r="S849" s="11">
        <v>111.998</v>
      </c>
      <c r="T849" s="11">
        <v>64.191999999999993</v>
      </c>
      <c r="U849" s="11">
        <v>63.850999999999999</v>
      </c>
      <c r="V849" s="11">
        <v>35.808</v>
      </c>
      <c r="W849" s="11">
        <v>36.149000000000001</v>
      </c>
      <c r="X849" s="11">
        <v>14.401999999999999</v>
      </c>
      <c r="Y849" s="11">
        <v>13.664</v>
      </c>
      <c r="Z849" s="11">
        <v>36.149000000000001</v>
      </c>
      <c r="AA849" s="11">
        <v>35.808</v>
      </c>
      <c r="AB849" s="11">
        <v>11.06</v>
      </c>
      <c r="AC849" s="11">
        <v>14</v>
      </c>
      <c r="AD849" s="11">
        <v>12</v>
      </c>
      <c r="AE849" s="11">
        <v>12</v>
      </c>
      <c r="AF849" s="11">
        <v>12</v>
      </c>
    </row>
    <row r="850" spans="1:32" s="11" customFormat="1" x14ac:dyDescent="0.2">
      <c r="A850" s="11">
        <v>1037</v>
      </c>
      <c r="F850" s="11" t="s">
        <v>16403</v>
      </c>
      <c r="G850" s="11" t="s">
        <v>16403</v>
      </c>
      <c r="H850" s="12">
        <v>999</v>
      </c>
      <c r="I850" s="11" t="s">
        <v>16403</v>
      </c>
      <c r="L850" s="11">
        <v>50.771000000000001</v>
      </c>
      <c r="M850" s="11">
        <v>50.459000000000003</v>
      </c>
      <c r="N850" s="11">
        <v>101.24</v>
      </c>
      <c r="O850" s="11">
        <v>102.55</v>
      </c>
      <c r="P850" s="11">
        <v>104.098</v>
      </c>
      <c r="Q850" s="11">
        <v>105.28100000000001</v>
      </c>
      <c r="R850" s="11">
        <v>121.89</v>
      </c>
      <c r="S850" s="11">
        <v>122.858</v>
      </c>
      <c r="T850" s="11">
        <v>58.628</v>
      </c>
      <c r="U850" s="11">
        <v>58.668999999999997</v>
      </c>
      <c r="V850" s="11">
        <v>41.372</v>
      </c>
      <c r="W850" s="11">
        <v>41.331000000000003</v>
      </c>
      <c r="X850" s="11">
        <v>8.8670000000000009</v>
      </c>
      <c r="Y850" s="11">
        <v>8.8170000000000002</v>
      </c>
      <c r="Z850" s="11">
        <v>41.331000000000003</v>
      </c>
      <c r="AA850" s="11">
        <v>41.372</v>
      </c>
      <c r="AB850" s="11">
        <v>6.4660000000000002</v>
      </c>
      <c r="AC850" s="11">
        <v>15</v>
      </c>
      <c r="AD850" s="11">
        <v>12</v>
      </c>
      <c r="AE850" s="11">
        <v>12</v>
      </c>
      <c r="AF850" s="11">
        <v>12</v>
      </c>
    </row>
    <row r="851" spans="1:32" s="11" customFormat="1" x14ac:dyDescent="0.2">
      <c r="A851" s="11">
        <v>1038</v>
      </c>
      <c r="F851" s="11" t="s">
        <v>16403</v>
      </c>
      <c r="G851" s="11" t="s">
        <v>16403</v>
      </c>
      <c r="H851" s="12">
        <v>999</v>
      </c>
      <c r="I851" s="11" t="s">
        <v>16403</v>
      </c>
      <c r="L851" s="11">
        <v>48.491999999999997</v>
      </c>
      <c r="M851" s="11">
        <v>59.932000000000002</v>
      </c>
      <c r="N851" s="11">
        <v>106.31399999999999</v>
      </c>
      <c r="O851" s="11">
        <v>110.22799999999999</v>
      </c>
      <c r="P851" s="11">
        <v>83.888000000000005</v>
      </c>
      <c r="Q851" s="11">
        <v>85.09</v>
      </c>
      <c r="R851" s="11">
        <v>93.274000000000001</v>
      </c>
      <c r="S851" s="11">
        <v>93.463999999999999</v>
      </c>
      <c r="T851" s="11">
        <v>67.963999999999999</v>
      </c>
      <c r="U851" s="11">
        <v>66.611999999999995</v>
      </c>
      <c r="V851" s="11">
        <v>32.036000000000001</v>
      </c>
      <c r="W851" s="11">
        <v>33.387999999999998</v>
      </c>
      <c r="X851" s="11">
        <v>19.388999999999999</v>
      </c>
      <c r="Y851" s="11">
        <v>15.882999999999999</v>
      </c>
      <c r="Z851" s="11">
        <v>33.387999999999998</v>
      </c>
      <c r="AA851" s="11">
        <v>32.036000000000001</v>
      </c>
      <c r="AB851" s="11">
        <v>8.9320000000000004</v>
      </c>
      <c r="AC851" s="11">
        <v>13</v>
      </c>
      <c r="AD851" s="11">
        <v>14</v>
      </c>
      <c r="AE851" s="11">
        <v>13</v>
      </c>
      <c r="AF851" s="11">
        <v>13</v>
      </c>
    </row>
    <row r="852" spans="1:32" s="11" customFormat="1" x14ac:dyDescent="0.2">
      <c r="A852" s="11">
        <v>1039</v>
      </c>
      <c r="F852" s="11" t="s">
        <v>16403</v>
      </c>
      <c r="G852" s="11" t="s">
        <v>16403</v>
      </c>
      <c r="H852" s="12">
        <v>999</v>
      </c>
      <c r="I852" s="11" t="s">
        <v>16403</v>
      </c>
      <c r="L852" s="11">
        <v>67.641999999999996</v>
      </c>
      <c r="M852" s="11">
        <v>67.427000000000007</v>
      </c>
      <c r="N852" s="11">
        <v>134.548</v>
      </c>
      <c r="O852" s="11">
        <v>136.209</v>
      </c>
      <c r="P852" s="11">
        <v>114.315</v>
      </c>
      <c r="Q852" s="11">
        <v>115.569</v>
      </c>
      <c r="R852" s="11">
        <v>101.786</v>
      </c>
      <c r="S852" s="11">
        <v>101.50700000000001</v>
      </c>
      <c r="T852" s="11">
        <v>61.652000000000001</v>
      </c>
      <c r="U852" s="11">
        <v>61.003</v>
      </c>
      <c r="V852" s="11">
        <v>38.347999999999999</v>
      </c>
      <c r="W852" s="11">
        <v>38.997</v>
      </c>
      <c r="X852" s="11">
        <v>11.566000000000001</v>
      </c>
      <c r="Y852" s="11">
        <v>11.586</v>
      </c>
      <c r="Z852" s="11">
        <v>38.997</v>
      </c>
      <c r="AA852" s="11">
        <v>38.347999999999999</v>
      </c>
      <c r="AB852" s="11">
        <v>14.173999999999999</v>
      </c>
      <c r="AC852" s="11">
        <v>8</v>
      </c>
      <c r="AD852" s="11">
        <v>9</v>
      </c>
      <c r="AE852" s="11">
        <v>8</v>
      </c>
      <c r="AF852" s="11">
        <v>8</v>
      </c>
    </row>
    <row r="853" spans="1:32" s="11" customFormat="1" x14ac:dyDescent="0.2">
      <c r="A853" s="11">
        <v>1040</v>
      </c>
      <c r="F853" s="11" t="s">
        <v>16403</v>
      </c>
      <c r="G853" s="11" t="s">
        <v>16403</v>
      </c>
      <c r="H853" s="12">
        <v>999</v>
      </c>
      <c r="I853" s="11" t="s">
        <v>16403</v>
      </c>
      <c r="L853" s="11">
        <v>64.239999999999995</v>
      </c>
      <c r="M853" s="11">
        <v>64.424000000000007</v>
      </c>
      <c r="N853" s="11">
        <v>128.47300000000001</v>
      </c>
      <c r="O853" s="11">
        <v>128.69200000000001</v>
      </c>
      <c r="P853" s="11">
        <v>115.92400000000001</v>
      </c>
      <c r="Q853" s="11">
        <v>116.79</v>
      </c>
      <c r="R853" s="11">
        <v>107.929</v>
      </c>
      <c r="S853" s="11">
        <v>108.621</v>
      </c>
      <c r="T853" s="11">
        <v>63.587000000000003</v>
      </c>
      <c r="U853" s="11">
        <v>62.496000000000002</v>
      </c>
      <c r="V853" s="11">
        <v>36.412999999999997</v>
      </c>
      <c r="W853" s="11">
        <v>37.503999999999998</v>
      </c>
      <c r="X853" s="11">
        <v>13.782999999999999</v>
      </c>
      <c r="Y853" s="11">
        <v>12.647</v>
      </c>
      <c r="Z853" s="11">
        <v>37.503999999999998</v>
      </c>
      <c r="AA853" s="11">
        <v>36.412999999999997</v>
      </c>
      <c r="AB853" s="11">
        <v>9.4260000000000002</v>
      </c>
      <c r="AC853" s="11">
        <v>10</v>
      </c>
      <c r="AD853" s="11">
        <v>9</v>
      </c>
      <c r="AE853" s="11">
        <v>9</v>
      </c>
      <c r="AF853" s="11">
        <v>9</v>
      </c>
    </row>
    <row r="854" spans="1:32" s="11" customFormat="1" x14ac:dyDescent="0.2">
      <c r="A854" s="11">
        <v>1041</v>
      </c>
      <c r="F854" s="11" t="s">
        <v>16403</v>
      </c>
      <c r="G854" s="11" t="s">
        <v>16403</v>
      </c>
      <c r="H854" s="12">
        <v>999</v>
      </c>
      <c r="I854" s="11" t="s">
        <v>16403</v>
      </c>
      <c r="L854" s="11">
        <v>45.161000000000001</v>
      </c>
      <c r="M854" s="11">
        <v>46.034999999999997</v>
      </c>
      <c r="N854" s="11">
        <v>90.671000000000006</v>
      </c>
      <c r="O854" s="11">
        <v>91.573999999999998</v>
      </c>
      <c r="P854" s="11">
        <v>75.370999999999995</v>
      </c>
      <c r="Q854" s="11">
        <v>75.379000000000005</v>
      </c>
      <c r="R854" s="11">
        <v>99.808999999999997</v>
      </c>
      <c r="S854" s="11">
        <v>98.031999999999996</v>
      </c>
      <c r="T854" s="11">
        <v>65.396000000000001</v>
      </c>
      <c r="U854" s="11">
        <v>63.46</v>
      </c>
      <c r="V854" s="11">
        <v>34.603999999999999</v>
      </c>
      <c r="W854" s="11">
        <v>36.54</v>
      </c>
      <c r="X854" s="11">
        <v>14.29</v>
      </c>
      <c r="Y854" s="11">
        <v>14.16</v>
      </c>
      <c r="Z854" s="11">
        <v>36.54</v>
      </c>
      <c r="AA854" s="11">
        <v>34.603999999999999</v>
      </c>
      <c r="AB854" s="11">
        <v>12.9</v>
      </c>
      <c r="AC854" s="11">
        <v>10</v>
      </c>
      <c r="AD854" s="11">
        <v>12</v>
      </c>
      <c r="AE854" s="11">
        <v>10</v>
      </c>
      <c r="AF854" s="11">
        <v>10</v>
      </c>
    </row>
    <row r="855" spans="1:32" s="11" customFormat="1" x14ac:dyDescent="0.2">
      <c r="A855" s="11">
        <v>1042</v>
      </c>
      <c r="F855" s="11" t="s">
        <v>16403</v>
      </c>
      <c r="G855" s="11" t="s">
        <v>16403</v>
      </c>
      <c r="H855" s="12">
        <v>999</v>
      </c>
      <c r="I855" s="11" t="s">
        <v>16403</v>
      </c>
      <c r="L855" s="11">
        <v>38.08</v>
      </c>
      <c r="M855" s="11">
        <v>34.063000000000002</v>
      </c>
      <c r="N855" s="11">
        <v>72.010000000000005</v>
      </c>
      <c r="O855" s="11">
        <v>72.325999999999993</v>
      </c>
      <c r="P855" s="11">
        <v>48.106000000000002</v>
      </c>
      <c r="Q855" s="11">
        <v>48.540999999999997</v>
      </c>
      <c r="R855" s="11">
        <v>79.364000000000004</v>
      </c>
      <c r="S855" s="11">
        <v>80.45</v>
      </c>
      <c r="T855" s="11">
        <v>71.108999999999995</v>
      </c>
      <c r="U855" s="11">
        <v>67.781999999999996</v>
      </c>
      <c r="V855" s="11">
        <v>28.890999999999998</v>
      </c>
      <c r="W855" s="11">
        <v>32.218000000000004</v>
      </c>
      <c r="X855" s="11">
        <v>18.309000000000001</v>
      </c>
      <c r="Y855" s="11">
        <v>20.774000000000001</v>
      </c>
      <c r="Z855" s="11">
        <v>32.218000000000004</v>
      </c>
      <c r="AA855" s="11">
        <v>28.890999999999998</v>
      </c>
      <c r="AB855" s="11">
        <v>17.797999999999998</v>
      </c>
      <c r="AC855" s="11">
        <v>14</v>
      </c>
      <c r="AD855" s="11">
        <v>14</v>
      </c>
      <c r="AE855" s="11">
        <v>14</v>
      </c>
      <c r="AF855" s="11">
        <v>14</v>
      </c>
    </row>
    <row r="856" spans="1:32" s="11" customFormat="1" x14ac:dyDescent="0.2">
      <c r="A856" s="11">
        <v>1043</v>
      </c>
      <c r="F856" s="11" t="s">
        <v>16403</v>
      </c>
      <c r="G856" s="11" t="s">
        <v>16403</v>
      </c>
      <c r="H856" s="12">
        <v>999</v>
      </c>
      <c r="I856" s="11" t="s">
        <v>16403</v>
      </c>
      <c r="L856" s="11">
        <v>46.052</v>
      </c>
      <c r="M856" s="11">
        <v>48.183</v>
      </c>
      <c r="N856" s="11">
        <v>94.384</v>
      </c>
      <c r="O856" s="11">
        <v>95.099000000000004</v>
      </c>
      <c r="P856" s="11">
        <v>85.867999999999995</v>
      </c>
      <c r="Q856" s="11">
        <v>86.444999999999993</v>
      </c>
      <c r="R856" s="11">
        <v>109.304</v>
      </c>
      <c r="S856" s="11">
        <v>109.264</v>
      </c>
      <c r="T856" s="11">
        <v>67.344999999999999</v>
      </c>
      <c r="U856" s="11">
        <v>64.063999999999993</v>
      </c>
      <c r="V856" s="11">
        <v>32.655000000000001</v>
      </c>
      <c r="W856" s="11">
        <v>35.936</v>
      </c>
      <c r="X856" s="11">
        <v>15.637</v>
      </c>
      <c r="Y856" s="11">
        <v>15.813000000000001</v>
      </c>
      <c r="Z856" s="11">
        <v>35.936</v>
      </c>
      <c r="AA856" s="11">
        <v>32.655000000000001</v>
      </c>
      <c r="AB856" s="11">
        <v>13.956</v>
      </c>
      <c r="AC856" s="11">
        <v>15</v>
      </c>
      <c r="AD856" s="11">
        <v>14</v>
      </c>
      <c r="AE856" s="11">
        <v>14</v>
      </c>
      <c r="AF856" s="11">
        <v>14</v>
      </c>
    </row>
    <row r="857" spans="1:32" s="11" customFormat="1" x14ac:dyDescent="0.2">
      <c r="A857" s="11">
        <v>1044</v>
      </c>
      <c r="F857" s="11" t="s">
        <v>16403</v>
      </c>
      <c r="G857" s="11" t="s">
        <v>16403</v>
      </c>
      <c r="H857" s="12">
        <v>999</v>
      </c>
      <c r="I857" s="11" t="s">
        <v>16403</v>
      </c>
      <c r="L857" s="11">
        <v>54.374000000000002</v>
      </c>
      <c r="M857" s="11">
        <v>51.618000000000002</v>
      </c>
      <c r="N857" s="11">
        <v>106.43300000000001</v>
      </c>
      <c r="O857" s="11">
        <v>105.876</v>
      </c>
      <c r="P857" s="11">
        <v>92.364999999999995</v>
      </c>
      <c r="Q857" s="11">
        <v>91.570999999999998</v>
      </c>
      <c r="R857" s="11">
        <v>103.488</v>
      </c>
      <c r="S857" s="11">
        <v>103.304</v>
      </c>
      <c r="T857" s="11">
        <v>65.367999999999995</v>
      </c>
      <c r="U857" s="11">
        <v>61.34</v>
      </c>
      <c r="V857" s="11">
        <v>34.631999999999998</v>
      </c>
      <c r="W857" s="11">
        <v>38.659999999999997</v>
      </c>
      <c r="X857" s="11">
        <v>13.335000000000001</v>
      </c>
      <c r="Y857" s="11">
        <v>13.688000000000001</v>
      </c>
      <c r="Z857" s="11">
        <v>38.659999999999997</v>
      </c>
      <c r="AA857" s="11">
        <v>34.631999999999998</v>
      </c>
      <c r="AB857" s="11">
        <v>9.7639999999999993</v>
      </c>
      <c r="AC857" s="11">
        <v>14</v>
      </c>
      <c r="AD857" s="11">
        <v>13</v>
      </c>
      <c r="AE857" s="11">
        <v>13</v>
      </c>
      <c r="AF857" s="11">
        <v>13</v>
      </c>
    </row>
    <row r="858" spans="1:32" s="11" customFormat="1" x14ac:dyDescent="0.2">
      <c r="A858" s="11">
        <v>1045</v>
      </c>
      <c r="F858" s="11" t="s">
        <v>16403</v>
      </c>
      <c r="G858" s="11" t="s">
        <v>16403</v>
      </c>
      <c r="H858" s="12">
        <v>999</v>
      </c>
      <c r="I858" s="11" t="s">
        <v>16407</v>
      </c>
      <c r="L858" s="11">
        <v>43.015999999999998</v>
      </c>
      <c r="M858" s="11">
        <v>50.756999999999998</v>
      </c>
      <c r="N858" s="11">
        <v>94.012</v>
      </c>
      <c r="O858" s="11">
        <v>93.316000000000003</v>
      </c>
      <c r="P858" s="11">
        <v>84.617000000000004</v>
      </c>
      <c r="Q858" s="11">
        <v>84.561999999999998</v>
      </c>
      <c r="R858" s="11">
        <v>108.468</v>
      </c>
      <c r="S858" s="11">
        <v>108.702</v>
      </c>
      <c r="T858" s="11">
        <v>65.001999999999995</v>
      </c>
      <c r="U858" s="11">
        <v>62.831000000000003</v>
      </c>
      <c r="V858" s="11">
        <v>34.997</v>
      </c>
      <c r="W858" s="11">
        <v>37.168999999999997</v>
      </c>
      <c r="X858" s="11">
        <v>16.709</v>
      </c>
      <c r="Y858" s="11">
        <v>11.996</v>
      </c>
      <c r="Z858" s="11">
        <v>37.168999999999997</v>
      </c>
      <c r="AA858" s="11">
        <v>34.997</v>
      </c>
      <c r="AB858" s="11">
        <v>13.016</v>
      </c>
      <c r="AC858" s="11">
        <v>13</v>
      </c>
      <c r="AD858" s="11">
        <v>12</v>
      </c>
      <c r="AE858" s="11">
        <v>12</v>
      </c>
      <c r="AF858" s="11">
        <v>12</v>
      </c>
    </row>
    <row r="859" spans="1:32" s="11" customFormat="1" x14ac:dyDescent="0.2">
      <c r="A859" s="11">
        <v>1046</v>
      </c>
      <c r="F859" s="11" t="s">
        <v>16403</v>
      </c>
      <c r="G859" s="11" t="s">
        <v>16403</v>
      </c>
      <c r="H859" s="12">
        <v>999</v>
      </c>
      <c r="I859" s="11" t="s">
        <v>16403</v>
      </c>
      <c r="L859" s="11">
        <v>73.703999999999994</v>
      </c>
      <c r="M859" s="11">
        <v>71.019000000000005</v>
      </c>
      <c r="N859" s="11">
        <v>144.87700000000001</v>
      </c>
      <c r="O859" s="11">
        <v>145.30199999999999</v>
      </c>
      <c r="P859" s="11">
        <v>148.68799999999999</v>
      </c>
      <c r="Q859" s="11">
        <v>149.58000000000001</v>
      </c>
      <c r="R859" s="11">
        <v>123.63500000000001</v>
      </c>
      <c r="S859" s="11">
        <v>123.02500000000001</v>
      </c>
      <c r="T859" s="11">
        <v>60.194000000000003</v>
      </c>
      <c r="U859" s="11">
        <v>58.924999999999997</v>
      </c>
      <c r="V859" s="11">
        <v>39.805999999999997</v>
      </c>
      <c r="W859" s="11">
        <v>41.075000000000003</v>
      </c>
      <c r="X859" s="11">
        <v>11.272</v>
      </c>
      <c r="Y859" s="11">
        <v>9.5730000000000004</v>
      </c>
      <c r="Z859" s="11">
        <v>41.075000000000003</v>
      </c>
      <c r="AA859" s="11">
        <v>39.805999999999997</v>
      </c>
      <c r="AB859" s="11">
        <v>10.602</v>
      </c>
      <c r="AC859" s="11">
        <v>8</v>
      </c>
      <c r="AD859" s="11">
        <v>9</v>
      </c>
      <c r="AE859" s="11">
        <v>8</v>
      </c>
      <c r="AF859" s="11">
        <v>8</v>
      </c>
    </row>
    <row r="860" spans="1:32" s="11" customFormat="1" x14ac:dyDescent="0.2">
      <c r="A860" s="11">
        <v>1047</v>
      </c>
      <c r="F860" s="11" t="s">
        <v>16403</v>
      </c>
      <c r="G860" s="11" t="s">
        <v>16403</v>
      </c>
      <c r="H860" s="12">
        <v>999</v>
      </c>
      <c r="I860" s="11" t="s">
        <v>16403</v>
      </c>
      <c r="L860" s="11">
        <v>66.835999999999999</v>
      </c>
      <c r="M860" s="11">
        <v>65.846000000000004</v>
      </c>
      <c r="N860" s="11">
        <v>133.03899999999999</v>
      </c>
      <c r="O860" s="11">
        <v>133.41399999999999</v>
      </c>
      <c r="P860" s="11">
        <v>120.992</v>
      </c>
      <c r="Q860" s="11">
        <v>121.73399999999999</v>
      </c>
      <c r="R860" s="11">
        <v>108.096</v>
      </c>
      <c r="S860" s="11">
        <v>108.955</v>
      </c>
      <c r="T860" s="11">
        <v>64.129000000000005</v>
      </c>
      <c r="U860" s="11">
        <v>61.076999999999998</v>
      </c>
      <c r="V860" s="11">
        <v>35.871000000000002</v>
      </c>
      <c r="W860" s="11">
        <v>38.923000000000002</v>
      </c>
      <c r="X860" s="11">
        <v>12.295999999999999</v>
      </c>
      <c r="Y860" s="11">
        <v>13.125999999999999</v>
      </c>
      <c r="Z860" s="11">
        <v>38.923000000000002</v>
      </c>
      <c r="AA860" s="11">
        <v>35.871000000000002</v>
      </c>
      <c r="AB860" s="11">
        <v>9.5039999999999996</v>
      </c>
      <c r="AC860" s="11">
        <v>10</v>
      </c>
      <c r="AD860" s="11">
        <v>10</v>
      </c>
      <c r="AE860" s="11">
        <v>10</v>
      </c>
      <c r="AF860" s="11">
        <v>10</v>
      </c>
    </row>
    <row r="861" spans="1:32" s="11" customFormat="1" x14ac:dyDescent="0.2">
      <c r="A861" s="11">
        <v>1048</v>
      </c>
      <c r="F861" s="11" t="s">
        <v>16403</v>
      </c>
      <c r="G861" s="11" t="s">
        <v>16403</v>
      </c>
      <c r="H861" s="12">
        <v>999</v>
      </c>
      <c r="I861" s="11" t="s">
        <v>16403</v>
      </c>
      <c r="L861" s="11">
        <v>33.414000000000001</v>
      </c>
      <c r="M861" s="11">
        <v>34.536999999999999</v>
      </c>
      <c r="N861" s="11">
        <v>67.804000000000002</v>
      </c>
      <c r="O861" s="11">
        <v>67.953999999999994</v>
      </c>
      <c r="P861" s="11">
        <v>64.513000000000005</v>
      </c>
      <c r="Q861" s="11">
        <v>64.569999999999993</v>
      </c>
      <c r="R861" s="11">
        <v>114.14400000000001</v>
      </c>
      <c r="S861" s="11">
        <v>113.678</v>
      </c>
      <c r="T861" s="11">
        <v>65.242999999999995</v>
      </c>
      <c r="U861" s="11">
        <v>65.45</v>
      </c>
      <c r="V861" s="11">
        <v>34.756999999999998</v>
      </c>
      <c r="W861" s="11">
        <v>34.549999999999997</v>
      </c>
      <c r="X861" s="11">
        <v>14.907999999999999</v>
      </c>
      <c r="Y861" s="11">
        <v>15.981</v>
      </c>
      <c r="Z861" s="11">
        <v>34.549999999999997</v>
      </c>
      <c r="AA861" s="11">
        <v>34.756999999999998</v>
      </c>
      <c r="AB861" s="11">
        <v>14.071999999999999</v>
      </c>
      <c r="AC861" s="11">
        <v>18</v>
      </c>
      <c r="AD861" s="11">
        <v>17</v>
      </c>
      <c r="AE861" s="11">
        <v>17</v>
      </c>
      <c r="AF861" s="11">
        <v>17</v>
      </c>
    </row>
    <row r="862" spans="1:32" s="11" customFormat="1" x14ac:dyDescent="0.2">
      <c r="A862" s="11">
        <v>1049</v>
      </c>
      <c r="F862" s="11" t="s">
        <v>16403</v>
      </c>
      <c r="G862" s="11" t="s">
        <v>16403</v>
      </c>
      <c r="H862" s="12">
        <v>999</v>
      </c>
      <c r="I862" s="11" t="s">
        <v>16407</v>
      </c>
      <c r="L862" s="11">
        <v>51.679000000000002</v>
      </c>
      <c r="M862" s="11">
        <v>49.143999999999998</v>
      </c>
      <c r="N862" s="11">
        <v>101.295</v>
      </c>
      <c r="O862" s="11">
        <v>100.65300000000001</v>
      </c>
      <c r="P862" s="11">
        <v>92.683999999999997</v>
      </c>
      <c r="Q862" s="11">
        <v>91.554000000000002</v>
      </c>
      <c r="R862" s="11">
        <v>108.73099999999999</v>
      </c>
      <c r="S862" s="11">
        <v>108.214</v>
      </c>
      <c r="T862" s="11">
        <v>65.403000000000006</v>
      </c>
      <c r="U862" s="11">
        <v>64.031999999999996</v>
      </c>
      <c r="V862" s="11">
        <v>34.597000000000001</v>
      </c>
      <c r="W862" s="11">
        <v>35.968000000000004</v>
      </c>
      <c r="X862" s="11">
        <v>13.55</v>
      </c>
      <c r="Y862" s="11">
        <v>16.420000000000002</v>
      </c>
      <c r="Z862" s="11">
        <v>35.968000000000004</v>
      </c>
      <c r="AA862" s="11">
        <v>34.597000000000001</v>
      </c>
      <c r="AB862" s="11">
        <v>9.0280000000000005</v>
      </c>
      <c r="AC862" s="11">
        <v>13</v>
      </c>
      <c r="AD862" s="11">
        <v>16</v>
      </c>
      <c r="AE862" s="11">
        <v>13</v>
      </c>
      <c r="AF862" s="11">
        <v>13</v>
      </c>
    </row>
    <row r="863" spans="1:32" s="11" customFormat="1" x14ac:dyDescent="0.2">
      <c r="A863" s="11">
        <v>1050</v>
      </c>
      <c r="F863" s="11" t="s">
        <v>16403</v>
      </c>
      <c r="G863" s="11" t="s">
        <v>16403</v>
      </c>
      <c r="H863" s="12">
        <v>999</v>
      </c>
      <c r="I863" s="11" t="s">
        <v>16403</v>
      </c>
      <c r="L863" s="11">
        <v>48.329000000000001</v>
      </c>
      <c r="M863" s="11">
        <v>51.994999999999997</v>
      </c>
      <c r="N863" s="11">
        <v>100.479</v>
      </c>
      <c r="O863" s="11">
        <v>100.654</v>
      </c>
      <c r="P863" s="11">
        <v>92.623999999999995</v>
      </c>
      <c r="Q863" s="11">
        <v>93.201999999999998</v>
      </c>
      <c r="R863" s="11">
        <v>110.047</v>
      </c>
      <c r="S863" s="11">
        <v>110.559</v>
      </c>
      <c r="T863" s="11">
        <v>63.744</v>
      </c>
      <c r="U863" s="11">
        <v>61.848999999999997</v>
      </c>
      <c r="V863" s="11">
        <v>36.256</v>
      </c>
      <c r="W863" s="11">
        <v>38.151000000000003</v>
      </c>
      <c r="X863" s="11">
        <v>12.733000000000001</v>
      </c>
      <c r="Y863" s="11">
        <v>13.273999999999999</v>
      </c>
      <c r="Z863" s="11">
        <v>38.151000000000003</v>
      </c>
      <c r="AA863" s="11">
        <v>36.256</v>
      </c>
      <c r="AB863" s="11">
        <v>11.33</v>
      </c>
      <c r="AC863" s="11">
        <v>9</v>
      </c>
      <c r="AD863" s="11">
        <v>7</v>
      </c>
      <c r="AE863" s="11">
        <v>7</v>
      </c>
      <c r="AF863" s="11">
        <v>7</v>
      </c>
    </row>
    <row r="864" spans="1:32" s="11" customFormat="1" x14ac:dyDescent="0.2">
      <c r="A864" s="11">
        <v>1051</v>
      </c>
      <c r="F864" s="11" t="s">
        <v>16403</v>
      </c>
      <c r="G864" s="11" t="s">
        <v>16403</v>
      </c>
      <c r="H864" s="12">
        <v>65.599999999999994</v>
      </c>
      <c r="I864" s="11" t="s">
        <v>16403</v>
      </c>
      <c r="L864" s="11">
        <v>37.148000000000003</v>
      </c>
      <c r="M864" s="11">
        <v>45.777999999999999</v>
      </c>
      <c r="N864" s="11">
        <v>83.418000000000006</v>
      </c>
      <c r="O864" s="11">
        <v>81.161000000000001</v>
      </c>
      <c r="P864" s="11">
        <v>64.825000000000003</v>
      </c>
      <c r="Q864" s="11">
        <v>62.195999999999998</v>
      </c>
      <c r="R864" s="11">
        <v>91.016999999999996</v>
      </c>
      <c r="S864" s="11">
        <v>89.861999999999995</v>
      </c>
      <c r="T864" s="11">
        <v>70.381</v>
      </c>
      <c r="U864" s="11">
        <v>64.503</v>
      </c>
      <c r="V864" s="11">
        <v>29.619</v>
      </c>
      <c r="W864" s="11">
        <v>35.497</v>
      </c>
      <c r="X864" s="11">
        <v>16.677</v>
      </c>
      <c r="Y864" s="11">
        <v>18.649000000000001</v>
      </c>
      <c r="Z864" s="11">
        <v>35.497</v>
      </c>
      <c r="AA864" s="11">
        <v>29.619</v>
      </c>
      <c r="AB864" s="11">
        <v>19.922000000000001</v>
      </c>
      <c r="AC864" s="11">
        <v>14</v>
      </c>
      <c r="AD864" s="11">
        <v>14</v>
      </c>
      <c r="AE864" s="11">
        <v>14</v>
      </c>
      <c r="AF864" s="11">
        <v>14</v>
      </c>
    </row>
    <row r="865" spans="1:32" s="11" customFormat="1" x14ac:dyDescent="0.2">
      <c r="A865" s="11">
        <v>1052</v>
      </c>
      <c r="F865" s="11" t="s">
        <v>16403</v>
      </c>
      <c r="G865" s="11" t="s">
        <v>16403</v>
      </c>
      <c r="H865" s="12">
        <v>999</v>
      </c>
      <c r="I865" s="11" t="s">
        <v>16403</v>
      </c>
      <c r="L865" s="11">
        <v>69.826999999999998</v>
      </c>
      <c r="M865" s="11">
        <v>73.391000000000005</v>
      </c>
      <c r="N865" s="11">
        <v>143.76</v>
      </c>
      <c r="O865" s="11">
        <v>143.089</v>
      </c>
      <c r="P865" s="11">
        <v>99.396000000000001</v>
      </c>
      <c r="Q865" s="11">
        <v>100.188</v>
      </c>
      <c r="R865" s="11">
        <v>82.700999999999993</v>
      </c>
      <c r="S865" s="11">
        <v>83.350999999999999</v>
      </c>
      <c r="T865" s="11">
        <v>64.447999999999993</v>
      </c>
      <c r="U865" s="11">
        <v>61.36</v>
      </c>
      <c r="V865" s="11">
        <v>35.552</v>
      </c>
      <c r="W865" s="11">
        <v>38.64</v>
      </c>
      <c r="X865" s="11">
        <v>12.661</v>
      </c>
      <c r="Y865" s="11">
        <v>13.759</v>
      </c>
      <c r="Z865" s="11">
        <v>38.64</v>
      </c>
      <c r="AA865" s="11">
        <v>35.552</v>
      </c>
      <c r="AB865" s="11">
        <v>12.228</v>
      </c>
      <c r="AC865" s="11">
        <v>10</v>
      </c>
      <c r="AD865" s="11">
        <v>10</v>
      </c>
      <c r="AE865" s="11">
        <v>10</v>
      </c>
      <c r="AF865" s="11">
        <v>10</v>
      </c>
    </row>
    <row r="866" spans="1:32" s="11" customFormat="1" x14ac:dyDescent="0.2">
      <c r="A866" s="11">
        <v>1053</v>
      </c>
      <c r="F866" s="11" t="s">
        <v>16403</v>
      </c>
      <c r="G866" s="11" t="s">
        <v>16403</v>
      </c>
      <c r="H866" s="12">
        <v>74.599999999999994</v>
      </c>
      <c r="I866" s="11" t="s">
        <v>16404</v>
      </c>
      <c r="L866" s="11" t="s">
        <v>16403</v>
      </c>
      <c r="M866" s="11" t="s">
        <v>16403</v>
      </c>
      <c r="N866" s="11" t="s">
        <v>16403</v>
      </c>
      <c r="O866" s="11" t="s">
        <v>16403</v>
      </c>
      <c r="P866" s="11" t="s">
        <v>16403</v>
      </c>
      <c r="Q866" s="11" t="s">
        <v>16403</v>
      </c>
      <c r="R866" s="11" t="s">
        <v>16403</v>
      </c>
      <c r="S866" s="11" t="s">
        <v>16403</v>
      </c>
      <c r="T866" s="11" t="s">
        <v>16403</v>
      </c>
      <c r="U866" s="11" t="s">
        <v>16403</v>
      </c>
      <c r="V866" s="11" t="s">
        <v>16403</v>
      </c>
      <c r="W866" s="11" t="s">
        <v>16403</v>
      </c>
      <c r="X866" s="11" t="s">
        <v>16403</v>
      </c>
      <c r="Y866" s="11" t="s">
        <v>16403</v>
      </c>
      <c r="Z866" s="11" t="s">
        <v>16403</v>
      </c>
      <c r="AA866" s="11" t="s">
        <v>16403</v>
      </c>
      <c r="AB866" s="11" t="s">
        <v>16403</v>
      </c>
      <c r="AC866" s="11" t="s">
        <v>16403</v>
      </c>
      <c r="AD866" s="11" t="s">
        <v>16403</v>
      </c>
      <c r="AE866" s="11" t="s">
        <v>16403</v>
      </c>
      <c r="AF866" s="11" t="s">
        <v>16403</v>
      </c>
    </row>
    <row r="867" spans="1:32" s="11" customFormat="1" x14ac:dyDescent="0.2">
      <c r="A867" s="11">
        <v>1054</v>
      </c>
      <c r="F867" s="11" t="s">
        <v>16403</v>
      </c>
      <c r="G867" s="11" t="s">
        <v>16403</v>
      </c>
      <c r="H867" s="12">
        <v>999</v>
      </c>
      <c r="I867" s="11" t="s">
        <v>16403</v>
      </c>
      <c r="L867" s="11">
        <v>65.106999999999999</v>
      </c>
      <c r="M867" s="11">
        <v>64.778000000000006</v>
      </c>
      <c r="N867" s="11">
        <v>130.98099999999999</v>
      </c>
      <c r="O867" s="11">
        <v>129.405</v>
      </c>
      <c r="P867" s="11">
        <v>138.90100000000001</v>
      </c>
      <c r="Q867" s="11">
        <v>138.40199999999999</v>
      </c>
      <c r="R867" s="11">
        <v>127.621</v>
      </c>
      <c r="S867" s="11">
        <v>128.029</v>
      </c>
      <c r="T867" s="11">
        <v>60.244999999999997</v>
      </c>
      <c r="U867" s="11">
        <v>60.750999999999998</v>
      </c>
      <c r="V867" s="11">
        <v>39.755000000000003</v>
      </c>
      <c r="W867" s="11">
        <v>39.249000000000002</v>
      </c>
      <c r="X867" s="11">
        <v>10.519</v>
      </c>
      <c r="Y867" s="11">
        <v>10.369</v>
      </c>
      <c r="Z867" s="11">
        <v>39.249000000000002</v>
      </c>
      <c r="AA867" s="11">
        <v>39.755000000000003</v>
      </c>
      <c r="AB867" s="11">
        <v>10.577999999999999</v>
      </c>
      <c r="AC867" s="11">
        <v>8</v>
      </c>
      <c r="AD867" s="11">
        <v>6</v>
      </c>
      <c r="AE867" s="11">
        <v>6</v>
      </c>
      <c r="AF867" s="11">
        <v>6</v>
      </c>
    </row>
    <row r="868" spans="1:32" s="11" customFormat="1" x14ac:dyDescent="0.2">
      <c r="A868" s="11">
        <v>1055</v>
      </c>
      <c r="F868" s="11" t="s">
        <v>16403</v>
      </c>
      <c r="G868" s="11" t="s">
        <v>16403</v>
      </c>
      <c r="H868" s="12">
        <v>999</v>
      </c>
      <c r="I868" s="11" t="s">
        <v>16403</v>
      </c>
      <c r="L868" s="11">
        <v>41.69</v>
      </c>
      <c r="M868" s="11">
        <v>51.552999999999997</v>
      </c>
      <c r="N868" s="11">
        <v>92.692999999999998</v>
      </c>
      <c r="O868" s="11">
        <v>94.072000000000003</v>
      </c>
      <c r="P868" s="11">
        <v>98.474000000000004</v>
      </c>
      <c r="Q868" s="11">
        <v>99.328999999999994</v>
      </c>
      <c r="R868" s="11">
        <v>125.378</v>
      </c>
      <c r="S868" s="11">
        <v>125.11</v>
      </c>
      <c r="T868" s="11">
        <v>63.243000000000002</v>
      </c>
      <c r="U868" s="11">
        <v>62.78</v>
      </c>
      <c r="V868" s="11">
        <v>36.756999999999998</v>
      </c>
      <c r="W868" s="11">
        <v>37.22</v>
      </c>
      <c r="X868" s="11">
        <v>12.025</v>
      </c>
      <c r="Y868" s="11">
        <v>14.082000000000001</v>
      </c>
      <c r="Z868" s="11">
        <v>37.22</v>
      </c>
      <c r="AA868" s="11">
        <v>36.756999999999998</v>
      </c>
      <c r="AB868" s="11">
        <v>10.27</v>
      </c>
      <c r="AC868" s="11">
        <v>13</v>
      </c>
      <c r="AD868" s="11">
        <v>13</v>
      </c>
      <c r="AE868" s="11">
        <v>13</v>
      </c>
      <c r="AF868" s="11">
        <v>13</v>
      </c>
    </row>
    <row r="869" spans="1:32" s="11" customFormat="1" x14ac:dyDescent="0.2">
      <c r="A869" s="11">
        <v>1056</v>
      </c>
      <c r="F869" s="11" t="s">
        <v>16403</v>
      </c>
      <c r="G869" s="11" t="s">
        <v>16403</v>
      </c>
      <c r="H869" s="12">
        <v>999</v>
      </c>
      <c r="I869" s="11" t="s">
        <v>16403</v>
      </c>
      <c r="L869" s="11">
        <v>59.661000000000001</v>
      </c>
      <c r="M869" s="11">
        <v>62.069000000000003</v>
      </c>
      <c r="N869" s="11">
        <v>122.408</v>
      </c>
      <c r="O869" s="11">
        <v>121.364</v>
      </c>
      <c r="P869" s="11">
        <v>114.60599999999999</v>
      </c>
      <c r="Q869" s="11">
        <v>114.175</v>
      </c>
      <c r="R869" s="11">
        <v>111.67700000000001</v>
      </c>
      <c r="S869" s="11">
        <v>112.44799999999999</v>
      </c>
      <c r="T869" s="11">
        <v>61.773000000000003</v>
      </c>
      <c r="U869" s="11">
        <v>62.744999999999997</v>
      </c>
      <c r="V869" s="11">
        <v>38.226999999999997</v>
      </c>
      <c r="W869" s="11">
        <v>37.255000000000003</v>
      </c>
      <c r="X869" s="11">
        <v>12.548</v>
      </c>
      <c r="Y869" s="11">
        <v>12.275</v>
      </c>
      <c r="Z869" s="11">
        <v>37.255000000000003</v>
      </c>
      <c r="AA869" s="11">
        <v>38.226999999999997</v>
      </c>
      <c r="AB869" s="11">
        <v>11.21</v>
      </c>
      <c r="AC869" s="11">
        <v>10</v>
      </c>
      <c r="AD869" s="11">
        <v>11</v>
      </c>
      <c r="AE869" s="11">
        <v>10</v>
      </c>
      <c r="AF869" s="11">
        <v>10</v>
      </c>
    </row>
    <row r="870" spans="1:32" s="11" customFormat="1" x14ac:dyDescent="0.2">
      <c r="A870" s="11">
        <v>1057</v>
      </c>
      <c r="F870" s="11" t="s">
        <v>16403</v>
      </c>
      <c r="G870" s="11" t="s">
        <v>16403</v>
      </c>
      <c r="H870" s="12">
        <v>999</v>
      </c>
      <c r="I870" s="11" t="s">
        <v>16403</v>
      </c>
      <c r="L870" s="11">
        <v>30.879000000000001</v>
      </c>
      <c r="M870" s="11">
        <v>28.03</v>
      </c>
      <c r="N870" s="11">
        <v>52.511000000000003</v>
      </c>
      <c r="O870" s="11">
        <v>62.488</v>
      </c>
      <c r="P870" s="11">
        <v>65.185000000000002</v>
      </c>
      <c r="Q870" s="11">
        <v>63.906999999999996</v>
      </c>
      <c r="R870" s="11">
        <v>1758.7260000000001</v>
      </c>
      <c r="S870" s="11">
        <v>1082.4970000000001</v>
      </c>
      <c r="T870" s="11">
        <v>202.94800000000001</v>
      </c>
      <c r="U870" s="11">
        <v>-506.76</v>
      </c>
      <c r="V870" s="11">
        <v>-102.946</v>
      </c>
      <c r="W870" s="11">
        <v>606.76199999999994</v>
      </c>
      <c r="X870" s="11">
        <v>-804.91</v>
      </c>
      <c r="Y870" s="11">
        <v>-833.51300000000003</v>
      </c>
      <c r="Z870" s="11">
        <v>606.76199999999994</v>
      </c>
      <c r="AA870" s="11">
        <v>-102.946</v>
      </c>
      <c r="AB870" s="11">
        <v>20.943000000000001</v>
      </c>
      <c r="AC870" s="11">
        <v>23</v>
      </c>
      <c r="AD870" s="11">
        <v>22</v>
      </c>
      <c r="AE870" s="11">
        <v>20</v>
      </c>
      <c r="AF870" s="11">
        <v>20</v>
      </c>
    </row>
    <row r="871" spans="1:32" s="11" customFormat="1" x14ac:dyDescent="0.2">
      <c r="A871" s="11">
        <v>1058</v>
      </c>
      <c r="F871" s="11" t="s">
        <v>16403</v>
      </c>
      <c r="G871" s="11" t="s">
        <v>16403</v>
      </c>
      <c r="H871" s="12">
        <v>999</v>
      </c>
      <c r="I871" s="11" t="s">
        <v>16403</v>
      </c>
      <c r="L871" s="11">
        <v>31.068000000000001</v>
      </c>
      <c r="M871" s="11">
        <v>34.749000000000002</v>
      </c>
      <c r="N871" s="11">
        <v>65.542000000000002</v>
      </c>
      <c r="O871" s="11">
        <v>65.527000000000001</v>
      </c>
      <c r="P871" s="11">
        <v>62.999000000000002</v>
      </c>
      <c r="Q871" s="11">
        <v>63.481000000000002</v>
      </c>
      <c r="R871" s="11">
        <v>115.654</v>
      </c>
      <c r="S871" s="11">
        <v>115.583</v>
      </c>
      <c r="T871" s="11">
        <v>64.897000000000006</v>
      </c>
      <c r="U871" s="11">
        <v>65.989999999999995</v>
      </c>
      <c r="V871" s="11">
        <v>35.103000000000002</v>
      </c>
      <c r="W871" s="11">
        <v>34.01</v>
      </c>
      <c r="X871" s="11">
        <v>15.698</v>
      </c>
      <c r="Y871" s="11">
        <v>15.598000000000001</v>
      </c>
      <c r="Z871" s="11">
        <v>34.01</v>
      </c>
      <c r="AA871" s="11">
        <v>35.103000000000002</v>
      </c>
      <c r="AB871" s="11">
        <v>6.9550000000000001</v>
      </c>
      <c r="AC871" s="11">
        <v>17</v>
      </c>
      <c r="AD871" s="11">
        <v>16</v>
      </c>
      <c r="AE871" s="11">
        <v>16</v>
      </c>
      <c r="AF871" s="11">
        <v>16</v>
      </c>
    </row>
    <row r="872" spans="1:32" s="11" customFormat="1" x14ac:dyDescent="0.2">
      <c r="A872" s="11">
        <v>1059</v>
      </c>
      <c r="F872" s="11" t="s">
        <v>16403</v>
      </c>
      <c r="G872" s="11" t="s">
        <v>16403</v>
      </c>
      <c r="H872" s="12">
        <v>999</v>
      </c>
      <c r="I872" s="11" t="s">
        <v>16403</v>
      </c>
      <c r="L872" s="11">
        <v>49.735999999999997</v>
      </c>
      <c r="M872" s="11">
        <v>55.231999999999999</v>
      </c>
      <c r="N872" s="11">
        <v>104.922</v>
      </c>
      <c r="O872" s="11">
        <v>107.99</v>
      </c>
      <c r="P872" s="11">
        <v>101.401</v>
      </c>
      <c r="Q872" s="11">
        <v>102.32</v>
      </c>
      <c r="R872" s="11">
        <v>115.98399999999999</v>
      </c>
      <c r="S872" s="11">
        <v>114.919</v>
      </c>
      <c r="T872" s="11">
        <v>63.134999999999998</v>
      </c>
      <c r="U872" s="11">
        <v>61.709000000000003</v>
      </c>
      <c r="V872" s="11">
        <v>36.865000000000002</v>
      </c>
      <c r="W872" s="11">
        <v>38.290999999999997</v>
      </c>
      <c r="X872" s="11">
        <v>12.555</v>
      </c>
      <c r="Y872" s="11">
        <v>13.26</v>
      </c>
      <c r="Z872" s="11">
        <v>38.290999999999997</v>
      </c>
      <c r="AA872" s="11">
        <v>36.865000000000002</v>
      </c>
      <c r="AB872" s="11">
        <v>9.9600000000000009</v>
      </c>
      <c r="AC872" s="11">
        <v>15</v>
      </c>
      <c r="AD872" s="11">
        <v>12</v>
      </c>
      <c r="AE872" s="11">
        <v>12</v>
      </c>
      <c r="AF872" s="11">
        <v>12</v>
      </c>
    </row>
    <row r="873" spans="1:32" s="11" customFormat="1" x14ac:dyDescent="0.2">
      <c r="A873" s="11">
        <v>1060</v>
      </c>
      <c r="F873" s="11" t="s">
        <v>16403</v>
      </c>
      <c r="G873" s="11" t="s">
        <v>16403</v>
      </c>
      <c r="H873" s="12">
        <v>999</v>
      </c>
      <c r="I873" s="11" t="s">
        <v>16403</v>
      </c>
      <c r="L873" s="11">
        <v>47.031999999999996</v>
      </c>
      <c r="M873" s="11">
        <v>43.618000000000002</v>
      </c>
      <c r="N873" s="11">
        <v>90.540999999999997</v>
      </c>
      <c r="O873" s="11">
        <v>90.88</v>
      </c>
      <c r="P873" s="11">
        <v>98.328000000000003</v>
      </c>
      <c r="Q873" s="11">
        <v>99.021000000000001</v>
      </c>
      <c r="R873" s="11">
        <v>129.39599999999999</v>
      </c>
      <c r="S873" s="11">
        <v>130.23400000000001</v>
      </c>
      <c r="T873" s="11">
        <v>62.670999999999999</v>
      </c>
      <c r="U873" s="11">
        <v>61.524999999999999</v>
      </c>
      <c r="V873" s="11">
        <v>37.329000000000001</v>
      </c>
      <c r="W873" s="11">
        <v>38.475000000000001</v>
      </c>
      <c r="X873" s="11">
        <v>12.816000000000001</v>
      </c>
      <c r="Y873" s="11">
        <v>11.805999999999999</v>
      </c>
      <c r="Z873" s="11">
        <v>38.475000000000001</v>
      </c>
      <c r="AA873" s="11">
        <v>37.329000000000001</v>
      </c>
      <c r="AB873" s="11">
        <v>9.4939999999999998</v>
      </c>
      <c r="AC873" s="11">
        <v>14</v>
      </c>
      <c r="AD873" s="11">
        <v>15</v>
      </c>
      <c r="AE873" s="11">
        <v>14</v>
      </c>
      <c r="AF873" s="11">
        <v>14</v>
      </c>
    </row>
    <row r="874" spans="1:32" s="11" customFormat="1" x14ac:dyDescent="0.2">
      <c r="A874" s="11">
        <v>1061</v>
      </c>
      <c r="F874" s="11" t="s">
        <v>16403</v>
      </c>
      <c r="G874" s="11" t="s">
        <v>16403</v>
      </c>
      <c r="H874" s="12">
        <v>75.7</v>
      </c>
      <c r="I874" s="11" t="s">
        <v>16404</v>
      </c>
      <c r="L874" s="11">
        <v>42.863</v>
      </c>
      <c r="M874" s="11">
        <v>40.630000000000003</v>
      </c>
      <c r="N874" s="11">
        <v>83.498000000000005</v>
      </c>
      <c r="O874" s="11">
        <v>84.227000000000004</v>
      </c>
      <c r="P874" s="11">
        <v>72.435000000000002</v>
      </c>
      <c r="Q874" s="11">
        <v>72.929000000000002</v>
      </c>
      <c r="R874" s="11">
        <v>104.651</v>
      </c>
      <c r="S874" s="11">
        <v>104.121</v>
      </c>
      <c r="T874" s="11">
        <v>67.683999999999997</v>
      </c>
      <c r="U874" s="11">
        <v>67.281000000000006</v>
      </c>
      <c r="V874" s="11">
        <v>32.316000000000003</v>
      </c>
      <c r="W874" s="11">
        <v>32.719000000000001</v>
      </c>
      <c r="X874" s="11">
        <v>20.234999999999999</v>
      </c>
      <c r="Y874" s="11">
        <v>14.927</v>
      </c>
      <c r="Z874" s="11">
        <v>32.719000000000001</v>
      </c>
      <c r="AA874" s="11">
        <v>32.316000000000003</v>
      </c>
      <c r="AB874" s="11">
        <v>18.577999999999999</v>
      </c>
      <c r="AC874" s="11">
        <v>11</v>
      </c>
      <c r="AD874" s="11">
        <v>12</v>
      </c>
      <c r="AE874" s="11">
        <v>11</v>
      </c>
      <c r="AF874" s="11">
        <v>11</v>
      </c>
    </row>
    <row r="875" spans="1:32" s="11" customFormat="1" x14ac:dyDescent="0.2">
      <c r="A875" s="11">
        <v>1062</v>
      </c>
      <c r="F875" s="11" t="s">
        <v>16403</v>
      </c>
      <c r="G875" s="11" t="s">
        <v>16403</v>
      </c>
      <c r="H875" s="12">
        <v>65.099999999999994</v>
      </c>
      <c r="I875" s="11" t="s">
        <v>16404</v>
      </c>
      <c r="L875" s="11">
        <v>46.484999999999999</v>
      </c>
      <c r="M875" s="11">
        <v>51.530999999999999</v>
      </c>
      <c r="N875" s="11">
        <v>99.438000000000002</v>
      </c>
      <c r="O875" s="11">
        <v>96.611999999999995</v>
      </c>
      <c r="P875" s="11">
        <v>74.328000000000003</v>
      </c>
      <c r="Q875" s="11">
        <v>74.100999999999999</v>
      </c>
      <c r="R875" s="11">
        <v>90.346999999999994</v>
      </c>
      <c r="S875" s="11">
        <v>91.150999999999996</v>
      </c>
      <c r="T875" s="11">
        <v>65.442999999999998</v>
      </c>
      <c r="U875" s="11">
        <v>66.411000000000001</v>
      </c>
      <c r="V875" s="11">
        <v>34.557000000000002</v>
      </c>
      <c r="W875" s="11">
        <v>33.588999999999999</v>
      </c>
      <c r="X875" s="11">
        <v>18.521000000000001</v>
      </c>
      <c r="Y875" s="11">
        <v>14.619</v>
      </c>
      <c r="Z875" s="11">
        <v>33.588999999999999</v>
      </c>
      <c r="AA875" s="11">
        <v>34.557000000000002</v>
      </c>
      <c r="AB875" s="11">
        <v>16.146000000000001</v>
      </c>
      <c r="AC875" s="11">
        <v>10</v>
      </c>
      <c r="AD875" s="11">
        <v>10</v>
      </c>
      <c r="AE875" s="11">
        <v>10</v>
      </c>
      <c r="AF875" s="11">
        <v>10</v>
      </c>
    </row>
    <row r="876" spans="1:32" s="11" customFormat="1" x14ac:dyDescent="0.2">
      <c r="A876" s="11">
        <v>1063</v>
      </c>
      <c r="F876" s="11" t="s">
        <v>16403</v>
      </c>
      <c r="G876" s="11" t="s">
        <v>16403</v>
      </c>
      <c r="H876" s="12">
        <v>34.4</v>
      </c>
      <c r="I876" s="11" t="s">
        <v>16404</v>
      </c>
      <c r="L876" s="11">
        <v>58.37</v>
      </c>
      <c r="M876" s="11">
        <v>57.296999999999997</v>
      </c>
      <c r="N876" s="11">
        <v>116.82899999999999</v>
      </c>
      <c r="O876" s="11">
        <v>113.087</v>
      </c>
      <c r="P876" s="11">
        <v>59.762999999999998</v>
      </c>
      <c r="Q876" s="11">
        <v>59.546999999999997</v>
      </c>
      <c r="R876" s="11">
        <v>61.732999999999997</v>
      </c>
      <c r="S876" s="11">
        <v>62.378999999999998</v>
      </c>
      <c r="T876" s="11">
        <v>64.870999999999995</v>
      </c>
      <c r="U876" s="11">
        <v>67.073999999999998</v>
      </c>
      <c r="V876" s="11">
        <v>35.128999999999998</v>
      </c>
      <c r="W876" s="11">
        <v>32.926000000000002</v>
      </c>
      <c r="X876" s="11">
        <v>14.409000000000001</v>
      </c>
      <c r="Y876" s="11">
        <v>18.315999999999999</v>
      </c>
      <c r="Z876" s="11">
        <v>32.926000000000002</v>
      </c>
      <c r="AA876" s="11">
        <v>35.128999999999998</v>
      </c>
      <c r="AB876" s="11">
        <v>18.262</v>
      </c>
      <c r="AC876" s="11">
        <v>10</v>
      </c>
      <c r="AD876" s="11">
        <v>7</v>
      </c>
      <c r="AE876" s="11">
        <v>7</v>
      </c>
      <c r="AF876" s="11">
        <v>7</v>
      </c>
    </row>
    <row r="877" spans="1:32" s="11" customFormat="1" x14ac:dyDescent="0.2">
      <c r="A877" s="11">
        <v>1064</v>
      </c>
      <c r="F877" s="11" t="s">
        <v>16403</v>
      </c>
      <c r="G877" s="11" t="s">
        <v>16403</v>
      </c>
      <c r="H877" s="12">
        <v>76.8</v>
      </c>
      <c r="I877" s="11" t="s">
        <v>16404</v>
      </c>
      <c r="L877" s="11">
        <v>41.848999999999997</v>
      </c>
      <c r="M877" s="11">
        <v>39.267000000000003</v>
      </c>
      <c r="N877" s="11">
        <v>81.406000000000006</v>
      </c>
      <c r="O877" s="11">
        <v>80.709999999999994</v>
      </c>
      <c r="P877" s="11">
        <v>62.112000000000002</v>
      </c>
      <c r="Q877" s="11">
        <v>61.646000000000001</v>
      </c>
      <c r="R877" s="11">
        <v>90.932000000000002</v>
      </c>
      <c r="S877" s="11">
        <v>90.811999999999998</v>
      </c>
      <c r="T877" s="11">
        <v>66.224000000000004</v>
      </c>
      <c r="U877" s="11">
        <v>68.569999999999993</v>
      </c>
      <c r="V877" s="11">
        <v>33.776000000000003</v>
      </c>
      <c r="W877" s="11">
        <v>31.43</v>
      </c>
      <c r="X877" s="11">
        <v>17.747</v>
      </c>
      <c r="Y877" s="11">
        <v>17.428000000000001</v>
      </c>
      <c r="Z877" s="11">
        <v>31.43</v>
      </c>
      <c r="AA877" s="11">
        <v>33.776000000000003</v>
      </c>
      <c r="AB877" s="11">
        <v>17.11</v>
      </c>
      <c r="AC877" s="11">
        <v>12</v>
      </c>
      <c r="AD877" s="11">
        <v>12</v>
      </c>
      <c r="AE877" s="11">
        <v>12</v>
      </c>
      <c r="AF877" s="11">
        <v>12</v>
      </c>
    </row>
    <row r="878" spans="1:32" s="11" customFormat="1" x14ac:dyDescent="0.2">
      <c r="A878" s="11">
        <v>1065</v>
      </c>
      <c r="F878" s="11" t="s">
        <v>16403</v>
      </c>
      <c r="G878" s="11" t="s">
        <v>16403</v>
      </c>
      <c r="H878" s="12">
        <v>71.8</v>
      </c>
      <c r="I878" s="11" t="s">
        <v>16404</v>
      </c>
      <c r="L878" s="11">
        <v>42.517000000000003</v>
      </c>
      <c r="M878" s="11">
        <v>40.497999999999998</v>
      </c>
      <c r="N878" s="11">
        <v>83.388000000000005</v>
      </c>
      <c r="O878" s="11">
        <v>83.341999999999999</v>
      </c>
      <c r="P878" s="11">
        <v>70.456999999999994</v>
      </c>
      <c r="Q878" s="11">
        <v>70.331999999999994</v>
      </c>
      <c r="R878" s="11">
        <v>102.09399999999999</v>
      </c>
      <c r="S878" s="11">
        <v>102.121</v>
      </c>
      <c r="T878" s="11">
        <v>63.887999999999998</v>
      </c>
      <c r="U878" s="11">
        <v>64.784000000000006</v>
      </c>
      <c r="V878" s="11">
        <v>36.112000000000002</v>
      </c>
      <c r="W878" s="11">
        <v>35.216000000000001</v>
      </c>
      <c r="X878" s="11">
        <v>16.745000000000001</v>
      </c>
      <c r="Y878" s="11">
        <v>12.673</v>
      </c>
      <c r="Z878" s="11">
        <v>35.216000000000001</v>
      </c>
      <c r="AA878" s="11">
        <v>36.112000000000002</v>
      </c>
      <c r="AB878" s="11">
        <v>11.295999999999999</v>
      </c>
      <c r="AC878" s="11">
        <v>13</v>
      </c>
      <c r="AD878" s="11">
        <v>11</v>
      </c>
      <c r="AE878" s="11">
        <v>11</v>
      </c>
      <c r="AF878" s="11">
        <v>11</v>
      </c>
    </row>
    <row r="879" spans="1:32" s="11" customFormat="1" x14ac:dyDescent="0.2">
      <c r="A879" s="11">
        <v>1066</v>
      </c>
      <c r="F879" s="11" t="s">
        <v>16403</v>
      </c>
      <c r="G879" s="11" t="s">
        <v>16403</v>
      </c>
      <c r="H879" s="12">
        <v>64.400000000000006</v>
      </c>
      <c r="I879" s="11" t="s">
        <v>16404</v>
      </c>
      <c r="L879" s="11">
        <v>44.491999999999997</v>
      </c>
      <c r="M879" s="11">
        <v>41.402000000000001</v>
      </c>
      <c r="N879" s="11">
        <v>85.656999999999996</v>
      </c>
      <c r="O879" s="11">
        <v>85.596999999999994</v>
      </c>
      <c r="P879" s="11">
        <v>86.813000000000002</v>
      </c>
      <c r="Q879" s="11">
        <v>87.155000000000001</v>
      </c>
      <c r="R879" s="11">
        <v>121.32</v>
      </c>
      <c r="S879" s="11">
        <v>121.367</v>
      </c>
      <c r="T879" s="11">
        <v>62.712000000000003</v>
      </c>
      <c r="U879" s="11">
        <v>63.262999999999998</v>
      </c>
      <c r="V879" s="11">
        <v>37.287999999999997</v>
      </c>
      <c r="W879" s="11">
        <v>36.737000000000002</v>
      </c>
      <c r="X879" s="11">
        <v>13.553000000000001</v>
      </c>
      <c r="Y879" s="11">
        <v>12.635</v>
      </c>
      <c r="Z879" s="11">
        <v>36.737000000000002</v>
      </c>
      <c r="AA879" s="11">
        <v>37.287999999999997</v>
      </c>
      <c r="AB879" s="11">
        <v>7.6079999999999997</v>
      </c>
      <c r="AC879" s="11">
        <v>11</v>
      </c>
      <c r="AD879" s="11">
        <v>10</v>
      </c>
      <c r="AE879" s="11">
        <v>10</v>
      </c>
      <c r="AF879" s="11">
        <v>10</v>
      </c>
    </row>
    <row r="880" spans="1:32" s="11" customFormat="1" x14ac:dyDescent="0.2">
      <c r="A880" s="11">
        <v>1067</v>
      </c>
      <c r="F880" s="11" t="s">
        <v>16403</v>
      </c>
      <c r="G880" s="11" t="s">
        <v>16403</v>
      </c>
      <c r="H880" s="12">
        <v>71.5</v>
      </c>
      <c r="I880" s="11" t="s">
        <v>16404</v>
      </c>
      <c r="L880" s="11">
        <v>53.945</v>
      </c>
      <c r="M880" s="11">
        <v>55.378</v>
      </c>
      <c r="N880" s="11">
        <v>109.13500000000001</v>
      </c>
      <c r="O880" s="11">
        <v>109.768</v>
      </c>
      <c r="P880" s="11">
        <v>101.569</v>
      </c>
      <c r="Q880" s="11">
        <v>102.59699999999999</v>
      </c>
      <c r="R880" s="11">
        <v>111.494</v>
      </c>
      <c r="S880" s="11">
        <v>111.59399999999999</v>
      </c>
      <c r="T880" s="11">
        <v>62.761000000000003</v>
      </c>
      <c r="U880" s="11">
        <v>63.753999999999998</v>
      </c>
      <c r="V880" s="11">
        <v>37.238999999999997</v>
      </c>
      <c r="W880" s="11">
        <v>36.246000000000002</v>
      </c>
      <c r="X880" s="11">
        <v>13.22</v>
      </c>
      <c r="Y880" s="11">
        <v>13.936999999999999</v>
      </c>
      <c r="Z880" s="11">
        <v>36.246000000000002</v>
      </c>
      <c r="AA880" s="11">
        <v>37.238999999999997</v>
      </c>
      <c r="AB880" s="11">
        <v>12.156000000000001</v>
      </c>
      <c r="AC880" s="11">
        <v>10</v>
      </c>
      <c r="AD880" s="11">
        <v>10</v>
      </c>
      <c r="AE880" s="11">
        <v>10</v>
      </c>
      <c r="AF880" s="11">
        <v>10</v>
      </c>
    </row>
    <row r="881" spans="1:32" s="11" customFormat="1" x14ac:dyDescent="0.2">
      <c r="A881" s="11">
        <v>1068</v>
      </c>
      <c r="F881" s="11" t="s">
        <v>16403</v>
      </c>
      <c r="G881" s="11" t="s">
        <v>16403</v>
      </c>
      <c r="H881" s="12">
        <v>72.099999999999994</v>
      </c>
      <c r="I881" s="11" t="s">
        <v>16404</v>
      </c>
      <c r="L881" s="11">
        <v>43.423999999999999</v>
      </c>
      <c r="M881" s="11">
        <v>38.039000000000001</v>
      </c>
      <c r="N881" s="11">
        <v>81.462999999999994</v>
      </c>
      <c r="O881" s="11">
        <v>79.787999999999997</v>
      </c>
      <c r="P881" s="11">
        <v>69.483999999999995</v>
      </c>
      <c r="Q881" s="11">
        <v>69.715999999999994</v>
      </c>
      <c r="R881" s="11">
        <v>103.06</v>
      </c>
      <c r="S881" s="11">
        <v>104.976</v>
      </c>
      <c r="T881" s="11">
        <v>66.152000000000001</v>
      </c>
      <c r="U881" s="11">
        <v>67.869</v>
      </c>
      <c r="V881" s="11">
        <v>33.847999999999999</v>
      </c>
      <c r="W881" s="11">
        <v>32.131</v>
      </c>
      <c r="X881" s="11">
        <v>17.164000000000001</v>
      </c>
      <c r="Y881" s="11">
        <v>17.635999999999999</v>
      </c>
      <c r="Z881" s="11">
        <v>32.131</v>
      </c>
      <c r="AA881" s="11">
        <v>33.847999999999999</v>
      </c>
      <c r="AB881" s="11">
        <v>8.452</v>
      </c>
      <c r="AC881" s="11">
        <v>15</v>
      </c>
      <c r="AD881" s="11">
        <v>10</v>
      </c>
      <c r="AE881" s="11">
        <v>10</v>
      </c>
      <c r="AF881" s="11">
        <v>10</v>
      </c>
    </row>
    <row r="882" spans="1:32" s="11" customFormat="1" x14ac:dyDescent="0.2">
      <c r="A882" s="11">
        <v>1069</v>
      </c>
      <c r="F882" s="11" t="s">
        <v>16403</v>
      </c>
      <c r="G882" s="11" t="s">
        <v>16403</v>
      </c>
      <c r="H882" s="12">
        <v>62.4</v>
      </c>
      <c r="I882" s="11" t="s">
        <v>16407</v>
      </c>
      <c r="L882" s="11">
        <v>56.734000000000002</v>
      </c>
      <c r="M882" s="11">
        <v>57.762999999999998</v>
      </c>
      <c r="N882" s="11">
        <v>115.08499999999999</v>
      </c>
      <c r="O882" s="11">
        <v>113.80200000000001</v>
      </c>
      <c r="P882" s="11">
        <v>97.68</v>
      </c>
      <c r="Q882" s="11">
        <v>97.391000000000005</v>
      </c>
      <c r="R882" s="11">
        <v>101.21899999999999</v>
      </c>
      <c r="S882" s="11">
        <v>101.812</v>
      </c>
      <c r="T882" s="11">
        <v>66.484999999999999</v>
      </c>
      <c r="U882" s="11">
        <v>64.596000000000004</v>
      </c>
      <c r="V882" s="11">
        <v>33.515000000000001</v>
      </c>
      <c r="W882" s="11">
        <v>35.404000000000003</v>
      </c>
      <c r="X882" s="11">
        <v>15.109</v>
      </c>
      <c r="Y882" s="11">
        <v>15.542</v>
      </c>
      <c r="Z882" s="11">
        <v>35.404000000000003</v>
      </c>
      <c r="AA882" s="11">
        <v>33.515000000000001</v>
      </c>
      <c r="AB882" s="11">
        <v>12.986000000000001</v>
      </c>
      <c r="AC882" s="11">
        <v>10</v>
      </c>
      <c r="AD882" s="11">
        <v>10</v>
      </c>
      <c r="AE882" s="11">
        <v>10</v>
      </c>
      <c r="AF882" s="11">
        <v>10</v>
      </c>
    </row>
    <row r="883" spans="1:32" s="11" customFormat="1" x14ac:dyDescent="0.2">
      <c r="A883" s="11">
        <v>1070</v>
      </c>
      <c r="F883" s="11" t="s">
        <v>16403</v>
      </c>
      <c r="G883" s="11" t="s">
        <v>16403</v>
      </c>
      <c r="H883" s="12">
        <v>64.2</v>
      </c>
      <c r="I883" s="11" t="s">
        <v>16404</v>
      </c>
      <c r="L883" s="11">
        <v>37.027999999999999</v>
      </c>
      <c r="M883" s="11">
        <v>36.685000000000002</v>
      </c>
      <c r="N883" s="11">
        <v>74.376999999999995</v>
      </c>
      <c r="O883" s="11">
        <v>72.775000000000006</v>
      </c>
      <c r="P883" s="11">
        <v>58.884999999999998</v>
      </c>
      <c r="Q883" s="11">
        <v>58.35</v>
      </c>
      <c r="R883" s="11">
        <v>95.394000000000005</v>
      </c>
      <c r="S883" s="11">
        <v>95.691000000000003</v>
      </c>
      <c r="T883" s="11">
        <v>62.432000000000002</v>
      </c>
      <c r="U883" s="11">
        <v>68.27</v>
      </c>
      <c r="V883" s="11">
        <v>37.567999999999998</v>
      </c>
      <c r="W883" s="11">
        <v>31.73</v>
      </c>
      <c r="X883" s="11">
        <v>15.965999999999999</v>
      </c>
      <c r="Y883" s="11">
        <v>14.667</v>
      </c>
      <c r="Z883" s="11">
        <v>31.73</v>
      </c>
      <c r="AA883" s="11">
        <v>37.567999999999998</v>
      </c>
      <c r="AB883" s="11">
        <v>11.74</v>
      </c>
      <c r="AC883" s="11">
        <v>12</v>
      </c>
      <c r="AD883" s="11">
        <v>13</v>
      </c>
      <c r="AE883" s="11">
        <v>12</v>
      </c>
      <c r="AF883" s="11">
        <v>12</v>
      </c>
    </row>
    <row r="884" spans="1:32" s="11" customFormat="1" x14ac:dyDescent="0.2">
      <c r="A884" s="11">
        <v>1071</v>
      </c>
      <c r="F884" s="11" t="s">
        <v>16403</v>
      </c>
      <c r="G884" s="11" t="s">
        <v>16403</v>
      </c>
      <c r="H884" s="12">
        <v>76.2</v>
      </c>
      <c r="I884" s="11" t="s">
        <v>16404</v>
      </c>
      <c r="L884" s="11">
        <v>33.74</v>
      </c>
      <c r="M884" s="11">
        <v>30.175000000000001</v>
      </c>
      <c r="N884" s="11">
        <v>63.856000000000002</v>
      </c>
      <c r="O884" s="11">
        <v>63.914000000000001</v>
      </c>
      <c r="P884" s="11">
        <v>44.826999999999998</v>
      </c>
      <c r="Q884" s="11">
        <v>44.738</v>
      </c>
      <c r="R884" s="11">
        <v>83.825999999999993</v>
      </c>
      <c r="S884" s="11">
        <v>83.817999999999998</v>
      </c>
      <c r="T884" s="11">
        <v>70.308000000000007</v>
      </c>
      <c r="U884" s="11">
        <v>71.147999999999996</v>
      </c>
      <c r="V884" s="11">
        <v>29.692</v>
      </c>
      <c r="W884" s="11">
        <v>28.852</v>
      </c>
      <c r="X884" s="11">
        <v>20.76</v>
      </c>
      <c r="Y884" s="11">
        <v>21.164000000000001</v>
      </c>
      <c r="Z884" s="11">
        <v>28.852</v>
      </c>
      <c r="AA884" s="11">
        <v>29.692</v>
      </c>
      <c r="AB884" s="11">
        <v>14.311999999999999</v>
      </c>
      <c r="AC884" s="11">
        <v>15</v>
      </c>
      <c r="AD884" s="11">
        <v>15</v>
      </c>
      <c r="AE884" s="11">
        <v>15</v>
      </c>
      <c r="AF884" s="11">
        <v>15</v>
      </c>
    </row>
    <row r="885" spans="1:32" s="11" customFormat="1" x14ac:dyDescent="0.2">
      <c r="A885" s="11">
        <v>1072</v>
      </c>
      <c r="F885" s="11" t="s">
        <v>16403</v>
      </c>
      <c r="G885" s="11" t="s">
        <v>16403</v>
      </c>
      <c r="H885" s="12">
        <v>80.400000000000006</v>
      </c>
      <c r="I885" s="11" t="s">
        <v>16404</v>
      </c>
      <c r="L885" s="11">
        <v>49.155999999999999</v>
      </c>
      <c r="M885" s="11">
        <v>49.042000000000002</v>
      </c>
      <c r="N885" s="11">
        <v>96.905000000000001</v>
      </c>
      <c r="O885" s="11">
        <v>98.697000000000003</v>
      </c>
      <c r="P885" s="11">
        <v>88.664000000000001</v>
      </c>
      <c r="Q885" s="11">
        <v>91.207999999999998</v>
      </c>
      <c r="R885" s="11">
        <v>110.45099999999999</v>
      </c>
      <c r="S885" s="11">
        <v>109.93300000000001</v>
      </c>
      <c r="T885" s="11">
        <v>65.680000000000007</v>
      </c>
      <c r="U885" s="11">
        <v>67.180999999999997</v>
      </c>
      <c r="V885" s="11">
        <v>34.32</v>
      </c>
      <c r="W885" s="11">
        <v>32.819000000000003</v>
      </c>
      <c r="X885" s="11">
        <v>16.527999999999999</v>
      </c>
      <c r="Y885" s="11">
        <v>16.97</v>
      </c>
      <c r="Z885" s="11">
        <v>32.819000000000003</v>
      </c>
      <c r="AA885" s="11">
        <v>34.32</v>
      </c>
      <c r="AB885" s="11">
        <v>8.74</v>
      </c>
      <c r="AC885" s="11">
        <v>11</v>
      </c>
      <c r="AD885" s="11">
        <v>10</v>
      </c>
      <c r="AE885" s="11">
        <v>10</v>
      </c>
      <c r="AF885" s="11">
        <v>10</v>
      </c>
    </row>
    <row r="886" spans="1:32" s="11" customFormat="1" x14ac:dyDescent="0.2">
      <c r="A886" s="11">
        <v>1073</v>
      </c>
      <c r="F886" s="11" t="s">
        <v>16403</v>
      </c>
      <c r="G886" s="11" t="s">
        <v>16403</v>
      </c>
      <c r="H886" s="12">
        <v>70</v>
      </c>
      <c r="I886" s="11" t="s">
        <v>16404</v>
      </c>
      <c r="L886" s="11" t="s">
        <v>16403</v>
      </c>
      <c r="M886" s="11" t="s">
        <v>16403</v>
      </c>
      <c r="N886" s="11" t="s">
        <v>16403</v>
      </c>
      <c r="O886" s="11" t="s">
        <v>16403</v>
      </c>
      <c r="P886" s="11" t="s">
        <v>16403</v>
      </c>
      <c r="Q886" s="11" t="s">
        <v>16403</v>
      </c>
      <c r="R886" s="11" t="s">
        <v>16403</v>
      </c>
      <c r="S886" s="11" t="s">
        <v>16403</v>
      </c>
      <c r="T886" s="11" t="s">
        <v>16403</v>
      </c>
      <c r="U886" s="11" t="s">
        <v>16403</v>
      </c>
      <c r="V886" s="11" t="s">
        <v>16403</v>
      </c>
      <c r="W886" s="11" t="s">
        <v>16403</v>
      </c>
      <c r="X886" s="11" t="s">
        <v>16403</v>
      </c>
      <c r="Y886" s="11" t="s">
        <v>16403</v>
      </c>
      <c r="Z886" s="11" t="s">
        <v>16403</v>
      </c>
      <c r="AA886" s="11" t="s">
        <v>16403</v>
      </c>
      <c r="AB886" s="11" t="s">
        <v>16403</v>
      </c>
      <c r="AC886" s="11" t="s">
        <v>16403</v>
      </c>
      <c r="AD886" s="11" t="s">
        <v>16403</v>
      </c>
      <c r="AE886" s="11" t="s">
        <v>16403</v>
      </c>
      <c r="AF886" s="11" t="s">
        <v>16403</v>
      </c>
    </row>
    <row r="887" spans="1:32" s="11" customFormat="1" x14ac:dyDescent="0.2">
      <c r="A887" s="11">
        <v>1074</v>
      </c>
      <c r="F887" s="11" t="s">
        <v>16403</v>
      </c>
      <c r="G887" s="11" t="s">
        <v>16403</v>
      </c>
      <c r="H887" s="12">
        <v>51.4</v>
      </c>
      <c r="I887" s="11" t="s">
        <v>16404</v>
      </c>
      <c r="L887" s="11">
        <v>51.871000000000002</v>
      </c>
      <c r="M887" s="11">
        <v>54.218000000000004</v>
      </c>
      <c r="N887" s="11">
        <v>106.254</v>
      </c>
      <c r="O887" s="11">
        <v>105.676</v>
      </c>
      <c r="P887" s="11">
        <v>84.117000000000004</v>
      </c>
      <c r="Q887" s="11">
        <v>83.507999999999996</v>
      </c>
      <c r="R887" s="11">
        <v>94.5</v>
      </c>
      <c r="S887" s="11">
        <v>94.453999999999994</v>
      </c>
      <c r="T887" s="11">
        <v>64.465000000000003</v>
      </c>
      <c r="U887" s="11">
        <v>65.388000000000005</v>
      </c>
      <c r="V887" s="11">
        <v>35.534999999999997</v>
      </c>
      <c r="W887" s="11">
        <v>34.612000000000002</v>
      </c>
      <c r="X887" s="11">
        <v>15.872</v>
      </c>
      <c r="Y887" s="11">
        <v>14.215999999999999</v>
      </c>
      <c r="Z887" s="11">
        <v>34.612000000000002</v>
      </c>
      <c r="AA887" s="11">
        <v>35.534999999999997</v>
      </c>
      <c r="AB887" s="11">
        <v>16.788</v>
      </c>
      <c r="AC887" s="11">
        <v>10</v>
      </c>
      <c r="AD887" s="11">
        <v>10</v>
      </c>
      <c r="AE887" s="11">
        <v>10</v>
      </c>
      <c r="AF887" s="11">
        <v>10</v>
      </c>
    </row>
    <row r="888" spans="1:32" s="11" customFormat="1" x14ac:dyDescent="0.2">
      <c r="A888" s="11">
        <v>1075</v>
      </c>
      <c r="F888" s="11" t="s">
        <v>16403</v>
      </c>
      <c r="G888" s="11" t="s">
        <v>16403</v>
      </c>
      <c r="H888" s="12">
        <v>72.8</v>
      </c>
      <c r="I888" s="11" t="s">
        <v>16404</v>
      </c>
      <c r="L888" s="11" t="s">
        <v>16403</v>
      </c>
      <c r="M888" s="11" t="s">
        <v>16403</v>
      </c>
      <c r="N888" s="11" t="s">
        <v>16403</v>
      </c>
      <c r="O888" s="11" t="s">
        <v>16403</v>
      </c>
      <c r="P888" s="11" t="s">
        <v>16403</v>
      </c>
      <c r="Q888" s="11" t="s">
        <v>16403</v>
      </c>
      <c r="R888" s="11" t="s">
        <v>16403</v>
      </c>
      <c r="S888" s="11" t="s">
        <v>16403</v>
      </c>
      <c r="T888" s="11" t="s">
        <v>16403</v>
      </c>
      <c r="U888" s="11" t="s">
        <v>16403</v>
      </c>
      <c r="V888" s="11" t="s">
        <v>16403</v>
      </c>
      <c r="W888" s="11" t="s">
        <v>16403</v>
      </c>
      <c r="X888" s="11" t="s">
        <v>16403</v>
      </c>
      <c r="Y888" s="11" t="s">
        <v>16403</v>
      </c>
      <c r="Z888" s="11" t="s">
        <v>16403</v>
      </c>
      <c r="AA888" s="11" t="s">
        <v>16403</v>
      </c>
      <c r="AB888" s="11" t="s">
        <v>16403</v>
      </c>
      <c r="AC888" s="11" t="s">
        <v>16403</v>
      </c>
      <c r="AD888" s="11" t="s">
        <v>16403</v>
      </c>
      <c r="AE888" s="11" t="s">
        <v>16403</v>
      </c>
      <c r="AF888" s="11" t="s">
        <v>16403</v>
      </c>
    </row>
    <row r="889" spans="1:32" s="11" customFormat="1" x14ac:dyDescent="0.2">
      <c r="A889" s="11">
        <v>1076</v>
      </c>
      <c r="F889" s="11" t="s">
        <v>16403</v>
      </c>
      <c r="G889" s="11" t="s">
        <v>16403</v>
      </c>
      <c r="H889" s="12">
        <v>74.099999999999994</v>
      </c>
      <c r="I889" s="11" t="s">
        <v>16407</v>
      </c>
      <c r="L889" s="11" t="s">
        <v>16403</v>
      </c>
      <c r="M889" s="11" t="s">
        <v>16403</v>
      </c>
      <c r="N889" s="11" t="s">
        <v>16403</v>
      </c>
      <c r="O889" s="11" t="s">
        <v>16403</v>
      </c>
      <c r="P889" s="11" t="s">
        <v>16403</v>
      </c>
      <c r="Q889" s="11" t="s">
        <v>16403</v>
      </c>
      <c r="R889" s="11" t="s">
        <v>16403</v>
      </c>
      <c r="S889" s="11" t="s">
        <v>16403</v>
      </c>
      <c r="T889" s="11" t="s">
        <v>16403</v>
      </c>
      <c r="U889" s="11" t="s">
        <v>16403</v>
      </c>
      <c r="V889" s="11" t="s">
        <v>16403</v>
      </c>
      <c r="W889" s="11" t="s">
        <v>16403</v>
      </c>
      <c r="X889" s="11" t="s">
        <v>16403</v>
      </c>
      <c r="Y889" s="11" t="s">
        <v>16403</v>
      </c>
      <c r="Z889" s="11" t="s">
        <v>16403</v>
      </c>
      <c r="AA889" s="11" t="s">
        <v>16403</v>
      </c>
      <c r="AB889" s="11" t="s">
        <v>16403</v>
      </c>
      <c r="AC889" s="11" t="s">
        <v>16403</v>
      </c>
      <c r="AD889" s="11" t="s">
        <v>16403</v>
      </c>
      <c r="AE889" s="11" t="s">
        <v>16403</v>
      </c>
      <c r="AF889" s="11" t="s">
        <v>16403</v>
      </c>
    </row>
    <row r="890" spans="1:32" s="11" customFormat="1" x14ac:dyDescent="0.2">
      <c r="A890" s="11">
        <v>1077</v>
      </c>
      <c r="F890" s="11" t="s">
        <v>16403</v>
      </c>
      <c r="G890" s="11" t="s">
        <v>16403</v>
      </c>
      <c r="H890" s="12">
        <v>24</v>
      </c>
      <c r="I890" s="11" t="s">
        <v>16407</v>
      </c>
      <c r="L890" s="11">
        <v>46.640999999999998</v>
      </c>
      <c r="M890" s="11">
        <v>46.094999999999999</v>
      </c>
      <c r="N890" s="11">
        <v>92.6</v>
      </c>
      <c r="O890" s="11">
        <v>93.061999999999998</v>
      </c>
      <c r="P890" s="11">
        <v>70.715999999999994</v>
      </c>
      <c r="Q890" s="11">
        <v>71.034000000000006</v>
      </c>
      <c r="R890" s="11">
        <v>91.742999999999995</v>
      </c>
      <c r="S890" s="11">
        <v>91.506</v>
      </c>
      <c r="T890" s="11">
        <v>67.224999999999994</v>
      </c>
      <c r="U890" s="11">
        <v>63.981999999999999</v>
      </c>
      <c r="V890" s="11">
        <v>32.776000000000003</v>
      </c>
      <c r="W890" s="11">
        <v>36.018000000000001</v>
      </c>
      <c r="X890" s="11">
        <v>16.923999999999999</v>
      </c>
      <c r="Y890" s="11">
        <v>14.473000000000001</v>
      </c>
      <c r="Z890" s="11">
        <v>36.018000000000001</v>
      </c>
      <c r="AA890" s="11">
        <v>32.776000000000003</v>
      </c>
      <c r="AB890" s="11">
        <v>11.04</v>
      </c>
      <c r="AC890" s="11">
        <v>12</v>
      </c>
      <c r="AD890" s="11">
        <v>15</v>
      </c>
      <c r="AE890" s="11">
        <v>12</v>
      </c>
      <c r="AF890" s="11">
        <v>10</v>
      </c>
    </row>
    <row r="891" spans="1:32" s="11" customFormat="1" x14ac:dyDescent="0.2">
      <c r="A891" s="11">
        <v>1078</v>
      </c>
      <c r="F891" s="11" t="s">
        <v>16403</v>
      </c>
      <c r="G891" s="11" t="s">
        <v>16403</v>
      </c>
      <c r="H891" s="12">
        <v>71.7</v>
      </c>
      <c r="I891" s="11" t="s">
        <v>16407</v>
      </c>
      <c r="L891" s="11">
        <v>39.487000000000002</v>
      </c>
      <c r="M891" s="11">
        <v>40.862000000000002</v>
      </c>
      <c r="N891" s="11">
        <v>80.063999999999993</v>
      </c>
      <c r="O891" s="11">
        <v>80.361999999999995</v>
      </c>
      <c r="P891" s="11">
        <v>56.441000000000003</v>
      </c>
      <c r="Q891" s="11">
        <v>56.332000000000001</v>
      </c>
      <c r="R891" s="11">
        <v>84.501999999999995</v>
      </c>
      <c r="S891" s="11">
        <v>84.072000000000003</v>
      </c>
      <c r="T891" s="11">
        <v>67.287000000000006</v>
      </c>
      <c r="U891" s="11">
        <v>67.188000000000002</v>
      </c>
      <c r="V891" s="11">
        <v>32.713000000000001</v>
      </c>
      <c r="W891" s="11">
        <v>32.811999999999998</v>
      </c>
      <c r="X891" s="11">
        <v>17.356999999999999</v>
      </c>
      <c r="Y891" s="11">
        <v>17.393999999999998</v>
      </c>
      <c r="Z891" s="11">
        <v>32.811999999999998</v>
      </c>
      <c r="AA891" s="11">
        <v>32.713000000000001</v>
      </c>
      <c r="AB891" s="11">
        <v>12.144</v>
      </c>
      <c r="AC891" s="11">
        <v>15</v>
      </c>
      <c r="AD891" s="11">
        <v>15</v>
      </c>
      <c r="AE891" s="11">
        <v>13</v>
      </c>
      <c r="AF891" s="11">
        <v>12</v>
      </c>
    </row>
    <row r="892" spans="1:32" s="11" customFormat="1" x14ac:dyDescent="0.2">
      <c r="A892" s="11">
        <v>1079</v>
      </c>
      <c r="F892" s="11" t="s">
        <v>16403</v>
      </c>
      <c r="G892" s="11" t="s">
        <v>16403</v>
      </c>
      <c r="H892" s="12">
        <v>75.599999999999994</v>
      </c>
      <c r="I892" s="11" t="s">
        <v>16404</v>
      </c>
      <c r="L892" s="11">
        <v>43.981999999999999</v>
      </c>
      <c r="M892" s="11">
        <v>48.226999999999997</v>
      </c>
      <c r="N892" s="11">
        <v>92.007000000000005</v>
      </c>
      <c r="O892" s="11">
        <v>93.331999999999994</v>
      </c>
      <c r="P892" s="11">
        <v>83.188999999999993</v>
      </c>
      <c r="Q892" s="11">
        <v>83.578999999999994</v>
      </c>
      <c r="R892" s="11">
        <v>107.61</v>
      </c>
      <c r="S892" s="11">
        <v>106.68899999999999</v>
      </c>
      <c r="T892" s="11">
        <v>63.14</v>
      </c>
      <c r="U892" s="11">
        <v>63.996000000000002</v>
      </c>
      <c r="V892" s="11">
        <v>36.86</v>
      </c>
      <c r="W892" s="11">
        <v>36.003999999999998</v>
      </c>
      <c r="X892" s="11">
        <v>13.831</v>
      </c>
      <c r="Y892" s="11">
        <v>13.039</v>
      </c>
      <c r="Z892" s="11">
        <v>36.003999999999998</v>
      </c>
      <c r="AA892" s="11">
        <v>36.86</v>
      </c>
      <c r="AB892" s="11">
        <v>11.752000000000001</v>
      </c>
      <c r="AC892" s="11">
        <v>14</v>
      </c>
      <c r="AD892" s="11">
        <v>12</v>
      </c>
      <c r="AE892" s="11">
        <v>11</v>
      </c>
      <c r="AF892" s="11">
        <v>10</v>
      </c>
    </row>
    <row r="893" spans="1:32" s="11" customFormat="1" x14ac:dyDescent="0.2">
      <c r="A893" s="11">
        <v>1080</v>
      </c>
      <c r="F893" s="11" t="s">
        <v>16403</v>
      </c>
      <c r="G893" s="11" t="s">
        <v>16403</v>
      </c>
      <c r="H893" s="12">
        <v>79</v>
      </c>
      <c r="I893" s="11" t="s">
        <v>16404</v>
      </c>
      <c r="L893" s="11">
        <v>12.15</v>
      </c>
      <c r="M893" s="11">
        <v>24.202999999999999</v>
      </c>
      <c r="N893" s="11">
        <v>36.517000000000003</v>
      </c>
      <c r="O893" s="11">
        <v>34.338999999999999</v>
      </c>
      <c r="P893" s="11">
        <v>30.231999999999999</v>
      </c>
      <c r="Q893" s="11">
        <v>29.690999999999999</v>
      </c>
      <c r="R893" s="11">
        <v>98.414000000000001</v>
      </c>
      <c r="S893" s="11">
        <v>101.226</v>
      </c>
      <c r="T893" s="11">
        <v>70.977999999999994</v>
      </c>
      <c r="U893" s="11">
        <v>71.661000000000001</v>
      </c>
      <c r="V893" s="11">
        <v>29.021999999999998</v>
      </c>
      <c r="W893" s="11">
        <v>28.338999999999999</v>
      </c>
      <c r="X893" s="11">
        <v>20.276</v>
      </c>
      <c r="Y893" s="11">
        <v>22.265999999999998</v>
      </c>
      <c r="Z893" s="11">
        <v>28.338999999999999</v>
      </c>
      <c r="AA893" s="11">
        <v>29.021999999999998</v>
      </c>
      <c r="AB893" s="11">
        <v>11.342000000000001</v>
      </c>
      <c r="AC893" s="11">
        <v>24</v>
      </c>
      <c r="AD893" s="11">
        <v>24</v>
      </c>
      <c r="AE893" s="11">
        <v>22</v>
      </c>
      <c r="AF893" s="11">
        <v>21</v>
      </c>
    </row>
    <row r="894" spans="1:32" s="11" customFormat="1" x14ac:dyDescent="0.2">
      <c r="A894" s="11">
        <v>1081</v>
      </c>
      <c r="F894" s="11" t="s">
        <v>16403</v>
      </c>
      <c r="G894" s="11" t="s">
        <v>16403</v>
      </c>
      <c r="H894" s="12">
        <v>54.8</v>
      </c>
      <c r="I894" s="11" t="s">
        <v>16407</v>
      </c>
      <c r="L894" s="11">
        <v>12.135</v>
      </c>
      <c r="M894" s="11">
        <v>24.242000000000001</v>
      </c>
      <c r="N894" s="11">
        <v>36.487000000000002</v>
      </c>
      <c r="O894" s="11">
        <v>35.921999999999997</v>
      </c>
      <c r="P894" s="11">
        <v>30.109000000000002</v>
      </c>
      <c r="Q894" s="11">
        <v>29.771999999999998</v>
      </c>
      <c r="R894" s="11">
        <v>98.4</v>
      </c>
      <c r="S894" s="11">
        <v>99.15</v>
      </c>
      <c r="T894" s="11">
        <v>70.718999999999994</v>
      </c>
      <c r="U894" s="11">
        <v>71.747</v>
      </c>
      <c r="V894" s="11">
        <v>29.280999999999999</v>
      </c>
      <c r="W894" s="11">
        <v>28.253</v>
      </c>
      <c r="X894" s="11">
        <v>19.852</v>
      </c>
      <c r="Y894" s="11">
        <v>21.686</v>
      </c>
      <c r="Z894" s="11">
        <v>28.253</v>
      </c>
      <c r="AA894" s="11">
        <v>29.280999999999999</v>
      </c>
      <c r="AB894" s="11">
        <v>10.978</v>
      </c>
      <c r="AC894" s="11">
        <v>25</v>
      </c>
      <c r="AD894" s="11">
        <v>24</v>
      </c>
      <c r="AE894" s="11">
        <v>22</v>
      </c>
      <c r="AF894" s="11">
        <v>22</v>
      </c>
    </row>
    <row r="895" spans="1:32" s="11" customFormat="1" x14ac:dyDescent="0.2">
      <c r="A895" s="11">
        <v>1082</v>
      </c>
      <c r="F895" s="11" t="s">
        <v>16403</v>
      </c>
      <c r="G895" s="11" t="s">
        <v>16403</v>
      </c>
      <c r="H895" s="12">
        <v>76.900000000000006</v>
      </c>
      <c r="I895" s="11" t="s">
        <v>16407</v>
      </c>
      <c r="L895" s="11">
        <v>27.337</v>
      </c>
      <c r="M895" s="11">
        <v>28.696000000000002</v>
      </c>
      <c r="N895" s="11">
        <v>55.761000000000003</v>
      </c>
      <c r="O895" s="11">
        <v>56.587000000000003</v>
      </c>
      <c r="P895" s="11">
        <v>30.164999999999999</v>
      </c>
      <c r="Q895" s="11">
        <v>30.16</v>
      </c>
      <c r="R895" s="11">
        <v>64.545000000000002</v>
      </c>
      <c r="S895" s="11">
        <v>63.912999999999997</v>
      </c>
      <c r="T895" s="11">
        <v>75.747</v>
      </c>
      <c r="U895" s="11">
        <v>76.334000000000003</v>
      </c>
      <c r="V895" s="11">
        <v>24.253</v>
      </c>
      <c r="W895" s="11">
        <v>23.666</v>
      </c>
      <c r="X895" s="11">
        <v>24.555</v>
      </c>
      <c r="Y895" s="11">
        <v>28.079000000000001</v>
      </c>
      <c r="Z895" s="11">
        <v>23.666</v>
      </c>
      <c r="AA895" s="11">
        <v>24.253</v>
      </c>
      <c r="AB895" s="11">
        <v>20.216000000000001</v>
      </c>
      <c r="AC895" s="11">
        <v>16</v>
      </c>
      <c r="AD895" s="11">
        <v>16</v>
      </c>
      <c r="AE895" s="11">
        <v>14</v>
      </c>
      <c r="AF895" s="11">
        <v>13</v>
      </c>
    </row>
    <row r="896" spans="1:32" s="11" customFormat="1" x14ac:dyDescent="0.2">
      <c r="A896" s="11">
        <v>1083</v>
      </c>
      <c r="F896" s="11" t="s">
        <v>16403</v>
      </c>
      <c r="G896" s="11" t="s">
        <v>16403</v>
      </c>
      <c r="H896" s="12">
        <v>62</v>
      </c>
      <c r="I896" s="11" t="s">
        <v>16404</v>
      </c>
      <c r="L896" s="11">
        <v>52.8</v>
      </c>
      <c r="M896" s="11">
        <v>59.101999999999997</v>
      </c>
      <c r="N896" s="11">
        <v>110.96599999999999</v>
      </c>
      <c r="O896" s="11">
        <v>112.68899999999999</v>
      </c>
      <c r="P896" s="11">
        <v>80.558999999999997</v>
      </c>
      <c r="Q896" s="11">
        <v>81.727000000000004</v>
      </c>
      <c r="R896" s="11">
        <v>87.67</v>
      </c>
      <c r="S896" s="11">
        <v>87.168000000000006</v>
      </c>
      <c r="T896" s="11">
        <v>64.47</v>
      </c>
      <c r="U896" s="11">
        <v>64.98</v>
      </c>
      <c r="V896" s="11">
        <v>35.53</v>
      </c>
      <c r="W896" s="11">
        <v>35.020000000000003</v>
      </c>
      <c r="X896" s="11">
        <v>13.041</v>
      </c>
      <c r="Y896" s="11">
        <v>16.504000000000001</v>
      </c>
      <c r="Z896" s="11">
        <v>35.020000000000003</v>
      </c>
      <c r="AA896" s="11">
        <v>35.53</v>
      </c>
      <c r="AB896" s="11">
        <v>24.173999999999999</v>
      </c>
      <c r="AC896" s="11">
        <v>12</v>
      </c>
      <c r="AD896" s="11">
        <v>12</v>
      </c>
      <c r="AE896" s="11">
        <v>9</v>
      </c>
      <c r="AF896" s="11">
        <v>10</v>
      </c>
    </row>
    <row r="897" spans="1:32" s="11" customFormat="1" x14ac:dyDescent="0.2">
      <c r="A897" s="11">
        <v>1084</v>
      </c>
      <c r="F897" s="11" t="s">
        <v>16403</v>
      </c>
      <c r="G897" s="11" t="s">
        <v>16403</v>
      </c>
      <c r="H897" s="12">
        <v>73.8</v>
      </c>
      <c r="I897" s="11" t="s">
        <v>16404</v>
      </c>
      <c r="L897" s="11">
        <v>64.325000000000003</v>
      </c>
      <c r="M897" s="11">
        <v>63.014000000000003</v>
      </c>
      <c r="N897" s="11">
        <v>127.321</v>
      </c>
      <c r="O897" s="11">
        <v>127.514</v>
      </c>
      <c r="P897" s="11">
        <v>109.824</v>
      </c>
      <c r="Q897" s="11">
        <v>111.821</v>
      </c>
      <c r="R897" s="11">
        <v>103.352</v>
      </c>
      <c r="S897" s="11">
        <v>104.944</v>
      </c>
      <c r="T897" s="11">
        <v>63.204999999999998</v>
      </c>
      <c r="U897" s="11">
        <v>61.121000000000002</v>
      </c>
      <c r="V897" s="11">
        <v>36.795000000000002</v>
      </c>
      <c r="W897" s="11">
        <v>38.878999999999998</v>
      </c>
      <c r="X897" s="11">
        <v>13.955</v>
      </c>
      <c r="Y897" s="11">
        <v>11.475</v>
      </c>
      <c r="Z897" s="11">
        <v>38.878999999999998</v>
      </c>
      <c r="AA897" s="11">
        <v>36.795000000000002</v>
      </c>
      <c r="AB897" s="11">
        <v>10.89</v>
      </c>
      <c r="AC897" s="11">
        <v>10</v>
      </c>
      <c r="AD897" s="11">
        <v>14</v>
      </c>
      <c r="AE897" s="11">
        <v>9</v>
      </c>
      <c r="AF897" s="11">
        <v>10</v>
      </c>
    </row>
    <row r="898" spans="1:32" s="11" customFormat="1" x14ac:dyDescent="0.2">
      <c r="A898" s="11">
        <v>1085</v>
      </c>
      <c r="F898" s="11" t="s">
        <v>16403</v>
      </c>
      <c r="G898" s="11" t="s">
        <v>16403</v>
      </c>
      <c r="H898" s="12">
        <v>64.3</v>
      </c>
      <c r="I898" s="11" t="s">
        <v>16407</v>
      </c>
      <c r="L898" s="11">
        <v>58.131</v>
      </c>
      <c r="M898" s="11">
        <v>58.238</v>
      </c>
      <c r="N898" s="11">
        <v>116.345</v>
      </c>
      <c r="O898" s="11">
        <v>116.33799999999999</v>
      </c>
      <c r="P898" s="11">
        <v>92.575000000000003</v>
      </c>
      <c r="Q898" s="11">
        <v>92.795000000000002</v>
      </c>
      <c r="R898" s="11">
        <v>94.715000000000003</v>
      </c>
      <c r="S898" s="11">
        <v>95.093000000000004</v>
      </c>
      <c r="T898" s="11">
        <v>64.046000000000006</v>
      </c>
      <c r="U898" s="11">
        <v>63.356999999999999</v>
      </c>
      <c r="V898" s="11">
        <v>35.954000000000001</v>
      </c>
      <c r="W898" s="11">
        <v>36.643000000000001</v>
      </c>
      <c r="X898" s="11">
        <v>14.303000000000001</v>
      </c>
      <c r="Y898" s="11">
        <v>14.099</v>
      </c>
      <c r="Z898" s="11">
        <v>36.643000000000001</v>
      </c>
      <c r="AA898" s="11">
        <v>35.954000000000001</v>
      </c>
      <c r="AB898" s="11">
        <v>11.97</v>
      </c>
      <c r="AC898" s="11">
        <v>11</v>
      </c>
      <c r="AD898" s="11">
        <v>13</v>
      </c>
      <c r="AE898" s="11">
        <v>9</v>
      </c>
      <c r="AF898" s="11">
        <v>10</v>
      </c>
    </row>
    <row r="899" spans="1:32" s="11" customFormat="1" x14ac:dyDescent="0.2">
      <c r="A899" s="11">
        <v>1086</v>
      </c>
      <c r="F899" s="11" t="s">
        <v>16403</v>
      </c>
      <c r="G899" s="11" t="s">
        <v>16403</v>
      </c>
      <c r="H899" s="12">
        <v>47.9</v>
      </c>
      <c r="I899" s="11" t="s">
        <v>16407</v>
      </c>
      <c r="L899" s="11">
        <v>51.548999999999999</v>
      </c>
      <c r="M899" s="11">
        <v>49.517000000000003</v>
      </c>
      <c r="N899" s="11">
        <v>101.044</v>
      </c>
      <c r="O899" s="11">
        <v>101.253</v>
      </c>
      <c r="P899" s="11">
        <v>103.258</v>
      </c>
      <c r="Q899" s="11">
        <v>103.044</v>
      </c>
      <c r="R899" s="11">
        <v>122.27200000000001</v>
      </c>
      <c r="S899" s="11">
        <v>121.256</v>
      </c>
      <c r="T899" s="11">
        <v>62.036999999999999</v>
      </c>
      <c r="U899" s="11">
        <v>63.481999999999999</v>
      </c>
      <c r="V899" s="11">
        <v>37.963000000000001</v>
      </c>
      <c r="W899" s="11">
        <v>36.518000000000001</v>
      </c>
      <c r="X899" s="11">
        <v>12.14</v>
      </c>
      <c r="Y899" s="11">
        <v>13.021000000000001</v>
      </c>
      <c r="Z899" s="11">
        <v>36.518000000000001</v>
      </c>
      <c r="AA899" s="11">
        <v>37.963000000000001</v>
      </c>
      <c r="AB899" s="11">
        <v>8.08</v>
      </c>
      <c r="AC899" s="11">
        <v>12</v>
      </c>
      <c r="AD899" s="11">
        <v>13</v>
      </c>
      <c r="AE899" s="11">
        <v>10</v>
      </c>
      <c r="AF899" s="11">
        <v>10</v>
      </c>
    </row>
    <row r="900" spans="1:32" s="11" customFormat="1" x14ac:dyDescent="0.2">
      <c r="A900" s="11">
        <v>1087</v>
      </c>
      <c r="F900" s="11" t="s">
        <v>16403</v>
      </c>
      <c r="G900" s="11" t="s">
        <v>16403</v>
      </c>
      <c r="H900" s="12">
        <v>61.1</v>
      </c>
      <c r="I900" s="11" t="s">
        <v>16404</v>
      </c>
      <c r="L900" s="11">
        <v>61.728000000000002</v>
      </c>
      <c r="M900" s="11">
        <v>63.850999999999999</v>
      </c>
      <c r="N900" s="11">
        <v>126.33499999999999</v>
      </c>
      <c r="O900" s="11">
        <v>125.212</v>
      </c>
      <c r="P900" s="11">
        <v>109.68600000000001</v>
      </c>
      <c r="Q900" s="11">
        <v>110.05500000000001</v>
      </c>
      <c r="R900" s="11">
        <v>104.051</v>
      </c>
      <c r="S900" s="11">
        <v>104.999</v>
      </c>
      <c r="T900" s="11">
        <v>63.676000000000002</v>
      </c>
      <c r="U900" s="11">
        <v>63.241</v>
      </c>
      <c r="V900" s="11">
        <v>36.323999999999998</v>
      </c>
      <c r="W900" s="11">
        <v>36.759</v>
      </c>
      <c r="X900" s="11">
        <v>14.04</v>
      </c>
      <c r="Y900" s="11">
        <v>13.116</v>
      </c>
      <c r="Z900" s="11">
        <v>36.759</v>
      </c>
      <c r="AA900" s="11">
        <v>36.323999999999998</v>
      </c>
      <c r="AB900" s="11">
        <v>11.018000000000001</v>
      </c>
      <c r="AC900" s="11">
        <v>10</v>
      </c>
      <c r="AD900" s="11">
        <v>11</v>
      </c>
      <c r="AE900" s="11">
        <v>7</v>
      </c>
      <c r="AF900" s="11">
        <v>9</v>
      </c>
    </row>
    <row r="901" spans="1:32" s="11" customFormat="1" x14ac:dyDescent="0.2">
      <c r="A901" s="11">
        <v>1088</v>
      </c>
      <c r="F901" s="11" t="s">
        <v>16403</v>
      </c>
      <c r="G901" s="11" t="s">
        <v>16403</v>
      </c>
      <c r="H901" s="12">
        <v>79.400000000000006</v>
      </c>
      <c r="I901" s="11" t="s">
        <v>16407</v>
      </c>
      <c r="L901" s="11">
        <v>39.271999999999998</v>
      </c>
      <c r="M901" s="11">
        <v>34.674999999999997</v>
      </c>
      <c r="N901" s="11">
        <v>74.156999999999996</v>
      </c>
      <c r="O901" s="11">
        <v>74.251999999999995</v>
      </c>
      <c r="P901" s="11">
        <v>48.075000000000003</v>
      </c>
      <c r="Q901" s="11">
        <v>47.987000000000002</v>
      </c>
      <c r="R901" s="11">
        <v>78.328999999999994</v>
      </c>
      <c r="S901" s="11">
        <v>77.63</v>
      </c>
      <c r="T901" s="11">
        <v>66.522999999999996</v>
      </c>
      <c r="U901" s="11">
        <v>70.510000000000005</v>
      </c>
      <c r="V901" s="11">
        <v>33.476999999999997</v>
      </c>
      <c r="W901" s="11">
        <v>29.49</v>
      </c>
      <c r="X901" s="11">
        <v>18.097000000000001</v>
      </c>
      <c r="Y901" s="11">
        <v>19.402000000000001</v>
      </c>
      <c r="Z901" s="11">
        <v>29.49</v>
      </c>
      <c r="AA901" s="11">
        <v>33.476999999999997</v>
      </c>
      <c r="AB901" s="11">
        <v>11.922000000000001</v>
      </c>
      <c r="AC901" s="11">
        <v>18</v>
      </c>
      <c r="AD901" s="11">
        <v>17</v>
      </c>
      <c r="AE901" s="11">
        <v>16</v>
      </c>
      <c r="AF901" s="11">
        <v>14</v>
      </c>
    </row>
    <row r="902" spans="1:32" s="11" customFormat="1" x14ac:dyDescent="0.2">
      <c r="A902" s="11">
        <v>1089</v>
      </c>
      <c r="F902" s="11" t="s">
        <v>16403</v>
      </c>
      <c r="G902" s="11" t="s">
        <v>16403</v>
      </c>
      <c r="H902" s="12">
        <v>76.5</v>
      </c>
      <c r="I902" s="11" t="s">
        <v>16407</v>
      </c>
      <c r="L902" s="11" t="s">
        <v>16403</v>
      </c>
      <c r="M902" s="11" t="s">
        <v>16403</v>
      </c>
      <c r="N902" s="11" t="s">
        <v>16403</v>
      </c>
      <c r="O902" s="11" t="s">
        <v>16403</v>
      </c>
      <c r="P902" s="11" t="s">
        <v>16403</v>
      </c>
      <c r="Q902" s="11" t="s">
        <v>16403</v>
      </c>
      <c r="R902" s="11" t="s">
        <v>16403</v>
      </c>
      <c r="S902" s="11" t="s">
        <v>16403</v>
      </c>
      <c r="T902" s="11" t="s">
        <v>16403</v>
      </c>
      <c r="U902" s="11" t="s">
        <v>16403</v>
      </c>
      <c r="V902" s="11" t="s">
        <v>16403</v>
      </c>
      <c r="W902" s="11" t="s">
        <v>16403</v>
      </c>
      <c r="X902" s="11" t="s">
        <v>16403</v>
      </c>
      <c r="Y902" s="11" t="s">
        <v>16403</v>
      </c>
      <c r="Z902" s="11" t="s">
        <v>16403</v>
      </c>
      <c r="AA902" s="11" t="s">
        <v>16403</v>
      </c>
      <c r="AB902" s="11" t="s">
        <v>16403</v>
      </c>
      <c r="AC902" s="11" t="s">
        <v>16403</v>
      </c>
      <c r="AD902" s="11" t="s">
        <v>16403</v>
      </c>
      <c r="AE902" s="11" t="s">
        <v>16403</v>
      </c>
      <c r="AF902" s="11" t="s">
        <v>16403</v>
      </c>
    </row>
    <row r="903" spans="1:32" s="11" customFormat="1" x14ac:dyDescent="0.2">
      <c r="A903" s="11">
        <v>1090</v>
      </c>
      <c r="F903" s="11" t="s">
        <v>16403</v>
      </c>
      <c r="G903" s="11" t="s">
        <v>16403</v>
      </c>
      <c r="H903" s="12">
        <v>77.8</v>
      </c>
      <c r="I903" s="11" t="s">
        <v>16407</v>
      </c>
      <c r="L903" s="11" t="s">
        <v>16403</v>
      </c>
      <c r="M903" s="11" t="s">
        <v>16403</v>
      </c>
      <c r="N903" s="11" t="s">
        <v>16403</v>
      </c>
      <c r="O903" s="11" t="s">
        <v>16403</v>
      </c>
      <c r="P903" s="11" t="s">
        <v>16403</v>
      </c>
      <c r="Q903" s="11" t="s">
        <v>16403</v>
      </c>
      <c r="R903" s="11" t="s">
        <v>16403</v>
      </c>
      <c r="S903" s="11" t="s">
        <v>16403</v>
      </c>
      <c r="T903" s="11" t="s">
        <v>16403</v>
      </c>
      <c r="U903" s="11" t="s">
        <v>16403</v>
      </c>
      <c r="V903" s="11" t="s">
        <v>16403</v>
      </c>
      <c r="W903" s="11" t="s">
        <v>16403</v>
      </c>
      <c r="X903" s="11" t="s">
        <v>16403</v>
      </c>
      <c r="Y903" s="11" t="s">
        <v>16403</v>
      </c>
      <c r="Z903" s="11" t="s">
        <v>16403</v>
      </c>
      <c r="AA903" s="11" t="s">
        <v>16403</v>
      </c>
      <c r="AB903" s="11" t="s">
        <v>16403</v>
      </c>
      <c r="AC903" s="11" t="s">
        <v>16403</v>
      </c>
      <c r="AD903" s="11" t="s">
        <v>16403</v>
      </c>
      <c r="AE903" s="11" t="s">
        <v>16403</v>
      </c>
      <c r="AF903" s="11" t="s">
        <v>16403</v>
      </c>
    </row>
    <row r="904" spans="1:32" s="11" customFormat="1" x14ac:dyDescent="0.2">
      <c r="A904" s="11">
        <v>1091</v>
      </c>
      <c r="F904" s="11" t="s">
        <v>16403</v>
      </c>
      <c r="G904" s="11" t="s">
        <v>16403</v>
      </c>
      <c r="H904" s="12">
        <v>54.4</v>
      </c>
      <c r="I904" s="11" t="s">
        <v>16404</v>
      </c>
      <c r="L904" s="11">
        <v>43.48</v>
      </c>
      <c r="M904" s="11">
        <v>42.335000000000001</v>
      </c>
      <c r="N904" s="11">
        <v>85.988</v>
      </c>
      <c r="O904" s="11">
        <v>85.843000000000004</v>
      </c>
      <c r="P904" s="11">
        <v>65.346000000000004</v>
      </c>
      <c r="Q904" s="11">
        <v>65.236999999999995</v>
      </c>
      <c r="R904" s="11">
        <v>90.801000000000002</v>
      </c>
      <c r="S904" s="11">
        <v>90.731999999999999</v>
      </c>
      <c r="T904" s="11">
        <v>65.888000000000005</v>
      </c>
      <c r="U904" s="11">
        <v>66.433999999999997</v>
      </c>
      <c r="V904" s="11">
        <v>34.112000000000002</v>
      </c>
      <c r="W904" s="11">
        <v>33.566000000000003</v>
      </c>
      <c r="X904" s="11">
        <v>17.016999999999999</v>
      </c>
      <c r="Y904" s="11">
        <v>15.757</v>
      </c>
      <c r="Z904" s="11">
        <v>33.566000000000003</v>
      </c>
      <c r="AA904" s="11">
        <v>34.112000000000002</v>
      </c>
      <c r="AB904" s="11">
        <v>19.396000000000001</v>
      </c>
      <c r="AC904" s="11">
        <v>14</v>
      </c>
      <c r="AD904" s="11">
        <v>14</v>
      </c>
      <c r="AE904" s="11">
        <v>13</v>
      </c>
      <c r="AF904" s="11">
        <v>10</v>
      </c>
    </row>
    <row r="905" spans="1:32" s="11" customFormat="1" x14ac:dyDescent="0.2">
      <c r="A905" s="11">
        <v>1092</v>
      </c>
      <c r="F905" s="11" t="s">
        <v>16403</v>
      </c>
      <c r="G905" s="11" t="s">
        <v>16403</v>
      </c>
      <c r="H905" s="12">
        <v>74.400000000000006</v>
      </c>
      <c r="I905" s="11" t="s">
        <v>16404</v>
      </c>
      <c r="L905" s="11" t="s">
        <v>16403</v>
      </c>
      <c r="M905" s="11" t="s">
        <v>16403</v>
      </c>
      <c r="N905" s="11" t="s">
        <v>16403</v>
      </c>
      <c r="O905" s="11" t="s">
        <v>16403</v>
      </c>
      <c r="P905" s="11" t="s">
        <v>16403</v>
      </c>
      <c r="Q905" s="11" t="s">
        <v>16403</v>
      </c>
      <c r="R905" s="11" t="s">
        <v>16403</v>
      </c>
      <c r="S905" s="11" t="s">
        <v>16403</v>
      </c>
      <c r="T905" s="11" t="s">
        <v>16403</v>
      </c>
      <c r="U905" s="11" t="s">
        <v>16403</v>
      </c>
      <c r="V905" s="11" t="s">
        <v>16403</v>
      </c>
      <c r="W905" s="11" t="s">
        <v>16403</v>
      </c>
      <c r="X905" s="11" t="s">
        <v>16403</v>
      </c>
      <c r="Y905" s="11" t="s">
        <v>16403</v>
      </c>
      <c r="Z905" s="11" t="s">
        <v>16403</v>
      </c>
      <c r="AA905" s="11" t="s">
        <v>16403</v>
      </c>
      <c r="AB905" s="11" t="s">
        <v>16403</v>
      </c>
      <c r="AC905" s="11" t="s">
        <v>16403</v>
      </c>
      <c r="AD905" s="11" t="s">
        <v>16403</v>
      </c>
      <c r="AE905" s="11" t="s">
        <v>16403</v>
      </c>
      <c r="AF905" s="11" t="s">
        <v>16403</v>
      </c>
    </row>
    <row r="906" spans="1:32" s="11" customFormat="1" x14ac:dyDescent="0.2">
      <c r="A906" s="11">
        <v>1093</v>
      </c>
      <c r="F906" s="11" t="s">
        <v>16403</v>
      </c>
      <c r="G906" s="11" t="s">
        <v>16403</v>
      </c>
      <c r="H906" s="12">
        <v>58.9</v>
      </c>
      <c r="I906" s="11" t="s">
        <v>16404</v>
      </c>
      <c r="L906" s="11">
        <v>53.762</v>
      </c>
      <c r="M906" s="11">
        <v>55.305999999999997</v>
      </c>
      <c r="N906" s="11">
        <v>110.51</v>
      </c>
      <c r="O906" s="11">
        <v>107.93600000000001</v>
      </c>
      <c r="P906" s="11">
        <v>73.747</v>
      </c>
      <c r="Q906" s="11">
        <v>72.364999999999995</v>
      </c>
      <c r="R906" s="11">
        <v>79.938999999999993</v>
      </c>
      <c r="S906" s="11">
        <v>79.834000000000003</v>
      </c>
      <c r="T906" s="11">
        <v>65.942999999999998</v>
      </c>
      <c r="U906" s="11">
        <v>65.33</v>
      </c>
      <c r="V906" s="11">
        <v>34.057000000000002</v>
      </c>
      <c r="W906" s="11">
        <v>34.67</v>
      </c>
      <c r="X906" s="11">
        <v>15.177</v>
      </c>
      <c r="Y906" s="11">
        <v>16.341000000000001</v>
      </c>
      <c r="Z906" s="11">
        <v>34.67</v>
      </c>
      <c r="AA906" s="11">
        <v>34.057000000000002</v>
      </c>
      <c r="AB906" s="11">
        <v>11.36</v>
      </c>
      <c r="AC906" s="11">
        <v>11</v>
      </c>
      <c r="AD906" s="11">
        <v>11</v>
      </c>
      <c r="AE906" s="11">
        <v>9</v>
      </c>
      <c r="AF906" s="11">
        <v>8</v>
      </c>
    </row>
    <row r="907" spans="1:32" s="11" customFormat="1" x14ac:dyDescent="0.2">
      <c r="A907" s="11">
        <v>1094</v>
      </c>
      <c r="F907" s="11" t="s">
        <v>16403</v>
      </c>
      <c r="G907" s="11" t="s">
        <v>16403</v>
      </c>
      <c r="H907" s="12">
        <v>71.099999999999994</v>
      </c>
      <c r="I907" s="11" t="s">
        <v>16407</v>
      </c>
      <c r="L907" s="11" t="s">
        <v>16403</v>
      </c>
      <c r="M907" s="11" t="s">
        <v>16403</v>
      </c>
      <c r="N907" s="11" t="s">
        <v>16403</v>
      </c>
      <c r="O907" s="11" t="s">
        <v>16403</v>
      </c>
      <c r="P907" s="11" t="s">
        <v>16403</v>
      </c>
      <c r="Q907" s="11" t="s">
        <v>16403</v>
      </c>
      <c r="R907" s="11" t="s">
        <v>16403</v>
      </c>
      <c r="S907" s="11" t="s">
        <v>16403</v>
      </c>
      <c r="T907" s="11" t="s">
        <v>16403</v>
      </c>
      <c r="U907" s="11" t="s">
        <v>16403</v>
      </c>
      <c r="V907" s="11" t="s">
        <v>16403</v>
      </c>
      <c r="W907" s="11" t="s">
        <v>16403</v>
      </c>
      <c r="X907" s="11" t="s">
        <v>16403</v>
      </c>
      <c r="Y907" s="11" t="s">
        <v>16403</v>
      </c>
      <c r="Z907" s="11" t="s">
        <v>16403</v>
      </c>
      <c r="AA907" s="11" t="s">
        <v>16403</v>
      </c>
      <c r="AB907" s="11" t="s">
        <v>16403</v>
      </c>
      <c r="AC907" s="11" t="s">
        <v>16403</v>
      </c>
      <c r="AD907" s="11" t="s">
        <v>16403</v>
      </c>
      <c r="AE907" s="11" t="s">
        <v>16403</v>
      </c>
      <c r="AF907" s="11" t="s">
        <v>16403</v>
      </c>
    </row>
    <row r="908" spans="1:32" s="11" customFormat="1" x14ac:dyDescent="0.2">
      <c r="A908" s="11">
        <v>1095</v>
      </c>
      <c r="F908" s="11" t="s">
        <v>16403</v>
      </c>
      <c r="G908" s="11" t="s">
        <v>16403</v>
      </c>
      <c r="H908" s="12">
        <v>71.3</v>
      </c>
      <c r="I908" s="11" t="s">
        <v>16403</v>
      </c>
      <c r="L908" s="11">
        <v>34.555</v>
      </c>
      <c r="M908" s="11">
        <v>36.450000000000003</v>
      </c>
      <c r="N908" s="11">
        <v>71.938999999999993</v>
      </c>
      <c r="O908" s="11">
        <v>71.004999999999995</v>
      </c>
      <c r="P908" s="11">
        <v>54.110999999999997</v>
      </c>
      <c r="Q908" s="11">
        <v>54.267000000000003</v>
      </c>
      <c r="R908" s="11">
        <v>91.144000000000005</v>
      </c>
      <c r="S908" s="11">
        <v>91.718000000000004</v>
      </c>
      <c r="T908" s="11">
        <v>65.954999999999998</v>
      </c>
      <c r="U908" s="11">
        <v>69.129000000000005</v>
      </c>
      <c r="V908" s="11">
        <v>34.045000000000002</v>
      </c>
      <c r="W908" s="11">
        <v>30.870999999999999</v>
      </c>
      <c r="X908" s="11">
        <v>17.559000000000001</v>
      </c>
      <c r="Y908" s="11">
        <v>17.661000000000001</v>
      </c>
      <c r="Z908" s="11">
        <v>30.870999999999999</v>
      </c>
      <c r="AA908" s="11">
        <v>34.045000000000002</v>
      </c>
      <c r="AB908" s="11">
        <v>18.940000000000001</v>
      </c>
      <c r="AC908" s="11">
        <v>15</v>
      </c>
      <c r="AD908" s="11">
        <v>15</v>
      </c>
      <c r="AE908" s="11">
        <v>10</v>
      </c>
      <c r="AF908" s="11">
        <v>15</v>
      </c>
    </row>
    <row r="909" spans="1:32" s="11" customFormat="1" x14ac:dyDescent="0.2">
      <c r="A909" s="11">
        <v>1096</v>
      </c>
      <c r="F909" s="11" t="s">
        <v>16403</v>
      </c>
      <c r="G909" s="11" t="s">
        <v>16403</v>
      </c>
      <c r="H909" s="12">
        <v>70.7</v>
      </c>
      <c r="I909" s="11" t="s">
        <v>16407</v>
      </c>
      <c r="L909" s="11" t="s">
        <v>16403</v>
      </c>
      <c r="M909" s="11" t="s">
        <v>16403</v>
      </c>
      <c r="N909" s="11" t="s">
        <v>16403</v>
      </c>
      <c r="O909" s="11" t="s">
        <v>16403</v>
      </c>
      <c r="P909" s="11" t="s">
        <v>16403</v>
      </c>
      <c r="Q909" s="11" t="s">
        <v>16403</v>
      </c>
      <c r="R909" s="11" t="s">
        <v>16403</v>
      </c>
      <c r="S909" s="11" t="s">
        <v>16403</v>
      </c>
      <c r="T909" s="11" t="s">
        <v>16403</v>
      </c>
      <c r="U909" s="11" t="s">
        <v>16403</v>
      </c>
      <c r="V909" s="11" t="s">
        <v>16403</v>
      </c>
      <c r="W909" s="11" t="s">
        <v>16403</v>
      </c>
      <c r="X909" s="11" t="s">
        <v>16403</v>
      </c>
      <c r="Y909" s="11" t="s">
        <v>16403</v>
      </c>
      <c r="Z909" s="11" t="s">
        <v>16403</v>
      </c>
      <c r="AA909" s="11" t="s">
        <v>16403</v>
      </c>
      <c r="AB909" s="11" t="s">
        <v>16403</v>
      </c>
      <c r="AC909" s="11" t="s">
        <v>16403</v>
      </c>
      <c r="AD909" s="11" t="s">
        <v>16403</v>
      </c>
      <c r="AE909" s="11" t="s">
        <v>16403</v>
      </c>
      <c r="AF909" s="11" t="s">
        <v>16403</v>
      </c>
    </row>
    <row r="910" spans="1:32" s="11" customFormat="1" x14ac:dyDescent="0.2">
      <c r="A910" s="11">
        <v>1097</v>
      </c>
      <c r="F910" s="11" t="s">
        <v>16403</v>
      </c>
      <c r="G910" s="11" t="s">
        <v>16403</v>
      </c>
      <c r="H910" s="12">
        <v>55.6</v>
      </c>
      <c r="I910" s="11" t="s">
        <v>16404</v>
      </c>
      <c r="L910" s="11" t="s">
        <v>16403</v>
      </c>
      <c r="M910" s="11" t="s">
        <v>16403</v>
      </c>
      <c r="N910" s="11" t="s">
        <v>16403</v>
      </c>
      <c r="O910" s="11" t="s">
        <v>16403</v>
      </c>
      <c r="P910" s="11" t="s">
        <v>16403</v>
      </c>
      <c r="Q910" s="11" t="s">
        <v>16403</v>
      </c>
      <c r="R910" s="11" t="s">
        <v>16403</v>
      </c>
      <c r="S910" s="11" t="s">
        <v>16403</v>
      </c>
      <c r="T910" s="11" t="s">
        <v>16403</v>
      </c>
      <c r="U910" s="11" t="s">
        <v>16403</v>
      </c>
      <c r="V910" s="11" t="s">
        <v>16403</v>
      </c>
      <c r="W910" s="11" t="s">
        <v>16403</v>
      </c>
      <c r="X910" s="11" t="s">
        <v>16403</v>
      </c>
      <c r="Y910" s="11" t="s">
        <v>16403</v>
      </c>
      <c r="Z910" s="11" t="s">
        <v>16403</v>
      </c>
      <c r="AA910" s="11" t="s">
        <v>16403</v>
      </c>
      <c r="AB910" s="11" t="s">
        <v>16403</v>
      </c>
      <c r="AC910" s="11" t="s">
        <v>16403</v>
      </c>
      <c r="AD910" s="11" t="s">
        <v>16403</v>
      </c>
      <c r="AE910" s="11" t="s">
        <v>16403</v>
      </c>
      <c r="AF910" s="11" t="s">
        <v>16403</v>
      </c>
    </row>
    <row r="911" spans="1:32" s="11" customFormat="1" x14ac:dyDescent="0.2">
      <c r="A911" s="11">
        <v>1098</v>
      </c>
      <c r="F911" s="11" t="s">
        <v>16403</v>
      </c>
      <c r="G911" s="11" t="s">
        <v>16403</v>
      </c>
      <c r="H911" s="12">
        <v>72.099999999999994</v>
      </c>
      <c r="I911" s="11" t="s">
        <v>16407</v>
      </c>
      <c r="L911" s="11" t="s">
        <v>16403</v>
      </c>
      <c r="M911" s="11" t="s">
        <v>16403</v>
      </c>
      <c r="N911" s="11" t="s">
        <v>16403</v>
      </c>
      <c r="O911" s="11" t="s">
        <v>16403</v>
      </c>
      <c r="P911" s="11" t="s">
        <v>16403</v>
      </c>
      <c r="Q911" s="11" t="s">
        <v>16403</v>
      </c>
      <c r="R911" s="11" t="s">
        <v>16403</v>
      </c>
      <c r="S911" s="11" t="s">
        <v>16403</v>
      </c>
      <c r="T911" s="11" t="s">
        <v>16403</v>
      </c>
      <c r="U911" s="11" t="s">
        <v>16403</v>
      </c>
      <c r="V911" s="11" t="s">
        <v>16403</v>
      </c>
      <c r="W911" s="11" t="s">
        <v>16403</v>
      </c>
      <c r="X911" s="11" t="s">
        <v>16403</v>
      </c>
      <c r="Y911" s="11" t="s">
        <v>16403</v>
      </c>
      <c r="Z911" s="11" t="s">
        <v>16403</v>
      </c>
      <c r="AA911" s="11" t="s">
        <v>16403</v>
      </c>
      <c r="AB911" s="11" t="s">
        <v>16403</v>
      </c>
      <c r="AC911" s="11" t="s">
        <v>16403</v>
      </c>
      <c r="AD911" s="11" t="s">
        <v>16403</v>
      </c>
      <c r="AE911" s="11" t="s">
        <v>16403</v>
      </c>
      <c r="AF911" s="11" t="s">
        <v>16403</v>
      </c>
    </row>
    <row r="912" spans="1:32" s="11" customFormat="1" x14ac:dyDescent="0.2">
      <c r="A912" s="11">
        <v>1099</v>
      </c>
      <c r="F912" s="11" t="s">
        <v>16403</v>
      </c>
      <c r="G912" s="11" t="s">
        <v>16403</v>
      </c>
      <c r="H912" s="12">
        <v>68.3</v>
      </c>
      <c r="I912" s="11" t="s">
        <v>16404</v>
      </c>
      <c r="L912" s="11">
        <v>31.972999999999999</v>
      </c>
      <c r="M912" s="11">
        <v>31.908000000000001</v>
      </c>
      <c r="N912" s="11">
        <v>63.875</v>
      </c>
      <c r="O912" s="11">
        <v>63.924999999999997</v>
      </c>
      <c r="P912" s="11">
        <v>53.621000000000002</v>
      </c>
      <c r="Q912" s="11">
        <v>53.243000000000002</v>
      </c>
      <c r="R912" s="11">
        <v>100.251</v>
      </c>
      <c r="S912" s="11">
        <v>100.245</v>
      </c>
      <c r="T912" s="11">
        <v>65.841999999999999</v>
      </c>
      <c r="U912" s="11">
        <v>66.367999999999995</v>
      </c>
      <c r="V912" s="11">
        <v>34.158000000000001</v>
      </c>
      <c r="W912" s="11">
        <v>33.631999999999998</v>
      </c>
      <c r="X912" s="11">
        <v>17.378</v>
      </c>
      <c r="Y912" s="11">
        <v>14.92</v>
      </c>
      <c r="Z912" s="11">
        <v>33.631999999999998</v>
      </c>
      <c r="AA912" s="11">
        <v>34.158000000000001</v>
      </c>
      <c r="AB912" s="11">
        <v>14.11</v>
      </c>
      <c r="AC912" s="11">
        <v>18</v>
      </c>
      <c r="AD912" s="11">
        <v>17</v>
      </c>
      <c r="AE912" s="11">
        <v>15</v>
      </c>
      <c r="AF912" s="11">
        <v>15</v>
      </c>
    </row>
    <row r="913" spans="1:32" s="11" customFormat="1" x14ac:dyDescent="0.2">
      <c r="A913" s="11">
        <v>1100</v>
      </c>
      <c r="F913" s="11" t="s">
        <v>16403</v>
      </c>
      <c r="G913" s="11" t="s">
        <v>16403</v>
      </c>
      <c r="H913" s="12">
        <v>63.9</v>
      </c>
      <c r="I913" s="11" t="s">
        <v>16404</v>
      </c>
      <c r="L913" s="11">
        <v>50.433</v>
      </c>
      <c r="M913" s="11">
        <v>53.176000000000002</v>
      </c>
      <c r="N913" s="11">
        <v>103.42400000000001</v>
      </c>
      <c r="O913" s="11">
        <v>104.13200000000001</v>
      </c>
      <c r="P913" s="11">
        <v>88.554000000000002</v>
      </c>
      <c r="Q913" s="11">
        <v>88.474999999999994</v>
      </c>
      <c r="R913" s="11">
        <v>101.708</v>
      </c>
      <c r="S913" s="11">
        <v>101.504</v>
      </c>
      <c r="T913" s="11">
        <v>63.131999999999998</v>
      </c>
      <c r="U913" s="11">
        <v>62.579000000000001</v>
      </c>
      <c r="V913" s="11">
        <v>36.868000000000002</v>
      </c>
      <c r="W913" s="11">
        <v>37.420999999999999</v>
      </c>
      <c r="X913" s="11">
        <v>12.499000000000001</v>
      </c>
      <c r="Y913" s="11">
        <v>12.961</v>
      </c>
      <c r="Z913" s="11">
        <v>37.420999999999999</v>
      </c>
      <c r="AA913" s="11">
        <v>36.868000000000002</v>
      </c>
      <c r="AB913" s="11">
        <v>12.372</v>
      </c>
      <c r="AC913" s="11">
        <v>11</v>
      </c>
      <c r="AD913" s="11">
        <v>14</v>
      </c>
      <c r="AE913" s="11">
        <v>10</v>
      </c>
      <c r="AF913" s="11">
        <v>10</v>
      </c>
    </row>
    <row r="914" spans="1:32" s="11" customFormat="1" x14ac:dyDescent="0.2">
      <c r="A914" s="11">
        <v>1101</v>
      </c>
      <c r="F914" s="11" t="s">
        <v>16403</v>
      </c>
      <c r="G914" s="11" t="s">
        <v>16403</v>
      </c>
      <c r="H914" s="12">
        <v>70</v>
      </c>
      <c r="I914" s="11" t="s">
        <v>16404</v>
      </c>
      <c r="L914" s="11">
        <v>34.093000000000004</v>
      </c>
      <c r="M914" s="11">
        <v>38.820999999999998</v>
      </c>
      <c r="N914" s="11">
        <v>72.822000000000003</v>
      </c>
      <c r="O914" s="11">
        <v>73.153000000000006</v>
      </c>
      <c r="P914" s="11">
        <v>65.28</v>
      </c>
      <c r="Q914" s="11">
        <v>65.888999999999996</v>
      </c>
      <c r="R914" s="11">
        <v>108.277</v>
      </c>
      <c r="S914" s="11">
        <v>107.84399999999999</v>
      </c>
      <c r="T914" s="11">
        <v>69.59</v>
      </c>
      <c r="U914" s="11">
        <v>65.453000000000003</v>
      </c>
      <c r="V914" s="11">
        <v>30.41</v>
      </c>
      <c r="W914" s="11">
        <v>34.546999999999997</v>
      </c>
      <c r="X914" s="11">
        <v>17.126000000000001</v>
      </c>
      <c r="Y914" s="11">
        <v>18.222000000000001</v>
      </c>
      <c r="Z914" s="11">
        <v>34.546999999999997</v>
      </c>
      <c r="AA914" s="11">
        <v>30.41</v>
      </c>
      <c r="AB914" s="11">
        <v>13.214</v>
      </c>
      <c r="AC914" s="11">
        <v>15</v>
      </c>
      <c r="AD914" s="11">
        <v>15</v>
      </c>
      <c r="AE914" s="11">
        <v>13</v>
      </c>
      <c r="AF914" s="11">
        <v>12</v>
      </c>
    </row>
    <row r="915" spans="1:32" s="11" customFormat="1" x14ac:dyDescent="0.2">
      <c r="A915" s="11">
        <v>1102</v>
      </c>
      <c r="F915" s="11" t="s">
        <v>16403</v>
      </c>
      <c r="G915" s="11" t="s">
        <v>16403</v>
      </c>
      <c r="H915" s="12">
        <v>67.099999999999994</v>
      </c>
      <c r="I915" s="11" t="s">
        <v>16404</v>
      </c>
      <c r="L915" s="11">
        <v>44.399000000000001</v>
      </c>
      <c r="M915" s="11">
        <v>46.951000000000001</v>
      </c>
      <c r="N915" s="11">
        <v>91.147999999999996</v>
      </c>
      <c r="O915" s="11">
        <v>91.603999999999999</v>
      </c>
      <c r="P915" s="11">
        <v>64.251999999999995</v>
      </c>
      <c r="Q915" s="11">
        <v>64.498999999999995</v>
      </c>
      <c r="R915" s="11">
        <v>83.786000000000001</v>
      </c>
      <c r="S915" s="11">
        <v>84.067999999999998</v>
      </c>
      <c r="T915" s="11">
        <v>67.424999999999997</v>
      </c>
      <c r="U915" s="11">
        <v>66.963999999999999</v>
      </c>
      <c r="V915" s="11">
        <v>32.575000000000003</v>
      </c>
      <c r="W915" s="11">
        <v>33.036000000000001</v>
      </c>
      <c r="X915" s="11">
        <v>16.866</v>
      </c>
      <c r="Y915" s="11">
        <v>18.155999999999999</v>
      </c>
      <c r="Z915" s="11">
        <v>33.036000000000001</v>
      </c>
      <c r="AA915" s="11">
        <v>32.575000000000003</v>
      </c>
      <c r="AB915" s="11">
        <v>11.295999999999999</v>
      </c>
      <c r="AC915" s="11">
        <v>12</v>
      </c>
      <c r="AD915" s="11">
        <v>15</v>
      </c>
      <c r="AE915" s="11">
        <v>12</v>
      </c>
      <c r="AF915" s="11">
        <v>10</v>
      </c>
    </row>
    <row r="916" spans="1:32" s="11" customFormat="1" x14ac:dyDescent="0.2">
      <c r="A916" s="11">
        <v>1103</v>
      </c>
      <c r="F916" s="11" t="s">
        <v>16403</v>
      </c>
      <c r="G916" s="11" t="s">
        <v>16403</v>
      </c>
      <c r="H916" s="12">
        <v>61.8</v>
      </c>
      <c r="I916" s="11" t="s">
        <v>16407</v>
      </c>
      <c r="L916" s="11" t="s">
        <v>16403</v>
      </c>
      <c r="M916" s="11" t="s">
        <v>16403</v>
      </c>
      <c r="N916" s="11" t="s">
        <v>16403</v>
      </c>
      <c r="O916" s="11" t="s">
        <v>16403</v>
      </c>
      <c r="P916" s="11" t="s">
        <v>16403</v>
      </c>
      <c r="Q916" s="11" t="s">
        <v>16403</v>
      </c>
      <c r="R916" s="11" t="s">
        <v>16403</v>
      </c>
      <c r="S916" s="11" t="s">
        <v>16403</v>
      </c>
      <c r="T916" s="11" t="s">
        <v>16403</v>
      </c>
      <c r="U916" s="11" t="s">
        <v>16403</v>
      </c>
      <c r="V916" s="11" t="s">
        <v>16403</v>
      </c>
      <c r="W916" s="11" t="s">
        <v>16403</v>
      </c>
      <c r="X916" s="11" t="s">
        <v>16403</v>
      </c>
      <c r="Y916" s="11" t="s">
        <v>16403</v>
      </c>
      <c r="Z916" s="11" t="s">
        <v>16403</v>
      </c>
      <c r="AA916" s="11" t="s">
        <v>16403</v>
      </c>
      <c r="AB916" s="11" t="s">
        <v>16403</v>
      </c>
      <c r="AC916" s="11" t="s">
        <v>16403</v>
      </c>
      <c r="AD916" s="11" t="s">
        <v>16403</v>
      </c>
      <c r="AE916" s="11" t="s">
        <v>16403</v>
      </c>
      <c r="AF916" s="11" t="s">
        <v>16403</v>
      </c>
    </row>
    <row r="917" spans="1:32" s="11" customFormat="1" x14ac:dyDescent="0.2">
      <c r="A917" s="11">
        <v>1104</v>
      </c>
      <c r="F917" s="11" t="s">
        <v>16403</v>
      </c>
      <c r="G917" s="11" t="s">
        <v>16403</v>
      </c>
      <c r="H917" s="12">
        <v>74.8</v>
      </c>
      <c r="I917" s="11" t="s">
        <v>16404</v>
      </c>
      <c r="L917" s="11">
        <v>54.191000000000003</v>
      </c>
      <c r="M917" s="11">
        <v>48.755000000000003</v>
      </c>
      <c r="N917" s="11">
        <v>102.386</v>
      </c>
      <c r="O917" s="11">
        <v>103.38500000000001</v>
      </c>
      <c r="P917" s="11">
        <v>95.724999999999994</v>
      </c>
      <c r="Q917" s="11">
        <v>95.953999999999994</v>
      </c>
      <c r="R917" s="11">
        <v>112.902</v>
      </c>
      <c r="S917" s="11">
        <v>112.18899999999999</v>
      </c>
      <c r="T917" s="11">
        <v>65.444999999999993</v>
      </c>
      <c r="U917" s="11">
        <v>64.798000000000002</v>
      </c>
      <c r="V917" s="11">
        <v>34.555</v>
      </c>
      <c r="W917" s="11">
        <v>35.201999999999998</v>
      </c>
      <c r="X917" s="11">
        <v>16.384</v>
      </c>
      <c r="Y917" s="11">
        <v>14.576000000000001</v>
      </c>
      <c r="Z917" s="11">
        <v>35.201999999999998</v>
      </c>
      <c r="AA917" s="11">
        <v>34.555</v>
      </c>
      <c r="AB917" s="11">
        <v>11.194000000000001</v>
      </c>
      <c r="AC917" s="11">
        <v>13</v>
      </c>
      <c r="AD917" s="11">
        <v>14</v>
      </c>
      <c r="AE917" s="11">
        <v>12</v>
      </c>
      <c r="AF917" s="11">
        <v>10</v>
      </c>
    </row>
    <row r="918" spans="1:32" s="11" customFormat="1" x14ac:dyDescent="0.2">
      <c r="A918" s="11">
        <v>1105</v>
      </c>
      <c r="F918" s="11" t="s">
        <v>16403</v>
      </c>
      <c r="G918" s="11" t="s">
        <v>16403</v>
      </c>
      <c r="H918" s="12">
        <v>65.400000000000006</v>
      </c>
      <c r="I918" s="11" t="s">
        <v>16407</v>
      </c>
      <c r="L918" s="11">
        <v>37.168999999999997</v>
      </c>
      <c r="M918" s="11">
        <v>33.466000000000001</v>
      </c>
      <c r="N918" s="11">
        <v>70.263000000000005</v>
      </c>
      <c r="O918" s="11">
        <v>70.777000000000001</v>
      </c>
      <c r="P918" s="11">
        <v>56.539000000000001</v>
      </c>
      <c r="Q918" s="11">
        <v>57.241</v>
      </c>
      <c r="R918" s="11">
        <v>96.501000000000005</v>
      </c>
      <c r="S918" s="11">
        <v>96.674000000000007</v>
      </c>
      <c r="T918" s="11">
        <v>68.694000000000003</v>
      </c>
      <c r="U918" s="11">
        <v>67.453999999999994</v>
      </c>
      <c r="V918" s="11">
        <v>31.306000000000001</v>
      </c>
      <c r="W918" s="11">
        <v>32.545999999999999</v>
      </c>
      <c r="X918" s="11">
        <v>17.300999999999998</v>
      </c>
      <c r="Y918" s="11">
        <v>18.274999999999999</v>
      </c>
      <c r="Z918" s="11">
        <v>32.545999999999999</v>
      </c>
      <c r="AA918" s="11">
        <v>31.306000000000001</v>
      </c>
      <c r="AB918" s="11">
        <v>13.587999999999999</v>
      </c>
      <c r="AC918" s="11">
        <v>14</v>
      </c>
      <c r="AD918" s="11">
        <v>15</v>
      </c>
      <c r="AE918" s="11">
        <v>12</v>
      </c>
      <c r="AF918" s="11">
        <v>12</v>
      </c>
    </row>
    <row r="919" spans="1:32" s="11" customFormat="1" x14ac:dyDescent="0.2">
      <c r="A919" s="11">
        <v>1106</v>
      </c>
      <c r="F919" s="11" t="s">
        <v>16403</v>
      </c>
      <c r="G919" s="11" t="s">
        <v>16403</v>
      </c>
      <c r="H919" s="12">
        <v>56</v>
      </c>
      <c r="I919" s="11" t="s">
        <v>16404</v>
      </c>
      <c r="L919" s="11">
        <v>48.484999999999999</v>
      </c>
      <c r="M919" s="11">
        <v>54.332999999999998</v>
      </c>
      <c r="N919" s="11">
        <v>103.01600000000001</v>
      </c>
      <c r="O919" s="11">
        <v>102.795</v>
      </c>
      <c r="P919" s="11">
        <v>80.715000000000003</v>
      </c>
      <c r="Q919" s="11">
        <v>80.765000000000001</v>
      </c>
      <c r="R919" s="11">
        <v>94.167000000000002</v>
      </c>
      <c r="S919" s="11">
        <v>93.856999999999999</v>
      </c>
      <c r="T919" s="11">
        <v>65.114000000000004</v>
      </c>
      <c r="U919" s="11">
        <v>65.072000000000003</v>
      </c>
      <c r="V919" s="11">
        <v>34.886000000000003</v>
      </c>
      <c r="W919" s="11">
        <v>34.927999999999997</v>
      </c>
      <c r="X919" s="11">
        <v>15.673</v>
      </c>
      <c r="Y919" s="11">
        <v>14.706</v>
      </c>
      <c r="Z919" s="11">
        <v>34.927999999999997</v>
      </c>
      <c r="AA919" s="11">
        <v>34.886000000000003</v>
      </c>
      <c r="AB919" s="11">
        <v>13.468</v>
      </c>
      <c r="AC919" s="11">
        <v>13</v>
      </c>
      <c r="AD919" s="11">
        <v>13</v>
      </c>
      <c r="AE919" s="11">
        <v>11</v>
      </c>
      <c r="AF919" s="11">
        <v>10</v>
      </c>
    </row>
    <row r="920" spans="1:32" s="11" customFormat="1" x14ac:dyDescent="0.2">
      <c r="A920" s="11">
        <v>1107</v>
      </c>
      <c r="F920" s="11" t="s">
        <v>16403</v>
      </c>
      <c r="G920" s="11" t="s">
        <v>16403</v>
      </c>
      <c r="H920" s="12">
        <v>77.3</v>
      </c>
      <c r="I920" s="11" t="s">
        <v>16407</v>
      </c>
      <c r="L920" s="11">
        <v>48.167000000000002</v>
      </c>
      <c r="M920" s="11">
        <v>47.927</v>
      </c>
      <c r="N920" s="11">
        <v>96.094999999999999</v>
      </c>
      <c r="O920" s="11">
        <v>96.287000000000006</v>
      </c>
      <c r="P920" s="11">
        <v>89.748000000000005</v>
      </c>
      <c r="Q920" s="11">
        <v>89.510999999999996</v>
      </c>
      <c r="R920" s="11">
        <v>111.807</v>
      </c>
      <c r="S920" s="11">
        <v>112.13</v>
      </c>
      <c r="T920" s="11">
        <v>63.832999999999998</v>
      </c>
      <c r="U920" s="11">
        <v>65.206000000000003</v>
      </c>
      <c r="V920" s="11">
        <v>36.167000000000002</v>
      </c>
      <c r="W920" s="11">
        <v>34.793999999999997</v>
      </c>
      <c r="X920" s="11">
        <v>15.194000000000001</v>
      </c>
      <c r="Y920" s="11">
        <v>14.242000000000001</v>
      </c>
      <c r="Z920" s="11">
        <v>34.793999999999997</v>
      </c>
      <c r="AA920" s="11">
        <v>36.167000000000002</v>
      </c>
      <c r="AB920" s="11">
        <v>9.2579999999999991</v>
      </c>
      <c r="AC920" s="11">
        <v>14</v>
      </c>
      <c r="AD920" s="11">
        <v>13</v>
      </c>
      <c r="AE920" s="11">
        <v>10</v>
      </c>
      <c r="AF920" s="11">
        <v>12</v>
      </c>
    </row>
    <row r="921" spans="1:32" s="11" customFormat="1" x14ac:dyDescent="0.2">
      <c r="A921" s="11">
        <v>1108</v>
      </c>
      <c r="F921" s="11" t="s">
        <v>16403</v>
      </c>
      <c r="G921" s="11" t="s">
        <v>16403</v>
      </c>
      <c r="H921" s="12">
        <v>63.9</v>
      </c>
      <c r="I921" s="11" t="s">
        <v>16407</v>
      </c>
      <c r="L921" s="11">
        <v>52.151000000000003</v>
      </c>
      <c r="M921" s="11">
        <v>51.59</v>
      </c>
      <c r="N921" s="11">
        <v>103.729</v>
      </c>
      <c r="O921" s="11">
        <v>103.99299999999999</v>
      </c>
      <c r="P921" s="11">
        <v>106.136</v>
      </c>
      <c r="Q921" s="11">
        <v>106.17400000000001</v>
      </c>
      <c r="R921" s="11">
        <v>122.33</v>
      </c>
      <c r="S921" s="11">
        <v>122.38800000000001</v>
      </c>
      <c r="T921" s="11">
        <v>61.23</v>
      </c>
      <c r="U921" s="11">
        <v>60.485999999999997</v>
      </c>
      <c r="V921" s="11">
        <v>38.770000000000003</v>
      </c>
      <c r="W921" s="11">
        <v>39.514000000000003</v>
      </c>
      <c r="X921" s="11">
        <v>11.13</v>
      </c>
      <c r="Y921" s="11">
        <v>11.452999999999999</v>
      </c>
      <c r="Z921" s="11">
        <v>39.514000000000003</v>
      </c>
      <c r="AA921" s="11">
        <v>38.770000000000003</v>
      </c>
      <c r="AB921" s="11">
        <v>7.2279999999999998</v>
      </c>
      <c r="AC921" s="11">
        <v>11</v>
      </c>
      <c r="AD921" s="11">
        <v>13</v>
      </c>
      <c r="AE921" s="11">
        <v>9</v>
      </c>
      <c r="AF921" s="11">
        <v>10</v>
      </c>
    </row>
    <row r="922" spans="1:32" s="11" customFormat="1" x14ac:dyDescent="0.2">
      <c r="A922" s="11">
        <v>1109</v>
      </c>
      <c r="F922" s="11" t="s">
        <v>16403</v>
      </c>
      <c r="G922" s="11" t="s">
        <v>16403</v>
      </c>
      <c r="H922" s="12">
        <v>61.3</v>
      </c>
      <c r="I922" s="11" t="s">
        <v>16404</v>
      </c>
      <c r="L922" s="11">
        <v>26.154</v>
      </c>
      <c r="M922" s="11">
        <v>23.11</v>
      </c>
      <c r="N922" s="11">
        <v>49.685000000000002</v>
      </c>
      <c r="O922" s="11">
        <v>49.613999999999997</v>
      </c>
      <c r="P922" s="11">
        <v>53.79</v>
      </c>
      <c r="Q922" s="11">
        <v>54.402999999999999</v>
      </c>
      <c r="R922" s="11">
        <v>130.804</v>
      </c>
      <c r="S922" s="11">
        <v>131.143</v>
      </c>
      <c r="T922" s="11">
        <v>67.298000000000002</v>
      </c>
      <c r="U922" s="11">
        <v>66.644000000000005</v>
      </c>
      <c r="V922" s="11">
        <v>32.701999999999998</v>
      </c>
      <c r="W922" s="11">
        <v>33.356000000000002</v>
      </c>
      <c r="X922" s="11">
        <v>15.222</v>
      </c>
      <c r="Y922" s="11">
        <v>19.134</v>
      </c>
      <c r="Z922" s="11">
        <v>33.356000000000002</v>
      </c>
      <c r="AA922" s="11">
        <v>32.701999999999998</v>
      </c>
      <c r="AB922" s="11">
        <v>20.204000000000001</v>
      </c>
      <c r="AC922" s="11">
        <v>20</v>
      </c>
      <c r="AD922" s="11">
        <v>16</v>
      </c>
      <c r="AE922" s="11">
        <v>15</v>
      </c>
      <c r="AF922" s="11">
        <v>16</v>
      </c>
    </row>
    <row r="923" spans="1:32" s="11" customFormat="1" x14ac:dyDescent="0.2">
      <c r="A923" s="11">
        <v>1110</v>
      </c>
      <c r="F923" s="11" t="s">
        <v>16403</v>
      </c>
      <c r="G923" s="11" t="s">
        <v>16403</v>
      </c>
      <c r="H923" s="12">
        <v>54</v>
      </c>
      <c r="I923" s="11" t="s">
        <v>16407</v>
      </c>
      <c r="L923" s="11">
        <v>41.776000000000003</v>
      </c>
      <c r="M923" s="11">
        <v>41.631999999999998</v>
      </c>
      <c r="N923" s="11">
        <v>83.576999999999998</v>
      </c>
      <c r="O923" s="11">
        <v>83.156999999999996</v>
      </c>
      <c r="P923" s="11">
        <v>70.941999999999993</v>
      </c>
      <c r="Q923" s="11">
        <v>70.614999999999995</v>
      </c>
      <c r="R923" s="11">
        <v>101.333</v>
      </c>
      <c r="S923" s="11">
        <v>101.003</v>
      </c>
      <c r="T923" s="11">
        <v>67.94</v>
      </c>
      <c r="U923" s="11">
        <v>66.015000000000001</v>
      </c>
      <c r="V923" s="11">
        <v>32.06</v>
      </c>
      <c r="W923" s="11">
        <v>33.984999999999999</v>
      </c>
      <c r="X923" s="11">
        <v>15.957000000000001</v>
      </c>
      <c r="Y923" s="11">
        <v>17.933</v>
      </c>
      <c r="Z923" s="11">
        <v>33.984999999999999</v>
      </c>
      <c r="AA923" s="11">
        <v>32.06</v>
      </c>
      <c r="AB923" s="11">
        <v>14.28</v>
      </c>
      <c r="AC923" s="11">
        <v>12</v>
      </c>
      <c r="AD923" s="11">
        <v>13</v>
      </c>
      <c r="AE923" s="11">
        <v>10</v>
      </c>
      <c r="AF923" s="11">
        <v>10</v>
      </c>
    </row>
    <row r="924" spans="1:32" s="11" customFormat="1" x14ac:dyDescent="0.2">
      <c r="A924" s="11">
        <v>1111</v>
      </c>
      <c r="F924" s="11" t="s">
        <v>16403</v>
      </c>
      <c r="G924" s="11" t="s">
        <v>16403</v>
      </c>
      <c r="H924" s="12">
        <v>70.2</v>
      </c>
      <c r="I924" s="11" t="s">
        <v>16404</v>
      </c>
      <c r="L924" s="11" t="s">
        <v>16403</v>
      </c>
      <c r="M924" s="11" t="s">
        <v>16403</v>
      </c>
      <c r="N924" s="11" t="s">
        <v>16403</v>
      </c>
      <c r="O924" s="11" t="s">
        <v>16403</v>
      </c>
      <c r="P924" s="11" t="s">
        <v>16403</v>
      </c>
      <c r="Q924" s="11" t="s">
        <v>16403</v>
      </c>
      <c r="R924" s="11" t="s">
        <v>16403</v>
      </c>
      <c r="S924" s="11" t="s">
        <v>16403</v>
      </c>
      <c r="T924" s="11" t="s">
        <v>16403</v>
      </c>
      <c r="U924" s="11" t="s">
        <v>16403</v>
      </c>
      <c r="V924" s="11" t="s">
        <v>16403</v>
      </c>
      <c r="W924" s="11" t="s">
        <v>16403</v>
      </c>
      <c r="X924" s="11" t="s">
        <v>16403</v>
      </c>
      <c r="Y924" s="11" t="s">
        <v>16403</v>
      </c>
      <c r="Z924" s="11" t="s">
        <v>16403</v>
      </c>
      <c r="AA924" s="11" t="s">
        <v>16403</v>
      </c>
      <c r="AB924" s="11" t="s">
        <v>16403</v>
      </c>
      <c r="AC924" s="11" t="s">
        <v>16403</v>
      </c>
      <c r="AD924" s="11" t="s">
        <v>16403</v>
      </c>
      <c r="AE924" s="11" t="s">
        <v>16403</v>
      </c>
      <c r="AF924" s="11" t="s">
        <v>16403</v>
      </c>
    </row>
    <row r="925" spans="1:32" s="11" customFormat="1" x14ac:dyDescent="0.2">
      <c r="A925" s="11">
        <v>1112</v>
      </c>
      <c r="F925" s="11" t="s">
        <v>16403</v>
      </c>
      <c r="G925" s="11" t="s">
        <v>16403</v>
      </c>
      <c r="H925" s="12">
        <v>74.7</v>
      </c>
      <c r="I925" s="11" t="s">
        <v>16403</v>
      </c>
      <c r="L925" s="11">
        <v>9.9160000000000004</v>
      </c>
      <c r="M925" s="11">
        <v>11.509</v>
      </c>
      <c r="N925" s="11">
        <v>21.800999999999998</v>
      </c>
      <c r="O925" s="11">
        <v>21.109000000000002</v>
      </c>
      <c r="P925" s="11">
        <v>17.925999999999998</v>
      </c>
      <c r="Q925" s="11">
        <v>17.125</v>
      </c>
      <c r="R925" s="11">
        <v>104.322</v>
      </c>
      <c r="S925" s="11">
        <v>103.776</v>
      </c>
      <c r="T925" s="11">
        <v>80.927000000000007</v>
      </c>
      <c r="U925" s="11">
        <v>78.385000000000005</v>
      </c>
      <c r="V925" s="11">
        <v>19.073</v>
      </c>
      <c r="W925" s="11">
        <v>21.614999999999998</v>
      </c>
      <c r="X925" s="11">
        <v>31.803999999999998</v>
      </c>
      <c r="Y925" s="11">
        <v>28.088000000000001</v>
      </c>
      <c r="Z925" s="11">
        <v>21.614999999999998</v>
      </c>
      <c r="AA925" s="11">
        <v>19.073</v>
      </c>
      <c r="AB925" s="11">
        <v>13.464</v>
      </c>
      <c r="AC925" s="11">
        <v>20</v>
      </c>
      <c r="AD925" s="11">
        <v>20</v>
      </c>
      <c r="AE925" s="11">
        <v>16</v>
      </c>
      <c r="AF925" s="11">
        <v>19</v>
      </c>
    </row>
    <row r="926" spans="1:32" s="11" customFormat="1" x14ac:dyDescent="0.2">
      <c r="A926" s="11">
        <v>1113</v>
      </c>
      <c r="F926" s="11" t="s">
        <v>16403</v>
      </c>
      <c r="G926" s="11" t="s">
        <v>16403</v>
      </c>
      <c r="H926" s="12">
        <v>67.3</v>
      </c>
      <c r="I926" s="11" t="s">
        <v>16404</v>
      </c>
      <c r="L926" s="11">
        <v>46.494</v>
      </c>
      <c r="M926" s="11">
        <v>47.901000000000003</v>
      </c>
      <c r="N926" s="11">
        <v>93.986999999999995</v>
      </c>
      <c r="O926" s="11">
        <v>94.165000000000006</v>
      </c>
      <c r="P926" s="11">
        <v>65.933999999999997</v>
      </c>
      <c r="Q926" s="11">
        <v>66.088999999999999</v>
      </c>
      <c r="R926" s="11">
        <v>83.337999999999994</v>
      </c>
      <c r="S926" s="11">
        <v>83.587999999999994</v>
      </c>
      <c r="T926" s="11">
        <v>65.340999999999994</v>
      </c>
      <c r="U926" s="11">
        <v>67.177999999999997</v>
      </c>
      <c r="V926" s="11">
        <v>34.658999999999999</v>
      </c>
      <c r="W926" s="11">
        <v>32.822000000000003</v>
      </c>
      <c r="X926" s="11">
        <v>16.18</v>
      </c>
      <c r="Y926" s="11">
        <v>16.873999999999999</v>
      </c>
      <c r="Z926" s="11">
        <v>32.822000000000003</v>
      </c>
      <c r="AA926" s="11">
        <v>34.658999999999999</v>
      </c>
      <c r="AB926" s="11">
        <v>10.577999999999999</v>
      </c>
      <c r="AC926" s="11">
        <v>12</v>
      </c>
      <c r="AD926" s="11">
        <v>13</v>
      </c>
      <c r="AE926" s="11">
        <v>10</v>
      </c>
      <c r="AF926" s="11">
        <v>10</v>
      </c>
    </row>
    <row r="927" spans="1:32" s="11" customFormat="1" x14ac:dyDescent="0.2">
      <c r="A927" s="11">
        <v>1114</v>
      </c>
      <c r="F927" s="11" t="s">
        <v>16403</v>
      </c>
      <c r="G927" s="11" t="s">
        <v>16403</v>
      </c>
      <c r="H927" s="12">
        <v>57.2</v>
      </c>
      <c r="I927" s="11" t="s">
        <v>16407</v>
      </c>
      <c r="L927" s="11">
        <v>28.84</v>
      </c>
      <c r="M927" s="11">
        <v>30.98</v>
      </c>
      <c r="N927" s="11">
        <v>59.796999999999997</v>
      </c>
      <c r="O927" s="11">
        <v>59.835999999999999</v>
      </c>
      <c r="P927" s="11">
        <v>41.963999999999999</v>
      </c>
      <c r="Q927" s="11">
        <v>42.878999999999998</v>
      </c>
      <c r="R927" s="11">
        <v>84.367999999999995</v>
      </c>
      <c r="S927" s="11">
        <v>85.403000000000006</v>
      </c>
      <c r="T927" s="11">
        <v>73.730999999999995</v>
      </c>
      <c r="U927" s="11">
        <v>75.311000000000007</v>
      </c>
      <c r="V927" s="11">
        <v>26.268999999999998</v>
      </c>
      <c r="W927" s="11">
        <v>24.689</v>
      </c>
      <c r="X927" s="11">
        <v>26.553000000000001</v>
      </c>
      <c r="Y927" s="11">
        <v>23.155999999999999</v>
      </c>
      <c r="Z927" s="11">
        <v>24.689</v>
      </c>
      <c r="AA927" s="11">
        <v>26.268999999999998</v>
      </c>
      <c r="AB927" s="11">
        <v>17.936</v>
      </c>
      <c r="AC927" s="11">
        <v>15</v>
      </c>
      <c r="AD927" s="11">
        <v>16</v>
      </c>
      <c r="AE927" s="11">
        <v>14</v>
      </c>
      <c r="AF927" s="11">
        <v>12</v>
      </c>
    </row>
    <row r="928" spans="1:32" s="11" customFormat="1" x14ac:dyDescent="0.2">
      <c r="A928" s="11">
        <v>1115</v>
      </c>
      <c r="F928" s="11" t="s">
        <v>16403</v>
      </c>
      <c r="G928" s="11" t="s">
        <v>16403</v>
      </c>
      <c r="H928" s="12">
        <v>71.5</v>
      </c>
      <c r="I928" s="11" t="s">
        <v>16404</v>
      </c>
      <c r="L928" s="11">
        <v>59.137999999999998</v>
      </c>
      <c r="M928" s="11">
        <v>60.131</v>
      </c>
      <c r="N928" s="11">
        <v>118.63200000000001</v>
      </c>
      <c r="O928" s="11">
        <v>119.96599999999999</v>
      </c>
      <c r="P928" s="11">
        <v>95.53</v>
      </c>
      <c r="Q928" s="11">
        <v>97.099000000000004</v>
      </c>
      <c r="R928" s="11">
        <v>96.072000000000003</v>
      </c>
      <c r="S928" s="11">
        <v>96.635999999999996</v>
      </c>
      <c r="T928" s="11">
        <v>64.486000000000004</v>
      </c>
      <c r="U928" s="11">
        <v>63.104999999999997</v>
      </c>
      <c r="V928" s="11">
        <v>35.514000000000003</v>
      </c>
      <c r="W928" s="11">
        <v>36.895000000000003</v>
      </c>
      <c r="X928" s="11">
        <v>14.907</v>
      </c>
      <c r="Y928" s="11">
        <v>12.884</v>
      </c>
      <c r="Z928" s="11">
        <v>36.895000000000003</v>
      </c>
      <c r="AA928" s="11">
        <v>35.514000000000003</v>
      </c>
      <c r="AB928" s="11">
        <v>8.51</v>
      </c>
      <c r="AC928" s="11">
        <v>11</v>
      </c>
      <c r="AD928" s="11">
        <v>11</v>
      </c>
      <c r="AE928" s="11">
        <v>8</v>
      </c>
      <c r="AF928" s="11">
        <v>9</v>
      </c>
    </row>
    <row r="929" spans="1:32" s="11" customFormat="1" x14ac:dyDescent="0.2">
      <c r="A929" s="11">
        <v>1116</v>
      </c>
      <c r="F929" s="11" t="s">
        <v>16403</v>
      </c>
      <c r="G929" s="11" t="s">
        <v>16403</v>
      </c>
      <c r="H929" s="12">
        <v>61.3</v>
      </c>
      <c r="I929" s="11" t="s">
        <v>16403</v>
      </c>
      <c r="L929" s="11" t="s">
        <v>16403</v>
      </c>
      <c r="M929" s="11" t="s">
        <v>16403</v>
      </c>
      <c r="N929" s="11" t="s">
        <v>16403</v>
      </c>
      <c r="O929" s="11" t="s">
        <v>16403</v>
      </c>
      <c r="P929" s="11" t="s">
        <v>16403</v>
      </c>
      <c r="Q929" s="11" t="s">
        <v>16403</v>
      </c>
      <c r="R929" s="11" t="s">
        <v>16403</v>
      </c>
      <c r="S929" s="11" t="s">
        <v>16403</v>
      </c>
      <c r="T929" s="11" t="s">
        <v>16403</v>
      </c>
      <c r="U929" s="11" t="s">
        <v>16403</v>
      </c>
      <c r="V929" s="11" t="s">
        <v>16403</v>
      </c>
      <c r="W929" s="11" t="s">
        <v>16403</v>
      </c>
      <c r="X929" s="11" t="s">
        <v>16403</v>
      </c>
      <c r="Y929" s="11" t="s">
        <v>16403</v>
      </c>
      <c r="Z929" s="11" t="s">
        <v>16403</v>
      </c>
      <c r="AA929" s="11" t="s">
        <v>16403</v>
      </c>
      <c r="AB929" s="11" t="s">
        <v>16403</v>
      </c>
      <c r="AC929" s="11" t="s">
        <v>16403</v>
      </c>
      <c r="AD929" s="11" t="s">
        <v>16403</v>
      </c>
      <c r="AE929" s="11" t="s">
        <v>16403</v>
      </c>
      <c r="AF929" s="11" t="s">
        <v>16403</v>
      </c>
    </row>
    <row r="930" spans="1:32" s="11" customFormat="1" x14ac:dyDescent="0.2">
      <c r="A930" s="11">
        <v>1117</v>
      </c>
      <c r="F930" s="11" t="s">
        <v>16403</v>
      </c>
      <c r="G930" s="11" t="s">
        <v>16403</v>
      </c>
      <c r="H930" s="12">
        <v>64.8</v>
      </c>
      <c r="I930" s="11" t="s">
        <v>16407</v>
      </c>
      <c r="L930" s="11">
        <v>30.064</v>
      </c>
      <c r="M930" s="11">
        <v>22.297000000000001</v>
      </c>
      <c r="N930" s="11">
        <v>52.116999999999997</v>
      </c>
      <c r="O930" s="11">
        <v>51.968000000000004</v>
      </c>
      <c r="P930" s="11">
        <v>51.332000000000001</v>
      </c>
      <c r="Q930" s="11">
        <v>51.345999999999997</v>
      </c>
      <c r="R930" s="11">
        <v>117.991</v>
      </c>
      <c r="S930" s="11">
        <v>118.203</v>
      </c>
      <c r="T930" s="11">
        <v>65.367999999999995</v>
      </c>
      <c r="U930" s="11">
        <v>66.545000000000002</v>
      </c>
      <c r="V930" s="11">
        <v>34.631</v>
      </c>
      <c r="W930" s="11">
        <v>33.454999999999998</v>
      </c>
      <c r="X930" s="11">
        <v>18.048999999999999</v>
      </c>
      <c r="Y930" s="11">
        <v>14.138</v>
      </c>
      <c r="Z930" s="11">
        <v>33.454999999999998</v>
      </c>
      <c r="AA930" s="11">
        <v>34.631</v>
      </c>
      <c r="AB930" s="11">
        <v>10.826000000000001</v>
      </c>
      <c r="AC930" s="11">
        <v>17</v>
      </c>
      <c r="AD930" s="11">
        <v>16</v>
      </c>
      <c r="AE930" s="11">
        <v>14</v>
      </c>
      <c r="AF930" s="11">
        <v>14</v>
      </c>
    </row>
    <row r="931" spans="1:32" s="11" customFormat="1" x14ac:dyDescent="0.2">
      <c r="A931" s="11">
        <v>1118</v>
      </c>
      <c r="F931" s="11" t="s">
        <v>16403</v>
      </c>
      <c r="G931" s="11" t="s">
        <v>16403</v>
      </c>
      <c r="H931" s="12">
        <v>73.900000000000006</v>
      </c>
      <c r="I931" s="11" t="s">
        <v>16404</v>
      </c>
      <c r="L931" s="11">
        <v>47.180999999999997</v>
      </c>
      <c r="M931" s="11">
        <v>52.177</v>
      </c>
      <c r="N931" s="11">
        <v>99.841999999999999</v>
      </c>
      <c r="O931" s="11">
        <v>98.783000000000001</v>
      </c>
      <c r="P931" s="11">
        <v>83.456000000000003</v>
      </c>
      <c r="Q931" s="11">
        <v>82.632000000000005</v>
      </c>
      <c r="R931" s="11">
        <v>100.34399999999999</v>
      </c>
      <c r="S931" s="11">
        <v>100.372</v>
      </c>
      <c r="T931" s="11">
        <v>66.248000000000005</v>
      </c>
      <c r="U931" s="11">
        <v>66.727999999999994</v>
      </c>
      <c r="V931" s="11">
        <v>33.752000000000002</v>
      </c>
      <c r="W931" s="11">
        <v>33.271999999999998</v>
      </c>
      <c r="X931" s="11">
        <v>18.03</v>
      </c>
      <c r="Y931" s="11">
        <v>15.412000000000001</v>
      </c>
      <c r="Z931" s="11">
        <v>33.271999999999998</v>
      </c>
      <c r="AA931" s="11">
        <v>33.752000000000002</v>
      </c>
      <c r="AB931" s="11">
        <v>14.39</v>
      </c>
      <c r="AC931" s="11">
        <v>12</v>
      </c>
      <c r="AD931" s="11">
        <v>10</v>
      </c>
      <c r="AE931" s="11">
        <v>9</v>
      </c>
      <c r="AF931" s="11">
        <v>8</v>
      </c>
    </row>
    <row r="932" spans="1:32" s="11" customFormat="1" x14ac:dyDescent="0.2">
      <c r="A932" s="11">
        <v>1119</v>
      </c>
      <c r="F932" s="11" t="s">
        <v>16403</v>
      </c>
      <c r="G932" s="11" t="s">
        <v>16403</v>
      </c>
      <c r="H932" s="12">
        <v>69.900000000000006</v>
      </c>
      <c r="I932" s="11" t="s">
        <v>16404</v>
      </c>
      <c r="L932" s="11">
        <v>42.685000000000002</v>
      </c>
      <c r="M932" s="11">
        <v>41.747</v>
      </c>
      <c r="N932" s="11">
        <v>85.248000000000005</v>
      </c>
      <c r="O932" s="11">
        <v>84.251999999999995</v>
      </c>
      <c r="P932" s="11">
        <v>54.881999999999998</v>
      </c>
      <c r="Q932" s="11">
        <v>54.311999999999998</v>
      </c>
      <c r="R932" s="11">
        <v>77.305000000000007</v>
      </c>
      <c r="S932" s="11">
        <v>77.608000000000004</v>
      </c>
      <c r="T932" s="11">
        <v>69.248999999999995</v>
      </c>
      <c r="U932" s="11">
        <v>69.165000000000006</v>
      </c>
      <c r="V932" s="11">
        <v>30.751000000000001</v>
      </c>
      <c r="W932" s="11">
        <v>30.835000000000001</v>
      </c>
      <c r="X932" s="11">
        <v>17.318999999999999</v>
      </c>
      <c r="Y932" s="11">
        <v>21.594999999999999</v>
      </c>
      <c r="Z932" s="11">
        <v>30.835000000000001</v>
      </c>
      <c r="AA932" s="11">
        <v>30.751000000000001</v>
      </c>
      <c r="AB932" s="11">
        <v>14.818</v>
      </c>
      <c r="AC932" s="11">
        <v>13</v>
      </c>
      <c r="AD932" s="11">
        <v>14</v>
      </c>
      <c r="AE932" s="11">
        <v>10</v>
      </c>
      <c r="AF932" s="11">
        <v>12</v>
      </c>
    </row>
    <row r="933" spans="1:32" s="11" customFormat="1" x14ac:dyDescent="0.2">
      <c r="A933" s="11">
        <v>1120</v>
      </c>
      <c r="F933" s="11" t="s">
        <v>16403</v>
      </c>
      <c r="G933" s="11" t="s">
        <v>16403</v>
      </c>
      <c r="H933" s="12">
        <v>65.3</v>
      </c>
      <c r="I933" s="11" t="s">
        <v>16404</v>
      </c>
      <c r="L933" s="11" t="s">
        <v>16403</v>
      </c>
      <c r="M933" s="11" t="s">
        <v>16403</v>
      </c>
      <c r="N933" s="11" t="s">
        <v>16403</v>
      </c>
      <c r="O933" s="11" t="s">
        <v>16403</v>
      </c>
      <c r="P933" s="11" t="s">
        <v>16403</v>
      </c>
      <c r="Q933" s="11" t="s">
        <v>16403</v>
      </c>
      <c r="R933" s="11" t="s">
        <v>16403</v>
      </c>
      <c r="S933" s="11" t="s">
        <v>16403</v>
      </c>
      <c r="T933" s="11" t="s">
        <v>16403</v>
      </c>
      <c r="U933" s="11" t="s">
        <v>16403</v>
      </c>
      <c r="V933" s="11" t="s">
        <v>16403</v>
      </c>
      <c r="W933" s="11" t="s">
        <v>16403</v>
      </c>
      <c r="X933" s="11" t="s">
        <v>16403</v>
      </c>
      <c r="Y933" s="11" t="s">
        <v>16403</v>
      </c>
      <c r="Z933" s="11" t="s">
        <v>16403</v>
      </c>
      <c r="AA933" s="11" t="s">
        <v>16403</v>
      </c>
      <c r="AB933" s="11" t="s">
        <v>16403</v>
      </c>
      <c r="AC933" s="11" t="s">
        <v>16403</v>
      </c>
      <c r="AD933" s="11" t="s">
        <v>16403</v>
      </c>
      <c r="AE933" s="11" t="s">
        <v>16403</v>
      </c>
      <c r="AF933" s="11" t="s">
        <v>16403</v>
      </c>
    </row>
    <row r="934" spans="1:32" s="11" customFormat="1" x14ac:dyDescent="0.2">
      <c r="A934" s="11">
        <v>1121</v>
      </c>
      <c r="F934" s="11" t="s">
        <v>16403</v>
      </c>
      <c r="G934" s="11" t="s">
        <v>16403</v>
      </c>
      <c r="H934" s="12">
        <v>68.2</v>
      </c>
      <c r="I934" s="11" t="s">
        <v>16404</v>
      </c>
      <c r="L934" s="11">
        <v>57.655000000000001</v>
      </c>
      <c r="M934" s="11">
        <v>58.731000000000002</v>
      </c>
      <c r="N934" s="11">
        <v>115.962</v>
      </c>
      <c r="O934" s="11">
        <v>116.67100000000001</v>
      </c>
      <c r="P934" s="11">
        <v>97.087000000000003</v>
      </c>
      <c r="Q934" s="11">
        <v>98.686000000000007</v>
      </c>
      <c r="R934" s="11">
        <v>100.08</v>
      </c>
      <c r="S934" s="11">
        <v>101.416</v>
      </c>
      <c r="T934" s="11">
        <v>62.652000000000001</v>
      </c>
      <c r="U934" s="11">
        <v>65.703999999999994</v>
      </c>
      <c r="V934" s="11">
        <v>37.347999999999999</v>
      </c>
      <c r="W934" s="11">
        <v>34.295999999999999</v>
      </c>
      <c r="X934" s="11">
        <v>12.573</v>
      </c>
      <c r="Y934" s="11">
        <v>14.866</v>
      </c>
      <c r="Z934" s="11">
        <v>34.295999999999999</v>
      </c>
      <c r="AA934" s="11">
        <v>37.347999999999999</v>
      </c>
      <c r="AB934" s="11">
        <v>17.54</v>
      </c>
      <c r="AC934" s="11">
        <v>10</v>
      </c>
      <c r="AD934" s="11">
        <v>12</v>
      </c>
      <c r="AE934" s="11">
        <v>9</v>
      </c>
      <c r="AF934" s="11">
        <v>8</v>
      </c>
    </row>
    <row r="935" spans="1:32" s="11" customFormat="1" x14ac:dyDescent="0.2">
      <c r="A935" s="11">
        <v>1122</v>
      </c>
      <c r="F935" s="11" t="s">
        <v>16403</v>
      </c>
      <c r="G935" s="11" t="s">
        <v>16403</v>
      </c>
      <c r="H935" s="12">
        <v>25.7</v>
      </c>
      <c r="I935" s="11" t="s">
        <v>16407</v>
      </c>
      <c r="L935" s="11">
        <v>45.886000000000003</v>
      </c>
      <c r="M935" s="11">
        <v>47.201999999999998</v>
      </c>
      <c r="N935" s="11">
        <v>93.239000000000004</v>
      </c>
      <c r="O935" s="11">
        <v>92.587999999999994</v>
      </c>
      <c r="P935" s="11">
        <v>80.27</v>
      </c>
      <c r="Q935" s="11">
        <v>79.519000000000005</v>
      </c>
      <c r="R935" s="11">
        <v>103.14100000000001</v>
      </c>
      <c r="S935" s="11">
        <v>102.85599999999999</v>
      </c>
      <c r="T935" s="11">
        <v>63.598999999999997</v>
      </c>
      <c r="U935" s="11">
        <v>64.757000000000005</v>
      </c>
      <c r="V935" s="11">
        <v>36.401000000000003</v>
      </c>
      <c r="W935" s="11">
        <v>35.243000000000002</v>
      </c>
      <c r="X935" s="11">
        <v>15.492000000000001</v>
      </c>
      <c r="Y935" s="11">
        <v>13.423999999999999</v>
      </c>
      <c r="Z935" s="11">
        <v>35.243000000000002</v>
      </c>
      <c r="AA935" s="11">
        <v>36.401000000000003</v>
      </c>
      <c r="AB935" s="11">
        <v>12.808</v>
      </c>
      <c r="AC935" s="11">
        <v>12</v>
      </c>
      <c r="AD935" s="11">
        <v>10</v>
      </c>
      <c r="AE935" s="11">
        <v>5</v>
      </c>
      <c r="AF935" s="11">
        <v>5</v>
      </c>
    </row>
    <row r="936" spans="1:32" s="11" customFormat="1" x14ac:dyDescent="0.2">
      <c r="A936" s="11">
        <v>1123</v>
      </c>
      <c r="F936" s="11" t="s">
        <v>16403</v>
      </c>
      <c r="G936" s="11" t="s">
        <v>16403</v>
      </c>
      <c r="H936" s="12">
        <v>25.9</v>
      </c>
      <c r="I936" s="11" t="s">
        <v>16407</v>
      </c>
      <c r="L936" s="11">
        <v>52.454000000000001</v>
      </c>
      <c r="M936" s="11">
        <v>51.514000000000003</v>
      </c>
      <c r="N936" s="11">
        <v>104.50700000000001</v>
      </c>
      <c r="O936" s="11">
        <v>103.783</v>
      </c>
      <c r="P936" s="11">
        <v>75.677999999999997</v>
      </c>
      <c r="Q936" s="11">
        <v>75.114999999999995</v>
      </c>
      <c r="R936" s="11">
        <v>86.576999999999998</v>
      </c>
      <c r="S936" s="11">
        <v>86.474000000000004</v>
      </c>
      <c r="T936" s="11">
        <v>66.251000000000005</v>
      </c>
      <c r="U936" s="11">
        <v>66.489999999999995</v>
      </c>
      <c r="V936" s="11">
        <v>33.749000000000002</v>
      </c>
      <c r="W936" s="11">
        <v>33.51</v>
      </c>
      <c r="X936" s="11">
        <v>16.539000000000001</v>
      </c>
      <c r="Y936" s="11">
        <v>16.259</v>
      </c>
      <c r="Z936" s="11">
        <v>33.51</v>
      </c>
      <c r="AA936" s="11">
        <v>33.749000000000002</v>
      </c>
      <c r="AB936" s="11">
        <v>10.507999999999999</v>
      </c>
      <c r="AC936" s="11">
        <v>14</v>
      </c>
      <c r="AD936" s="11">
        <v>13</v>
      </c>
      <c r="AE936" s="11">
        <v>11</v>
      </c>
      <c r="AF936" s="11">
        <v>11</v>
      </c>
    </row>
    <row r="937" spans="1:32" s="11" customFormat="1" x14ac:dyDescent="0.2">
      <c r="A937" s="11">
        <v>1124</v>
      </c>
      <c r="F937" s="11" t="s">
        <v>16403</v>
      </c>
      <c r="G937" s="11" t="s">
        <v>16403</v>
      </c>
      <c r="H937" s="12">
        <v>999</v>
      </c>
      <c r="I937" s="11" t="s">
        <v>16407</v>
      </c>
      <c r="L937" s="11" t="s">
        <v>16403</v>
      </c>
      <c r="M937" s="11" t="s">
        <v>16403</v>
      </c>
      <c r="N937" s="11" t="s">
        <v>16403</v>
      </c>
      <c r="O937" s="11" t="s">
        <v>16403</v>
      </c>
      <c r="P937" s="11" t="s">
        <v>16403</v>
      </c>
      <c r="Q937" s="11" t="s">
        <v>16403</v>
      </c>
      <c r="R937" s="11" t="s">
        <v>16403</v>
      </c>
      <c r="S937" s="11" t="s">
        <v>16403</v>
      </c>
      <c r="T937" s="11" t="s">
        <v>16403</v>
      </c>
      <c r="U937" s="11" t="s">
        <v>16403</v>
      </c>
      <c r="V937" s="11" t="s">
        <v>16403</v>
      </c>
      <c r="W937" s="11" t="s">
        <v>16403</v>
      </c>
      <c r="X937" s="11" t="s">
        <v>16403</v>
      </c>
      <c r="Y937" s="11" t="s">
        <v>16403</v>
      </c>
      <c r="Z937" s="11" t="s">
        <v>16403</v>
      </c>
      <c r="AA937" s="11" t="s">
        <v>16403</v>
      </c>
      <c r="AB937" s="11" t="s">
        <v>16403</v>
      </c>
      <c r="AC937" s="11" t="s">
        <v>16403</v>
      </c>
      <c r="AD937" s="11" t="s">
        <v>16403</v>
      </c>
      <c r="AE937" s="11" t="s">
        <v>16403</v>
      </c>
      <c r="AF937" s="11" t="s">
        <v>16403</v>
      </c>
    </row>
    <row r="938" spans="1:32" s="11" customFormat="1" x14ac:dyDescent="0.2">
      <c r="A938" s="11">
        <v>1125</v>
      </c>
      <c r="F938" s="11" t="s">
        <v>16403</v>
      </c>
      <c r="G938" s="11" t="s">
        <v>16403</v>
      </c>
      <c r="H938" s="12">
        <v>55</v>
      </c>
      <c r="I938" s="11" t="s">
        <v>16407</v>
      </c>
      <c r="L938" s="11">
        <v>44.877000000000002</v>
      </c>
      <c r="M938" s="11">
        <v>42.018999999999998</v>
      </c>
      <c r="N938" s="11">
        <v>86.165999999999997</v>
      </c>
      <c r="O938" s="11">
        <v>88.622</v>
      </c>
      <c r="P938" s="11">
        <v>79.135999999999996</v>
      </c>
      <c r="Q938" s="11">
        <v>80.95</v>
      </c>
      <c r="R938" s="11">
        <v>110.22</v>
      </c>
      <c r="S938" s="11">
        <v>111.379</v>
      </c>
      <c r="T938" s="11">
        <v>65.893000000000001</v>
      </c>
      <c r="U938" s="11">
        <v>62.616</v>
      </c>
      <c r="V938" s="11">
        <v>34.106999999999999</v>
      </c>
      <c r="W938" s="11">
        <v>37.384</v>
      </c>
      <c r="X938" s="11">
        <v>15.196</v>
      </c>
      <c r="Y938" s="11">
        <v>13.632999999999999</v>
      </c>
      <c r="Z938" s="11">
        <v>37.384</v>
      </c>
      <c r="AA938" s="11">
        <v>34.106999999999999</v>
      </c>
      <c r="AB938" s="11">
        <v>11.832000000000001</v>
      </c>
      <c r="AC938" s="11">
        <v>15</v>
      </c>
      <c r="AD938" s="11">
        <v>14</v>
      </c>
      <c r="AE938" s="11">
        <v>11</v>
      </c>
      <c r="AF938" s="11">
        <v>13</v>
      </c>
    </row>
    <row r="939" spans="1:32" s="11" customFormat="1" x14ac:dyDescent="0.2">
      <c r="A939" s="11">
        <v>1126</v>
      </c>
      <c r="F939" s="11" t="s">
        <v>16403</v>
      </c>
      <c r="G939" s="11" t="s">
        <v>16403</v>
      </c>
      <c r="H939" s="12">
        <v>70.2</v>
      </c>
      <c r="I939" s="11" t="s">
        <v>16404</v>
      </c>
      <c r="L939" s="11">
        <v>56.353000000000002</v>
      </c>
      <c r="M939" s="11">
        <v>58.097000000000001</v>
      </c>
      <c r="N939" s="11">
        <v>114.858</v>
      </c>
      <c r="O939" s="11">
        <v>114.45099999999999</v>
      </c>
      <c r="P939" s="11">
        <v>103.36</v>
      </c>
      <c r="Q939" s="11">
        <v>103.252</v>
      </c>
      <c r="R939" s="11">
        <v>107.66200000000001</v>
      </c>
      <c r="S939" s="11">
        <v>107.577</v>
      </c>
      <c r="T939" s="11">
        <v>64.265000000000001</v>
      </c>
      <c r="U939" s="11">
        <v>62.164000000000001</v>
      </c>
      <c r="V939" s="11">
        <v>35.734000000000002</v>
      </c>
      <c r="W939" s="11">
        <v>37.835999999999999</v>
      </c>
      <c r="X939" s="11">
        <v>13.968</v>
      </c>
      <c r="Y939" s="11">
        <v>12.86</v>
      </c>
      <c r="Z939" s="11">
        <v>37.835999999999999</v>
      </c>
      <c r="AA939" s="11">
        <v>35.734000000000002</v>
      </c>
      <c r="AB939" s="11">
        <v>13.272</v>
      </c>
      <c r="AC939" s="11">
        <v>10</v>
      </c>
      <c r="AD939" s="11">
        <v>14</v>
      </c>
      <c r="AE939" s="11">
        <v>10</v>
      </c>
      <c r="AF939" s="11">
        <v>9</v>
      </c>
    </row>
    <row r="940" spans="1:32" s="11" customFormat="1" x14ac:dyDescent="0.2">
      <c r="A940" s="11">
        <v>1127</v>
      </c>
      <c r="F940" s="11" t="s">
        <v>16403</v>
      </c>
      <c r="G940" s="11" t="s">
        <v>16403</v>
      </c>
      <c r="H940" s="12">
        <v>38</v>
      </c>
      <c r="I940" s="11" t="s">
        <v>16407</v>
      </c>
      <c r="L940" s="11" t="s">
        <v>16403</v>
      </c>
      <c r="M940" s="11" t="s">
        <v>16403</v>
      </c>
      <c r="N940" s="11" t="s">
        <v>16403</v>
      </c>
      <c r="O940" s="11" t="s">
        <v>16403</v>
      </c>
      <c r="P940" s="11" t="s">
        <v>16403</v>
      </c>
      <c r="Q940" s="11" t="s">
        <v>16403</v>
      </c>
      <c r="R940" s="11" t="s">
        <v>16403</v>
      </c>
      <c r="S940" s="11" t="s">
        <v>16403</v>
      </c>
      <c r="T940" s="11" t="s">
        <v>16403</v>
      </c>
      <c r="U940" s="11" t="s">
        <v>16403</v>
      </c>
      <c r="V940" s="11" t="s">
        <v>16403</v>
      </c>
      <c r="W940" s="11" t="s">
        <v>16403</v>
      </c>
      <c r="X940" s="11" t="s">
        <v>16403</v>
      </c>
      <c r="Y940" s="11" t="s">
        <v>16403</v>
      </c>
      <c r="Z940" s="11" t="s">
        <v>16403</v>
      </c>
      <c r="AA940" s="11" t="s">
        <v>16403</v>
      </c>
      <c r="AB940" s="11" t="s">
        <v>16403</v>
      </c>
      <c r="AC940" s="11" t="s">
        <v>16403</v>
      </c>
      <c r="AD940" s="11" t="s">
        <v>16403</v>
      </c>
      <c r="AE940" s="11" t="s">
        <v>16403</v>
      </c>
      <c r="AF940" s="11" t="s">
        <v>16403</v>
      </c>
    </row>
    <row r="941" spans="1:32" s="11" customFormat="1" x14ac:dyDescent="0.2">
      <c r="A941" s="11">
        <v>1128</v>
      </c>
      <c r="F941" s="11" t="s">
        <v>16403</v>
      </c>
      <c r="G941" s="11" t="s">
        <v>16403</v>
      </c>
      <c r="H941" s="12">
        <v>999</v>
      </c>
      <c r="I941" s="11" t="s">
        <v>16404</v>
      </c>
      <c r="L941" s="11" t="s">
        <v>16403</v>
      </c>
      <c r="M941" s="11" t="s">
        <v>16403</v>
      </c>
      <c r="N941" s="11" t="s">
        <v>16403</v>
      </c>
      <c r="O941" s="11" t="s">
        <v>16403</v>
      </c>
      <c r="P941" s="11" t="s">
        <v>16403</v>
      </c>
      <c r="Q941" s="11" t="s">
        <v>16403</v>
      </c>
      <c r="R941" s="11" t="s">
        <v>16403</v>
      </c>
      <c r="S941" s="11" t="s">
        <v>16403</v>
      </c>
      <c r="T941" s="11" t="s">
        <v>16403</v>
      </c>
      <c r="U941" s="11" t="s">
        <v>16403</v>
      </c>
      <c r="V941" s="11" t="s">
        <v>16403</v>
      </c>
      <c r="W941" s="11" t="s">
        <v>16403</v>
      </c>
      <c r="X941" s="11" t="s">
        <v>16403</v>
      </c>
      <c r="Y941" s="11" t="s">
        <v>16403</v>
      </c>
      <c r="Z941" s="11" t="s">
        <v>16403</v>
      </c>
      <c r="AA941" s="11" t="s">
        <v>16403</v>
      </c>
      <c r="AB941" s="11" t="s">
        <v>16403</v>
      </c>
      <c r="AC941" s="11" t="s">
        <v>16403</v>
      </c>
      <c r="AD941" s="11" t="s">
        <v>16403</v>
      </c>
      <c r="AE941" s="11" t="s">
        <v>16403</v>
      </c>
      <c r="AF941" s="11" t="s">
        <v>16403</v>
      </c>
    </row>
    <row r="942" spans="1:32" s="11" customFormat="1" x14ac:dyDescent="0.2">
      <c r="A942" s="11">
        <v>1129</v>
      </c>
      <c r="F942" s="11" t="s">
        <v>16403</v>
      </c>
      <c r="G942" s="11" t="s">
        <v>16403</v>
      </c>
      <c r="H942" s="12">
        <v>36.4</v>
      </c>
      <c r="I942" s="11" t="s">
        <v>16407</v>
      </c>
      <c r="L942" s="11" t="s">
        <v>16403</v>
      </c>
      <c r="M942" s="11" t="s">
        <v>16403</v>
      </c>
      <c r="N942" s="11" t="s">
        <v>16403</v>
      </c>
      <c r="O942" s="11" t="s">
        <v>16403</v>
      </c>
      <c r="P942" s="11" t="s">
        <v>16403</v>
      </c>
      <c r="Q942" s="11" t="s">
        <v>16403</v>
      </c>
      <c r="R942" s="11" t="s">
        <v>16403</v>
      </c>
      <c r="S942" s="11" t="s">
        <v>16403</v>
      </c>
      <c r="T942" s="11" t="s">
        <v>16403</v>
      </c>
      <c r="U942" s="11" t="s">
        <v>16403</v>
      </c>
      <c r="V942" s="11" t="s">
        <v>16403</v>
      </c>
      <c r="W942" s="11" t="s">
        <v>16403</v>
      </c>
      <c r="X942" s="11" t="s">
        <v>16403</v>
      </c>
      <c r="Y942" s="11" t="s">
        <v>16403</v>
      </c>
      <c r="Z942" s="11" t="s">
        <v>16403</v>
      </c>
      <c r="AA942" s="11" t="s">
        <v>16403</v>
      </c>
      <c r="AB942" s="11" t="s">
        <v>16403</v>
      </c>
      <c r="AC942" s="11" t="s">
        <v>16403</v>
      </c>
      <c r="AD942" s="11" t="s">
        <v>16403</v>
      </c>
      <c r="AE942" s="11" t="s">
        <v>16403</v>
      </c>
      <c r="AF942" s="11" t="s">
        <v>16403</v>
      </c>
    </row>
    <row r="943" spans="1:32" s="11" customFormat="1" x14ac:dyDescent="0.2">
      <c r="A943" s="11">
        <v>1130</v>
      </c>
      <c r="F943" s="11" t="s">
        <v>16403</v>
      </c>
      <c r="G943" s="11" t="s">
        <v>16403</v>
      </c>
      <c r="H943" s="12">
        <v>70.900000000000006</v>
      </c>
      <c r="I943" s="11" t="s">
        <v>16404</v>
      </c>
      <c r="L943" s="11" t="s">
        <v>16403</v>
      </c>
      <c r="M943" s="11" t="s">
        <v>16403</v>
      </c>
      <c r="N943" s="11" t="s">
        <v>16403</v>
      </c>
      <c r="O943" s="11" t="s">
        <v>16403</v>
      </c>
      <c r="P943" s="11" t="s">
        <v>16403</v>
      </c>
      <c r="Q943" s="11" t="s">
        <v>16403</v>
      </c>
      <c r="R943" s="11" t="s">
        <v>16403</v>
      </c>
      <c r="S943" s="11" t="s">
        <v>16403</v>
      </c>
      <c r="T943" s="11" t="s">
        <v>16403</v>
      </c>
      <c r="U943" s="11" t="s">
        <v>16403</v>
      </c>
      <c r="V943" s="11" t="s">
        <v>16403</v>
      </c>
      <c r="W943" s="11" t="s">
        <v>16403</v>
      </c>
      <c r="X943" s="11" t="s">
        <v>16403</v>
      </c>
      <c r="Y943" s="11" t="s">
        <v>16403</v>
      </c>
      <c r="Z943" s="11" t="s">
        <v>16403</v>
      </c>
      <c r="AA943" s="11" t="s">
        <v>16403</v>
      </c>
      <c r="AB943" s="11" t="s">
        <v>16403</v>
      </c>
      <c r="AC943" s="11" t="s">
        <v>16403</v>
      </c>
      <c r="AD943" s="11" t="s">
        <v>16403</v>
      </c>
      <c r="AE943" s="11" t="s">
        <v>16403</v>
      </c>
      <c r="AF943" s="11" t="s">
        <v>16403</v>
      </c>
    </row>
    <row r="944" spans="1:32" s="11" customFormat="1" x14ac:dyDescent="0.2">
      <c r="A944" s="11">
        <v>1131</v>
      </c>
      <c r="F944" s="11" t="s">
        <v>16403</v>
      </c>
      <c r="G944" s="11" t="s">
        <v>16403</v>
      </c>
      <c r="H944" s="12">
        <v>63.1</v>
      </c>
      <c r="I944" s="11" t="s">
        <v>16407</v>
      </c>
      <c r="L944" s="11" t="s">
        <v>16403</v>
      </c>
      <c r="M944" s="11" t="s">
        <v>16403</v>
      </c>
      <c r="N944" s="11" t="s">
        <v>16403</v>
      </c>
      <c r="O944" s="11" t="s">
        <v>16403</v>
      </c>
      <c r="P944" s="11" t="s">
        <v>16403</v>
      </c>
      <c r="Q944" s="11" t="s">
        <v>16403</v>
      </c>
      <c r="R944" s="11" t="s">
        <v>16403</v>
      </c>
      <c r="S944" s="11" t="s">
        <v>16403</v>
      </c>
      <c r="T944" s="11" t="s">
        <v>16403</v>
      </c>
      <c r="U944" s="11" t="s">
        <v>16403</v>
      </c>
      <c r="V944" s="11" t="s">
        <v>16403</v>
      </c>
      <c r="W944" s="11" t="s">
        <v>16403</v>
      </c>
      <c r="X944" s="11" t="s">
        <v>16403</v>
      </c>
      <c r="Y944" s="11" t="s">
        <v>16403</v>
      </c>
      <c r="Z944" s="11" t="s">
        <v>16403</v>
      </c>
      <c r="AA944" s="11" t="s">
        <v>16403</v>
      </c>
      <c r="AB944" s="11" t="s">
        <v>16403</v>
      </c>
      <c r="AC944" s="11" t="s">
        <v>16403</v>
      </c>
      <c r="AD944" s="11" t="s">
        <v>16403</v>
      </c>
      <c r="AE944" s="11" t="s">
        <v>16403</v>
      </c>
      <c r="AF944" s="11" t="s">
        <v>16403</v>
      </c>
    </row>
    <row r="945" spans="1:32" s="11" customFormat="1" x14ac:dyDescent="0.2">
      <c r="A945" s="11">
        <v>1132</v>
      </c>
      <c r="F945" s="11" t="s">
        <v>16403</v>
      </c>
      <c r="G945" s="11" t="s">
        <v>16403</v>
      </c>
      <c r="H945" s="12">
        <v>81.099999999999994</v>
      </c>
      <c r="I945" s="11" t="s">
        <v>16407</v>
      </c>
      <c r="L945" s="11" t="s">
        <v>16403</v>
      </c>
      <c r="M945" s="11" t="s">
        <v>16403</v>
      </c>
      <c r="N945" s="11" t="s">
        <v>16403</v>
      </c>
      <c r="O945" s="11" t="s">
        <v>16403</v>
      </c>
      <c r="P945" s="11" t="s">
        <v>16403</v>
      </c>
      <c r="Q945" s="11" t="s">
        <v>16403</v>
      </c>
      <c r="R945" s="11" t="s">
        <v>16403</v>
      </c>
      <c r="S945" s="11" t="s">
        <v>16403</v>
      </c>
      <c r="T945" s="11" t="s">
        <v>16403</v>
      </c>
      <c r="U945" s="11" t="s">
        <v>16403</v>
      </c>
      <c r="V945" s="11" t="s">
        <v>16403</v>
      </c>
      <c r="W945" s="11" t="s">
        <v>16403</v>
      </c>
      <c r="X945" s="11" t="s">
        <v>16403</v>
      </c>
      <c r="Y945" s="11" t="s">
        <v>16403</v>
      </c>
      <c r="Z945" s="11" t="s">
        <v>16403</v>
      </c>
      <c r="AA945" s="11" t="s">
        <v>16403</v>
      </c>
      <c r="AB945" s="11" t="s">
        <v>16403</v>
      </c>
      <c r="AC945" s="11" t="s">
        <v>16403</v>
      </c>
      <c r="AD945" s="11" t="s">
        <v>16403</v>
      </c>
      <c r="AE945" s="11" t="s">
        <v>16403</v>
      </c>
      <c r="AF945" s="11" t="s">
        <v>16403</v>
      </c>
    </row>
    <row r="946" spans="1:32" s="11" customFormat="1" x14ac:dyDescent="0.2">
      <c r="A946" s="11">
        <v>1133</v>
      </c>
      <c r="F946" s="11" t="s">
        <v>16403</v>
      </c>
      <c r="G946" s="11" t="s">
        <v>16403</v>
      </c>
      <c r="H946" s="12">
        <v>62.9</v>
      </c>
      <c r="I946" s="11" t="s">
        <v>16404</v>
      </c>
      <c r="L946" s="11" t="s">
        <v>16403</v>
      </c>
      <c r="M946" s="11" t="s">
        <v>16403</v>
      </c>
      <c r="N946" s="11" t="s">
        <v>16403</v>
      </c>
      <c r="O946" s="11" t="s">
        <v>16403</v>
      </c>
      <c r="P946" s="11" t="s">
        <v>16403</v>
      </c>
      <c r="Q946" s="11" t="s">
        <v>16403</v>
      </c>
      <c r="R946" s="11" t="s">
        <v>16403</v>
      </c>
      <c r="S946" s="11" t="s">
        <v>16403</v>
      </c>
      <c r="T946" s="11" t="s">
        <v>16403</v>
      </c>
      <c r="U946" s="11" t="s">
        <v>16403</v>
      </c>
      <c r="V946" s="11" t="s">
        <v>16403</v>
      </c>
      <c r="W946" s="11" t="s">
        <v>16403</v>
      </c>
      <c r="X946" s="11" t="s">
        <v>16403</v>
      </c>
      <c r="Y946" s="11" t="s">
        <v>16403</v>
      </c>
      <c r="Z946" s="11" t="s">
        <v>16403</v>
      </c>
      <c r="AA946" s="11" t="s">
        <v>16403</v>
      </c>
      <c r="AB946" s="11" t="s">
        <v>16403</v>
      </c>
      <c r="AC946" s="11" t="s">
        <v>16403</v>
      </c>
      <c r="AD946" s="11" t="s">
        <v>16403</v>
      </c>
      <c r="AE946" s="11" t="s">
        <v>16403</v>
      </c>
      <c r="AF946" s="11" t="s">
        <v>16403</v>
      </c>
    </row>
    <row r="947" spans="1:32" s="11" customFormat="1" x14ac:dyDescent="0.2">
      <c r="A947" s="11">
        <v>1134</v>
      </c>
      <c r="F947" s="11" t="s">
        <v>16403</v>
      </c>
      <c r="G947" s="11" t="s">
        <v>16403</v>
      </c>
      <c r="H947" s="12">
        <v>60.7</v>
      </c>
      <c r="I947" s="11" t="s">
        <v>16404</v>
      </c>
      <c r="L947" s="11" t="s">
        <v>16403</v>
      </c>
      <c r="M947" s="11" t="s">
        <v>16403</v>
      </c>
      <c r="N947" s="11" t="s">
        <v>16403</v>
      </c>
      <c r="O947" s="11" t="s">
        <v>16403</v>
      </c>
      <c r="P947" s="11" t="s">
        <v>16403</v>
      </c>
      <c r="Q947" s="11" t="s">
        <v>16403</v>
      </c>
      <c r="R947" s="11" t="s">
        <v>16403</v>
      </c>
      <c r="S947" s="11" t="s">
        <v>16403</v>
      </c>
      <c r="T947" s="11" t="s">
        <v>16403</v>
      </c>
      <c r="U947" s="11" t="s">
        <v>16403</v>
      </c>
      <c r="V947" s="11" t="s">
        <v>16403</v>
      </c>
      <c r="W947" s="11" t="s">
        <v>16403</v>
      </c>
      <c r="X947" s="11" t="s">
        <v>16403</v>
      </c>
      <c r="Y947" s="11" t="s">
        <v>16403</v>
      </c>
      <c r="Z947" s="11" t="s">
        <v>16403</v>
      </c>
      <c r="AA947" s="11" t="s">
        <v>16403</v>
      </c>
      <c r="AB947" s="11" t="s">
        <v>16403</v>
      </c>
      <c r="AC947" s="11" t="s">
        <v>16403</v>
      </c>
      <c r="AD947" s="11" t="s">
        <v>16403</v>
      </c>
      <c r="AE947" s="11" t="s">
        <v>16403</v>
      </c>
      <c r="AF947" s="11" t="s">
        <v>16403</v>
      </c>
    </row>
    <row r="948" spans="1:32" s="11" customFormat="1" x14ac:dyDescent="0.2">
      <c r="A948" s="11">
        <v>1135</v>
      </c>
      <c r="F948" s="11" t="s">
        <v>16403</v>
      </c>
      <c r="G948" s="11" t="s">
        <v>16403</v>
      </c>
      <c r="H948" s="12">
        <v>79.5</v>
      </c>
      <c r="I948" s="11" t="s">
        <v>16404</v>
      </c>
      <c r="L948" s="11" t="s">
        <v>16403</v>
      </c>
      <c r="M948" s="11" t="s">
        <v>16403</v>
      </c>
      <c r="N948" s="11" t="s">
        <v>16403</v>
      </c>
      <c r="O948" s="11" t="s">
        <v>16403</v>
      </c>
      <c r="P948" s="11" t="s">
        <v>16403</v>
      </c>
      <c r="Q948" s="11" t="s">
        <v>16403</v>
      </c>
      <c r="R948" s="11" t="s">
        <v>16403</v>
      </c>
      <c r="S948" s="11" t="s">
        <v>16403</v>
      </c>
      <c r="T948" s="11" t="s">
        <v>16403</v>
      </c>
      <c r="U948" s="11" t="s">
        <v>16403</v>
      </c>
      <c r="V948" s="11" t="s">
        <v>16403</v>
      </c>
      <c r="W948" s="11" t="s">
        <v>16403</v>
      </c>
      <c r="X948" s="11" t="s">
        <v>16403</v>
      </c>
      <c r="Y948" s="11" t="s">
        <v>16403</v>
      </c>
      <c r="Z948" s="11" t="s">
        <v>16403</v>
      </c>
      <c r="AA948" s="11" t="s">
        <v>16403</v>
      </c>
      <c r="AB948" s="11" t="s">
        <v>16403</v>
      </c>
      <c r="AC948" s="11" t="s">
        <v>16403</v>
      </c>
      <c r="AD948" s="11" t="s">
        <v>16403</v>
      </c>
      <c r="AE948" s="11" t="s">
        <v>16403</v>
      </c>
      <c r="AF948" s="11" t="s">
        <v>16403</v>
      </c>
    </row>
    <row r="949" spans="1:32" s="11" customFormat="1" x14ac:dyDescent="0.2">
      <c r="A949" s="11">
        <v>1136</v>
      </c>
      <c r="F949" s="11" t="s">
        <v>16403</v>
      </c>
      <c r="G949" s="11" t="s">
        <v>16403</v>
      </c>
      <c r="H949" s="12">
        <v>70.2</v>
      </c>
      <c r="I949" s="11" t="s">
        <v>16404</v>
      </c>
      <c r="L949" s="11" t="s">
        <v>16403</v>
      </c>
      <c r="M949" s="11" t="s">
        <v>16403</v>
      </c>
      <c r="N949" s="11" t="s">
        <v>16403</v>
      </c>
      <c r="O949" s="11" t="s">
        <v>16403</v>
      </c>
      <c r="P949" s="11" t="s">
        <v>16403</v>
      </c>
      <c r="Q949" s="11" t="s">
        <v>16403</v>
      </c>
      <c r="R949" s="11" t="s">
        <v>16403</v>
      </c>
      <c r="S949" s="11" t="s">
        <v>16403</v>
      </c>
      <c r="T949" s="11" t="s">
        <v>16403</v>
      </c>
      <c r="U949" s="11" t="s">
        <v>16403</v>
      </c>
      <c r="V949" s="11" t="s">
        <v>16403</v>
      </c>
      <c r="W949" s="11" t="s">
        <v>16403</v>
      </c>
      <c r="X949" s="11" t="s">
        <v>16403</v>
      </c>
      <c r="Y949" s="11" t="s">
        <v>16403</v>
      </c>
      <c r="Z949" s="11" t="s">
        <v>16403</v>
      </c>
      <c r="AA949" s="11" t="s">
        <v>16403</v>
      </c>
      <c r="AB949" s="11" t="s">
        <v>16403</v>
      </c>
      <c r="AC949" s="11" t="s">
        <v>16403</v>
      </c>
      <c r="AD949" s="11" t="s">
        <v>16403</v>
      </c>
      <c r="AE949" s="11" t="s">
        <v>16403</v>
      </c>
      <c r="AF949" s="11" t="s">
        <v>16403</v>
      </c>
    </row>
    <row r="950" spans="1:32" s="11" customFormat="1" x14ac:dyDescent="0.2">
      <c r="A950" s="11">
        <v>1137</v>
      </c>
      <c r="F950" s="11" t="s">
        <v>16403</v>
      </c>
      <c r="G950" s="11" t="s">
        <v>16403</v>
      </c>
      <c r="H950" s="12">
        <v>75.5</v>
      </c>
      <c r="I950" s="11" t="s">
        <v>16407</v>
      </c>
      <c r="L950" s="11" t="s">
        <v>16403</v>
      </c>
      <c r="M950" s="11" t="s">
        <v>16403</v>
      </c>
      <c r="N950" s="11" t="s">
        <v>16403</v>
      </c>
      <c r="O950" s="11" t="s">
        <v>16403</v>
      </c>
      <c r="P950" s="11" t="s">
        <v>16403</v>
      </c>
      <c r="Q950" s="11" t="s">
        <v>16403</v>
      </c>
      <c r="R950" s="11" t="s">
        <v>16403</v>
      </c>
      <c r="S950" s="11" t="s">
        <v>16403</v>
      </c>
      <c r="T950" s="11" t="s">
        <v>16403</v>
      </c>
      <c r="U950" s="11" t="s">
        <v>16403</v>
      </c>
      <c r="V950" s="11" t="s">
        <v>16403</v>
      </c>
      <c r="W950" s="11" t="s">
        <v>16403</v>
      </c>
      <c r="X950" s="11" t="s">
        <v>16403</v>
      </c>
      <c r="Y950" s="11" t="s">
        <v>16403</v>
      </c>
      <c r="Z950" s="11" t="s">
        <v>16403</v>
      </c>
      <c r="AA950" s="11" t="s">
        <v>16403</v>
      </c>
      <c r="AB950" s="11" t="s">
        <v>16403</v>
      </c>
      <c r="AC950" s="11" t="s">
        <v>16403</v>
      </c>
      <c r="AD950" s="11" t="s">
        <v>16403</v>
      </c>
      <c r="AE950" s="11" t="s">
        <v>16403</v>
      </c>
      <c r="AF950" s="11" t="s">
        <v>16403</v>
      </c>
    </row>
    <row r="951" spans="1:32" s="11" customFormat="1" x14ac:dyDescent="0.2">
      <c r="A951" s="11">
        <v>1138</v>
      </c>
      <c r="F951" s="11" t="s">
        <v>16403</v>
      </c>
      <c r="G951" s="11" t="s">
        <v>16403</v>
      </c>
      <c r="H951" s="12">
        <v>58.4</v>
      </c>
      <c r="I951" s="11" t="s">
        <v>16407</v>
      </c>
      <c r="L951" s="11" t="s">
        <v>16403</v>
      </c>
      <c r="M951" s="11" t="s">
        <v>16403</v>
      </c>
      <c r="N951" s="11" t="s">
        <v>16403</v>
      </c>
      <c r="O951" s="11" t="s">
        <v>16403</v>
      </c>
      <c r="P951" s="11" t="s">
        <v>16403</v>
      </c>
      <c r="Q951" s="11" t="s">
        <v>16403</v>
      </c>
      <c r="R951" s="11" t="s">
        <v>16403</v>
      </c>
      <c r="S951" s="11" t="s">
        <v>16403</v>
      </c>
      <c r="T951" s="11" t="s">
        <v>16403</v>
      </c>
      <c r="U951" s="11" t="s">
        <v>16403</v>
      </c>
      <c r="V951" s="11" t="s">
        <v>16403</v>
      </c>
      <c r="W951" s="11" t="s">
        <v>16403</v>
      </c>
      <c r="X951" s="11" t="s">
        <v>16403</v>
      </c>
      <c r="Y951" s="11" t="s">
        <v>16403</v>
      </c>
      <c r="Z951" s="11" t="s">
        <v>16403</v>
      </c>
      <c r="AA951" s="11" t="s">
        <v>16403</v>
      </c>
      <c r="AB951" s="11" t="s">
        <v>16403</v>
      </c>
      <c r="AC951" s="11" t="s">
        <v>16403</v>
      </c>
      <c r="AD951" s="11" t="s">
        <v>16403</v>
      </c>
      <c r="AE951" s="11" t="s">
        <v>16403</v>
      </c>
      <c r="AF951" s="11" t="s">
        <v>16403</v>
      </c>
    </row>
    <row r="952" spans="1:32" s="11" customFormat="1" x14ac:dyDescent="0.2">
      <c r="A952" s="11">
        <v>1139</v>
      </c>
      <c r="F952" s="11" t="s">
        <v>16403</v>
      </c>
      <c r="G952" s="11" t="s">
        <v>16403</v>
      </c>
      <c r="H952" s="12">
        <v>66.3</v>
      </c>
      <c r="I952" s="11" t="s">
        <v>16404</v>
      </c>
      <c r="L952" s="11" t="s">
        <v>16403</v>
      </c>
      <c r="M952" s="11" t="s">
        <v>16403</v>
      </c>
      <c r="N952" s="11" t="s">
        <v>16403</v>
      </c>
      <c r="O952" s="11" t="s">
        <v>16403</v>
      </c>
      <c r="P952" s="11" t="s">
        <v>16403</v>
      </c>
      <c r="Q952" s="11" t="s">
        <v>16403</v>
      </c>
      <c r="R952" s="11" t="s">
        <v>16403</v>
      </c>
      <c r="S952" s="11" t="s">
        <v>16403</v>
      </c>
      <c r="T952" s="11" t="s">
        <v>16403</v>
      </c>
      <c r="U952" s="11" t="s">
        <v>16403</v>
      </c>
      <c r="V952" s="11" t="s">
        <v>16403</v>
      </c>
      <c r="W952" s="11" t="s">
        <v>16403</v>
      </c>
      <c r="X952" s="11" t="s">
        <v>16403</v>
      </c>
      <c r="Y952" s="11" t="s">
        <v>16403</v>
      </c>
      <c r="Z952" s="11" t="s">
        <v>16403</v>
      </c>
      <c r="AA952" s="11" t="s">
        <v>16403</v>
      </c>
      <c r="AB952" s="11" t="s">
        <v>16403</v>
      </c>
      <c r="AC952" s="11" t="s">
        <v>16403</v>
      </c>
      <c r="AD952" s="11" t="s">
        <v>16403</v>
      </c>
      <c r="AE952" s="11" t="s">
        <v>16403</v>
      </c>
      <c r="AF952" s="11" t="s">
        <v>16403</v>
      </c>
    </row>
    <row r="953" spans="1:32" s="11" customFormat="1" x14ac:dyDescent="0.2">
      <c r="A953" s="11">
        <v>1140</v>
      </c>
      <c r="F953" s="11" t="s">
        <v>16403</v>
      </c>
      <c r="G953" s="11" t="s">
        <v>16403</v>
      </c>
      <c r="H953" s="12">
        <v>63.3</v>
      </c>
      <c r="I953" s="11" t="s">
        <v>16407</v>
      </c>
      <c r="L953" s="11" t="s">
        <v>16403</v>
      </c>
      <c r="M953" s="11" t="s">
        <v>16403</v>
      </c>
      <c r="N953" s="11" t="s">
        <v>16403</v>
      </c>
      <c r="O953" s="11" t="s">
        <v>16403</v>
      </c>
      <c r="P953" s="11" t="s">
        <v>16403</v>
      </c>
      <c r="Q953" s="11" t="s">
        <v>16403</v>
      </c>
      <c r="R953" s="11" t="s">
        <v>16403</v>
      </c>
      <c r="S953" s="11" t="s">
        <v>16403</v>
      </c>
      <c r="T953" s="11" t="s">
        <v>16403</v>
      </c>
      <c r="U953" s="11" t="s">
        <v>16403</v>
      </c>
      <c r="V953" s="11" t="s">
        <v>16403</v>
      </c>
      <c r="W953" s="11" t="s">
        <v>16403</v>
      </c>
      <c r="X953" s="11" t="s">
        <v>16403</v>
      </c>
      <c r="Y953" s="11" t="s">
        <v>16403</v>
      </c>
      <c r="Z953" s="11" t="s">
        <v>16403</v>
      </c>
      <c r="AA953" s="11" t="s">
        <v>16403</v>
      </c>
      <c r="AB953" s="11" t="s">
        <v>16403</v>
      </c>
      <c r="AC953" s="11" t="s">
        <v>16403</v>
      </c>
      <c r="AD953" s="11" t="s">
        <v>16403</v>
      </c>
      <c r="AE953" s="11" t="s">
        <v>16403</v>
      </c>
      <c r="AF953" s="11" t="s">
        <v>16403</v>
      </c>
    </row>
    <row r="954" spans="1:32" s="11" customFormat="1" x14ac:dyDescent="0.2">
      <c r="A954" s="11">
        <v>1141</v>
      </c>
      <c r="F954" s="11" t="s">
        <v>16403</v>
      </c>
      <c r="G954" s="11" t="s">
        <v>16403</v>
      </c>
      <c r="H954" s="12">
        <v>75.099999999999994</v>
      </c>
      <c r="I954" s="11" t="s">
        <v>16404</v>
      </c>
      <c r="L954" s="11" t="s">
        <v>16403</v>
      </c>
      <c r="M954" s="11" t="s">
        <v>16403</v>
      </c>
      <c r="N954" s="11" t="s">
        <v>16403</v>
      </c>
      <c r="O954" s="11" t="s">
        <v>16403</v>
      </c>
      <c r="P954" s="11" t="s">
        <v>16403</v>
      </c>
      <c r="Q954" s="11" t="s">
        <v>16403</v>
      </c>
      <c r="R954" s="11" t="s">
        <v>16403</v>
      </c>
      <c r="S954" s="11" t="s">
        <v>16403</v>
      </c>
      <c r="T954" s="11" t="s">
        <v>16403</v>
      </c>
      <c r="U954" s="11" t="s">
        <v>16403</v>
      </c>
      <c r="V954" s="11" t="s">
        <v>16403</v>
      </c>
      <c r="W954" s="11" t="s">
        <v>16403</v>
      </c>
      <c r="X954" s="11" t="s">
        <v>16403</v>
      </c>
      <c r="Y954" s="11" t="s">
        <v>16403</v>
      </c>
      <c r="Z954" s="11" t="s">
        <v>16403</v>
      </c>
      <c r="AA954" s="11" t="s">
        <v>16403</v>
      </c>
      <c r="AB954" s="11" t="s">
        <v>16403</v>
      </c>
      <c r="AC954" s="11" t="s">
        <v>16403</v>
      </c>
      <c r="AD954" s="11" t="s">
        <v>16403</v>
      </c>
      <c r="AE954" s="11" t="s">
        <v>16403</v>
      </c>
      <c r="AF954" s="11" t="s">
        <v>16403</v>
      </c>
    </row>
  </sheetData>
  <phoneticPr fontId="5" type="noConversion"/>
  <pageMargins left="0.7" right="0.7" top="0.75" bottom="0.75" header="0.3" footer="0.3"/>
  <pageSetup orientation="portrait" horizontalDpi="200" verticalDpi="20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64C4F1-01A6-4909-A412-62FD6B7E7A6C}">
  <sheetPr codeName="Sheet5">
    <tabColor rgb="FFC00000"/>
  </sheetPr>
  <dimension ref="B2:M24"/>
  <sheetViews>
    <sheetView topLeftCell="B8" zoomScale="163" workbookViewId="0">
      <selection activeCell="G20" sqref="G20"/>
    </sheetView>
  </sheetViews>
  <sheetFormatPr baseColWidth="10" defaultColWidth="8.83203125" defaultRowHeight="15" x14ac:dyDescent="0.2"/>
  <cols>
    <col min="1" max="1" width="2.1640625" customWidth="1"/>
    <col min="2" max="2" width="13.5" customWidth="1"/>
    <col min="3" max="3" width="2.6640625" customWidth="1"/>
    <col min="4" max="4" width="8.6640625" bestFit="1" customWidth="1"/>
    <col min="5" max="5" width="10.5" customWidth="1"/>
    <col min="6" max="6" width="5.5" customWidth="1"/>
    <col min="7" max="7" width="26.83203125" bestFit="1" customWidth="1"/>
    <col min="8" max="8" width="22.33203125" bestFit="1" customWidth="1"/>
    <col min="9" max="9" width="3.5" customWidth="1"/>
    <col min="10" max="10" width="6.5" bestFit="1" customWidth="1"/>
    <col min="11" max="11" width="14" customWidth="1"/>
    <col min="12" max="12" width="3.1640625" customWidth="1"/>
    <col min="13" max="13" width="13.5" customWidth="1"/>
  </cols>
  <sheetData>
    <row r="2" spans="2:13" x14ac:dyDescent="0.2">
      <c r="E2" s="7" t="s">
        <v>7</v>
      </c>
    </row>
    <row r="3" spans="2:13" x14ac:dyDescent="0.2">
      <c r="B3" s="7" t="s">
        <v>4</v>
      </c>
      <c r="D3" s="4" t="s">
        <v>4</v>
      </c>
      <c r="E3" t="s">
        <v>5</v>
      </c>
      <c r="G3" s="5" t="s">
        <v>1</v>
      </c>
      <c r="H3" s="5" t="s">
        <v>2</v>
      </c>
      <c r="J3" s="4" t="s">
        <v>2</v>
      </c>
      <c r="K3" t="s">
        <v>36</v>
      </c>
      <c r="M3" s="7" t="s">
        <v>3</v>
      </c>
    </row>
    <row r="4" spans="2:13" x14ac:dyDescent="0.2">
      <c r="B4" t="s">
        <v>6</v>
      </c>
      <c r="G4" t="s">
        <v>8</v>
      </c>
      <c r="H4" t="s">
        <v>28</v>
      </c>
      <c r="M4" s="8" t="str" cm="1">
        <f t="array" ref="M4:M5">_xlfn._xlws.SORT(_xlfn._xlws.FILTER(tblFields[Field],tblFields[Group]=K3))</f>
        <v>Stride Length Average Left</v>
      </c>
    </row>
    <row r="5" spans="2:13" x14ac:dyDescent="0.2">
      <c r="B5" t="s">
        <v>5</v>
      </c>
      <c r="G5" t="s">
        <v>9</v>
      </c>
      <c r="H5" t="s">
        <v>28</v>
      </c>
      <c r="M5" t="str">
        <v>Stride Length Average Right</v>
      </c>
    </row>
    <row r="6" spans="2:13" x14ac:dyDescent="0.2">
      <c r="B6" t="s">
        <v>16476</v>
      </c>
      <c r="G6" t="s">
        <v>10</v>
      </c>
      <c r="H6" t="s">
        <v>29</v>
      </c>
    </row>
    <row r="7" spans="2:13" x14ac:dyDescent="0.2">
      <c r="G7" t="s">
        <v>11</v>
      </c>
      <c r="H7" t="s">
        <v>29</v>
      </c>
    </row>
    <row r="8" spans="2:13" x14ac:dyDescent="0.2">
      <c r="G8" t="s">
        <v>12</v>
      </c>
      <c r="H8" t="s">
        <v>30</v>
      </c>
    </row>
    <row r="9" spans="2:13" x14ac:dyDescent="0.2">
      <c r="G9" t="s">
        <v>13</v>
      </c>
      <c r="H9" t="s">
        <v>30</v>
      </c>
    </row>
    <row r="10" spans="2:13" x14ac:dyDescent="0.2">
      <c r="G10" t="s">
        <v>14</v>
      </c>
      <c r="H10" t="s">
        <v>31</v>
      </c>
    </row>
    <row r="11" spans="2:13" x14ac:dyDescent="0.2">
      <c r="G11" t="s">
        <v>15</v>
      </c>
      <c r="H11" t="s">
        <v>31</v>
      </c>
    </row>
    <row r="12" spans="2:13" x14ac:dyDescent="0.2">
      <c r="G12" t="s">
        <v>16</v>
      </c>
      <c r="H12" t="s">
        <v>32</v>
      </c>
    </row>
    <row r="13" spans="2:13" x14ac:dyDescent="0.2">
      <c r="G13" t="s">
        <v>17</v>
      </c>
      <c r="H13" t="s">
        <v>32</v>
      </c>
    </row>
    <row r="14" spans="2:13" x14ac:dyDescent="0.2">
      <c r="G14" t="s">
        <v>18</v>
      </c>
      <c r="H14" t="s">
        <v>33</v>
      </c>
    </row>
    <row r="15" spans="2:13" x14ac:dyDescent="0.2">
      <c r="G15" t="s">
        <v>19</v>
      </c>
      <c r="H15" t="s">
        <v>33</v>
      </c>
    </row>
    <row r="16" spans="2:13" x14ac:dyDescent="0.2">
      <c r="G16" t="s">
        <v>20</v>
      </c>
      <c r="H16" t="s">
        <v>34</v>
      </c>
    </row>
    <row r="17" spans="7:8" x14ac:dyDescent="0.2">
      <c r="G17" t="s">
        <v>16483</v>
      </c>
      <c r="H17" t="s">
        <v>34</v>
      </c>
    </row>
    <row r="18" spans="7:8" x14ac:dyDescent="0.2">
      <c r="G18" t="s">
        <v>21</v>
      </c>
      <c r="H18" t="s">
        <v>35</v>
      </c>
    </row>
    <row r="19" spans="7:8" x14ac:dyDescent="0.2">
      <c r="G19" t="s">
        <v>22</v>
      </c>
      <c r="H19" t="s">
        <v>36</v>
      </c>
    </row>
    <row r="20" spans="7:8" x14ac:dyDescent="0.2">
      <c r="G20" t="s">
        <v>23</v>
      </c>
      <c r="H20" t="s">
        <v>36</v>
      </c>
    </row>
    <row r="21" spans="7:8" x14ac:dyDescent="0.2">
      <c r="G21" t="s">
        <v>24</v>
      </c>
      <c r="H21" t="s">
        <v>37</v>
      </c>
    </row>
    <row r="22" spans="7:8" x14ac:dyDescent="0.2">
      <c r="G22" t="s">
        <v>25</v>
      </c>
      <c r="H22" t="s">
        <v>37</v>
      </c>
    </row>
    <row r="23" spans="7:8" x14ac:dyDescent="0.2">
      <c r="G23" t="s">
        <v>26</v>
      </c>
      <c r="H23" t="s">
        <v>38</v>
      </c>
    </row>
    <row r="24" spans="7:8" x14ac:dyDescent="0.2">
      <c r="G24" t="s">
        <v>27</v>
      </c>
      <c r="H24" t="s">
        <v>38</v>
      </c>
    </row>
  </sheetData>
  <pageMargins left="0.7" right="0.7" top="0.75" bottom="0.75" header="0.3" footer="0.3"/>
  <pageSetup orientation="portrait" r:id="rId3"/>
  <tableParts count="2">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75032-A4DC-154A-A184-1281CED1B4BD}">
  <dimension ref="A1:L2204"/>
  <sheetViews>
    <sheetView workbookViewId="0">
      <selection activeCell="I44" sqref="I44"/>
    </sheetView>
  </sheetViews>
  <sheetFormatPr baseColWidth="10" defaultRowHeight="16" x14ac:dyDescent="0.2"/>
  <cols>
    <col min="1" max="10" width="10.83203125" style="23"/>
    <col min="11" max="11" width="79.33203125" style="23" customWidth="1"/>
    <col min="12" max="16384" width="10.83203125" style="23"/>
  </cols>
  <sheetData>
    <row r="1" spans="1:12" x14ac:dyDescent="0.2">
      <c r="A1" s="23" t="s">
        <v>44</v>
      </c>
      <c r="B1" s="23" t="s">
        <v>45</v>
      </c>
    </row>
    <row r="2" spans="1:12" x14ac:dyDescent="0.2">
      <c r="I2" s="23" t="s">
        <v>44</v>
      </c>
      <c r="J2" s="23" t="s">
        <v>16485</v>
      </c>
      <c r="K2" s="23" t="s">
        <v>16486</v>
      </c>
      <c r="L2" s="23" t="s">
        <v>16502</v>
      </c>
    </row>
    <row r="3" spans="1:12" x14ac:dyDescent="0.2">
      <c r="I3" s="23" t="s">
        <v>16414</v>
      </c>
      <c r="J3" s="23">
        <f>COUNTIF($A:$A,I3)</f>
        <v>255</v>
      </c>
      <c r="K3" s="23" t="str">
        <f>VLOOKUP(I3,$A:$B,2,0)</f>
        <v>Parkinson's disease</v>
      </c>
    </row>
    <row r="4" spans="1:12" x14ac:dyDescent="0.2">
      <c r="I4" s="23" t="s">
        <v>16420</v>
      </c>
      <c r="J4" s="23">
        <f>COUNTIF($A:$A,I4)</f>
        <v>105</v>
      </c>
      <c r="K4" s="23" t="str">
        <f>VLOOKUP(I4,$A:$B,2,0)</f>
        <v>Essential tremor</v>
      </c>
    </row>
    <row r="5" spans="1:12" x14ac:dyDescent="0.2">
      <c r="I5" s="23" t="s">
        <v>16424</v>
      </c>
      <c r="J5" s="23">
        <f>COUNTIF($A:$A,I5)</f>
        <v>74</v>
      </c>
      <c r="K5" s="23" t="str">
        <f>VLOOKUP(I5,$A:$B,2,0)</f>
        <v>Tremor, unspecified</v>
      </c>
    </row>
    <row r="6" spans="1:12" x14ac:dyDescent="0.2">
      <c r="I6" s="23">
        <v>332</v>
      </c>
      <c r="J6" s="23">
        <f>COUNTIF($A:$A,I6)</f>
        <v>36</v>
      </c>
      <c r="K6" s="23" t="str">
        <f>VLOOKUP(I6,$A:$B,2,0)</f>
        <v>Paralysis agitans</v>
      </c>
    </row>
    <row r="7" spans="1:12" x14ac:dyDescent="0.2">
      <c r="I7" s="23">
        <v>333.1</v>
      </c>
      <c r="J7" s="23">
        <f>COUNTIF($A:$A,I7)</f>
        <v>30</v>
      </c>
      <c r="K7" s="23" t="str">
        <f>VLOOKUP(I7,$A:$B,2,0)</f>
        <v>Essential and other specified forms of tremor</v>
      </c>
    </row>
    <row r="8" spans="1:12" x14ac:dyDescent="0.2">
      <c r="A8" s="23">
        <v>332</v>
      </c>
      <c r="B8" s="23" t="s">
        <v>16405</v>
      </c>
      <c r="I8" s="23" t="s">
        <v>16432</v>
      </c>
      <c r="J8" s="23">
        <f>COUNTIF($A:$A,I8)</f>
        <v>15</v>
      </c>
      <c r="K8" s="23" t="str">
        <f>VLOOKUP(I8,$A:$B,2,0)</f>
        <v>Spasmodic torticollis</v>
      </c>
    </row>
    <row r="9" spans="1:12" x14ac:dyDescent="0.2">
      <c r="I9" s="23" t="s">
        <v>16428</v>
      </c>
      <c r="J9" s="23">
        <f>COUNTIF($A:$A,I9)</f>
        <v>11</v>
      </c>
      <c r="K9" s="23" t="str">
        <f>VLOOKUP(I9,$A:$B,2,0)</f>
        <v>Genetic torsion dystonia</v>
      </c>
    </row>
    <row r="10" spans="1:12" x14ac:dyDescent="0.2">
      <c r="I10" s="23" t="s">
        <v>16454</v>
      </c>
      <c r="J10" s="23">
        <f>COUNTIF($A:$A,I10)</f>
        <v>10</v>
      </c>
      <c r="K10" s="23" t="str">
        <f>VLOOKUP(I10,$A:$B,2,0)</f>
        <v>Unspecified abnormalities of gait and mobility</v>
      </c>
    </row>
    <row r="11" spans="1:12" x14ac:dyDescent="0.2">
      <c r="A11" s="23">
        <v>333.1</v>
      </c>
      <c r="B11" s="23" t="s">
        <v>16406</v>
      </c>
      <c r="I11" s="23" t="s">
        <v>16426</v>
      </c>
      <c r="J11" s="23">
        <f>COUNTIF($A:$A,I11)</f>
        <v>9</v>
      </c>
      <c r="K11" s="23" t="str">
        <f>VLOOKUP(I11,$A:$B,2,0)</f>
        <v>Other specified forms of tremor</v>
      </c>
    </row>
    <row r="12" spans="1:12" x14ac:dyDescent="0.2">
      <c r="I12" s="23" t="s">
        <v>16416</v>
      </c>
      <c r="J12" s="23">
        <f>COUNTIF($A:$A,I12)</f>
        <v>6</v>
      </c>
      <c r="K12" s="23" t="str">
        <f>VLOOKUP(I12,$A:$B,2,0)</f>
        <v>Other abnormalities of gait and mobility</v>
      </c>
    </row>
    <row r="13" spans="1:12" x14ac:dyDescent="0.2">
      <c r="I13" s="23" t="s">
        <v>16444</v>
      </c>
      <c r="J13" s="23">
        <f>COUNTIF($A:$A,I13)</f>
        <v>6</v>
      </c>
      <c r="K13" s="23" t="str">
        <f>VLOOKUP(I13,$A:$B,2,0)</f>
        <v>Myoclonus</v>
      </c>
    </row>
    <row r="14" spans="1:12" x14ac:dyDescent="0.2">
      <c r="A14" s="23">
        <v>333.1</v>
      </c>
      <c r="B14" s="23" t="s">
        <v>16406</v>
      </c>
      <c r="I14" s="23">
        <v>333.89</v>
      </c>
      <c r="J14" s="23">
        <f>COUNTIF($A:$A,I14)</f>
        <v>5</v>
      </c>
      <c r="K14" s="23" t="str">
        <f>VLOOKUP(I14,$A:$B,2,0)</f>
        <v>Other fragments of torsion dystonia</v>
      </c>
    </row>
    <row r="15" spans="1:12" x14ac:dyDescent="0.2">
      <c r="I15" s="23" t="s">
        <v>16418</v>
      </c>
      <c r="J15" s="23">
        <f>COUNTIF($A:$A,I15)</f>
        <v>5</v>
      </c>
      <c r="K15" s="23" t="str">
        <f>VLOOKUP(I15,$A:$B,2,0)</f>
        <v>Dystonia, unspecified</v>
      </c>
    </row>
    <row r="16" spans="1:12" x14ac:dyDescent="0.2">
      <c r="I16" s="23">
        <v>333</v>
      </c>
      <c r="J16" s="23">
        <f>COUNTIF($A:$A,I16)</f>
        <v>4</v>
      </c>
      <c r="K16" s="23" t="str">
        <f>VLOOKUP(I16,$A:$B,2,0)</f>
        <v>Other degenerative diseases of the basal ganglia</v>
      </c>
    </row>
    <row r="17" spans="1:11" x14ac:dyDescent="0.2">
      <c r="A17" s="23">
        <v>332</v>
      </c>
      <c r="B17" s="23" t="s">
        <v>16405</v>
      </c>
      <c r="I17" s="23">
        <v>781.2</v>
      </c>
      <c r="J17" s="23">
        <f>COUNTIF($A:$A,I17)</f>
        <v>4</v>
      </c>
      <c r="K17" s="23" t="str">
        <f>VLOOKUP(I17,$A:$B,2,0)</f>
        <v>Abnormality of gait</v>
      </c>
    </row>
    <row r="18" spans="1:11" x14ac:dyDescent="0.2">
      <c r="I18" s="23">
        <v>781</v>
      </c>
      <c r="J18" s="23">
        <f>COUNTIF($A:$A,I18)</f>
        <v>2</v>
      </c>
      <c r="K18" s="23" t="str">
        <f>VLOOKUP(I18,$A:$B,2,0)</f>
        <v>Abnormal involuntary movements</v>
      </c>
    </row>
    <row r="19" spans="1:11" x14ac:dyDescent="0.2">
      <c r="I19" s="23" t="s">
        <v>16438</v>
      </c>
      <c r="J19" s="23">
        <f>COUNTIF($A:$A,I19)</f>
        <v>2</v>
      </c>
      <c r="K19" s="23" t="str">
        <f>VLOOKUP(I19,$A:$B,2,0)</f>
        <v>Unspecified abnormal involuntary movements</v>
      </c>
    </row>
    <row r="20" spans="1:11" x14ac:dyDescent="0.2">
      <c r="A20" s="23">
        <v>333.89</v>
      </c>
      <c r="B20" s="23" t="s">
        <v>16408</v>
      </c>
      <c r="I20" s="23" t="s">
        <v>16446</v>
      </c>
      <c r="J20" s="23">
        <f>COUNTIF($A:$A,I20)</f>
        <v>2</v>
      </c>
      <c r="K20" s="23" t="str">
        <f>VLOOKUP(I20,$A:$B,2,0)</f>
        <v>Unsteadiness on feet</v>
      </c>
    </row>
    <row r="21" spans="1:11" x14ac:dyDescent="0.2">
      <c r="I21" s="23" t="s">
        <v>16458</v>
      </c>
      <c r="J21" s="23">
        <f>COUNTIF($A:$A,I21)</f>
        <v>2</v>
      </c>
      <c r="K21" s="23" t="str">
        <f>VLOOKUP(I21,$A:$B,2,0)</f>
        <v>Ataxia, unspecified</v>
      </c>
    </row>
    <row r="22" spans="1:11" x14ac:dyDescent="0.2">
      <c r="I22" s="23">
        <v>333.79</v>
      </c>
      <c r="J22" s="23">
        <f>COUNTIF($A:$A,I22)</f>
        <v>1</v>
      </c>
      <c r="K22" s="23" t="str">
        <f>VLOOKUP(I22,$A:$B,2,0)</f>
        <v>Other acquired torsion dystonia</v>
      </c>
    </row>
    <row r="23" spans="1:11" x14ac:dyDescent="0.2">
      <c r="A23" s="23">
        <v>332</v>
      </c>
      <c r="B23" s="23" t="s">
        <v>16405</v>
      </c>
      <c r="I23" s="23">
        <v>333.71</v>
      </c>
      <c r="J23" s="23">
        <f>COUNTIF($A:$A,I23)</f>
        <v>1</v>
      </c>
      <c r="K23" s="23" t="str">
        <f>VLOOKUP(I23,$A:$B,2,0)</f>
        <v>Athetoid cerebral palsy</v>
      </c>
    </row>
    <row r="24" spans="1:11" x14ac:dyDescent="0.2">
      <c r="I24" s="23" t="s">
        <v>16422</v>
      </c>
      <c r="J24" s="23">
        <f>COUNTIF($A:$A,I24)</f>
        <v>1</v>
      </c>
      <c r="K24" s="23" t="str">
        <f>VLOOKUP(I24,$A:$B,2,0)</f>
        <v>Other specified degenerative diseases of basal ganglia</v>
      </c>
    </row>
    <row r="25" spans="1:11" x14ac:dyDescent="0.2">
      <c r="I25" s="23">
        <v>781.3</v>
      </c>
      <c r="J25" s="23">
        <f>COUNTIF($A:$A,I25)</f>
        <v>1</v>
      </c>
      <c r="K25" s="23" t="str">
        <f>VLOOKUP(I25,$A:$B,2,0)</f>
        <v>Lack of coordination</v>
      </c>
    </row>
    <row r="26" spans="1:11" x14ac:dyDescent="0.2">
      <c r="I26" s="23">
        <v>334.3</v>
      </c>
      <c r="J26" s="23">
        <f>COUNTIF($A:$A,I26)</f>
        <v>1</v>
      </c>
      <c r="K26" s="23" t="str">
        <f>VLOOKUP(I26,$A:$B,2,0)</f>
        <v>Other cerebellar ataxia</v>
      </c>
    </row>
    <row r="27" spans="1:11" x14ac:dyDescent="0.2">
      <c r="I27" s="23" t="s">
        <v>16434</v>
      </c>
      <c r="J27" s="23">
        <f>COUNTIF($A:$A,I27)</f>
        <v>1</v>
      </c>
      <c r="K27" s="23" t="str">
        <f>VLOOKUP(I27,$A:$B,2,0)</f>
        <v>Polyneuropathy, unspecified</v>
      </c>
    </row>
    <row r="28" spans="1:11" x14ac:dyDescent="0.2">
      <c r="A28" s="23">
        <v>333.89</v>
      </c>
      <c r="B28" s="23" t="s">
        <v>16408</v>
      </c>
      <c r="I28" s="23" t="s">
        <v>16436</v>
      </c>
      <c r="J28" s="23">
        <f>COUNTIF($A:$A,I28)</f>
        <v>1</v>
      </c>
      <c r="K28" s="23" t="str">
        <f>VLOOKUP(I28,$A:$B,2,0)</f>
        <v>Drug induced subacute dyskinesia</v>
      </c>
    </row>
    <row r="29" spans="1:11" x14ac:dyDescent="0.2">
      <c r="I29" s="23" t="s">
        <v>16440</v>
      </c>
      <c r="J29" s="23">
        <f>COUNTIF($A:$A,I29)</f>
        <v>1</v>
      </c>
      <c r="K29" s="23" t="str">
        <f>VLOOKUP(I29,$A:$B,2,0)</f>
        <v>Blepharospasm</v>
      </c>
    </row>
    <row r="30" spans="1:11" x14ac:dyDescent="0.2">
      <c r="I30" s="23" t="s">
        <v>16442</v>
      </c>
      <c r="J30" s="23">
        <f>COUNTIF($A:$A,I30)</f>
        <v>1</v>
      </c>
      <c r="K30" s="23" t="str">
        <f>VLOOKUP(I30,$A:$B,2,0)</f>
        <v>Drug induced acute dystonia</v>
      </c>
    </row>
    <row r="31" spans="1:11" x14ac:dyDescent="0.2">
      <c r="A31" s="23">
        <v>333.1</v>
      </c>
      <c r="B31" s="23" t="s">
        <v>16406</v>
      </c>
      <c r="I31" s="23" t="s">
        <v>16448</v>
      </c>
      <c r="J31" s="23">
        <f>COUNTIF($A:$A,I31)</f>
        <v>1</v>
      </c>
      <c r="K31" s="23" t="str">
        <f>VLOOKUP(I31,$A:$B,2,0)</f>
        <v>Ataxic gait</v>
      </c>
    </row>
    <row r="32" spans="1:11" x14ac:dyDescent="0.2">
      <c r="I32" s="23" t="s">
        <v>16450</v>
      </c>
      <c r="J32" s="23">
        <f>COUNTIF($A:$A,I32)</f>
        <v>1</v>
      </c>
      <c r="K32" s="23" t="str">
        <f>VLOOKUP(I32,$A:$B,2,0)</f>
        <v>Other generalized epilepsy and epileptic syndromes, not intractable, without status epilepticus</v>
      </c>
    </row>
    <row r="33" spans="1:11" x14ac:dyDescent="0.2">
      <c r="I33" s="23" t="s">
        <v>16452</v>
      </c>
      <c r="J33" s="23">
        <f>COUNTIF($A:$A,I33)</f>
        <v>1</v>
      </c>
      <c r="K33" s="23" t="str">
        <f>VLOOKUP(I33,$A:$B,2,0)</f>
        <v>Other abnormal involuntary movements</v>
      </c>
    </row>
    <row r="34" spans="1:11" x14ac:dyDescent="0.2">
      <c r="A34" s="23">
        <v>332</v>
      </c>
      <c r="B34" s="23" t="s">
        <v>16405</v>
      </c>
      <c r="I34" s="23" t="s">
        <v>16456</v>
      </c>
      <c r="J34" s="23">
        <f>COUNTIF($A:$A,I34)</f>
        <v>1</v>
      </c>
      <c r="K34" s="23" t="str">
        <f>VLOOKUP(I34,$A:$B,2,0)</f>
        <v>Other dystonia</v>
      </c>
    </row>
    <row r="35" spans="1:11" x14ac:dyDescent="0.2">
      <c r="I35" s="23" t="s">
        <v>16460</v>
      </c>
      <c r="J35" s="23">
        <f>COUNTIF($A:$A,I35)</f>
        <v>1</v>
      </c>
      <c r="K35" s="23" t="str">
        <f>VLOOKUP(I35,$A:$B,2,0)</f>
        <v>Idiopathic progressive neuropathy</v>
      </c>
    </row>
    <row r="36" spans="1:11" x14ac:dyDescent="0.2">
      <c r="I36" s="23" t="s">
        <v>16462</v>
      </c>
      <c r="J36" s="23">
        <f>COUNTIF($A:$A,I36)</f>
        <v>1</v>
      </c>
      <c r="K36" s="23" t="str">
        <f>VLOOKUP(I36,$A:$B,2,0)</f>
        <v>Apraxia</v>
      </c>
    </row>
    <row r="37" spans="1:11" x14ac:dyDescent="0.2">
      <c r="A37" s="23">
        <v>332</v>
      </c>
      <c r="B37" s="23" t="s">
        <v>16405</v>
      </c>
      <c r="I37" s="23" t="s">
        <v>16464</v>
      </c>
      <c r="J37" s="23">
        <f>COUNTIF($A:$A,I37)</f>
        <v>1</v>
      </c>
      <c r="K37" s="23" t="str">
        <f>VLOOKUP(I37,$A:$B,2,0)</f>
        <v>Other hereditary ataxias</v>
      </c>
    </row>
    <row r="40" spans="1:11" x14ac:dyDescent="0.2">
      <c r="A40" s="23">
        <v>333</v>
      </c>
      <c r="B40" s="23" t="s">
        <v>16409</v>
      </c>
    </row>
    <row r="43" spans="1:11" x14ac:dyDescent="0.2">
      <c r="A43" s="23">
        <v>333.1</v>
      </c>
      <c r="B43" s="23" t="s">
        <v>16406</v>
      </c>
    </row>
    <row r="46" spans="1:11" x14ac:dyDescent="0.2">
      <c r="A46" s="23">
        <v>781.2</v>
      </c>
      <c r="B46" s="23" t="s">
        <v>16410</v>
      </c>
    </row>
    <row r="49" spans="1:2" x14ac:dyDescent="0.2">
      <c r="A49" s="23">
        <v>781</v>
      </c>
      <c r="B49" s="23" t="s">
        <v>16411</v>
      </c>
    </row>
    <row r="52" spans="1:2" x14ac:dyDescent="0.2">
      <c r="A52" s="23">
        <v>332</v>
      </c>
      <c r="B52" s="23" t="s">
        <v>16405</v>
      </c>
    </row>
    <row r="55" spans="1:2" x14ac:dyDescent="0.2">
      <c r="A55" s="23">
        <v>333.1</v>
      </c>
      <c r="B55" s="23" t="s">
        <v>16406</v>
      </c>
    </row>
    <row r="58" spans="1:2" x14ac:dyDescent="0.2">
      <c r="A58" s="23">
        <v>332</v>
      </c>
      <c r="B58" s="23" t="s">
        <v>16405</v>
      </c>
    </row>
    <row r="60" spans="1:2" x14ac:dyDescent="0.2">
      <c r="A60" s="23">
        <v>333.1</v>
      </c>
      <c r="B60" s="23" t="s">
        <v>16406</v>
      </c>
    </row>
    <row r="63" spans="1:2" x14ac:dyDescent="0.2">
      <c r="A63" s="23">
        <v>332</v>
      </c>
      <c r="B63" s="23" t="s">
        <v>16405</v>
      </c>
    </row>
    <row r="66" spans="1:2" x14ac:dyDescent="0.2">
      <c r="A66" s="23">
        <v>333.79</v>
      </c>
      <c r="B66" s="23" t="s">
        <v>16412</v>
      </c>
    </row>
    <row r="69" spans="1:2" x14ac:dyDescent="0.2">
      <c r="A69" s="23">
        <v>333.1</v>
      </c>
      <c r="B69" s="23" t="s">
        <v>16406</v>
      </c>
    </row>
    <row r="72" spans="1:2" x14ac:dyDescent="0.2">
      <c r="A72" s="23">
        <v>333.1</v>
      </c>
      <c r="B72" s="23" t="s">
        <v>16406</v>
      </c>
    </row>
    <row r="75" spans="1:2" x14ac:dyDescent="0.2">
      <c r="A75" s="23">
        <v>333.89</v>
      </c>
      <c r="B75" s="23" t="s">
        <v>16408</v>
      </c>
    </row>
    <row r="78" spans="1:2" x14ac:dyDescent="0.2">
      <c r="A78" s="23">
        <v>332</v>
      </c>
      <c r="B78" s="23" t="s">
        <v>16405</v>
      </c>
    </row>
    <row r="81" spans="1:2" x14ac:dyDescent="0.2">
      <c r="A81" s="23">
        <v>332</v>
      </c>
      <c r="B81" s="23" t="s">
        <v>16405</v>
      </c>
    </row>
    <row r="84" spans="1:2" x14ac:dyDescent="0.2">
      <c r="A84" s="23">
        <v>332</v>
      </c>
      <c r="B84" s="23" t="s">
        <v>16405</v>
      </c>
    </row>
    <row r="87" spans="1:2" x14ac:dyDescent="0.2">
      <c r="A87" s="23">
        <v>332</v>
      </c>
      <c r="B87" s="23" t="s">
        <v>16405</v>
      </c>
    </row>
    <row r="90" spans="1:2" x14ac:dyDescent="0.2">
      <c r="A90" s="23">
        <v>332</v>
      </c>
      <c r="B90" s="23" t="s">
        <v>16405</v>
      </c>
    </row>
    <row r="93" spans="1:2" x14ac:dyDescent="0.2">
      <c r="A93" s="23">
        <v>332</v>
      </c>
      <c r="B93" s="23" t="s">
        <v>16405</v>
      </c>
    </row>
    <row r="95" spans="1:2" x14ac:dyDescent="0.2">
      <c r="A95" s="23">
        <v>332</v>
      </c>
      <c r="B95" s="23" t="s">
        <v>16405</v>
      </c>
    </row>
    <row r="98" spans="1:2" x14ac:dyDescent="0.2">
      <c r="A98" s="23">
        <v>333.89</v>
      </c>
      <c r="B98" s="23" t="s">
        <v>16408</v>
      </c>
    </row>
    <row r="101" spans="1:2" x14ac:dyDescent="0.2">
      <c r="A101" s="23">
        <v>333.71</v>
      </c>
      <c r="B101" s="23" t="s">
        <v>16413</v>
      </c>
    </row>
    <row r="104" spans="1:2" x14ac:dyDescent="0.2">
      <c r="A104" s="23" t="s">
        <v>16414</v>
      </c>
      <c r="B104" s="23" t="s">
        <v>16415</v>
      </c>
    </row>
    <row r="107" spans="1:2" x14ac:dyDescent="0.2">
      <c r="A107" s="23" t="s">
        <v>16416</v>
      </c>
      <c r="B107" s="23" t="s">
        <v>16417</v>
      </c>
    </row>
    <row r="112" spans="1:2" x14ac:dyDescent="0.2">
      <c r="A112" s="23" t="s">
        <v>16418</v>
      </c>
      <c r="B112" s="23" t="s">
        <v>16419</v>
      </c>
    </row>
    <row r="115" spans="1:2" x14ac:dyDescent="0.2">
      <c r="A115" s="23" t="s">
        <v>16414</v>
      </c>
      <c r="B115" s="23" t="s">
        <v>16415</v>
      </c>
    </row>
    <row r="118" spans="1:2" x14ac:dyDescent="0.2">
      <c r="A118" s="23" t="s">
        <v>16420</v>
      </c>
      <c r="B118" s="23" t="s">
        <v>16421</v>
      </c>
    </row>
    <row r="121" spans="1:2" x14ac:dyDescent="0.2">
      <c r="A121" s="23" t="s">
        <v>16420</v>
      </c>
      <c r="B121" s="23" t="s">
        <v>16421</v>
      </c>
    </row>
    <row r="124" spans="1:2" x14ac:dyDescent="0.2">
      <c r="A124" s="23" t="s">
        <v>16414</v>
      </c>
      <c r="B124" s="23" t="s">
        <v>16415</v>
      </c>
    </row>
    <row r="127" spans="1:2" x14ac:dyDescent="0.2">
      <c r="A127" s="23" t="s">
        <v>16420</v>
      </c>
      <c r="B127" s="23" t="s">
        <v>16421</v>
      </c>
    </row>
    <row r="130" spans="1:2" x14ac:dyDescent="0.2">
      <c r="A130" s="23" t="s">
        <v>16422</v>
      </c>
      <c r="B130" s="23" t="s">
        <v>16423</v>
      </c>
    </row>
    <row r="133" spans="1:2" x14ac:dyDescent="0.2">
      <c r="A133" s="23" t="s">
        <v>16414</v>
      </c>
      <c r="B133" s="23" t="s">
        <v>16415</v>
      </c>
    </row>
    <row r="136" spans="1:2" x14ac:dyDescent="0.2">
      <c r="A136" s="23" t="s">
        <v>16414</v>
      </c>
      <c r="B136" s="23" t="s">
        <v>16415</v>
      </c>
    </row>
    <row r="139" spans="1:2" x14ac:dyDescent="0.2">
      <c r="A139" s="23" t="s">
        <v>16414</v>
      </c>
      <c r="B139" s="23" t="s">
        <v>16415</v>
      </c>
    </row>
    <row r="142" spans="1:2" x14ac:dyDescent="0.2">
      <c r="A142" s="23" t="s">
        <v>16414</v>
      </c>
      <c r="B142" s="23" t="s">
        <v>16415</v>
      </c>
    </row>
    <row r="145" spans="1:2" x14ac:dyDescent="0.2">
      <c r="A145" s="23" t="s">
        <v>16414</v>
      </c>
      <c r="B145" s="23" t="s">
        <v>16415</v>
      </c>
    </row>
    <row r="148" spans="1:2" x14ac:dyDescent="0.2">
      <c r="A148" s="23" t="s">
        <v>16414</v>
      </c>
      <c r="B148" s="23" t="s">
        <v>16415</v>
      </c>
    </row>
    <row r="151" spans="1:2" x14ac:dyDescent="0.2">
      <c r="A151" s="23" t="s">
        <v>16424</v>
      </c>
      <c r="B151" s="23" t="s">
        <v>16425</v>
      </c>
    </row>
    <row r="154" spans="1:2" x14ac:dyDescent="0.2">
      <c r="A154" s="23" t="s">
        <v>16414</v>
      </c>
      <c r="B154" s="23" t="s">
        <v>16415</v>
      </c>
    </row>
    <row r="157" spans="1:2" x14ac:dyDescent="0.2">
      <c r="A157" s="23" t="s">
        <v>16420</v>
      </c>
      <c r="B157" s="23" t="s">
        <v>16421</v>
      </c>
    </row>
    <row r="160" spans="1:2" x14ac:dyDescent="0.2">
      <c r="A160" s="23" t="s">
        <v>16424</v>
      </c>
      <c r="B160" s="23" t="s">
        <v>16425</v>
      </c>
    </row>
    <row r="165" spans="1:2" x14ac:dyDescent="0.2">
      <c r="A165" s="23" t="s">
        <v>16414</v>
      </c>
      <c r="B165" s="23" t="s">
        <v>16415</v>
      </c>
    </row>
    <row r="168" spans="1:2" x14ac:dyDescent="0.2">
      <c r="A168" s="23" t="s">
        <v>16424</v>
      </c>
      <c r="B168" s="23" t="s">
        <v>16425</v>
      </c>
    </row>
    <row r="171" spans="1:2" x14ac:dyDescent="0.2">
      <c r="A171" s="23" t="s">
        <v>16426</v>
      </c>
      <c r="B171" s="23" t="s">
        <v>16427</v>
      </c>
    </row>
    <row r="174" spans="1:2" x14ac:dyDescent="0.2">
      <c r="A174" s="23" t="s">
        <v>16414</v>
      </c>
      <c r="B174" s="23" t="s">
        <v>16415</v>
      </c>
    </row>
    <row r="177" spans="1:2" x14ac:dyDescent="0.2">
      <c r="A177" s="23" t="s">
        <v>16424</v>
      </c>
      <c r="B177" s="23" t="s">
        <v>16425</v>
      </c>
    </row>
    <row r="180" spans="1:2" x14ac:dyDescent="0.2">
      <c r="A180" s="23" t="s">
        <v>16428</v>
      </c>
      <c r="B180" s="23" t="s">
        <v>16429</v>
      </c>
    </row>
    <row r="183" spans="1:2" x14ac:dyDescent="0.2">
      <c r="A183" s="23">
        <v>332</v>
      </c>
      <c r="B183" s="23" t="s">
        <v>16405</v>
      </c>
    </row>
    <row r="186" spans="1:2" x14ac:dyDescent="0.2">
      <c r="A186" s="23">
        <v>333.1</v>
      </c>
      <c r="B186" s="23" t="s">
        <v>16406</v>
      </c>
    </row>
    <row r="189" spans="1:2" x14ac:dyDescent="0.2">
      <c r="A189" s="23">
        <v>332</v>
      </c>
      <c r="B189" s="23" t="s">
        <v>16405</v>
      </c>
    </row>
    <row r="192" spans="1:2" x14ac:dyDescent="0.2">
      <c r="A192" s="23">
        <v>332</v>
      </c>
      <c r="B192" s="23" t="s">
        <v>16405</v>
      </c>
    </row>
    <row r="195" spans="1:2" x14ac:dyDescent="0.2">
      <c r="A195" s="23">
        <v>332</v>
      </c>
      <c r="B195" s="23" t="s">
        <v>16405</v>
      </c>
    </row>
    <row r="198" spans="1:2" x14ac:dyDescent="0.2">
      <c r="A198" s="23">
        <v>332</v>
      </c>
      <c r="B198" s="23" t="s">
        <v>16405</v>
      </c>
    </row>
    <row r="201" spans="1:2" x14ac:dyDescent="0.2">
      <c r="A201" s="23">
        <v>332</v>
      </c>
      <c r="B201" s="23" t="s">
        <v>16405</v>
      </c>
    </row>
    <row r="207" spans="1:2" x14ac:dyDescent="0.2">
      <c r="A207" s="23">
        <v>332</v>
      </c>
      <c r="B207" s="23" t="s">
        <v>16405</v>
      </c>
    </row>
    <row r="210" spans="1:2" x14ac:dyDescent="0.2">
      <c r="A210" s="23">
        <v>781</v>
      </c>
      <c r="B210" s="23" t="s">
        <v>16411</v>
      </c>
    </row>
    <row r="213" spans="1:2" x14ac:dyDescent="0.2">
      <c r="A213" s="23">
        <v>333.1</v>
      </c>
      <c r="B213" s="23" t="s">
        <v>16406</v>
      </c>
    </row>
    <row r="218" spans="1:2" x14ac:dyDescent="0.2">
      <c r="A218" s="23">
        <v>333.1</v>
      </c>
      <c r="B218" s="23" t="s">
        <v>16406</v>
      </c>
    </row>
    <row r="221" spans="1:2" x14ac:dyDescent="0.2">
      <c r="A221" s="23">
        <v>333.1</v>
      </c>
      <c r="B221" s="23" t="s">
        <v>16406</v>
      </c>
    </row>
    <row r="224" spans="1:2" x14ac:dyDescent="0.2">
      <c r="A224" s="23">
        <v>333</v>
      </c>
      <c r="B224" s="23" t="s">
        <v>16409</v>
      </c>
    </row>
    <row r="227" spans="1:2" x14ac:dyDescent="0.2">
      <c r="A227" s="23">
        <v>333.1</v>
      </c>
      <c r="B227" s="23" t="s">
        <v>16406</v>
      </c>
    </row>
    <row r="230" spans="1:2" x14ac:dyDescent="0.2">
      <c r="A230" s="23">
        <v>332</v>
      </c>
      <c r="B230" s="23" t="s">
        <v>16405</v>
      </c>
    </row>
    <row r="233" spans="1:2" x14ac:dyDescent="0.2">
      <c r="A233" s="23">
        <v>332</v>
      </c>
      <c r="B233" s="23" t="s">
        <v>16405</v>
      </c>
    </row>
    <row r="240" spans="1:2" x14ac:dyDescent="0.2">
      <c r="A240" s="23">
        <v>333.1</v>
      </c>
      <c r="B240" s="23" t="s">
        <v>16406</v>
      </c>
    </row>
    <row r="243" spans="1:2" x14ac:dyDescent="0.2">
      <c r="A243" s="23">
        <v>333.1</v>
      </c>
      <c r="B243" s="23" t="s">
        <v>16406</v>
      </c>
    </row>
    <row r="246" spans="1:2" x14ac:dyDescent="0.2">
      <c r="A246" s="23">
        <v>333.1</v>
      </c>
      <c r="B246" s="23" t="s">
        <v>16406</v>
      </c>
    </row>
    <row r="248" spans="1:2" x14ac:dyDescent="0.2">
      <c r="A248" s="23">
        <v>332</v>
      </c>
      <c r="B248" s="23" t="s">
        <v>16405</v>
      </c>
    </row>
    <row r="250" spans="1:2" x14ac:dyDescent="0.2">
      <c r="A250" s="23">
        <v>332</v>
      </c>
      <c r="B250" s="23" t="s">
        <v>16405</v>
      </c>
    </row>
    <row r="254" spans="1:2" x14ac:dyDescent="0.2">
      <c r="A254" s="23">
        <v>332</v>
      </c>
      <c r="B254" s="23" t="s">
        <v>16405</v>
      </c>
    </row>
    <row r="257" spans="1:2" x14ac:dyDescent="0.2">
      <c r="A257" s="23">
        <v>332</v>
      </c>
      <c r="B257" s="23" t="s">
        <v>16405</v>
      </c>
    </row>
    <row r="259" spans="1:2" x14ac:dyDescent="0.2">
      <c r="A259" s="23">
        <v>333</v>
      </c>
      <c r="B259" s="23" t="s">
        <v>16409</v>
      </c>
    </row>
    <row r="261" spans="1:2" x14ac:dyDescent="0.2">
      <c r="A261" s="23">
        <v>332</v>
      </c>
      <c r="B261" s="23" t="s">
        <v>16405</v>
      </c>
    </row>
    <row r="263" spans="1:2" x14ac:dyDescent="0.2">
      <c r="A263" s="23">
        <v>333.1</v>
      </c>
      <c r="B263" s="23" t="s">
        <v>16406</v>
      </c>
    </row>
    <row r="265" spans="1:2" x14ac:dyDescent="0.2">
      <c r="A265" s="23">
        <v>332</v>
      </c>
      <c r="B265" s="23" t="s">
        <v>16405</v>
      </c>
    </row>
    <row r="267" spans="1:2" x14ac:dyDescent="0.2">
      <c r="A267" s="23">
        <v>332</v>
      </c>
      <c r="B267" s="23" t="s">
        <v>16405</v>
      </c>
    </row>
    <row r="271" spans="1:2" x14ac:dyDescent="0.2">
      <c r="A271" s="23">
        <v>333.1</v>
      </c>
      <c r="B271" s="23" t="s">
        <v>16406</v>
      </c>
    </row>
    <row r="273" spans="1:2" x14ac:dyDescent="0.2">
      <c r="A273" s="23">
        <v>333.1</v>
      </c>
      <c r="B273" s="23" t="s">
        <v>16406</v>
      </c>
    </row>
    <row r="275" spans="1:2" x14ac:dyDescent="0.2">
      <c r="A275" s="23">
        <v>333.1</v>
      </c>
      <c r="B275" s="23" t="s">
        <v>16406</v>
      </c>
    </row>
    <row r="278" spans="1:2" x14ac:dyDescent="0.2">
      <c r="A278" s="23">
        <v>333.1</v>
      </c>
      <c r="B278" s="23" t="s">
        <v>16406</v>
      </c>
    </row>
    <row r="281" spans="1:2" x14ac:dyDescent="0.2">
      <c r="A281" s="23">
        <v>781.2</v>
      </c>
      <c r="B281" s="23" t="s">
        <v>16410</v>
      </c>
    </row>
    <row r="284" spans="1:2" x14ac:dyDescent="0.2">
      <c r="A284" s="23">
        <v>333.1</v>
      </c>
      <c r="B284" s="23" t="s">
        <v>16406</v>
      </c>
    </row>
    <row r="287" spans="1:2" x14ac:dyDescent="0.2">
      <c r="A287" s="23">
        <v>333.89</v>
      </c>
      <c r="B287" s="23" t="s">
        <v>16408</v>
      </c>
    </row>
    <row r="290" spans="1:2" x14ac:dyDescent="0.2">
      <c r="A290" s="23">
        <v>333.1</v>
      </c>
      <c r="B290" s="23" t="s">
        <v>16406</v>
      </c>
    </row>
    <row r="292" spans="1:2" x14ac:dyDescent="0.2">
      <c r="A292" s="23">
        <v>333.1</v>
      </c>
      <c r="B292" s="23" t="s">
        <v>16406</v>
      </c>
    </row>
    <row r="295" spans="1:2" x14ac:dyDescent="0.2">
      <c r="A295" s="23">
        <v>333.1</v>
      </c>
      <c r="B295" s="23" t="s">
        <v>16406</v>
      </c>
    </row>
    <row r="297" spans="1:2" x14ac:dyDescent="0.2">
      <c r="A297" s="23">
        <v>333.1</v>
      </c>
      <c r="B297" s="23" t="s">
        <v>16406</v>
      </c>
    </row>
    <row r="300" spans="1:2" x14ac:dyDescent="0.2">
      <c r="A300" s="23">
        <v>781.3</v>
      </c>
      <c r="B300" s="23" t="s">
        <v>16430</v>
      </c>
    </row>
    <row r="303" spans="1:2" x14ac:dyDescent="0.2">
      <c r="A303" s="23">
        <v>333</v>
      </c>
      <c r="B303" s="23" t="s">
        <v>16409</v>
      </c>
    </row>
    <row r="306" spans="1:2" x14ac:dyDescent="0.2">
      <c r="A306" s="23">
        <v>781.2</v>
      </c>
      <c r="B306" s="23" t="s">
        <v>16410</v>
      </c>
    </row>
    <row r="308" spans="1:2" x14ac:dyDescent="0.2">
      <c r="A308" s="23">
        <v>333.1</v>
      </c>
      <c r="B308" s="23" t="s">
        <v>16406</v>
      </c>
    </row>
    <row r="310" spans="1:2" x14ac:dyDescent="0.2">
      <c r="A310" s="23">
        <v>332</v>
      </c>
      <c r="B310" s="23" t="s">
        <v>16405</v>
      </c>
    </row>
    <row r="313" spans="1:2" x14ac:dyDescent="0.2">
      <c r="A313" s="23">
        <v>334.3</v>
      </c>
      <c r="B313" s="23" t="s">
        <v>16431</v>
      </c>
    </row>
    <row r="318" spans="1:2" x14ac:dyDescent="0.2">
      <c r="A318" s="23">
        <v>333.1</v>
      </c>
      <c r="B318" s="23" t="s">
        <v>16406</v>
      </c>
    </row>
    <row r="321" spans="1:2" x14ac:dyDescent="0.2">
      <c r="A321" s="23">
        <v>333.1</v>
      </c>
      <c r="B321" s="23" t="s">
        <v>16406</v>
      </c>
    </row>
    <row r="323" spans="1:2" x14ac:dyDescent="0.2">
      <c r="A323" s="23">
        <v>332</v>
      </c>
      <c r="B323" s="23" t="s">
        <v>16405</v>
      </c>
    </row>
    <row r="325" spans="1:2" x14ac:dyDescent="0.2">
      <c r="A325" s="23">
        <v>332</v>
      </c>
      <c r="B325" s="23" t="s">
        <v>16405</v>
      </c>
    </row>
    <row r="328" spans="1:2" x14ac:dyDescent="0.2">
      <c r="A328" s="23">
        <v>781.2</v>
      </c>
      <c r="B328" s="23" t="s">
        <v>16410</v>
      </c>
    </row>
    <row r="333" spans="1:2" x14ac:dyDescent="0.2">
      <c r="A333" s="23">
        <v>332</v>
      </c>
      <c r="B333" s="23" t="s">
        <v>16405</v>
      </c>
    </row>
    <row r="336" spans="1:2" x14ac:dyDescent="0.2">
      <c r="A336" s="23">
        <v>332</v>
      </c>
      <c r="B336" s="23" t="s">
        <v>16405</v>
      </c>
    </row>
    <row r="338" spans="1:2" x14ac:dyDescent="0.2">
      <c r="A338" s="23">
        <v>333.1</v>
      </c>
      <c r="B338" s="23" t="s">
        <v>16406</v>
      </c>
    </row>
    <row r="341" spans="1:2" x14ac:dyDescent="0.2">
      <c r="A341" s="23" t="s">
        <v>16414</v>
      </c>
      <c r="B341" s="23" t="s">
        <v>16415</v>
      </c>
    </row>
    <row r="343" spans="1:2" x14ac:dyDescent="0.2">
      <c r="A343" s="23" t="s">
        <v>16432</v>
      </c>
      <c r="B343" s="23" t="s">
        <v>16433</v>
      </c>
    </row>
    <row r="349" spans="1:2" x14ac:dyDescent="0.2">
      <c r="A349" s="23" t="s">
        <v>16420</v>
      </c>
      <c r="B349" s="23" t="s">
        <v>16421</v>
      </c>
    </row>
    <row r="352" spans="1:2" x14ac:dyDescent="0.2">
      <c r="A352" s="23" t="s">
        <v>16414</v>
      </c>
      <c r="B352" s="23" t="s">
        <v>16415</v>
      </c>
    </row>
    <row r="355" spans="1:2" x14ac:dyDescent="0.2">
      <c r="A355" s="23" t="s">
        <v>16420</v>
      </c>
      <c r="B355" s="23" t="s">
        <v>16421</v>
      </c>
    </row>
    <row r="358" spans="1:2" x14ac:dyDescent="0.2">
      <c r="A358" s="23" t="s">
        <v>16424</v>
      </c>
      <c r="B358" s="23" t="s">
        <v>16425</v>
      </c>
    </row>
    <row r="363" spans="1:2" x14ac:dyDescent="0.2">
      <c r="A363" s="23" t="s">
        <v>16414</v>
      </c>
      <c r="B363" s="23" t="s">
        <v>16415</v>
      </c>
    </row>
    <row r="365" spans="1:2" x14ac:dyDescent="0.2">
      <c r="A365" s="23" t="s">
        <v>16414</v>
      </c>
      <c r="B365" s="23" t="s">
        <v>16415</v>
      </c>
    </row>
    <row r="373" spans="1:2" x14ac:dyDescent="0.2">
      <c r="A373" s="23" t="s">
        <v>16420</v>
      </c>
      <c r="B373" s="23" t="s">
        <v>16421</v>
      </c>
    </row>
    <row r="378" spans="1:2" x14ac:dyDescent="0.2">
      <c r="A378" s="23" t="s">
        <v>16414</v>
      </c>
      <c r="B378" s="23" t="s">
        <v>16415</v>
      </c>
    </row>
    <row r="381" spans="1:2" x14ac:dyDescent="0.2">
      <c r="A381" s="23" t="s">
        <v>16414</v>
      </c>
      <c r="B381" s="23" t="s">
        <v>16415</v>
      </c>
    </row>
    <row r="384" spans="1:2" x14ac:dyDescent="0.2">
      <c r="A384" s="23" t="s">
        <v>16418</v>
      </c>
      <c r="B384" s="23" t="s">
        <v>16419</v>
      </c>
    </row>
    <row r="386" spans="1:2" x14ac:dyDescent="0.2">
      <c r="A386" s="23" t="s">
        <v>16414</v>
      </c>
      <c r="B386" s="23" t="s">
        <v>16415</v>
      </c>
    </row>
    <row r="391" spans="1:2" x14ac:dyDescent="0.2">
      <c r="A391" s="23" t="s">
        <v>16424</v>
      </c>
      <c r="B391" s="23" t="s">
        <v>16425</v>
      </c>
    </row>
    <row r="399" spans="1:2" x14ac:dyDescent="0.2">
      <c r="A399" s="23" t="s">
        <v>16414</v>
      </c>
      <c r="B399" s="23" t="s">
        <v>16415</v>
      </c>
    </row>
    <row r="402" spans="1:2" x14ac:dyDescent="0.2">
      <c r="A402" s="23" t="s">
        <v>16424</v>
      </c>
      <c r="B402" s="23" t="s">
        <v>16425</v>
      </c>
    </row>
    <row r="413" spans="1:2" x14ac:dyDescent="0.2">
      <c r="A413" s="23" t="s">
        <v>16424</v>
      </c>
      <c r="B413" s="23" t="s">
        <v>16425</v>
      </c>
    </row>
    <row r="416" spans="1:2" x14ac:dyDescent="0.2">
      <c r="A416" s="23" t="s">
        <v>16414</v>
      </c>
      <c r="B416" s="23" t="s">
        <v>16415</v>
      </c>
    </row>
    <row r="419" spans="1:2" x14ac:dyDescent="0.2">
      <c r="A419" s="23" t="s">
        <v>16424</v>
      </c>
      <c r="B419" s="23" t="s">
        <v>16425</v>
      </c>
    </row>
    <row r="421" spans="1:2" x14ac:dyDescent="0.2">
      <c r="A421" s="23" t="s">
        <v>16420</v>
      </c>
      <c r="B421" s="23" t="s">
        <v>16421</v>
      </c>
    </row>
    <row r="424" spans="1:2" x14ac:dyDescent="0.2">
      <c r="A424" s="23" t="s">
        <v>16414</v>
      </c>
      <c r="B424" s="23" t="s">
        <v>16415</v>
      </c>
    </row>
    <row r="427" spans="1:2" x14ac:dyDescent="0.2">
      <c r="A427" s="23" t="s">
        <v>16424</v>
      </c>
      <c r="B427" s="23" t="s">
        <v>16425</v>
      </c>
    </row>
    <row r="430" spans="1:2" x14ac:dyDescent="0.2">
      <c r="A430" s="23" t="s">
        <v>16414</v>
      </c>
      <c r="B430" s="23" t="s">
        <v>16415</v>
      </c>
    </row>
    <row r="433" spans="1:2" x14ac:dyDescent="0.2">
      <c r="A433" s="23" t="s">
        <v>16414</v>
      </c>
      <c r="B433" s="23" t="s">
        <v>16415</v>
      </c>
    </row>
    <row r="436" spans="1:2" x14ac:dyDescent="0.2">
      <c r="A436" s="23" t="s">
        <v>16414</v>
      </c>
      <c r="B436" s="23" t="s">
        <v>16415</v>
      </c>
    </row>
    <row r="443" spans="1:2" x14ac:dyDescent="0.2">
      <c r="A443" s="23" t="s">
        <v>16414</v>
      </c>
      <c r="B443" s="23" t="s">
        <v>16415</v>
      </c>
    </row>
    <row r="446" spans="1:2" x14ac:dyDescent="0.2">
      <c r="A446" s="23" t="s">
        <v>16414</v>
      </c>
      <c r="B446" s="23" t="s">
        <v>16415</v>
      </c>
    </row>
    <row r="449" spans="1:2" x14ac:dyDescent="0.2">
      <c r="A449" s="23" t="s">
        <v>16414</v>
      </c>
      <c r="B449" s="23" t="s">
        <v>16415</v>
      </c>
    </row>
    <row r="455" spans="1:2" x14ac:dyDescent="0.2">
      <c r="A455" s="23" t="s">
        <v>16414</v>
      </c>
      <c r="B455" s="23" t="s">
        <v>16415</v>
      </c>
    </row>
    <row r="458" spans="1:2" x14ac:dyDescent="0.2">
      <c r="A458" s="23" t="s">
        <v>16414</v>
      </c>
      <c r="B458" s="23" t="s">
        <v>16415</v>
      </c>
    </row>
    <row r="461" spans="1:2" x14ac:dyDescent="0.2">
      <c r="A461" s="23" t="s">
        <v>16414</v>
      </c>
      <c r="B461" s="23" t="s">
        <v>16415</v>
      </c>
    </row>
    <row r="464" spans="1:2" x14ac:dyDescent="0.2">
      <c r="A464" s="23" t="s">
        <v>16428</v>
      </c>
      <c r="B464" s="23" t="s">
        <v>16429</v>
      </c>
    </row>
    <row r="467" spans="1:2" x14ac:dyDescent="0.2">
      <c r="A467" s="23" t="s">
        <v>16424</v>
      </c>
      <c r="B467" s="23" t="s">
        <v>16425</v>
      </c>
    </row>
    <row r="473" spans="1:2" x14ac:dyDescent="0.2">
      <c r="A473" s="23" t="s">
        <v>16414</v>
      </c>
      <c r="B473" s="23" t="s">
        <v>16415</v>
      </c>
    </row>
    <row r="476" spans="1:2" x14ac:dyDescent="0.2">
      <c r="A476" s="23" t="s">
        <v>16420</v>
      </c>
      <c r="B476" s="23" t="s">
        <v>16421</v>
      </c>
    </row>
    <row r="479" spans="1:2" x14ac:dyDescent="0.2">
      <c r="A479" s="23" t="s">
        <v>16414</v>
      </c>
      <c r="B479" s="23" t="s">
        <v>16415</v>
      </c>
    </row>
    <row r="482" spans="1:2" x14ac:dyDescent="0.2">
      <c r="A482" s="23" t="s">
        <v>16414</v>
      </c>
      <c r="B482" s="23" t="s">
        <v>16415</v>
      </c>
    </row>
    <row r="485" spans="1:2" x14ac:dyDescent="0.2">
      <c r="A485" s="23" t="s">
        <v>16428</v>
      </c>
      <c r="B485" s="23" t="s">
        <v>16429</v>
      </c>
    </row>
    <row r="487" spans="1:2" x14ac:dyDescent="0.2">
      <c r="A487" s="23" t="s">
        <v>16424</v>
      </c>
      <c r="B487" s="23" t="s">
        <v>16425</v>
      </c>
    </row>
    <row r="490" spans="1:2" x14ac:dyDescent="0.2">
      <c r="A490" s="23" t="s">
        <v>16414</v>
      </c>
      <c r="B490" s="23" t="s">
        <v>16415</v>
      </c>
    </row>
    <row r="496" spans="1:2" x14ac:dyDescent="0.2">
      <c r="A496" s="23" t="s">
        <v>16424</v>
      </c>
      <c r="B496" s="23" t="s">
        <v>16425</v>
      </c>
    </row>
    <row r="499" spans="1:2" x14ac:dyDescent="0.2">
      <c r="A499" s="23" t="s">
        <v>16420</v>
      </c>
      <c r="B499" s="23" t="s">
        <v>16421</v>
      </c>
    </row>
    <row r="502" spans="1:2" x14ac:dyDescent="0.2">
      <c r="A502" s="23" t="s">
        <v>16424</v>
      </c>
      <c r="B502" s="23" t="s">
        <v>16425</v>
      </c>
    </row>
    <row r="505" spans="1:2" x14ac:dyDescent="0.2">
      <c r="A505" s="23" t="s">
        <v>16414</v>
      </c>
      <c r="B505" s="23" t="s">
        <v>16415</v>
      </c>
    </row>
    <row r="508" spans="1:2" x14ac:dyDescent="0.2">
      <c r="A508" s="23" t="s">
        <v>16420</v>
      </c>
      <c r="B508" s="23" t="s">
        <v>16421</v>
      </c>
    </row>
    <row r="510" spans="1:2" x14ac:dyDescent="0.2">
      <c r="A510" s="23" t="s">
        <v>16414</v>
      </c>
      <c r="B510" s="23" t="s">
        <v>16415</v>
      </c>
    </row>
    <row r="513" spans="1:2" x14ac:dyDescent="0.2">
      <c r="A513" s="23" t="s">
        <v>16432</v>
      </c>
      <c r="B513" s="23" t="s">
        <v>16433</v>
      </c>
    </row>
    <row r="516" spans="1:2" x14ac:dyDescent="0.2">
      <c r="A516" s="23" t="s">
        <v>16420</v>
      </c>
      <c r="B516" s="23" t="s">
        <v>16421</v>
      </c>
    </row>
    <row r="519" spans="1:2" x14ac:dyDescent="0.2">
      <c r="A519" s="23" t="s">
        <v>16414</v>
      </c>
      <c r="B519" s="23" t="s">
        <v>16415</v>
      </c>
    </row>
    <row r="522" spans="1:2" x14ac:dyDescent="0.2">
      <c r="A522" s="23" t="s">
        <v>16414</v>
      </c>
      <c r="B522" s="23" t="s">
        <v>16415</v>
      </c>
    </row>
    <row r="534" spans="1:2" x14ac:dyDescent="0.2">
      <c r="A534" s="23" t="s">
        <v>16414</v>
      </c>
      <c r="B534" s="23" t="s">
        <v>16415</v>
      </c>
    </row>
    <row r="542" spans="1:2" x14ac:dyDescent="0.2">
      <c r="A542" s="23" t="s">
        <v>16420</v>
      </c>
      <c r="B542" s="23" t="s">
        <v>16421</v>
      </c>
    </row>
    <row r="545" spans="1:2" x14ac:dyDescent="0.2">
      <c r="A545" s="23" t="s">
        <v>16420</v>
      </c>
      <c r="B545" s="23" t="s">
        <v>16421</v>
      </c>
    </row>
    <row r="548" spans="1:2" x14ac:dyDescent="0.2">
      <c r="A548" s="23" t="s">
        <v>16420</v>
      </c>
      <c r="B548" s="23" t="s">
        <v>16421</v>
      </c>
    </row>
    <row r="558" spans="1:2" x14ac:dyDescent="0.2">
      <c r="A558" s="23" t="s">
        <v>16414</v>
      </c>
      <c r="B558" s="23" t="s">
        <v>16415</v>
      </c>
    </row>
    <row r="561" spans="1:2" x14ac:dyDescent="0.2">
      <c r="A561" s="23" t="s">
        <v>16414</v>
      </c>
      <c r="B561" s="23" t="s">
        <v>16415</v>
      </c>
    </row>
    <row r="566" spans="1:2" x14ac:dyDescent="0.2">
      <c r="A566" s="23" t="s">
        <v>16420</v>
      </c>
      <c r="B566" s="23" t="s">
        <v>16421</v>
      </c>
    </row>
    <row r="569" spans="1:2" x14ac:dyDescent="0.2">
      <c r="A569" s="23" t="s">
        <v>16414</v>
      </c>
      <c r="B569" s="23" t="s">
        <v>16415</v>
      </c>
    </row>
    <row r="572" spans="1:2" x14ac:dyDescent="0.2">
      <c r="A572" s="23" t="s">
        <v>16414</v>
      </c>
      <c r="B572" s="23" t="s">
        <v>16415</v>
      </c>
    </row>
    <row r="575" spans="1:2" x14ac:dyDescent="0.2">
      <c r="A575" s="23" t="s">
        <v>16414</v>
      </c>
      <c r="B575" s="23" t="s">
        <v>16415</v>
      </c>
    </row>
    <row r="586" spans="1:2" x14ac:dyDescent="0.2">
      <c r="A586" s="23" t="s">
        <v>16414</v>
      </c>
      <c r="B586" s="23" t="s">
        <v>16415</v>
      </c>
    </row>
    <row r="594" spans="1:2" x14ac:dyDescent="0.2">
      <c r="A594" s="23" t="s">
        <v>16424</v>
      </c>
      <c r="B594" s="23" t="s">
        <v>16425</v>
      </c>
    </row>
    <row r="599" spans="1:2" x14ac:dyDescent="0.2">
      <c r="A599" s="23" t="s">
        <v>16414</v>
      </c>
      <c r="B599" s="23" t="s">
        <v>16415</v>
      </c>
    </row>
    <row r="610" spans="1:2" x14ac:dyDescent="0.2">
      <c r="A610" s="23" t="s">
        <v>16414</v>
      </c>
      <c r="B610" s="23" t="s">
        <v>16415</v>
      </c>
    </row>
    <row r="613" spans="1:2" x14ac:dyDescent="0.2">
      <c r="A613" s="23" t="s">
        <v>16414</v>
      </c>
      <c r="B613" s="23" t="s">
        <v>16415</v>
      </c>
    </row>
    <row r="615" spans="1:2" x14ac:dyDescent="0.2">
      <c r="A615" s="23" t="s">
        <v>16424</v>
      </c>
      <c r="B615" s="23" t="s">
        <v>16425</v>
      </c>
    </row>
    <row r="623" spans="1:2" x14ac:dyDescent="0.2">
      <c r="A623" s="23" t="s">
        <v>16414</v>
      </c>
      <c r="B623" s="23" t="s">
        <v>16415</v>
      </c>
    </row>
    <row r="630" spans="1:2" x14ac:dyDescent="0.2">
      <c r="A630" s="23" t="s">
        <v>16414</v>
      </c>
      <c r="B630" s="23" t="s">
        <v>16415</v>
      </c>
    </row>
    <row r="633" spans="1:2" x14ac:dyDescent="0.2">
      <c r="A633" s="23" t="s">
        <v>16420</v>
      </c>
      <c r="B633" s="23" t="s">
        <v>16421</v>
      </c>
    </row>
    <row r="639" spans="1:2" x14ac:dyDescent="0.2">
      <c r="A639" s="23" t="s">
        <v>16420</v>
      </c>
      <c r="B639" s="23" t="s">
        <v>16421</v>
      </c>
    </row>
    <row r="646" spans="1:2" x14ac:dyDescent="0.2">
      <c r="A646" s="23" t="s">
        <v>16414</v>
      </c>
      <c r="B646" s="23" t="s">
        <v>16415</v>
      </c>
    </row>
    <row r="651" spans="1:2" x14ac:dyDescent="0.2">
      <c r="A651" s="23" t="s">
        <v>16414</v>
      </c>
      <c r="B651" s="23" t="s">
        <v>16415</v>
      </c>
    </row>
    <row r="656" spans="1:2" x14ac:dyDescent="0.2">
      <c r="A656" s="23" t="s">
        <v>16434</v>
      </c>
      <c r="B656" s="23" t="s">
        <v>16435</v>
      </c>
    </row>
    <row r="666" spans="1:2" x14ac:dyDescent="0.2">
      <c r="A666" s="23" t="s">
        <v>16432</v>
      </c>
      <c r="B666" s="23" t="s">
        <v>16433</v>
      </c>
    </row>
    <row r="675" spans="1:2" x14ac:dyDescent="0.2">
      <c r="A675" s="23" t="s">
        <v>16420</v>
      </c>
      <c r="B675" s="23" t="s">
        <v>16421</v>
      </c>
    </row>
    <row r="678" spans="1:2" x14ac:dyDescent="0.2">
      <c r="A678" s="23" t="s">
        <v>16420</v>
      </c>
      <c r="B678" s="23" t="s">
        <v>16421</v>
      </c>
    </row>
    <row r="681" spans="1:2" x14ac:dyDescent="0.2">
      <c r="A681" s="23" t="s">
        <v>16432</v>
      </c>
      <c r="B681" s="23" t="s">
        <v>16433</v>
      </c>
    </row>
    <row r="684" spans="1:2" x14ac:dyDescent="0.2">
      <c r="A684" s="23" t="s">
        <v>16436</v>
      </c>
      <c r="B684" s="23" t="s">
        <v>16437</v>
      </c>
    </row>
    <row r="687" spans="1:2" x14ac:dyDescent="0.2">
      <c r="A687" s="23" t="s">
        <v>16414</v>
      </c>
      <c r="B687" s="23" t="s">
        <v>16415</v>
      </c>
    </row>
    <row r="759" spans="1:2" x14ac:dyDescent="0.2">
      <c r="A759" s="23" t="s">
        <v>16414</v>
      </c>
      <c r="B759" s="23" t="s">
        <v>16415</v>
      </c>
    </row>
    <row r="762" spans="1:2" x14ac:dyDescent="0.2">
      <c r="A762" s="23" t="s">
        <v>16424</v>
      </c>
      <c r="B762" s="23" t="s">
        <v>16425</v>
      </c>
    </row>
    <row r="765" spans="1:2" x14ac:dyDescent="0.2">
      <c r="A765" s="23" t="s">
        <v>16414</v>
      </c>
      <c r="B765" s="23" t="s">
        <v>16415</v>
      </c>
    </row>
    <row r="768" spans="1:2" x14ac:dyDescent="0.2">
      <c r="A768" s="23" t="s">
        <v>16414</v>
      </c>
      <c r="B768" s="23" t="s">
        <v>16415</v>
      </c>
    </row>
    <row r="771" spans="1:2" x14ac:dyDescent="0.2">
      <c r="A771" s="23" t="s">
        <v>16414</v>
      </c>
      <c r="B771" s="23" t="s">
        <v>16415</v>
      </c>
    </row>
    <row r="774" spans="1:2" x14ac:dyDescent="0.2">
      <c r="A774" s="23" t="s">
        <v>16414</v>
      </c>
      <c r="B774" s="23" t="s">
        <v>16415</v>
      </c>
    </row>
    <row r="776" spans="1:2" x14ac:dyDescent="0.2">
      <c r="A776" s="23" t="s">
        <v>16414</v>
      </c>
      <c r="B776" s="23" t="s">
        <v>16415</v>
      </c>
    </row>
    <row r="779" spans="1:2" x14ac:dyDescent="0.2">
      <c r="A779" s="23" t="s">
        <v>16414</v>
      </c>
      <c r="B779" s="23" t="s">
        <v>16415</v>
      </c>
    </row>
    <row r="785" spans="1:2" x14ac:dyDescent="0.2">
      <c r="A785" s="23" t="s">
        <v>16426</v>
      </c>
      <c r="B785" s="23" t="s">
        <v>16427</v>
      </c>
    </row>
    <row r="788" spans="1:2" x14ac:dyDescent="0.2">
      <c r="A788" s="23" t="s">
        <v>16424</v>
      </c>
      <c r="B788" s="23" t="s">
        <v>16425</v>
      </c>
    </row>
    <row r="791" spans="1:2" x14ac:dyDescent="0.2">
      <c r="A791" s="23" t="s">
        <v>16414</v>
      </c>
      <c r="B791" s="23" t="s">
        <v>16415</v>
      </c>
    </row>
    <row r="794" spans="1:2" x14ac:dyDescent="0.2">
      <c r="A794" s="23" t="s">
        <v>16414</v>
      </c>
      <c r="B794" s="23" t="s">
        <v>16415</v>
      </c>
    </row>
    <row r="797" spans="1:2" x14ac:dyDescent="0.2">
      <c r="A797" s="23" t="s">
        <v>16414</v>
      </c>
      <c r="B797" s="23" t="s">
        <v>16415</v>
      </c>
    </row>
    <row r="800" spans="1:2" x14ac:dyDescent="0.2">
      <c r="A800" s="23" t="s">
        <v>16420</v>
      </c>
      <c r="B800" s="23" t="s">
        <v>16421</v>
      </c>
    </row>
    <row r="803" spans="1:2" x14ac:dyDescent="0.2">
      <c r="A803" s="23" t="s">
        <v>16420</v>
      </c>
      <c r="B803" s="23" t="s">
        <v>16421</v>
      </c>
    </row>
    <row r="806" spans="1:2" x14ac:dyDescent="0.2">
      <c r="A806" s="23" t="s">
        <v>16414</v>
      </c>
      <c r="B806" s="23" t="s">
        <v>16415</v>
      </c>
    </row>
    <row r="808" spans="1:2" x14ac:dyDescent="0.2">
      <c r="A808" s="23" t="s">
        <v>16414</v>
      </c>
      <c r="B808" s="23" t="s">
        <v>16415</v>
      </c>
    </row>
    <row r="810" spans="1:2" x14ac:dyDescent="0.2">
      <c r="A810" s="23" t="s">
        <v>16424</v>
      </c>
      <c r="B810" s="23" t="s">
        <v>16425</v>
      </c>
    </row>
    <row r="813" spans="1:2" x14ac:dyDescent="0.2">
      <c r="A813" s="23" t="s">
        <v>16414</v>
      </c>
      <c r="B813" s="23" t="s">
        <v>16415</v>
      </c>
    </row>
    <row r="815" spans="1:2" x14ac:dyDescent="0.2">
      <c r="A815" s="23" t="s">
        <v>16424</v>
      </c>
      <c r="B815" s="23" t="s">
        <v>16425</v>
      </c>
    </row>
    <row r="818" spans="1:2" x14ac:dyDescent="0.2">
      <c r="A818" s="23" t="s">
        <v>16414</v>
      </c>
      <c r="B818" s="23" t="s">
        <v>16415</v>
      </c>
    </row>
    <row r="821" spans="1:2" x14ac:dyDescent="0.2">
      <c r="A821" s="23" t="s">
        <v>16414</v>
      </c>
      <c r="B821" s="23" t="s">
        <v>16415</v>
      </c>
    </row>
    <row r="830" spans="1:2" x14ac:dyDescent="0.2">
      <c r="A830" s="23" t="s">
        <v>16414</v>
      </c>
      <c r="B830" s="23" t="s">
        <v>16415</v>
      </c>
    </row>
    <row r="836" spans="1:2" x14ac:dyDescent="0.2">
      <c r="A836" s="23" t="s">
        <v>16414</v>
      </c>
      <c r="B836" s="23" t="s">
        <v>16415</v>
      </c>
    </row>
    <row r="839" spans="1:2" x14ac:dyDescent="0.2">
      <c r="A839" s="23" t="s">
        <v>16414</v>
      </c>
      <c r="B839" s="23" t="s">
        <v>16415</v>
      </c>
    </row>
    <row r="842" spans="1:2" x14ac:dyDescent="0.2">
      <c r="A842" s="23" t="s">
        <v>16424</v>
      </c>
      <c r="B842" s="23" t="s">
        <v>16425</v>
      </c>
    </row>
    <row r="844" spans="1:2" x14ac:dyDescent="0.2">
      <c r="A844" s="23" t="s">
        <v>16420</v>
      </c>
      <c r="B844" s="23" t="s">
        <v>16421</v>
      </c>
    </row>
    <row r="850" spans="1:2" x14ac:dyDescent="0.2">
      <c r="A850" s="23" t="s">
        <v>16420</v>
      </c>
      <c r="B850" s="23" t="s">
        <v>16421</v>
      </c>
    </row>
    <row r="856" spans="1:2" x14ac:dyDescent="0.2">
      <c r="A856" s="23" t="s">
        <v>16414</v>
      </c>
      <c r="B856" s="23" t="s">
        <v>16415</v>
      </c>
    </row>
    <row r="859" spans="1:2" x14ac:dyDescent="0.2">
      <c r="A859" s="23" t="s">
        <v>16424</v>
      </c>
      <c r="B859" s="23" t="s">
        <v>16425</v>
      </c>
    </row>
    <row r="868" spans="1:2" x14ac:dyDescent="0.2">
      <c r="A868" s="23" t="s">
        <v>16420</v>
      </c>
      <c r="B868" s="23" t="s">
        <v>16421</v>
      </c>
    </row>
    <row r="871" spans="1:2" x14ac:dyDescent="0.2">
      <c r="A871" s="23" t="s">
        <v>16424</v>
      </c>
      <c r="B871" s="23" t="s">
        <v>16425</v>
      </c>
    </row>
    <row r="876" spans="1:2" x14ac:dyDescent="0.2">
      <c r="A876" s="23" t="s">
        <v>16414</v>
      </c>
      <c r="B876" s="23" t="s">
        <v>16415</v>
      </c>
    </row>
    <row r="879" spans="1:2" x14ac:dyDescent="0.2">
      <c r="A879" s="23" t="s">
        <v>16414</v>
      </c>
      <c r="B879" s="23" t="s">
        <v>16415</v>
      </c>
    </row>
    <row r="889" spans="1:2" x14ac:dyDescent="0.2">
      <c r="A889" s="23" t="s">
        <v>16424</v>
      </c>
      <c r="B889" s="23" t="s">
        <v>16425</v>
      </c>
    </row>
    <row r="892" spans="1:2" x14ac:dyDescent="0.2">
      <c r="A892" s="23" t="s">
        <v>16414</v>
      </c>
      <c r="B892" s="23" t="s">
        <v>16415</v>
      </c>
    </row>
    <row r="904" spans="1:2" x14ac:dyDescent="0.2">
      <c r="A904" s="23" t="s">
        <v>16438</v>
      </c>
      <c r="B904" s="23" t="s">
        <v>16439</v>
      </c>
    </row>
    <row r="910" spans="1:2" x14ac:dyDescent="0.2">
      <c r="A910" s="23" t="s">
        <v>16420</v>
      </c>
      <c r="B910" s="23" t="s">
        <v>16421</v>
      </c>
    </row>
    <row r="913" spans="1:2" x14ac:dyDescent="0.2">
      <c r="A913" s="23" t="s">
        <v>16420</v>
      </c>
      <c r="B913" s="23" t="s">
        <v>16421</v>
      </c>
    </row>
    <row r="925" spans="1:2" x14ac:dyDescent="0.2">
      <c r="A925" s="23" t="s">
        <v>16414</v>
      </c>
      <c r="B925" s="23" t="s">
        <v>16415</v>
      </c>
    </row>
    <row r="928" spans="1:2" x14ac:dyDescent="0.2">
      <c r="A928" s="23" t="s">
        <v>16414</v>
      </c>
      <c r="B928" s="23" t="s">
        <v>16415</v>
      </c>
    </row>
    <row r="931" spans="1:2" x14ac:dyDescent="0.2">
      <c r="A931" s="23" t="s">
        <v>16424</v>
      </c>
      <c r="B931" s="23" t="s">
        <v>16425</v>
      </c>
    </row>
    <row r="934" spans="1:2" x14ac:dyDescent="0.2">
      <c r="A934" s="23" t="s">
        <v>16440</v>
      </c>
      <c r="B934" s="23" t="s">
        <v>16441</v>
      </c>
    </row>
    <row r="937" spans="1:2" x14ac:dyDescent="0.2">
      <c r="A937" s="23" t="s">
        <v>16424</v>
      </c>
      <c r="B937" s="23" t="s">
        <v>16425</v>
      </c>
    </row>
    <row r="940" spans="1:2" x14ac:dyDescent="0.2">
      <c r="A940" s="23" t="s">
        <v>16420</v>
      </c>
      <c r="B940" s="23" t="s">
        <v>16421</v>
      </c>
    </row>
    <row r="943" spans="1:2" x14ac:dyDescent="0.2">
      <c r="A943" s="23" t="s">
        <v>16414</v>
      </c>
      <c r="B943" s="23" t="s">
        <v>16415</v>
      </c>
    </row>
    <row r="949" spans="1:2" x14ac:dyDescent="0.2">
      <c r="A949" s="23" t="s">
        <v>16414</v>
      </c>
      <c r="B949" s="23" t="s">
        <v>16415</v>
      </c>
    </row>
    <row r="952" spans="1:2" x14ac:dyDescent="0.2">
      <c r="A952" s="23" t="s">
        <v>16420</v>
      </c>
      <c r="B952" s="23" t="s">
        <v>16421</v>
      </c>
    </row>
    <row r="967" spans="1:2" x14ac:dyDescent="0.2">
      <c r="A967" s="23" t="s">
        <v>16424</v>
      </c>
      <c r="B967" s="23" t="s">
        <v>16425</v>
      </c>
    </row>
    <row r="970" spans="1:2" x14ac:dyDescent="0.2">
      <c r="A970" s="23" t="s">
        <v>16424</v>
      </c>
      <c r="B970" s="23" t="s">
        <v>16425</v>
      </c>
    </row>
    <row r="973" spans="1:2" x14ac:dyDescent="0.2">
      <c r="A973" s="23" t="s">
        <v>16424</v>
      </c>
      <c r="B973" s="23" t="s">
        <v>16425</v>
      </c>
    </row>
    <row r="976" spans="1:2" x14ac:dyDescent="0.2">
      <c r="A976" s="23" t="s">
        <v>16424</v>
      </c>
      <c r="B976" s="23" t="s">
        <v>16425</v>
      </c>
    </row>
    <row r="979" spans="1:2" x14ac:dyDescent="0.2">
      <c r="A979" s="23" t="s">
        <v>16442</v>
      </c>
      <c r="B979" s="23" t="s">
        <v>16443</v>
      </c>
    </row>
    <row r="982" spans="1:2" x14ac:dyDescent="0.2">
      <c r="A982" s="23" t="s">
        <v>16420</v>
      </c>
      <c r="B982" s="23" t="s">
        <v>16421</v>
      </c>
    </row>
    <row r="985" spans="1:2" x14ac:dyDescent="0.2">
      <c r="A985" s="23" t="s">
        <v>16424</v>
      </c>
      <c r="B985" s="23" t="s">
        <v>16425</v>
      </c>
    </row>
    <row r="988" spans="1:2" x14ac:dyDescent="0.2">
      <c r="A988" s="23" t="s">
        <v>16424</v>
      </c>
      <c r="B988" s="23" t="s">
        <v>16425</v>
      </c>
    </row>
    <row r="991" spans="1:2" x14ac:dyDescent="0.2">
      <c r="A991" s="23" t="s">
        <v>16420</v>
      </c>
      <c r="B991" s="23" t="s">
        <v>16421</v>
      </c>
    </row>
    <row r="994" spans="1:2" x14ac:dyDescent="0.2">
      <c r="A994" s="23" t="s">
        <v>16414</v>
      </c>
      <c r="B994" s="23" t="s">
        <v>16415</v>
      </c>
    </row>
    <row r="1000" spans="1:2" x14ac:dyDescent="0.2">
      <c r="A1000" s="23" t="s">
        <v>16444</v>
      </c>
      <c r="B1000" s="23" t="s">
        <v>16445</v>
      </c>
    </row>
    <row r="1003" spans="1:2" x14ac:dyDescent="0.2">
      <c r="A1003" s="23" t="s">
        <v>16424</v>
      </c>
      <c r="B1003" s="23" t="s">
        <v>16425</v>
      </c>
    </row>
    <row r="1006" spans="1:2" x14ac:dyDescent="0.2">
      <c r="A1006" s="23" t="s">
        <v>16414</v>
      </c>
      <c r="B1006" s="23" t="s">
        <v>16415</v>
      </c>
    </row>
    <row r="1009" spans="1:2" x14ac:dyDescent="0.2">
      <c r="A1009" s="23" t="s">
        <v>16428</v>
      </c>
      <c r="B1009" s="23" t="s">
        <v>16429</v>
      </c>
    </row>
    <row r="1012" spans="1:2" x14ac:dyDescent="0.2">
      <c r="A1012" s="23" t="s">
        <v>16424</v>
      </c>
      <c r="B1012" s="23" t="s">
        <v>16425</v>
      </c>
    </row>
    <row r="1015" spans="1:2" x14ac:dyDescent="0.2">
      <c r="A1015" s="23" t="s">
        <v>16424</v>
      </c>
      <c r="B1015" s="23" t="s">
        <v>16425</v>
      </c>
    </row>
    <row r="1018" spans="1:2" x14ac:dyDescent="0.2">
      <c r="A1018" s="23" t="s">
        <v>16414</v>
      </c>
      <c r="B1018" s="23" t="s">
        <v>16415</v>
      </c>
    </row>
    <row r="1021" spans="1:2" x14ac:dyDescent="0.2">
      <c r="A1021" s="23" t="s">
        <v>16424</v>
      </c>
      <c r="B1021" s="23" t="s">
        <v>16425</v>
      </c>
    </row>
    <row r="1027" spans="1:2" x14ac:dyDescent="0.2">
      <c r="A1027" s="23" t="s">
        <v>16446</v>
      </c>
      <c r="B1027" s="23" t="s">
        <v>16447</v>
      </c>
    </row>
    <row r="1030" spans="1:2" x14ac:dyDescent="0.2">
      <c r="A1030" s="23" t="s">
        <v>16420</v>
      </c>
      <c r="B1030" s="23" t="s">
        <v>16421</v>
      </c>
    </row>
    <row r="1033" spans="1:2" x14ac:dyDescent="0.2">
      <c r="A1033" s="23" t="s">
        <v>16414</v>
      </c>
      <c r="B1033" s="23" t="s">
        <v>16415</v>
      </c>
    </row>
    <row r="1036" spans="1:2" x14ac:dyDescent="0.2">
      <c r="A1036" s="23" t="s">
        <v>16414</v>
      </c>
      <c r="B1036" s="23" t="s">
        <v>16415</v>
      </c>
    </row>
    <row r="1039" spans="1:2" x14ac:dyDescent="0.2">
      <c r="A1039" s="23" t="s">
        <v>16414</v>
      </c>
      <c r="B1039" s="23" t="s">
        <v>16415</v>
      </c>
    </row>
    <row r="1042" spans="1:2" x14ac:dyDescent="0.2">
      <c r="A1042" s="23" t="s">
        <v>16424</v>
      </c>
      <c r="B1042" s="23" t="s">
        <v>16425</v>
      </c>
    </row>
    <row r="1045" spans="1:2" x14ac:dyDescent="0.2">
      <c r="A1045" s="23" t="s">
        <v>16424</v>
      </c>
      <c r="B1045" s="23" t="s">
        <v>16425</v>
      </c>
    </row>
    <row r="1048" spans="1:2" x14ac:dyDescent="0.2">
      <c r="A1048" s="23" t="s">
        <v>16432</v>
      </c>
      <c r="B1048" s="23" t="s">
        <v>16433</v>
      </c>
    </row>
    <row r="1054" spans="1:2" x14ac:dyDescent="0.2">
      <c r="A1054" s="23" t="s">
        <v>16414</v>
      </c>
      <c r="B1054" s="23" t="s">
        <v>16415</v>
      </c>
    </row>
    <row r="1057" spans="1:2" x14ac:dyDescent="0.2">
      <c r="A1057" s="23" t="s">
        <v>16414</v>
      </c>
      <c r="B1057" s="23" t="s">
        <v>16415</v>
      </c>
    </row>
    <row r="1060" spans="1:2" x14ac:dyDescent="0.2">
      <c r="A1060" s="23" t="s">
        <v>16424</v>
      </c>
      <c r="B1060" s="23" t="s">
        <v>16425</v>
      </c>
    </row>
    <row r="1063" spans="1:2" x14ac:dyDescent="0.2">
      <c r="A1063" s="23" t="s">
        <v>16428</v>
      </c>
      <c r="B1063" s="23" t="s">
        <v>16429</v>
      </c>
    </row>
    <row r="1072" spans="1:2" x14ac:dyDescent="0.2">
      <c r="A1072" s="23" t="s">
        <v>16414</v>
      </c>
      <c r="B1072" s="23" t="s">
        <v>16415</v>
      </c>
    </row>
    <row r="1075" spans="1:2" x14ac:dyDescent="0.2">
      <c r="A1075" s="23" t="s">
        <v>16414</v>
      </c>
      <c r="B1075" s="23" t="s">
        <v>16415</v>
      </c>
    </row>
    <row r="1078" spans="1:2" x14ac:dyDescent="0.2">
      <c r="A1078" s="23" t="s">
        <v>16414</v>
      </c>
      <c r="B1078" s="23" t="s">
        <v>16415</v>
      </c>
    </row>
    <row r="1081" spans="1:2" x14ac:dyDescent="0.2">
      <c r="A1081" s="23" t="s">
        <v>16414</v>
      </c>
      <c r="B1081" s="23" t="s">
        <v>16415</v>
      </c>
    </row>
    <row r="1084" spans="1:2" x14ac:dyDescent="0.2">
      <c r="A1084" s="23" t="s">
        <v>16414</v>
      </c>
      <c r="B1084" s="23" t="s">
        <v>16415</v>
      </c>
    </row>
    <row r="1087" spans="1:2" x14ac:dyDescent="0.2">
      <c r="A1087" s="23" t="s">
        <v>16420</v>
      </c>
      <c r="B1087" s="23" t="s">
        <v>16421</v>
      </c>
    </row>
    <row r="1092" spans="1:2" x14ac:dyDescent="0.2">
      <c r="A1092" s="23" t="s">
        <v>16420</v>
      </c>
      <c r="B1092" s="23" t="s">
        <v>16421</v>
      </c>
    </row>
    <row r="1095" spans="1:2" x14ac:dyDescent="0.2">
      <c r="A1095" s="23" t="s">
        <v>16420</v>
      </c>
      <c r="B1095" s="23" t="s">
        <v>16421</v>
      </c>
    </row>
    <row r="1098" spans="1:2" x14ac:dyDescent="0.2">
      <c r="A1098" s="23" t="s">
        <v>16420</v>
      </c>
      <c r="B1098" s="23" t="s">
        <v>16421</v>
      </c>
    </row>
    <row r="1101" spans="1:2" x14ac:dyDescent="0.2">
      <c r="A1101" s="23" t="s">
        <v>16420</v>
      </c>
      <c r="B1101" s="23" t="s">
        <v>16421</v>
      </c>
    </row>
    <row r="1104" spans="1:2" x14ac:dyDescent="0.2">
      <c r="A1104" s="23" t="s">
        <v>16420</v>
      </c>
      <c r="B1104" s="23" t="s">
        <v>16421</v>
      </c>
    </row>
    <row r="1107" spans="1:2" x14ac:dyDescent="0.2">
      <c r="A1107" s="23" t="s">
        <v>16414</v>
      </c>
      <c r="B1107" s="23" t="s">
        <v>16415</v>
      </c>
    </row>
    <row r="1110" spans="1:2" x14ac:dyDescent="0.2">
      <c r="A1110" s="23" t="s">
        <v>16420</v>
      </c>
      <c r="B1110" s="23" t="s">
        <v>16421</v>
      </c>
    </row>
    <row r="1113" spans="1:2" x14ac:dyDescent="0.2">
      <c r="A1113" s="23" t="s">
        <v>16414</v>
      </c>
      <c r="B1113" s="23" t="s">
        <v>16415</v>
      </c>
    </row>
    <row r="1116" spans="1:2" x14ac:dyDescent="0.2">
      <c r="A1116" s="23" t="s">
        <v>16414</v>
      </c>
      <c r="B1116" s="23" t="s">
        <v>16415</v>
      </c>
    </row>
    <row r="1119" spans="1:2" x14ac:dyDescent="0.2">
      <c r="A1119" s="23" t="s">
        <v>16414</v>
      </c>
      <c r="B1119" s="23" t="s">
        <v>16415</v>
      </c>
    </row>
    <row r="1122" spans="1:2" x14ac:dyDescent="0.2">
      <c r="A1122" s="23" t="s">
        <v>16420</v>
      </c>
      <c r="B1122" s="23" t="s">
        <v>16421</v>
      </c>
    </row>
    <row r="1125" spans="1:2" x14ac:dyDescent="0.2">
      <c r="A1125" s="23" t="s">
        <v>16420</v>
      </c>
      <c r="B1125" s="23" t="s">
        <v>16421</v>
      </c>
    </row>
    <row r="1128" spans="1:2" x14ac:dyDescent="0.2">
      <c r="A1128" s="23" t="s">
        <v>16420</v>
      </c>
      <c r="B1128" s="23" t="s">
        <v>16421</v>
      </c>
    </row>
    <row r="1131" spans="1:2" x14ac:dyDescent="0.2">
      <c r="A1131" s="23" t="s">
        <v>16414</v>
      </c>
      <c r="B1131" s="23" t="s">
        <v>16415</v>
      </c>
    </row>
    <row r="1134" spans="1:2" x14ac:dyDescent="0.2">
      <c r="A1134" s="23" t="s">
        <v>16416</v>
      </c>
      <c r="B1134" s="23" t="s">
        <v>16417</v>
      </c>
    </row>
    <row r="1137" spans="1:2" x14ac:dyDescent="0.2">
      <c r="A1137" s="23" t="s">
        <v>16414</v>
      </c>
      <c r="B1137" s="23" t="s">
        <v>16415</v>
      </c>
    </row>
    <row r="1140" spans="1:2" x14ac:dyDescent="0.2">
      <c r="A1140" s="23" t="s">
        <v>16420</v>
      </c>
      <c r="B1140" s="23" t="s">
        <v>16421</v>
      </c>
    </row>
    <row r="1143" spans="1:2" x14ac:dyDescent="0.2">
      <c r="A1143" s="23" t="s">
        <v>16420</v>
      </c>
      <c r="B1143" s="23" t="s">
        <v>16421</v>
      </c>
    </row>
    <row r="1146" spans="1:2" x14ac:dyDescent="0.2">
      <c r="A1146" s="23" t="s">
        <v>16428</v>
      </c>
      <c r="B1146" s="23" t="s">
        <v>16429</v>
      </c>
    </row>
    <row r="1152" spans="1:2" x14ac:dyDescent="0.2">
      <c r="A1152" s="23" t="s">
        <v>16414</v>
      </c>
      <c r="B1152" s="23" t="s">
        <v>16415</v>
      </c>
    </row>
    <row r="1154" spans="1:2" x14ac:dyDescent="0.2">
      <c r="A1154" s="23" t="s">
        <v>16414</v>
      </c>
      <c r="B1154" s="23" t="s">
        <v>16415</v>
      </c>
    </row>
    <row r="1160" spans="1:2" x14ac:dyDescent="0.2">
      <c r="A1160" s="23" t="s">
        <v>16420</v>
      </c>
      <c r="B1160" s="23" t="s">
        <v>16421</v>
      </c>
    </row>
    <row r="1163" spans="1:2" x14ac:dyDescent="0.2">
      <c r="A1163" s="23" t="s">
        <v>16414</v>
      </c>
      <c r="B1163" s="23" t="s">
        <v>16415</v>
      </c>
    </row>
    <row r="1166" spans="1:2" x14ac:dyDescent="0.2">
      <c r="A1166" s="23" t="s">
        <v>16420</v>
      </c>
      <c r="B1166" s="23" t="s">
        <v>16421</v>
      </c>
    </row>
    <row r="1169" spans="1:2" x14ac:dyDescent="0.2">
      <c r="A1169" s="23" t="s">
        <v>16414</v>
      </c>
      <c r="B1169" s="23" t="s">
        <v>16415</v>
      </c>
    </row>
    <row r="1172" spans="1:2" x14ac:dyDescent="0.2">
      <c r="A1172" s="23" t="s">
        <v>16432</v>
      </c>
      <c r="B1172" s="23" t="s">
        <v>16433</v>
      </c>
    </row>
    <row r="1175" spans="1:2" x14ac:dyDescent="0.2">
      <c r="A1175" s="23" t="s">
        <v>16444</v>
      </c>
      <c r="B1175" s="23" t="s">
        <v>16445</v>
      </c>
    </row>
    <row r="1178" spans="1:2" x14ac:dyDescent="0.2">
      <c r="A1178" s="23" t="s">
        <v>16414</v>
      </c>
      <c r="B1178" s="23" t="s">
        <v>16415</v>
      </c>
    </row>
    <row r="1181" spans="1:2" x14ac:dyDescent="0.2">
      <c r="A1181" s="23" t="s">
        <v>16432</v>
      </c>
      <c r="B1181" s="23" t="s">
        <v>16433</v>
      </c>
    </row>
    <row r="1186" spans="1:2" x14ac:dyDescent="0.2">
      <c r="A1186" s="23" t="s">
        <v>16414</v>
      </c>
      <c r="B1186" s="23" t="s">
        <v>16415</v>
      </c>
    </row>
    <row r="1189" spans="1:2" x14ac:dyDescent="0.2">
      <c r="A1189" s="23" t="s">
        <v>16414</v>
      </c>
      <c r="B1189" s="23" t="s">
        <v>16415</v>
      </c>
    </row>
    <row r="1192" spans="1:2" x14ac:dyDescent="0.2">
      <c r="A1192" s="23" t="s">
        <v>16426</v>
      </c>
      <c r="B1192" s="23" t="s">
        <v>16427</v>
      </c>
    </row>
    <row r="1195" spans="1:2" x14ac:dyDescent="0.2">
      <c r="A1195" s="23" t="s">
        <v>16420</v>
      </c>
      <c r="B1195" s="23" t="s">
        <v>16421</v>
      </c>
    </row>
    <row r="1198" spans="1:2" x14ac:dyDescent="0.2">
      <c r="A1198" s="23" t="s">
        <v>16420</v>
      </c>
      <c r="B1198" s="23" t="s">
        <v>16421</v>
      </c>
    </row>
    <row r="1209" spans="1:2" x14ac:dyDescent="0.2">
      <c r="A1209" s="23" t="s">
        <v>16414</v>
      </c>
      <c r="B1209" s="23" t="s">
        <v>16415</v>
      </c>
    </row>
    <row r="1212" spans="1:2" x14ac:dyDescent="0.2">
      <c r="A1212" s="23" t="s">
        <v>16444</v>
      </c>
      <c r="B1212" s="23" t="s">
        <v>16445</v>
      </c>
    </row>
    <row r="1215" spans="1:2" x14ac:dyDescent="0.2">
      <c r="A1215" s="23" t="s">
        <v>16414</v>
      </c>
      <c r="B1215" s="23" t="s">
        <v>16415</v>
      </c>
    </row>
    <row r="1218" spans="1:2" x14ac:dyDescent="0.2">
      <c r="A1218" s="23" t="s">
        <v>16414</v>
      </c>
      <c r="B1218" s="23" t="s">
        <v>16415</v>
      </c>
    </row>
    <row r="1224" spans="1:2" x14ac:dyDescent="0.2">
      <c r="A1224" s="23" t="s">
        <v>16414</v>
      </c>
      <c r="B1224" s="23" t="s">
        <v>16415</v>
      </c>
    </row>
    <row r="1227" spans="1:2" x14ac:dyDescent="0.2">
      <c r="A1227" s="23" t="s">
        <v>16444</v>
      </c>
      <c r="B1227" s="23" t="s">
        <v>16445</v>
      </c>
    </row>
    <row r="1230" spans="1:2" x14ac:dyDescent="0.2">
      <c r="A1230" s="23" t="s">
        <v>16420</v>
      </c>
      <c r="B1230" s="23" t="s">
        <v>16421</v>
      </c>
    </row>
    <row r="1233" spans="1:2" x14ac:dyDescent="0.2">
      <c r="A1233" s="23" t="s">
        <v>16414</v>
      </c>
      <c r="B1233" s="23" t="s">
        <v>16415</v>
      </c>
    </row>
    <row r="1237" spans="1:2" x14ac:dyDescent="0.2">
      <c r="A1237" s="23" t="s">
        <v>16414</v>
      </c>
      <c r="B1237" s="23" t="s">
        <v>16415</v>
      </c>
    </row>
    <row r="1240" spans="1:2" x14ac:dyDescent="0.2">
      <c r="A1240" s="23" t="s">
        <v>16414</v>
      </c>
      <c r="B1240" s="23" t="s">
        <v>16415</v>
      </c>
    </row>
    <row r="1243" spans="1:2" x14ac:dyDescent="0.2">
      <c r="A1243" s="23" t="s">
        <v>16420</v>
      </c>
      <c r="B1243" s="23" t="s">
        <v>16421</v>
      </c>
    </row>
    <row r="1245" spans="1:2" x14ac:dyDescent="0.2">
      <c r="A1245" s="23" t="s">
        <v>16420</v>
      </c>
      <c r="B1245" s="23" t="s">
        <v>16421</v>
      </c>
    </row>
    <row r="1251" spans="1:2" x14ac:dyDescent="0.2">
      <c r="A1251" s="23" t="s">
        <v>16432</v>
      </c>
      <c r="B1251" s="23" t="s">
        <v>16433</v>
      </c>
    </row>
    <row r="1256" spans="1:2" x14ac:dyDescent="0.2">
      <c r="A1256" s="23" t="s">
        <v>16414</v>
      </c>
      <c r="B1256" s="23" t="s">
        <v>16415</v>
      </c>
    </row>
    <row r="1259" spans="1:2" x14ac:dyDescent="0.2">
      <c r="A1259" s="23" t="s">
        <v>16414</v>
      </c>
      <c r="B1259" s="23" t="s">
        <v>16415</v>
      </c>
    </row>
    <row r="1262" spans="1:2" x14ac:dyDescent="0.2">
      <c r="A1262" s="23" t="s">
        <v>16414</v>
      </c>
      <c r="B1262" s="23" t="s">
        <v>16415</v>
      </c>
    </row>
    <row r="1265" spans="1:2" x14ac:dyDescent="0.2">
      <c r="A1265" s="23" t="s">
        <v>16414</v>
      </c>
      <c r="B1265" s="23" t="s">
        <v>16415</v>
      </c>
    </row>
    <row r="1268" spans="1:2" x14ac:dyDescent="0.2">
      <c r="A1268" s="23" t="s">
        <v>16414</v>
      </c>
      <c r="B1268" s="23" t="s">
        <v>16415</v>
      </c>
    </row>
    <row r="1270" spans="1:2" x14ac:dyDescent="0.2">
      <c r="A1270" s="23" t="s">
        <v>16416</v>
      </c>
      <c r="B1270" s="23" t="s">
        <v>16417</v>
      </c>
    </row>
    <row r="1272" spans="1:2" x14ac:dyDescent="0.2">
      <c r="A1272" s="23" t="s">
        <v>16414</v>
      </c>
      <c r="B1272" s="23" t="s">
        <v>16415</v>
      </c>
    </row>
    <row r="1274" spans="1:2" x14ac:dyDescent="0.2">
      <c r="A1274" s="23" t="s">
        <v>16414</v>
      </c>
      <c r="B1274" s="23" t="s">
        <v>16415</v>
      </c>
    </row>
    <row r="1276" spans="1:2" x14ac:dyDescent="0.2">
      <c r="A1276" s="23" t="s">
        <v>16414</v>
      </c>
      <c r="B1276" s="23" t="s">
        <v>16415</v>
      </c>
    </row>
    <row r="1280" spans="1:2" x14ac:dyDescent="0.2">
      <c r="A1280" s="23" t="s">
        <v>16420</v>
      </c>
      <c r="B1280" s="23" t="s">
        <v>16421</v>
      </c>
    </row>
    <row r="1282" spans="1:2" x14ac:dyDescent="0.2">
      <c r="A1282" s="23" t="s">
        <v>16424</v>
      </c>
      <c r="B1282" s="23" t="s">
        <v>16425</v>
      </c>
    </row>
    <row r="1284" spans="1:2" x14ac:dyDescent="0.2">
      <c r="A1284" s="23" t="s">
        <v>16448</v>
      </c>
      <c r="B1284" s="23" t="s">
        <v>16449</v>
      </c>
    </row>
    <row r="1286" spans="1:2" x14ac:dyDescent="0.2">
      <c r="A1286" s="23" t="s">
        <v>16414</v>
      </c>
      <c r="B1286" s="23" t="s">
        <v>16415</v>
      </c>
    </row>
    <row r="1288" spans="1:2" x14ac:dyDescent="0.2">
      <c r="A1288" s="23" t="s">
        <v>16428</v>
      </c>
      <c r="B1288" s="23" t="s">
        <v>16429</v>
      </c>
    </row>
    <row r="1290" spans="1:2" x14ac:dyDescent="0.2">
      <c r="A1290" s="23" t="s">
        <v>16414</v>
      </c>
      <c r="B1290" s="23" t="s">
        <v>16415</v>
      </c>
    </row>
    <row r="1292" spans="1:2" x14ac:dyDescent="0.2">
      <c r="A1292" s="23" t="s">
        <v>16420</v>
      </c>
      <c r="B1292" s="23" t="s">
        <v>16421</v>
      </c>
    </row>
    <row r="1294" spans="1:2" x14ac:dyDescent="0.2">
      <c r="A1294" s="23" t="s">
        <v>16420</v>
      </c>
      <c r="B1294" s="23" t="s">
        <v>16421</v>
      </c>
    </row>
    <row r="1297" spans="1:2" x14ac:dyDescent="0.2">
      <c r="A1297" s="23" t="s">
        <v>16420</v>
      </c>
      <c r="B1297" s="23" t="s">
        <v>16421</v>
      </c>
    </row>
    <row r="1300" spans="1:2" x14ac:dyDescent="0.2">
      <c r="A1300" s="23" t="s">
        <v>16414</v>
      </c>
      <c r="B1300" s="23" t="s">
        <v>16415</v>
      </c>
    </row>
    <row r="1303" spans="1:2" x14ac:dyDescent="0.2">
      <c r="A1303" s="23" t="s">
        <v>16414</v>
      </c>
      <c r="B1303" s="23" t="s">
        <v>16415</v>
      </c>
    </row>
    <row r="1306" spans="1:2" x14ac:dyDescent="0.2">
      <c r="A1306" s="23" t="s">
        <v>16414</v>
      </c>
      <c r="B1306" s="23" t="s">
        <v>16415</v>
      </c>
    </row>
    <row r="1309" spans="1:2" x14ac:dyDescent="0.2">
      <c r="A1309" s="23" t="s">
        <v>16420</v>
      </c>
      <c r="B1309" s="23" t="s">
        <v>16421</v>
      </c>
    </row>
    <row r="1311" spans="1:2" x14ac:dyDescent="0.2">
      <c r="A1311" s="23" t="s">
        <v>16414</v>
      </c>
      <c r="B1311" s="23" t="s">
        <v>16415</v>
      </c>
    </row>
    <row r="1314" spans="1:2" x14ac:dyDescent="0.2">
      <c r="A1314" s="23" t="s">
        <v>16420</v>
      </c>
      <c r="B1314" s="23" t="s">
        <v>16421</v>
      </c>
    </row>
    <row r="1317" spans="1:2" x14ac:dyDescent="0.2">
      <c r="A1317" s="23" t="s">
        <v>16414</v>
      </c>
      <c r="B1317" s="23" t="s">
        <v>16415</v>
      </c>
    </row>
    <row r="1320" spans="1:2" x14ac:dyDescent="0.2">
      <c r="A1320" s="23" t="s">
        <v>16428</v>
      </c>
      <c r="B1320" s="23" t="s">
        <v>16429</v>
      </c>
    </row>
    <row r="1323" spans="1:2" x14ac:dyDescent="0.2">
      <c r="A1323" s="23" t="s">
        <v>16420</v>
      </c>
      <c r="B1323" s="23" t="s">
        <v>16421</v>
      </c>
    </row>
    <row r="1326" spans="1:2" x14ac:dyDescent="0.2">
      <c r="A1326" s="23" t="s">
        <v>16414</v>
      </c>
      <c r="B1326" s="23" t="s">
        <v>16415</v>
      </c>
    </row>
    <row r="1329" spans="1:2" x14ac:dyDescent="0.2">
      <c r="A1329" s="23" t="s">
        <v>16414</v>
      </c>
      <c r="B1329" s="23" t="s">
        <v>16415</v>
      </c>
    </row>
    <row r="1332" spans="1:2" x14ac:dyDescent="0.2">
      <c r="A1332" s="23" t="s">
        <v>16426</v>
      </c>
      <c r="B1332" s="23" t="s">
        <v>16427</v>
      </c>
    </row>
    <row r="1335" spans="1:2" x14ac:dyDescent="0.2">
      <c r="A1335" s="23" t="s">
        <v>16420</v>
      </c>
      <c r="B1335" s="23" t="s">
        <v>16421</v>
      </c>
    </row>
    <row r="1338" spans="1:2" x14ac:dyDescent="0.2">
      <c r="A1338" s="23" t="s">
        <v>16420</v>
      </c>
      <c r="B1338" s="23" t="s">
        <v>16421</v>
      </c>
    </row>
    <row r="1341" spans="1:2" x14ac:dyDescent="0.2">
      <c r="A1341" s="23" t="s">
        <v>16414</v>
      </c>
      <c r="B1341" s="23" t="s">
        <v>16415</v>
      </c>
    </row>
    <row r="1344" spans="1:2" x14ac:dyDescent="0.2">
      <c r="A1344" s="23" t="s">
        <v>16432</v>
      </c>
      <c r="B1344" s="23" t="s">
        <v>16433</v>
      </c>
    </row>
    <row r="1347" spans="1:2" x14ac:dyDescent="0.2">
      <c r="A1347" s="23" t="s">
        <v>16414</v>
      </c>
      <c r="B1347" s="23" t="s">
        <v>16415</v>
      </c>
    </row>
    <row r="1350" spans="1:2" x14ac:dyDescent="0.2">
      <c r="A1350" s="23" t="s">
        <v>16432</v>
      </c>
      <c r="B1350" s="23" t="s">
        <v>16433</v>
      </c>
    </row>
    <row r="1356" spans="1:2" x14ac:dyDescent="0.2">
      <c r="A1356" s="23" t="s">
        <v>16420</v>
      </c>
      <c r="B1356" s="23" t="s">
        <v>16421</v>
      </c>
    </row>
    <row r="1359" spans="1:2" x14ac:dyDescent="0.2">
      <c r="A1359" s="23" t="s">
        <v>16414</v>
      </c>
      <c r="B1359" s="23" t="s">
        <v>16415</v>
      </c>
    </row>
    <row r="1362" spans="1:2" x14ac:dyDescent="0.2">
      <c r="A1362" s="23" t="s">
        <v>16432</v>
      </c>
      <c r="B1362" s="23" t="s">
        <v>16433</v>
      </c>
    </row>
    <row r="1365" spans="1:2" x14ac:dyDescent="0.2">
      <c r="A1365" s="23" t="s">
        <v>16414</v>
      </c>
      <c r="B1365" s="23" t="s">
        <v>16415</v>
      </c>
    </row>
    <row r="1368" spans="1:2" x14ac:dyDescent="0.2">
      <c r="A1368" s="23" t="s">
        <v>16428</v>
      </c>
      <c r="B1368" s="23" t="s">
        <v>16429</v>
      </c>
    </row>
    <row r="1371" spans="1:2" x14ac:dyDescent="0.2">
      <c r="A1371" s="23" t="s">
        <v>16424</v>
      </c>
      <c r="B1371" s="23" t="s">
        <v>16425</v>
      </c>
    </row>
    <row r="1374" spans="1:2" x14ac:dyDescent="0.2">
      <c r="A1374" s="23" t="s">
        <v>16420</v>
      </c>
      <c r="B1374" s="23" t="s">
        <v>16421</v>
      </c>
    </row>
    <row r="1377" spans="1:2" x14ac:dyDescent="0.2">
      <c r="A1377" s="23" t="s">
        <v>16428</v>
      </c>
      <c r="B1377" s="23" t="s">
        <v>16429</v>
      </c>
    </row>
    <row r="1380" spans="1:2" x14ac:dyDescent="0.2">
      <c r="A1380" s="23" t="s">
        <v>16424</v>
      </c>
      <c r="B1380" s="23" t="s">
        <v>16425</v>
      </c>
    </row>
    <row r="1383" spans="1:2" x14ac:dyDescent="0.2">
      <c r="A1383" s="23" t="s">
        <v>16414</v>
      </c>
      <c r="B1383" s="23" t="s">
        <v>16415</v>
      </c>
    </row>
    <row r="1386" spans="1:2" x14ac:dyDescent="0.2">
      <c r="A1386" s="23" t="s">
        <v>16450</v>
      </c>
      <c r="B1386" s="23" t="s">
        <v>16451</v>
      </c>
    </row>
    <row r="1389" spans="1:2" x14ac:dyDescent="0.2">
      <c r="A1389" s="23" t="s">
        <v>16414</v>
      </c>
      <c r="B1389" s="23" t="s">
        <v>16415</v>
      </c>
    </row>
    <row r="1392" spans="1:2" x14ac:dyDescent="0.2">
      <c r="A1392" s="23" t="s">
        <v>16452</v>
      </c>
      <c r="B1392" s="23" t="s">
        <v>16453</v>
      </c>
    </row>
    <row r="1395" spans="1:2" x14ac:dyDescent="0.2">
      <c r="A1395" s="23" t="s">
        <v>16414</v>
      </c>
      <c r="B1395" s="23" t="s">
        <v>16415</v>
      </c>
    </row>
    <row r="1398" spans="1:2" x14ac:dyDescent="0.2">
      <c r="A1398" s="23" t="s">
        <v>16414</v>
      </c>
      <c r="B1398" s="23" t="s">
        <v>16415</v>
      </c>
    </row>
    <row r="1401" spans="1:2" x14ac:dyDescent="0.2">
      <c r="A1401" s="23" t="s">
        <v>16414</v>
      </c>
      <c r="B1401" s="23" t="s">
        <v>16415</v>
      </c>
    </row>
    <row r="1404" spans="1:2" x14ac:dyDescent="0.2">
      <c r="A1404" s="23" t="s">
        <v>16414</v>
      </c>
      <c r="B1404" s="23" t="s">
        <v>16415</v>
      </c>
    </row>
    <row r="1406" spans="1:2" x14ac:dyDescent="0.2">
      <c r="A1406" s="23" t="s">
        <v>16446</v>
      </c>
      <c r="B1406" s="23" t="s">
        <v>16447</v>
      </c>
    </row>
    <row r="1409" spans="1:2" x14ac:dyDescent="0.2">
      <c r="A1409" s="23" t="s">
        <v>16414</v>
      </c>
      <c r="B1409" s="23" t="s">
        <v>16415</v>
      </c>
    </row>
    <row r="1412" spans="1:2" x14ac:dyDescent="0.2">
      <c r="A1412" s="23" t="s">
        <v>16414</v>
      </c>
      <c r="B1412" s="23" t="s">
        <v>16415</v>
      </c>
    </row>
    <row r="1415" spans="1:2" x14ac:dyDescent="0.2">
      <c r="A1415" s="23" t="s">
        <v>16414</v>
      </c>
      <c r="B1415" s="23" t="s">
        <v>16415</v>
      </c>
    </row>
    <row r="1421" spans="1:2" x14ac:dyDescent="0.2">
      <c r="A1421" s="23" t="s">
        <v>16414</v>
      </c>
      <c r="B1421" s="23" t="s">
        <v>16415</v>
      </c>
    </row>
    <row r="1424" spans="1:2" x14ac:dyDescent="0.2">
      <c r="A1424" s="23" t="s">
        <v>16420</v>
      </c>
      <c r="B1424" s="23" t="s">
        <v>16421</v>
      </c>
    </row>
    <row r="1429" spans="1:2" x14ac:dyDescent="0.2">
      <c r="A1429" s="23" t="s">
        <v>16420</v>
      </c>
      <c r="B1429" s="23" t="s">
        <v>16421</v>
      </c>
    </row>
    <row r="1432" spans="1:2" x14ac:dyDescent="0.2">
      <c r="A1432" s="23" t="s">
        <v>16420</v>
      </c>
      <c r="B1432" s="23" t="s">
        <v>16421</v>
      </c>
    </row>
    <row r="1435" spans="1:2" x14ac:dyDescent="0.2">
      <c r="A1435" s="23" t="s">
        <v>16414</v>
      </c>
      <c r="B1435" s="23" t="s">
        <v>16415</v>
      </c>
    </row>
    <row r="1439" spans="1:2" x14ac:dyDescent="0.2">
      <c r="A1439" s="23" t="s">
        <v>16414</v>
      </c>
      <c r="B1439" s="23" t="s">
        <v>16415</v>
      </c>
    </row>
    <row r="1441" spans="1:2" x14ac:dyDescent="0.2">
      <c r="A1441" s="23" t="s">
        <v>16414</v>
      </c>
      <c r="B1441" s="23" t="s">
        <v>16415</v>
      </c>
    </row>
    <row r="1444" spans="1:2" x14ac:dyDescent="0.2">
      <c r="A1444" s="23" t="s">
        <v>16414</v>
      </c>
      <c r="B1444" s="23" t="s">
        <v>16415</v>
      </c>
    </row>
    <row r="1447" spans="1:2" x14ac:dyDescent="0.2">
      <c r="A1447" s="23" t="s">
        <v>16420</v>
      </c>
      <c r="B1447" s="23" t="s">
        <v>16421</v>
      </c>
    </row>
    <row r="1450" spans="1:2" x14ac:dyDescent="0.2">
      <c r="A1450" s="23" t="s">
        <v>16420</v>
      </c>
      <c r="B1450" s="23" t="s">
        <v>16421</v>
      </c>
    </row>
    <row r="1452" spans="1:2" x14ac:dyDescent="0.2">
      <c r="A1452" s="23" t="s">
        <v>16414</v>
      </c>
      <c r="B1452" s="23" t="s">
        <v>16415</v>
      </c>
    </row>
    <row r="1455" spans="1:2" x14ac:dyDescent="0.2">
      <c r="A1455" s="23" t="s">
        <v>16420</v>
      </c>
      <c r="B1455" s="23" t="s">
        <v>16421</v>
      </c>
    </row>
    <row r="1458" spans="1:2" x14ac:dyDescent="0.2">
      <c r="A1458" s="23" t="s">
        <v>16420</v>
      </c>
      <c r="B1458" s="23" t="s">
        <v>16421</v>
      </c>
    </row>
    <row r="1464" spans="1:2" x14ac:dyDescent="0.2">
      <c r="A1464" s="23" t="s">
        <v>16414</v>
      </c>
      <c r="B1464" s="23" t="s">
        <v>16415</v>
      </c>
    </row>
    <row r="1467" spans="1:2" x14ac:dyDescent="0.2">
      <c r="A1467" s="23" t="s">
        <v>16420</v>
      </c>
      <c r="B1467" s="23" t="s">
        <v>16421</v>
      </c>
    </row>
    <row r="1470" spans="1:2" x14ac:dyDescent="0.2">
      <c r="A1470" s="23" t="s">
        <v>16420</v>
      </c>
      <c r="B1470" s="23" t="s">
        <v>16421</v>
      </c>
    </row>
    <row r="1472" spans="1:2" x14ac:dyDescent="0.2">
      <c r="A1472" s="23" t="s">
        <v>16424</v>
      </c>
      <c r="B1472" s="23" t="s">
        <v>16425</v>
      </c>
    </row>
    <row r="1475" spans="1:2" x14ac:dyDescent="0.2">
      <c r="A1475" s="23" t="s">
        <v>16414</v>
      </c>
      <c r="B1475" s="23" t="s">
        <v>16415</v>
      </c>
    </row>
    <row r="1478" spans="1:2" x14ac:dyDescent="0.2">
      <c r="A1478" s="23" t="s">
        <v>16414</v>
      </c>
      <c r="B1478" s="23" t="s">
        <v>16415</v>
      </c>
    </row>
    <row r="1481" spans="1:2" x14ac:dyDescent="0.2">
      <c r="A1481" s="23" t="s">
        <v>16426</v>
      </c>
      <c r="B1481" s="23" t="s">
        <v>16427</v>
      </c>
    </row>
    <row r="1483" spans="1:2" x14ac:dyDescent="0.2">
      <c r="A1483" s="23" t="s">
        <v>16420</v>
      </c>
      <c r="B1483" s="23" t="s">
        <v>16421</v>
      </c>
    </row>
    <row r="1486" spans="1:2" x14ac:dyDescent="0.2">
      <c r="A1486" s="23" t="s">
        <v>16424</v>
      </c>
      <c r="B1486" s="23" t="s">
        <v>16425</v>
      </c>
    </row>
    <row r="1489" spans="1:2" x14ac:dyDescent="0.2">
      <c r="A1489" s="23" t="s">
        <v>16414</v>
      </c>
      <c r="B1489" s="23" t="s">
        <v>16415</v>
      </c>
    </row>
    <row r="1492" spans="1:2" x14ac:dyDescent="0.2">
      <c r="A1492" s="23" t="s">
        <v>16418</v>
      </c>
      <c r="B1492" s="23" t="s">
        <v>16419</v>
      </c>
    </row>
    <row r="1495" spans="1:2" x14ac:dyDescent="0.2">
      <c r="A1495" s="23" t="s">
        <v>16414</v>
      </c>
      <c r="B1495" s="23" t="s">
        <v>16415</v>
      </c>
    </row>
    <row r="1498" spans="1:2" x14ac:dyDescent="0.2">
      <c r="A1498" s="23" t="s">
        <v>16420</v>
      </c>
      <c r="B1498" s="23" t="s">
        <v>16421</v>
      </c>
    </row>
    <row r="1504" spans="1:2" x14ac:dyDescent="0.2">
      <c r="A1504" s="23" t="s">
        <v>16414</v>
      </c>
      <c r="B1504" s="23" t="s">
        <v>16415</v>
      </c>
    </row>
    <row r="1507" spans="1:2" x14ac:dyDescent="0.2">
      <c r="A1507" s="23" t="s">
        <v>16424</v>
      </c>
      <c r="B1507" s="23" t="s">
        <v>16425</v>
      </c>
    </row>
    <row r="1510" spans="1:2" x14ac:dyDescent="0.2">
      <c r="A1510" s="23" t="s">
        <v>16424</v>
      </c>
      <c r="B1510" s="23" t="s">
        <v>16425</v>
      </c>
    </row>
    <row r="1513" spans="1:2" x14ac:dyDescent="0.2">
      <c r="A1513" s="23" t="s">
        <v>16414</v>
      </c>
      <c r="B1513" s="23" t="s">
        <v>16415</v>
      </c>
    </row>
    <row r="1515" spans="1:2" x14ac:dyDescent="0.2">
      <c r="A1515" s="23" t="s">
        <v>16414</v>
      </c>
      <c r="B1515" s="23" t="s">
        <v>16415</v>
      </c>
    </row>
    <row r="1518" spans="1:2" x14ac:dyDescent="0.2">
      <c r="A1518" s="23" t="s">
        <v>16414</v>
      </c>
      <c r="B1518" s="23" t="s">
        <v>16415</v>
      </c>
    </row>
    <row r="1527" spans="1:2" x14ac:dyDescent="0.2">
      <c r="A1527" s="23" t="s">
        <v>16414</v>
      </c>
      <c r="B1527" s="23" t="s">
        <v>16415</v>
      </c>
    </row>
    <row r="1529" spans="1:2" x14ac:dyDescent="0.2">
      <c r="A1529" s="23" t="s">
        <v>16414</v>
      </c>
      <c r="B1529" s="23" t="s">
        <v>16415</v>
      </c>
    </row>
    <row r="1531" spans="1:2" x14ac:dyDescent="0.2">
      <c r="A1531" s="23" t="s">
        <v>16414</v>
      </c>
      <c r="B1531" s="23" t="s">
        <v>16415</v>
      </c>
    </row>
    <row r="1536" spans="1:2" x14ac:dyDescent="0.2">
      <c r="A1536" s="23" t="s">
        <v>16414</v>
      </c>
      <c r="B1536" s="23" t="s">
        <v>16415</v>
      </c>
    </row>
    <row r="1545" spans="1:2" x14ac:dyDescent="0.2">
      <c r="A1545" s="23" t="s">
        <v>16454</v>
      </c>
      <c r="B1545" s="23" t="s">
        <v>16455</v>
      </c>
    </row>
    <row r="1554" spans="1:2" x14ac:dyDescent="0.2">
      <c r="A1554" s="23" t="s">
        <v>16424</v>
      </c>
      <c r="B1554" s="23" t="s">
        <v>16425</v>
      </c>
    </row>
    <row r="1556" spans="1:2" x14ac:dyDescent="0.2">
      <c r="A1556" s="23" t="s">
        <v>16420</v>
      </c>
      <c r="B1556" s="23" t="s">
        <v>16421</v>
      </c>
    </row>
    <row r="1559" spans="1:2" x14ac:dyDescent="0.2">
      <c r="A1559" s="23" t="s">
        <v>16414</v>
      </c>
      <c r="B1559" s="23" t="s">
        <v>16415</v>
      </c>
    </row>
    <row r="1562" spans="1:2" x14ac:dyDescent="0.2">
      <c r="A1562" s="23" t="s">
        <v>16432</v>
      </c>
      <c r="B1562" s="23" t="s">
        <v>16433</v>
      </c>
    </row>
    <row r="1568" spans="1:2" x14ac:dyDescent="0.2">
      <c r="A1568" s="23" t="s">
        <v>16414</v>
      </c>
      <c r="B1568" s="23" t="s">
        <v>16415</v>
      </c>
    </row>
    <row r="1571" spans="1:2" x14ac:dyDescent="0.2">
      <c r="A1571" s="23" t="s">
        <v>16414</v>
      </c>
      <c r="B1571" s="23" t="s">
        <v>16415</v>
      </c>
    </row>
    <row r="1574" spans="1:2" x14ac:dyDescent="0.2">
      <c r="A1574" s="23" t="s">
        <v>16414</v>
      </c>
      <c r="B1574" s="23" t="s">
        <v>16415</v>
      </c>
    </row>
    <row r="1576" spans="1:2" x14ac:dyDescent="0.2">
      <c r="A1576" s="23" t="s">
        <v>16414</v>
      </c>
      <c r="B1576" s="23" t="s">
        <v>16415</v>
      </c>
    </row>
    <row r="1579" spans="1:2" x14ac:dyDescent="0.2">
      <c r="A1579" s="23" t="s">
        <v>16414</v>
      </c>
      <c r="B1579" s="23" t="s">
        <v>16415</v>
      </c>
    </row>
    <row r="1581" spans="1:2" x14ac:dyDescent="0.2">
      <c r="A1581" s="23" t="s">
        <v>16456</v>
      </c>
      <c r="B1581" s="23" t="s">
        <v>16457</v>
      </c>
    </row>
    <row r="1584" spans="1:2" x14ac:dyDescent="0.2">
      <c r="A1584" s="23" t="s">
        <v>16420</v>
      </c>
      <c r="B1584" s="23" t="s">
        <v>16421</v>
      </c>
    </row>
    <row r="1588" spans="1:2" x14ac:dyDescent="0.2">
      <c r="A1588" s="23" t="s">
        <v>16414</v>
      </c>
      <c r="B1588" s="23" t="s">
        <v>16415</v>
      </c>
    </row>
    <row r="1591" spans="1:2" x14ac:dyDescent="0.2">
      <c r="A1591" s="23" t="s">
        <v>16414</v>
      </c>
      <c r="B1591" s="23" t="s">
        <v>16415</v>
      </c>
    </row>
    <row r="1596" spans="1:2" x14ac:dyDescent="0.2">
      <c r="A1596" s="23" t="s">
        <v>16416</v>
      </c>
      <c r="B1596" s="23" t="s">
        <v>16417</v>
      </c>
    </row>
    <row r="1599" spans="1:2" x14ac:dyDescent="0.2">
      <c r="A1599" s="23" t="s">
        <v>16454</v>
      </c>
      <c r="B1599" s="23" t="s">
        <v>16455</v>
      </c>
    </row>
    <row r="1602" spans="1:2" x14ac:dyDescent="0.2">
      <c r="A1602" s="23" t="s">
        <v>16414</v>
      </c>
      <c r="B1602" s="23" t="s">
        <v>16415</v>
      </c>
    </row>
    <row r="1605" spans="1:2" x14ac:dyDescent="0.2">
      <c r="A1605" s="23" t="s">
        <v>16414</v>
      </c>
      <c r="B1605" s="23" t="s">
        <v>16415</v>
      </c>
    </row>
    <row r="1611" spans="1:2" x14ac:dyDescent="0.2">
      <c r="A1611" s="23" t="s">
        <v>16424</v>
      </c>
      <c r="B1611" s="23" t="s">
        <v>16425</v>
      </c>
    </row>
    <row r="1614" spans="1:2" x14ac:dyDescent="0.2">
      <c r="A1614" s="23" t="s">
        <v>16454</v>
      </c>
      <c r="B1614" s="23" t="s">
        <v>16455</v>
      </c>
    </row>
    <row r="1617" spans="1:2" x14ac:dyDescent="0.2">
      <c r="A1617" s="23" t="s">
        <v>16414</v>
      </c>
      <c r="B1617" s="23" t="s">
        <v>16415</v>
      </c>
    </row>
    <row r="1620" spans="1:2" x14ac:dyDescent="0.2">
      <c r="A1620" s="23" t="s">
        <v>16454</v>
      </c>
      <c r="B1620" s="23" t="s">
        <v>16455</v>
      </c>
    </row>
    <row r="1623" spans="1:2" x14ac:dyDescent="0.2">
      <c r="A1623" s="23" t="s">
        <v>16414</v>
      </c>
      <c r="B1623" s="23" t="s">
        <v>16415</v>
      </c>
    </row>
    <row r="1626" spans="1:2" x14ac:dyDescent="0.2">
      <c r="A1626" s="23" t="s">
        <v>16414</v>
      </c>
      <c r="B1626" s="23" t="s">
        <v>16415</v>
      </c>
    </row>
    <row r="1629" spans="1:2" x14ac:dyDescent="0.2">
      <c r="A1629" s="23" t="s">
        <v>16426</v>
      </c>
      <c r="B1629" s="23" t="s">
        <v>16427</v>
      </c>
    </row>
    <row r="1632" spans="1:2" x14ac:dyDescent="0.2">
      <c r="A1632" s="23" t="s">
        <v>16416</v>
      </c>
      <c r="B1632" s="23" t="s">
        <v>16417</v>
      </c>
    </row>
    <row r="1635" spans="1:2" x14ac:dyDescent="0.2">
      <c r="A1635" s="23" t="s">
        <v>16420</v>
      </c>
      <c r="B1635" s="23" t="s">
        <v>16421</v>
      </c>
    </row>
    <row r="1638" spans="1:2" x14ac:dyDescent="0.2">
      <c r="A1638" s="23" t="s">
        <v>16414</v>
      </c>
      <c r="B1638" s="23" t="s">
        <v>16415</v>
      </c>
    </row>
    <row r="1641" spans="1:2" x14ac:dyDescent="0.2">
      <c r="A1641" s="23" t="s">
        <v>16414</v>
      </c>
      <c r="B1641" s="23" t="s">
        <v>16415</v>
      </c>
    </row>
    <row r="1644" spans="1:2" x14ac:dyDescent="0.2">
      <c r="A1644" s="23" t="s">
        <v>16454</v>
      </c>
      <c r="B1644" s="23" t="s">
        <v>16455</v>
      </c>
    </row>
    <row r="1647" spans="1:2" x14ac:dyDescent="0.2">
      <c r="A1647" s="23" t="s">
        <v>16420</v>
      </c>
      <c r="B1647" s="23" t="s">
        <v>16421</v>
      </c>
    </row>
    <row r="1650" spans="1:2" x14ac:dyDescent="0.2">
      <c r="A1650" s="23" t="s">
        <v>16424</v>
      </c>
      <c r="B1650" s="23" t="s">
        <v>16425</v>
      </c>
    </row>
    <row r="1653" spans="1:2" x14ac:dyDescent="0.2">
      <c r="A1653" s="23" t="s">
        <v>16424</v>
      </c>
      <c r="B1653" s="23" t="s">
        <v>16425</v>
      </c>
    </row>
    <row r="1656" spans="1:2" x14ac:dyDescent="0.2">
      <c r="A1656" s="23" t="s">
        <v>16432</v>
      </c>
      <c r="B1656" s="23" t="s">
        <v>16433</v>
      </c>
    </row>
    <row r="1659" spans="1:2" x14ac:dyDescent="0.2">
      <c r="A1659" s="23" t="s">
        <v>16414</v>
      </c>
      <c r="B1659" s="23" t="s">
        <v>16415</v>
      </c>
    </row>
    <row r="1665" spans="1:2" x14ac:dyDescent="0.2">
      <c r="A1665" s="23" t="s">
        <v>16420</v>
      </c>
      <c r="B1665" s="23" t="s">
        <v>16421</v>
      </c>
    </row>
    <row r="1668" spans="1:2" x14ac:dyDescent="0.2">
      <c r="A1668" s="23" t="s">
        <v>16414</v>
      </c>
      <c r="B1668" s="23" t="s">
        <v>16415</v>
      </c>
    </row>
    <row r="1674" spans="1:2" x14ac:dyDescent="0.2">
      <c r="A1674" s="23" t="s">
        <v>16420</v>
      </c>
      <c r="B1674" s="23" t="s">
        <v>16421</v>
      </c>
    </row>
    <row r="1677" spans="1:2" x14ac:dyDescent="0.2">
      <c r="A1677" s="23" t="s">
        <v>16432</v>
      </c>
      <c r="B1677" s="23" t="s">
        <v>16433</v>
      </c>
    </row>
    <row r="1680" spans="1:2" x14ac:dyDescent="0.2">
      <c r="A1680" s="23" t="s">
        <v>16414</v>
      </c>
      <c r="B1680" s="23" t="s">
        <v>16415</v>
      </c>
    </row>
    <row r="1683" spans="1:2" x14ac:dyDescent="0.2">
      <c r="A1683" s="23" t="s">
        <v>16444</v>
      </c>
      <c r="B1683" s="23" t="s">
        <v>16445</v>
      </c>
    </row>
    <row r="1686" spans="1:2" x14ac:dyDescent="0.2">
      <c r="A1686" s="23" t="s">
        <v>16420</v>
      </c>
      <c r="B1686" s="23" t="s">
        <v>16421</v>
      </c>
    </row>
    <row r="1689" spans="1:2" x14ac:dyDescent="0.2">
      <c r="A1689" s="23" t="s">
        <v>16432</v>
      </c>
      <c r="B1689" s="23" t="s">
        <v>16433</v>
      </c>
    </row>
    <row r="1692" spans="1:2" x14ac:dyDescent="0.2">
      <c r="A1692" s="23" t="s">
        <v>16444</v>
      </c>
      <c r="B1692" s="23" t="s">
        <v>16445</v>
      </c>
    </row>
    <row r="1695" spans="1:2" x14ac:dyDescent="0.2">
      <c r="A1695" s="23" t="s">
        <v>16420</v>
      </c>
      <c r="B1695" s="23" t="s">
        <v>16421</v>
      </c>
    </row>
    <row r="1698" spans="1:2" x14ac:dyDescent="0.2">
      <c r="A1698" s="23" t="s">
        <v>16414</v>
      </c>
      <c r="B1698" s="23" t="s">
        <v>16415</v>
      </c>
    </row>
    <row r="1701" spans="1:2" x14ac:dyDescent="0.2">
      <c r="A1701" s="23" t="s">
        <v>16420</v>
      </c>
      <c r="B1701" s="23" t="s">
        <v>16421</v>
      </c>
    </row>
    <row r="1704" spans="1:2" x14ac:dyDescent="0.2">
      <c r="A1704" s="23" t="s">
        <v>16414</v>
      </c>
      <c r="B1704" s="23" t="s">
        <v>16415</v>
      </c>
    </row>
    <row r="1707" spans="1:2" x14ac:dyDescent="0.2">
      <c r="A1707" s="23" t="s">
        <v>16420</v>
      </c>
      <c r="B1707" s="23" t="s">
        <v>16421</v>
      </c>
    </row>
    <row r="1713" spans="1:2" x14ac:dyDescent="0.2">
      <c r="A1713" s="23" t="s">
        <v>16414</v>
      </c>
      <c r="B1713" s="23" t="s">
        <v>16415</v>
      </c>
    </row>
    <row r="1716" spans="1:2" x14ac:dyDescent="0.2">
      <c r="A1716" s="23" t="s">
        <v>16420</v>
      </c>
      <c r="B1716" s="23" t="s">
        <v>16421</v>
      </c>
    </row>
    <row r="1719" spans="1:2" x14ac:dyDescent="0.2">
      <c r="A1719" s="23" t="s">
        <v>16426</v>
      </c>
      <c r="B1719" s="23" t="s">
        <v>16427</v>
      </c>
    </row>
    <row r="1722" spans="1:2" x14ac:dyDescent="0.2">
      <c r="A1722" s="23" t="s">
        <v>16420</v>
      </c>
      <c r="B1722" s="23" t="s">
        <v>16421</v>
      </c>
    </row>
    <row r="1734" spans="1:2" x14ac:dyDescent="0.2">
      <c r="A1734" s="23" t="s">
        <v>16458</v>
      </c>
      <c r="B1734" s="23" t="s">
        <v>16459</v>
      </c>
    </row>
    <row r="1737" spans="1:2" x14ac:dyDescent="0.2">
      <c r="A1737" s="23" t="s">
        <v>16414</v>
      </c>
      <c r="B1737" s="23" t="s">
        <v>16415</v>
      </c>
    </row>
    <row r="1740" spans="1:2" x14ac:dyDescent="0.2">
      <c r="A1740" s="23" t="s">
        <v>16420</v>
      </c>
      <c r="B1740" s="23" t="s">
        <v>16421</v>
      </c>
    </row>
    <row r="1743" spans="1:2" x14ac:dyDescent="0.2">
      <c r="A1743" s="23" t="s">
        <v>16418</v>
      </c>
      <c r="B1743" s="23" t="s">
        <v>16419</v>
      </c>
    </row>
    <row r="1745" spans="1:2" x14ac:dyDescent="0.2">
      <c r="A1745" s="23" t="s">
        <v>16424</v>
      </c>
      <c r="B1745" s="23" t="s">
        <v>16425</v>
      </c>
    </row>
    <row r="1748" spans="1:2" x14ac:dyDescent="0.2">
      <c r="A1748" s="23" t="s">
        <v>16424</v>
      </c>
      <c r="B1748" s="23" t="s">
        <v>16425</v>
      </c>
    </row>
    <row r="1751" spans="1:2" x14ac:dyDescent="0.2">
      <c r="A1751" s="23" t="s">
        <v>16424</v>
      </c>
      <c r="B1751" s="23" t="s">
        <v>16425</v>
      </c>
    </row>
    <row r="1754" spans="1:2" x14ac:dyDescent="0.2">
      <c r="A1754" s="23" t="s">
        <v>16414</v>
      </c>
      <c r="B1754" s="23" t="s">
        <v>16415</v>
      </c>
    </row>
    <row r="1757" spans="1:2" x14ac:dyDescent="0.2">
      <c r="A1757" s="23" t="s">
        <v>16414</v>
      </c>
      <c r="B1757" s="23" t="s">
        <v>16415</v>
      </c>
    </row>
    <row r="1760" spans="1:2" x14ac:dyDescent="0.2">
      <c r="A1760" s="23" t="s">
        <v>16414</v>
      </c>
      <c r="B1760" s="23" t="s">
        <v>16415</v>
      </c>
    </row>
    <row r="1763" spans="1:2" x14ac:dyDescent="0.2">
      <c r="A1763" s="23" t="s">
        <v>16414</v>
      </c>
      <c r="B1763" s="23" t="s">
        <v>16415</v>
      </c>
    </row>
    <row r="1766" spans="1:2" x14ac:dyDescent="0.2">
      <c r="A1766" s="23" t="s">
        <v>16414</v>
      </c>
      <c r="B1766" s="23" t="s">
        <v>16415</v>
      </c>
    </row>
    <row r="1768" spans="1:2" x14ac:dyDescent="0.2">
      <c r="A1768" s="23" t="s">
        <v>16414</v>
      </c>
      <c r="B1768" s="23" t="s">
        <v>16415</v>
      </c>
    </row>
    <row r="1774" spans="1:2" x14ac:dyDescent="0.2">
      <c r="A1774" s="23" t="s">
        <v>16414</v>
      </c>
      <c r="B1774" s="23" t="s">
        <v>16415</v>
      </c>
    </row>
    <row r="1779" spans="1:2" x14ac:dyDescent="0.2">
      <c r="A1779" s="23" t="s">
        <v>16414</v>
      </c>
      <c r="B1779" s="23" t="s">
        <v>16415</v>
      </c>
    </row>
    <row r="1782" spans="1:2" x14ac:dyDescent="0.2">
      <c r="A1782" s="23" t="s">
        <v>16414</v>
      </c>
      <c r="B1782" s="23" t="s">
        <v>16415</v>
      </c>
    </row>
    <row r="1784" spans="1:2" x14ac:dyDescent="0.2">
      <c r="A1784" s="23" t="s">
        <v>16414</v>
      </c>
      <c r="B1784" s="23" t="s">
        <v>16415</v>
      </c>
    </row>
    <row r="1789" spans="1:2" x14ac:dyDescent="0.2">
      <c r="A1789" s="23" t="s">
        <v>16414</v>
      </c>
      <c r="B1789" s="23" t="s">
        <v>16415</v>
      </c>
    </row>
    <row r="1794" spans="1:2" x14ac:dyDescent="0.2">
      <c r="A1794" s="23" t="s">
        <v>16414</v>
      </c>
      <c r="B1794" s="23" t="s">
        <v>16415</v>
      </c>
    </row>
    <row r="1797" spans="1:2" x14ac:dyDescent="0.2">
      <c r="A1797" s="23" t="s">
        <v>16414</v>
      </c>
      <c r="B1797" s="23" t="s">
        <v>16415</v>
      </c>
    </row>
    <row r="1799" spans="1:2" x14ac:dyDescent="0.2">
      <c r="A1799" s="23" t="s">
        <v>16424</v>
      </c>
      <c r="B1799" s="23" t="s">
        <v>16425</v>
      </c>
    </row>
    <row r="1801" spans="1:2" x14ac:dyDescent="0.2">
      <c r="A1801" s="23" t="s">
        <v>16414</v>
      </c>
      <c r="B1801" s="23" t="s">
        <v>16415</v>
      </c>
    </row>
    <row r="1804" spans="1:2" x14ac:dyDescent="0.2">
      <c r="A1804" s="23" t="s">
        <v>16414</v>
      </c>
      <c r="B1804" s="23" t="s">
        <v>16415</v>
      </c>
    </row>
    <row r="1809" spans="1:2" x14ac:dyDescent="0.2">
      <c r="A1809" s="23" t="s">
        <v>16414</v>
      </c>
      <c r="B1809" s="23" t="s">
        <v>16415</v>
      </c>
    </row>
    <row r="1814" spans="1:2" x14ac:dyDescent="0.2">
      <c r="A1814" s="23" t="s">
        <v>16414</v>
      </c>
      <c r="B1814" s="23" t="s">
        <v>16415</v>
      </c>
    </row>
    <row r="1817" spans="1:2" x14ac:dyDescent="0.2">
      <c r="A1817" s="23" t="s">
        <v>16414</v>
      </c>
      <c r="B1817" s="23" t="s">
        <v>16415</v>
      </c>
    </row>
    <row r="1820" spans="1:2" x14ac:dyDescent="0.2">
      <c r="A1820" s="23" t="s">
        <v>16414</v>
      </c>
      <c r="B1820" s="23" t="s">
        <v>16415</v>
      </c>
    </row>
    <row r="1823" spans="1:2" x14ac:dyDescent="0.2">
      <c r="A1823" s="23" t="s">
        <v>16454</v>
      </c>
      <c r="B1823" s="23" t="s">
        <v>16455</v>
      </c>
    </row>
    <row r="1826" spans="1:2" x14ac:dyDescent="0.2">
      <c r="A1826" s="23" t="s">
        <v>16420</v>
      </c>
      <c r="B1826" s="23" t="s">
        <v>16421</v>
      </c>
    </row>
    <row r="1829" spans="1:2" x14ac:dyDescent="0.2">
      <c r="A1829" s="23" t="s">
        <v>16414</v>
      </c>
      <c r="B1829" s="23" t="s">
        <v>16415</v>
      </c>
    </row>
    <row r="1832" spans="1:2" x14ac:dyDescent="0.2">
      <c r="A1832" s="23" t="s">
        <v>16414</v>
      </c>
      <c r="B1832" s="23" t="s">
        <v>16415</v>
      </c>
    </row>
    <row r="1834" spans="1:2" x14ac:dyDescent="0.2">
      <c r="A1834" s="23" t="s">
        <v>16414</v>
      </c>
      <c r="B1834" s="23" t="s">
        <v>16415</v>
      </c>
    </row>
    <row r="1840" spans="1:2" x14ac:dyDescent="0.2">
      <c r="A1840" s="23" t="s">
        <v>16414</v>
      </c>
      <c r="B1840" s="23" t="s">
        <v>16415</v>
      </c>
    </row>
    <row r="1846" spans="1:2" x14ac:dyDescent="0.2">
      <c r="A1846" s="23" t="s">
        <v>16420</v>
      </c>
      <c r="B1846" s="23" t="s">
        <v>16421</v>
      </c>
    </row>
    <row r="1852" spans="1:2" x14ac:dyDescent="0.2">
      <c r="A1852" s="23" t="s">
        <v>16414</v>
      </c>
      <c r="B1852" s="23" t="s">
        <v>16415</v>
      </c>
    </row>
    <row r="1855" spans="1:2" x14ac:dyDescent="0.2">
      <c r="A1855" s="23" t="s">
        <v>16414</v>
      </c>
      <c r="B1855" s="23" t="s">
        <v>16415</v>
      </c>
    </row>
    <row r="1858" spans="1:2" x14ac:dyDescent="0.2">
      <c r="A1858" s="23" t="s">
        <v>16454</v>
      </c>
      <c r="B1858" s="23" t="s">
        <v>16455</v>
      </c>
    </row>
    <row r="1861" spans="1:2" x14ac:dyDescent="0.2">
      <c r="A1861" s="23" t="s">
        <v>16414</v>
      </c>
      <c r="B1861" s="23" t="s">
        <v>16415</v>
      </c>
    </row>
    <row r="1864" spans="1:2" x14ac:dyDescent="0.2">
      <c r="A1864" s="23" t="s">
        <v>16418</v>
      </c>
      <c r="B1864" s="23" t="s">
        <v>16419</v>
      </c>
    </row>
    <row r="1869" spans="1:2" x14ac:dyDescent="0.2">
      <c r="A1869" s="23" t="s">
        <v>16424</v>
      </c>
      <c r="B1869" s="23" t="s">
        <v>16425</v>
      </c>
    </row>
    <row r="1872" spans="1:2" x14ac:dyDescent="0.2">
      <c r="A1872" s="23" t="s">
        <v>16454</v>
      </c>
      <c r="B1872" s="23" t="s">
        <v>16455</v>
      </c>
    </row>
    <row r="1875" spans="1:2" x14ac:dyDescent="0.2">
      <c r="A1875" s="23" t="s">
        <v>16420</v>
      </c>
      <c r="B1875" s="23" t="s">
        <v>16421</v>
      </c>
    </row>
    <row r="1878" spans="1:2" x14ac:dyDescent="0.2">
      <c r="A1878" s="23" t="s">
        <v>16424</v>
      </c>
      <c r="B1878" s="23" t="s">
        <v>16425</v>
      </c>
    </row>
    <row r="1881" spans="1:2" x14ac:dyDescent="0.2">
      <c r="A1881" s="23" t="s">
        <v>16414</v>
      </c>
      <c r="B1881" s="23" t="s">
        <v>16415</v>
      </c>
    </row>
    <row r="1884" spans="1:2" x14ac:dyDescent="0.2">
      <c r="A1884" s="23" t="s">
        <v>16454</v>
      </c>
      <c r="B1884" s="23" t="s">
        <v>16455</v>
      </c>
    </row>
    <row r="1887" spans="1:2" x14ac:dyDescent="0.2">
      <c r="A1887" s="23" t="s">
        <v>16424</v>
      </c>
      <c r="B1887" s="23" t="s">
        <v>16425</v>
      </c>
    </row>
    <row r="1890" spans="1:2" x14ac:dyDescent="0.2">
      <c r="A1890" s="23" t="s">
        <v>16414</v>
      </c>
      <c r="B1890" s="23" t="s">
        <v>16415</v>
      </c>
    </row>
    <row r="1893" spans="1:2" x14ac:dyDescent="0.2">
      <c r="A1893" s="23" t="s">
        <v>16414</v>
      </c>
      <c r="B1893" s="23" t="s">
        <v>16415</v>
      </c>
    </row>
    <row r="1896" spans="1:2" x14ac:dyDescent="0.2">
      <c r="A1896" s="23" t="s">
        <v>16424</v>
      </c>
      <c r="B1896" s="23" t="s">
        <v>16425</v>
      </c>
    </row>
    <row r="1899" spans="1:2" x14ac:dyDescent="0.2">
      <c r="A1899" s="23" t="s">
        <v>16420</v>
      </c>
      <c r="B1899" s="23" t="s">
        <v>16421</v>
      </c>
    </row>
    <row r="1902" spans="1:2" x14ac:dyDescent="0.2">
      <c r="A1902" s="23" t="s">
        <v>16414</v>
      </c>
      <c r="B1902" s="23" t="s">
        <v>16415</v>
      </c>
    </row>
    <row r="1908" spans="1:2" x14ac:dyDescent="0.2">
      <c r="A1908" s="23" t="s">
        <v>16424</v>
      </c>
      <c r="B1908" s="23" t="s">
        <v>16425</v>
      </c>
    </row>
    <row r="1911" spans="1:2" x14ac:dyDescent="0.2">
      <c r="A1911" s="23" t="s">
        <v>16414</v>
      </c>
      <c r="B1911" s="23" t="s">
        <v>16415</v>
      </c>
    </row>
    <row r="1914" spans="1:2" x14ac:dyDescent="0.2">
      <c r="A1914" s="23" t="s">
        <v>16416</v>
      </c>
      <c r="B1914" s="23" t="s">
        <v>16417</v>
      </c>
    </row>
    <row r="1917" spans="1:2" x14ac:dyDescent="0.2">
      <c r="A1917" s="23" t="s">
        <v>16414</v>
      </c>
      <c r="B1917" s="23" t="s">
        <v>16415</v>
      </c>
    </row>
    <row r="1920" spans="1:2" x14ac:dyDescent="0.2">
      <c r="A1920" s="23" t="s">
        <v>16438</v>
      </c>
      <c r="B1920" s="23" t="s">
        <v>16439</v>
      </c>
    </row>
    <row r="1923" spans="1:2" x14ac:dyDescent="0.2">
      <c r="A1923" s="23" t="s">
        <v>16420</v>
      </c>
      <c r="B1923" s="23" t="s">
        <v>16421</v>
      </c>
    </row>
    <row r="1926" spans="1:2" x14ac:dyDescent="0.2">
      <c r="A1926" s="23" t="s">
        <v>16420</v>
      </c>
      <c r="B1926" s="23" t="s">
        <v>16421</v>
      </c>
    </row>
    <row r="1929" spans="1:2" x14ac:dyDescent="0.2">
      <c r="A1929" s="23" t="s">
        <v>16460</v>
      </c>
      <c r="B1929" s="23" t="s">
        <v>16461</v>
      </c>
    </row>
    <row r="1932" spans="1:2" x14ac:dyDescent="0.2">
      <c r="A1932" s="23" t="s">
        <v>16414</v>
      </c>
      <c r="B1932" s="23" t="s">
        <v>16415</v>
      </c>
    </row>
    <row r="1934" spans="1:2" x14ac:dyDescent="0.2">
      <c r="A1934" s="23" t="s">
        <v>16414</v>
      </c>
      <c r="B1934" s="23" t="s">
        <v>16415</v>
      </c>
    </row>
    <row r="1937" spans="1:2" x14ac:dyDescent="0.2">
      <c r="A1937" s="23" t="s">
        <v>16414</v>
      </c>
      <c r="B1937" s="23" t="s">
        <v>16415</v>
      </c>
    </row>
    <row r="1940" spans="1:2" x14ac:dyDescent="0.2">
      <c r="A1940" s="23" t="s">
        <v>16462</v>
      </c>
      <c r="B1940" s="23" t="s">
        <v>16463</v>
      </c>
    </row>
    <row r="1945" spans="1:2" x14ac:dyDescent="0.2">
      <c r="A1945" s="23" t="s">
        <v>16420</v>
      </c>
      <c r="B1945" s="23" t="s">
        <v>16421</v>
      </c>
    </row>
    <row r="1951" spans="1:2" x14ac:dyDescent="0.2">
      <c r="A1951" s="23" t="s">
        <v>16414</v>
      </c>
      <c r="B1951" s="23" t="s">
        <v>16415</v>
      </c>
    </row>
    <row r="1954" spans="1:2" x14ac:dyDescent="0.2">
      <c r="A1954" s="23" t="s">
        <v>16414</v>
      </c>
      <c r="B1954" s="23" t="s">
        <v>16415</v>
      </c>
    </row>
    <row r="1957" spans="1:2" x14ac:dyDescent="0.2">
      <c r="A1957" s="23" t="s">
        <v>16420</v>
      </c>
      <c r="B1957" s="23" t="s">
        <v>16421</v>
      </c>
    </row>
    <row r="1960" spans="1:2" x14ac:dyDescent="0.2">
      <c r="A1960" s="23" t="s">
        <v>16414</v>
      </c>
      <c r="B1960" s="23" t="s">
        <v>16415</v>
      </c>
    </row>
    <row r="1968" spans="1:2" x14ac:dyDescent="0.2">
      <c r="A1968" s="23" t="s">
        <v>16414</v>
      </c>
      <c r="B1968" s="23" t="s">
        <v>16415</v>
      </c>
    </row>
    <row r="1971" spans="1:2" x14ac:dyDescent="0.2">
      <c r="A1971" s="23" t="s">
        <v>16414</v>
      </c>
      <c r="B1971" s="23" t="s">
        <v>16415</v>
      </c>
    </row>
    <row r="1976" spans="1:2" x14ac:dyDescent="0.2">
      <c r="A1976" s="23" t="s">
        <v>16414</v>
      </c>
      <c r="B1976" s="23" t="s">
        <v>16415</v>
      </c>
    </row>
    <row r="1979" spans="1:2" x14ac:dyDescent="0.2">
      <c r="A1979" s="23" t="s">
        <v>16414</v>
      </c>
      <c r="B1979" s="23" t="s">
        <v>16415</v>
      </c>
    </row>
    <row r="1982" spans="1:2" x14ac:dyDescent="0.2">
      <c r="A1982" s="23" t="s">
        <v>16420</v>
      </c>
      <c r="B1982" s="23" t="s">
        <v>16421</v>
      </c>
    </row>
    <row r="1985" spans="1:2" x14ac:dyDescent="0.2">
      <c r="A1985" s="23" t="s">
        <v>16424</v>
      </c>
      <c r="B1985" s="23" t="s">
        <v>16425</v>
      </c>
    </row>
    <row r="1988" spans="1:2" x14ac:dyDescent="0.2">
      <c r="A1988" s="23" t="s">
        <v>16414</v>
      </c>
      <c r="B1988" s="23" t="s">
        <v>16415</v>
      </c>
    </row>
    <row r="1991" spans="1:2" x14ac:dyDescent="0.2">
      <c r="A1991" s="23" t="s">
        <v>16428</v>
      </c>
      <c r="B1991" s="23" t="s">
        <v>16429</v>
      </c>
    </row>
    <row r="1994" spans="1:2" x14ac:dyDescent="0.2">
      <c r="A1994" s="23" t="s">
        <v>16424</v>
      </c>
      <c r="B1994" s="23" t="s">
        <v>16425</v>
      </c>
    </row>
    <row r="1997" spans="1:2" x14ac:dyDescent="0.2">
      <c r="A1997" s="23" t="s">
        <v>16414</v>
      </c>
      <c r="B1997" s="23" t="s">
        <v>16415</v>
      </c>
    </row>
    <row r="2000" spans="1:2" x14ac:dyDescent="0.2">
      <c r="A2000" s="23" t="s">
        <v>16414</v>
      </c>
      <c r="B2000" s="23" t="s">
        <v>16415</v>
      </c>
    </row>
    <row r="2003" spans="1:2" x14ac:dyDescent="0.2">
      <c r="A2003" s="23" t="s">
        <v>16414</v>
      </c>
      <c r="B2003" s="23" t="s">
        <v>16415</v>
      </c>
    </row>
    <row r="2006" spans="1:2" x14ac:dyDescent="0.2">
      <c r="A2006" s="23" t="s">
        <v>16414</v>
      </c>
      <c r="B2006" s="23" t="s">
        <v>16415</v>
      </c>
    </row>
    <row r="2009" spans="1:2" x14ac:dyDescent="0.2">
      <c r="A2009" s="23" t="s">
        <v>16414</v>
      </c>
      <c r="B2009" s="23" t="s">
        <v>16415</v>
      </c>
    </row>
    <row r="2012" spans="1:2" x14ac:dyDescent="0.2">
      <c r="A2012" s="23" t="s">
        <v>16414</v>
      </c>
      <c r="B2012" s="23" t="s">
        <v>16415</v>
      </c>
    </row>
    <row r="2018" spans="1:2" x14ac:dyDescent="0.2">
      <c r="A2018" s="23" t="s">
        <v>16454</v>
      </c>
      <c r="B2018" s="23" t="s">
        <v>16455</v>
      </c>
    </row>
    <row r="2021" spans="1:2" x14ac:dyDescent="0.2">
      <c r="A2021" s="23" t="s">
        <v>16424</v>
      </c>
      <c r="B2021" s="23" t="s">
        <v>16425</v>
      </c>
    </row>
    <row r="2026" spans="1:2" x14ac:dyDescent="0.2">
      <c r="A2026" s="23" t="s">
        <v>16414</v>
      </c>
      <c r="B2026" s="23" t="s">
        <v>16415</v>
      </c>
    </row>
    <row r="2029" spans="1:2" x14ac:dyDescent="0.2">
      <c r="A2029" s="23" t="s">
        <v>16420</v>
      </c>
      <c r="B2029" s="23" t="s">
        <v>16421</v>
      </c>
    </row>
    <row r="2032" spans="1:2" x14ac:dyDescent="0.2">
      <c r="A2032" s="23" t="s">
        <v>16414</v>
      </c>
      <c r="B2032" s="23" t="s">
        <v>16415</v>
      </c>
    </row>
    <row r="2035" spans="1:2" x14ac:dyDescent="0.2">
      <c r="A2035" s="23" t="s">
        <v>16424</v>
      </c>
      <c r="B2035" s="23" t="s">
        <v>16425</v>
      </c>
    </row>
    <row r="2038" spans="1:2" x14ac:dyDescent="0.2">
      <c r="A2038" s="23" t="s">
        <v>16424</v>
      </c>
      <c r="B2038" s="23" t="s">
        <v>16425</v>
      </c>
    </row>
    <row r="2041" spans="1:2" x14ac:dyDescent="0.2">
      <c r="A2041" s="23" t="s">
        <v>16424</v>
      </c>
      <c r="B2041" s="23" t="s">
        <v>16425</v>
      </c>
    </row>
    <row r="2044" spans="1:2" x14ac:dyDescent="0.2">
      <c r="A2044" s="23" t="s">
        <v>16424</v>
      </c>
      <c r="B2044" s="23" t="s">
        <v>16425</v>
      </c>
    </row>
    <row r="2047" spans="1:2" x14ac:dyDescent="0.2">
      <c r="A2047" s="23" t="s">
        <v>16414</v>
      </c>
      <c r="B2047" s="23" t="s">
        <v>16415</v>
      </c>
    </row>
    <row r="2050" spans="1:2" x14ac:dyDescent="0.2">
      <c r="A2050" s="23" t="s">
        <v>16426</v>
      </c>
      <c r="B2050" s="23" t="s">
        <v>16427</v>
      </c>
    </row>
    <row r="2053" spans="1:2" x14ac:dyDescent="0.2">
      <c r="A2053" s="23" t="s">
        <v>16414</v>
      </c>
      <c r="B2053" s="23" t="s">
        <v>16415</v>
      </c>
    </row>
    <row r="2056" spans="1:2" x14ac:dyDescent="0.2">
      <c r="A2056" s="23" t="s">
        <v>16414</v>
      </c>
      <c r="B2056" s="23" t="s">
        <v>16415</v>
      </c>
    </row>
    <row r="2062" spans="1:2" x14ac:dyDescent="0.2">
      <c r="A2062" s="23" t="s">
        <v>16414</v>
      </c>
      <c r="B2062" s="23" t="s">
        <v>16415</v>
      </c>
    </row>
    <row r="2065" spans="1:2" x14ac:dyDescent="0.2">
      <c r="A2065" s="23" t="s">
        <v>16414</v>
      </c>
      <c r="B2065" s="23" t="s">
        <v>16415</v>
      </c>
    </row>
    <row r="2068" spans="1:2" x14ac:dyDescent="0.2">
      <c r="A2068" s="23" t="s">
        <v>16414</v>
      </c>
      <c r="B2068" s="23" t="s">
        <v>16415</v>
      </c>
    </row>
    <row r="2071" spans="1:2" x14ac:dyDescent="0.2">
      <c r="A2071" s="23" t="s">
        <v>16424</v>
      </c>
      <c r="B2071" s="23" t="s">
        <v>16425</v>
      </c>
    </row>
    <row r="2076" spans="1:2" x14ac:dyDescent="0.2">
      <c r="A2076" s="23" t="s">
        <v>16420</v>
      </c>
      <c r="B2076" s="23" t="s">
        <v>16421</v>
      </c>
    </row>
    <row r="2079" spans="1:2" x14ac:dyDescent="0.2">
      <c r="A2079" s="23" t="s">
        <v>16424</v>
      </c>
      <c r="B2079" s="23" t="s">
        <v>16425</v>
      </c>
    </row>
    <row r="2082" spans="1:2" x14ac:dyDescent="0.2">
      <c r="A2082" s="23" t="s">
        <v>16414</v>
      </c>
      <c r="B2082" s="23" t="s">
        <v>16415</v>
      </c>
    </row>
    <row r="2087" spans="1:2" x14ac:dyDescent="0.2">
      <c r="A2087" s="23" t="s">
        <v>16420</v>
      </c>
      <c r="B2087" s="23" t="s">
        <v>16421</v>
      </c>
    </row>
    <row r="2090" spans="1:2" x14ac:dyDescent="0.2">
      <c r="A2090" s="23" t="s">
        <v>16424</v>
      </c>
      <c r="B2090" s="23" t="s">
        <v>16425</v>
      </c>
    </row>
    <row r="2092" spans="1:2" x14ac:dyDescent="0.2">
      <c r="A2092" s="23" t="s">
        <v>16420</v>
      </c>
      <c r="B2092" s="23" t="s">
        <v>16421</v>
      </c>
    </row>
    <row r="2095" spans="1:2" x14ac:dyDescent="0.2">
      <c r="A2095" s="23" t="s">
        <v>16464</v>
      </c>
      <c r="B2095" s="23" t="s">
        <v>16465</v>
      </c>
    </row>
    <row r="2098" spans="1:2" x14ac:dyDescent="0.2">
      <c r="A2098" s="23" t="s">
        <v>16414</v>
      </c>
      <c r="B2098" s="23" t="s">
        <v>16415</v>
      </c>
    </row>
    <row r="2101" spans="1:2" x14ac:dyDescent="0.2">
      <c r="A2101" s="23" t="s">
        <v>16424</v>
      </c>
      <c r="B2101" s="23" t="s">
        <v>16425</v>
      </c>
    </row>
    <row r="2109" spans="1:2" x14ac:dyDescent="0.2">
      <c r="A2109" s="23" t="s">
        <v>16420</v>
      </c>
      <c r="B2109" s="23" t="s">
        <v>16421</v>
      </c>
    </row>
    <row r="2112" spans="1:2" x14ac:dyDescent="0.2">
      <c r="A2112" s="23" t="s">
        <v>16414</v>
      </c>
      <c r="B2112" s="23" t="s">
        <v>16415</v>
      </c>
    </row>
    <row r="2118" spans="1:2" x14ac:dyDescent="0.2">
      <c r="A2118" s="23" t="s">
        <v>16420</v>
      </c>
      <c r="B2118" s="23" t="s">
        <v>16421</v>
      </c>
    </row>
    <row r="2121" spans="1:2" x14ac:dyDescent="0.2">
      <c r="A2121" s="23" t="s">
        <v>16426</v>
      </c>
      <c r="B2121" s="23" t="s">
        <v>16427</v>
      </c>
    </row>
    <row r="2124" spans="1:2" x14ac:dyDescent="0.2">
      <c r="A2124" s="23" t="s">
        <v>16424</v>
      </c>
      <c r="B2124" s="23" t="s">
        <v>16425</v>
      </c>
    </row>
    <row r="2127" spans="1:2" x14ac:dyDescent="0.2">
      <c r="A2127" s="23" t="s">
        <v>16414</v>
      </c>
      <c r="B2127" s="23" t="s">
        <v>16415</v>
      </c>
    </row>
    <row r="2132" spans="1:2" x14ac:dyDescent="0.2">
      <c r="A2132" s="23" t="s">
        <v>16420</v>
      </c>
      <c r="B2132" s="23" t="s">
        <v>16421</v>
      </c>
    </row>
    <row r="2135" spans="1:2" x14ac:dyDescent="0.2">
      <c r="A2135" s="23" t="s">
        <v>16458</v>
      </c>
      <c r="B2135" s="23" t="s">
        <v>16459</v>
      </c>
    </row>
    <row r="2138" spans="1:2" x14ac:dyDescent="0.2">
      <c r="A2138" s="23" t="s">
        <v>16414</v>
      </c>
      <c r="B2138" s="23" t="s">
        <v>16415</v>
      </c>
    </row>
    <row r="2141" spans="1:2" x14ac:dyDescent="0.2">
      <c r="A2141" s="23" t="s">
        <v>16424</v>
      </c>
      <c r="B2141" s="23" t="s">
        <v>16425</v>
      </c>
    </row>
    <row r="2144" spans="1:2" x14ac:dyDescent="0.2">
      <c r="A2144" s="23" t="s">
        <v>16420</v>
      </c>
      <c r="B2144" s="23" t="s">
        <v>16421</v>
      </c>
    </row>
    <row r="2147" spans="1:2" x14ac:dyDescent="0.2">
      <c r="A2147" s="23" t="s">
        <v>16424</v>
      </c>
      <c r="B2147" s="23" t="s">
        <v>16425</v>
      </c>
    </row>
    <row r="2150" spans="1:2" x14ac:dyDescent="0.2">
      <c r="A2150" s="23" t="s">
        <v>16414</v>
      </c>
      <c r="B2150" s="23" t="s">
        <v>16415</v>
      </c>
    </row>
    <row r="2153" spans="1:2" x14ac:dyDescent="0.2">
      <c r="A2153" s="23" t="s">
        <v>16414</v>
      </c>
      <c r="B2153" s="23" t="s">
        <v>16415</v>
      </c>
    </row>
    <row r="2156" spans="1:2" x14ac:dyDescent="0.2">
      <c r="A2156" s="23" t="s">
        <v>16424</v>
      </c>
      <c r="B2156" s="23" t="s">
        <v>16425</v>
      </c>
    </row>
    <row r="2159" spans="1:2" x14ac:dyDescent="0.2">
      <c r="A2159" s="23" t="s">
        <v>16414</v>
      </c>
      <c r="B2159" s="23" t="s">
        <v>16415</v>
      </c>
    </row>
    <row r="2162" spans="1:2" x14ac:dyDescent="0.2">
      <c r="A2162" s="23" t="s">
        <v>16414</v>
      </c>
      <c r="B2162" s="23" t="s">
        <v>16415</v>
      </c>
    </row>
    <row r="2168" spans="1:2" x14ac:dyDescent="0.2">
      <c r="A2168" s="23" t="s">
        <v>16414</v>
      </c>
      <c r="B2168" s="23" t="s">
        <v>16415</v>
      </c>
    </row>
    <row r="2171" spans="1:2" x14ac:dyDescent="0.2">
      <c r="A2171" s="23" t="s">
        <v>16414</v>
      </c>
      <c r="B2171" s="23" t="s">
        <v>16415</v>
      </c>
    </row>
    <row r="2173" spans="1:2" x14ac:dyDescent="0.2">
      <c r="A2173" s="23" t="s">
        <v>16420</v>
      </c>
      <c r="B2173" s="23" t="s">
        <v>16421</v>
      </c>
    </row>
    <row r="2178" spans="1:2" x14ac:dyDescent="0.2">
      <c r="A2178" s="23" t="s">
        <v>16414</v>
      </c>
      <c r="B2178" s="23" t="s">
        <v>16415</v>
      </c>
    </row>
    <row r="2181" spans="1:2" x14ac:dyDescent="0.2">
      <c r="A2181" s="23" t="s">
        <v>16414</v>
      </c>
      <c r="B2181" s="23" t="s">
        <v>16415</v>
      </c>
    </row>
    <row r="2191" spans="1:2" x14ac:dyDescent="0.2">
      <c r="A2191" s="23" t="s">
        <v>16420</v>
      </c>
      <c r="B2191" s="23" t="s">
        <v>16421</v>
      </c>
    </row>
    <row r="2204" spans="1:2" x14ac:dyDescent="0.2">
      <c r="A2204" s="23" t="s">
        <v>16414</v>
      </c>
      <c r="B2204" s="23" t="s">
        <v>16415</v>
      </c>
    </row>
  </sheetData>
  <autoFilter ref="I2:K2" xr:uid="{D6A75032-A4DC-154A-A184-1281CED1B4BD}">
    <sortState xmlns:xlrd2="http://schemas.microsoft.com/office/spreadsheetml/2017/richdata2" ref="I3:K37">
      <sortCondition descending="1" ref="J2:J37"/>
    </sortState>
  </autoFilter>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01999D-AC5A-764C-BDFA-295DA3F0048D}">
  <dimension ref="B5:C5"/>
  <sheetViews>
    <sheetView workbookViewId="0">
      <selection activeCell="F17" sqref="F17"/>
    </sheetView>
  </sheetViews>
  <sheetFormatPr baseColWidth="10" defaultRowHeight="15" x14ac:dyDescent="0.2"/>
  <sheetData>
    <row r="5" spans="2:3" x14ac:dyDescent="0.2">
      <c r="B5" t="s">
        <v>16488</v>
      </c>
      <c r="C5" t="s">
        <v>16489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Pivot</vt:lpstr>
      <vt:lpstr>NonPivot Summary</vt:lpstr>
      <vt:lpstr>Sheet3</vt:lpstr>
      <vt:lpstr>Collapsed - Orthotrack outcomes</vt:lpstr>
      <vt:lpstr>PivotLists</vt:lpstr>
      <vt:lpstr>ICD_summary</vt:lpstr>
      <vt:lpstr>dsf</vt:lpstr>
      <vt:lpstr>SelFn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Debra Dalgleish</dc:creator>
  <cp:lastModifiedBy>Grey Skelton</cp:lastModifiedBy>
  <dcterms:created xsi:type="dcterms:W3CDTF">2020-07-13T19:37:38Z</dcterms:created>
  <dcterms:modified xsi:type="dcterms:W3CDTF">2021-11-17T18:23:45Z</dcterms:modified>
</cp:coreProperties>
</file>